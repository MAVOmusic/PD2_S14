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ex" sheetId="1" r:id="rId5"/>
    <sheet state="visible" name="Trade Values" sheetId="2" r:id="rId6"/>
    <sheet state="visible" name="Armor Info" sheetId="3" r:id="rId7"/>
    <sheet state="visible" name="Weapon Info" sheetId="4" r:id="rId8"/>
    <sheet state="visible" name="Runeword Grid" sheetId="5" r:id="rId9"/>
    <sheet state="visible" name="Weapon DPS" sheetId="6" r:id="rId10"/>
    <sheet state="visible" name="ALVL Chart" sheetId="7" r:id="rId11"/>
    <sheet state="visible" name="Helms" sheetId="8" r:id="rId12"/>
    <sheet state="visible" name="Claws" sheetId="9" r:id="rId13"/>
    <sheet state="visible" name="Axes" sheetId="10" r:id="rId14"/>
    <sheet state="visible" name="Hammers" sheetId="11" r:id="rId15"/>
    <sheet state="visible" name="Melee" sheetId="12" r:id="rId16"/>
    <sheet state="visible" name="Body Armor" sheetId="13" r:id="rId17"/>
    <sheet state="visible" name="Missile" sheetId="14" r:id="rId18"/>
    <sheet state="visible" name="Maces" sheetId="15" r:id="rId19"/>
    <sheet state="visible" name="Scepters" sheetId="16" r:id="rId20"/>
    <sheet state="visible" name="Staves" sheetId="17" r:id="rId21"/>
    <sheet state="visible" name="Wands" sheetId="18" r:id="rId22"/>
    <sheet state="visible" name="Swords" sheetId="19" r:id="rId23"/>
    <sheet state="visible" name="Shields" sheetId="20" r:id="rId24"/>
    <sheet state="visible" name="Weapons" sheetId="21" r:id="rId25"/>
    <sheet state="visible" name="Polearms" sheetId="22" r:id="rId26"/>
    <sheet state="hidden" name="Filter Highlighting" sheetId="23" r:id="rId27"/>
  </sheets>
  <definedNames>
    <definedName hidden="1" localSheetId="2" name="_xlnm._FilterDatabase">'Armor Info'!$A$1:$AX$71</definedName>
    <definedName hidden="1" localSheetId="3" name="_xlnm._FilterDatabase">'Weapon Info'!$A$1:$BB$116</definedName>
    <definedName hidden="1" localSheetId="5" name="_xlnm._FilterDatabase">'Weapon DPS'!$A$3:$DP$362</definedName>
    <definedName hidden="1" localSheetId="12" name="_xlnm._FilterDatabase">'Body Armor'!$C$1:$C$2000</definedName>
    <definedName hidden="1" localSheetId="21" name="_xlnm._FilterDatabase">Polearms!$C$1:$C$1000</definedName>
  </definedNames>
  <calcPr/>
</workbook>
</file>

<file path=xl/sharedStrings.xml><?xml version="1.0" encoding="utf-8"?>
<sst xmlns="http://schemas.openxmlformats.org/spreadsheetml/2006/main" count="7535" uniqueCount="2399">
  <si>
    <t>Index</t>
  </si>
  <si>
    <t>Charts are each in their own tab which can be selected at the bottom of the window.</t>
  </si>
  <si>
    <t>Chart</t>
  </si>
  <si>
    <t>Info</t>
  </si>
  <si>
    <t>Armor Info</t>
  </si>
  <si>
    <t>Stats for all armor bases</t>
  </si>
  <si>
    <t>Weapon Info</t>
  </si>
  <si>
    <t>Stats for all weapon bases</t>
  </si>
  <si>
    <t>Weapon DPS</t>
  </si>
  <si>
    <t>Calculates standard dps for all weapons based on your character's stats</t>
  </si>
  <si>
    <t>Runeword Grid</t>
  </si>
  <si>
    <t>Weapon runewords and the types of items they can be made in</t>
  </si>
  <si>
    <t>ALVL Chart</t>
  </si>
  <si>
    <t>Visualization of affix levels (based on item level and quality level)</t>
  </si>
  <si>
    <t>Trade Values</t>
  </si>
  <si>
    <t>General overview of values for runes and other currency items</t>
  </si>
  <si>
    <t>Filter Highlighting</t>
  </si>
  <si>
    <t>List of unique/set items and how much highlighting they have for different filters</t>
  </si>
  <si>
    <t>To make changes to the Weapon DPS chart (or other charts with restricted permissions) make a local copy:</t>
  </si>
  <si>
    <t>item (normal)</t>
  </si>
  <si>
    <t>click the "File" dropdown from the menu at the top</t>
  </si>
  <si>
    <t>code</t>
  </si>
  <si>
    <t>qlvl</t>
  </si>
  <si>
    <t>rlvl</t>
  </si>
  <si>
    <t>click "Make a copy"</t>
  </si>
  <si>
    <t>str</t>
  </si>
  <si>
    <t>min</t>
  </si>
  <si>
    <t>max</t>
  </si>
  <si>
    <t>sock</t>
  </si>
  <si>
    <t>dmg</t>
  </si>
  <si>
    <t>block</t>
  </si>
  <si>
    <t>dur</t>
  </si>
  <si>
    <t>index (Armor.txt)</t>
  </si>
  <si>
    <t>rarity</t>
  </si>
  <si>
    <t>dex</t>
  </si>
  <si>
    <t>item (exceptional)</t>
  </si>
  <si>
    <t>avg</t>
  </si>
  <si>
    <t>wsm</t>
  </si>
  <si>
    <t>Rarity</t>
  </si>
  <si>
    <t>item (elite)</t>
  </si>
  <si>
    <t>index (weapon analysis chart)</t>
  </si>
  <si>
    <t>type</t>
  </si>
  <si>
    <t>index (weapons.txt)</t>
  </si>
  <si>
    <t>other</t>
  </si>
  <si>
    <t xml:space="preserve"> </t>
  </si>
  <si>
    <t>Filter Code</t>
  </si>
  <si>
    <t>Quality Level</t>
  </si>
  <si>
    <t>Required Level</t>
  </si>
  <si>
    <t>Required Strength</t>
  </si>
  <si>
    <t>Defense (Minimum)</t>
  </si>
  <si>
    <t>Defense (Maximum)</t>
  </si>
  <si>
    <t>Maximum Sockets</t>
  </si>
  <si>
    <t>Average Smite/Kick Damage</t>
  </si>
  <si>
    <t>Block Chance</t>
  </si>
  <si>
    <t>Durability</t>
  </si>
  <si>
    <t>Minimum Smite/Kick Damage</t>
  </si>
  <si>
    <t>Maximum Smite/Kick Damage</t>
  </si>
  <si>
    <t xml:space="preserve"> PD2 Currency Values</t>
  </si>
  <si>
    <t>str%</t>
  </si>
  <si>
    <t>Values may vary outside of the shown ranges very early (or late) in the season</t>
  </si>
  <si>
    <t>dex%</t>
  </si>
  <si>
    <t>range</t>
  </si>
  <si>
    <t>style</t>
  </si>
  <si>
    <t>Number</t>
  </si>
  <si>
    <t>Quilted Armor</t>
  </si>
  <si>
    <t>Rune</t>
  </si>
  <si>
    <t>qui</t>
  </si>
  <si>
    <t>Required Dexterity</t>
  </si>
  <si>
    <t>HR value</t>
  </si>
  <si>
    <t>Minimum Damage</t>
  </si>
  <si>
    <t>Maximum Damage</t>
  </si>
  <si>
    <t>Average Damage</t>
  </si>
  <si>
    <t>Weapon Speed Modifier</t>
  </si>
  <si>
    <t>GV (Gul value)</t>
  </si>
  <si>
    <t>WSS value</t>
  </si>
  <si>
    <t>Notes</t>
  </si>
  <si>
    <t>Values are based on trade site prices from softcore ladder and are not updated automatically</t>
  </si>
  <si>
    <t>Ghost Armor</t>
  </si>
  <si>
    <t>xui</t>
  </si>
  <si>
    <t>1</t>
  </si>
  <si>
    <t>El</t>
  </si>
  <si>
    <t>Dusk Shroud</t>
  </si>
  <si>
    <t>uui</t>
  </si>
  <si>
    <t>ED Bonus from Strength</t>
  </si>
  <si>
    <t>ED Bonus from Dexterity</t>
  </si>
  <si>
    <t>Melee Range Adder</t>
  </si>
  <si>
    <t>chest</t>
  </si>
  <si>
    <t>Hand Axe</t>
  </si>
  <si>
    <t>hax</t>
  </si>
  <si>
    <t>Leather Armor</t>
  </si>
  <si>
    <t>lea</t>
  </si>
  <si>
    <t>2</t>
  </si>
  <si>
    <t>Eld</t>
  </si>
  <si>
    <t>Serpentskin Armor</t>
  </si>
  <si>
    <t>xea</t>
  </si>
  <si>
    <t>Wyrmhide</t>
  </si>
  <si>
    <t>uea</t>
  </si>
  <si>
    <t>3</t>
  </si>
  <si>
    <t>Tir</t>
  </si>
  <si>
    <t>PD2 Weapons</t>
  </si>
  <si>
    <t>4</t>
  </si>
  <si>
    <t>Nef</t>
  </si>
  <si>
    <t>Hard Leather Armor</t>
  </si>
  <si>
    <t>hla</t>
  </si>
  <si>
    <t>5</t>
  </si>
  <si>
    <t>Eth</t>
  </si>
  <si>
    <t>6</t>
  </si>
  <si>
    <t>Ith</t>
  </si>
  <si>
    <t>Demonhide Armor</t>
  </si>
  <si>
    <t>xla</t>
  </si>
  <si>
    <t>7</t>
  </si>
  <si>
    <t>Tal</t>
  </si>
  <si>
    <t>Scarab Husk</t>
  </si>
  <si>
    <t>ula</t>
  </si>
  <si>
    <t>8</t>
  </si>
  <si>
    <t>Studded Leather</t>
  </si>
  <si>
    <t>Ral</t>
  </si>
  <si>
    <t>stu</t>
  </si>
  <si>
    <t>Hatchet</t>
  </si>
  <si>
    <t>9ha</t>
  </si>
  <si>
    <t>Trellised Armor</t>
  </si>
  <si>
    <t>xtu</t>
  </si>
  <si>
    <t>Approximate Value (HRs)</t>
  </si>
  <si>
    <t>Wire Fleece</t>
  </si>
  <si>
    <t>utu</t>
  </si>
  <si>
    <t>9</t>
  </si>
  <si>
    <t>Ort</t>
  </si>
  <si>
    <t>Ring Mail</t>
  </si>
  <si>
    <t>rng</t>
  </si>
  <si>
    <t>10</t>
  </si>
  <si>
    <t>Thul</t>
  </si>
  <si>
    <t>Linked Mail</t>
  </si>
  <si>
    <t>xng</t>
  </si>
  <si>
    <t>Diamond Mail</t>
  </si>
  <si>
    <t>ung</t>
  </si>
  <si>
    <t>Scale Mail</t>
  </si>
  <si>
    <t>11</t>
  </si>
  <si>
    <t>scl</t>
  </si>
  <si>
    <t>Amn</t>
  </si>
  <si>
    <t>Tigulated Mail</t>
  </si>
  <si>
    <t>xcl</t>
  </si>
  <si>
    <t>Tomahawk</t>
  </si>
  <si>
    <t>Loricated Mail</t>
  </si>
  <si>
    <t>ucl</t>
  </si>
  <si>
    <t>7ha</t>
  </si>
  <si>
    <t>Chain Mail</t>
  </si>
  <si>
    <t>chn</t>
  </si>
  <si>
    <t>12</t>
  </si>
  <si>
    <t>Sol</t>
  </si>
  <si>
    <t>Mesh Armor</t>
  </si>
  <si>
    <t>xhn</t>
  </si>
  <si>
    <t>Boneweave</t>
  </si>
  <si>
    <t>uhn</t>
  </si>
  <si>
    <t>Breast Plate</t>
  </si>
  <si>
    <t>brs</t>
  </si>
  <si>
    <t>13</t>
  </si>
  <si>
    <t>Shael</t>
  </si>
  <si>
    <t>Cuirass</t>
  </si>
  <si>
    <t>xrs</t>
  </si>
  <si>
    <t>Great Hauberk</t>
  </si>
  <si>
    <t>urs</t>
  </si>
  <si>
    <t>Splint Mail</t>
  </si>
  <si>
    <t>spl</t>
  </si>
  <si>
    <t>Russet Armor</t>
  </si>
  <si>
    <t>xpl</t>
  </si>
  <si>
    <t>Balrog Skin</t>
  </si>
  <si>
    <t>upl</t>
  </si>
  <si>
    <t>14</t>
  </si>
  <si>
    <t>Dol</t>
  </si>
  <si>
    <t>Plate Mail</t>
  </si>
  <si>
    <t>plt</t>
  </si>
  <si>
    <t>Templar Coat</t>
  </si>
  <si>
    <t>xlt</t>
  </si>
  <si>
    <t>Hellforge Plate</t>
  </si>
  <si>
    <t>ult</t>
  </si>
  <si>
    <t>axe</t>
  </si>
  <si>
    <t>15</t>
  </si>
  <si>
    <t>melee (one-hand)</t>
  </si>
  <si>
    <t>Field Plate</t>
  </si>
  <si>
    <t>Hel</t>
  </si>
  <si>
    <t>fld</t>
  </si>
  <si>
    <t>Axe</t>
  </si>
  <si>
    <t>Sharktooth Armor</t>
  </si>
  <si>
    <t>xld</t>
  </si>
  <si>
    <t>Kraken Shell</t>
  </si>
  <si>
    <t>uld</t>
  </si>
  <si>
    <t>Gothic Plate</t>
  </si>
  <si>
    <t>gth</t>
  </si>
  <si>
    <t>16</t>
  </si>
  <si>
    <t>Io</t>
  </si>
  <si>
    <t>Cleaver</t>
  </si>
  <si>
    <t>Embossed Plate</t>
  </si>
  <si>
    <t>xth</t>
  </si>
  <si>
    <t>9ax</t>
  </si>
  <si>
    <t>2 sockets</t>
  </si>
  <si>
    <t>Lacquered Plate</t>
  </si>
  <si>
    <t>uth</t>
  </si>
  <si>
    <t>Light Plate</t>
  </si>
  <si>
    <t>ltp</t>
  </si>
  <si>
    <t>Mage Plate</t>
  </si>
  <si>
    <t>Small Crescent</t>
  </si>
  <si>
    <t>xtp</t>
  </si>
  <si>
    <t>7ax</t>
  </si>
  <si>
    <t>3 sockets</t>
  </si>
  <si>
    <t>Archon Plate</t>
  </si>
  <si>
    <t>utp</t>
  </si>
  <si>
    <t>17</t>
  </si>
  <si>
    <t>Lum</t>
  </si>
  <si>
    <t>0.03</t>
  </si>
  <si>
    <t>Full Plate Mail</t>
  </si>
  <si>
    <t>ful</t>
  </si>
  <si>
    <t>Chaos Armor</t>
  </si>
  <si>
    <t>xul</t>
  </si>
  <si>
    <t>Shadow Plate</t>
  </si>
  <si>
    <t>uul</t>
  </si>
  <si>
    <t>Double Axe</t>
  </si>
  <si>
    <t>Ancient Armor</t>
  </si>
  <si>
    <t>aar</t>
  </si>
  <si>
    <t>2ax</t>
  </si>
  <si>
    <t>Ornate Plate</t>
  </si>
  <si>
    <t>xar</t>
  </si>
  <si>
    <t>Sacred Armor</t>
  </si>
  <si>
    <t>uar</t>
  </si>
  <si>
    <t>18</t>
  </si>
  <si>
    <t>Ko</t>
  </si>
  <si>
    <t>0.04</t>
  </si>
  <si>
    <t>Twin Axe</t>
  </si>
  <si>
    <t>92a</t>
  </si>
  <si>
    <t>Buckler</t>
  </si>
  <si>
    <t>buc</t>
  </si>
  <si>
    <t>Ettin Axe</t>
  </si>
  <si>
    <t>72a</t>
  </si>
  <si>
    <t>Military Pick</t>
  </si>
  <si>
    <t>mpi</t>
  </si>
  <si>
    <t>Crowbill</t>
  </si>
  <si>
    <t>9mp</t>
  </si>
  <si>
    <t>War Spike</t>
  </si>
  <si>
    <t>7mp</t>
  </si>
  <si>
    <t>4 sockets</t>
  </si>
  <si>
    <t>War Axe</t>
  </si>
  <si>
    <t>wax</t>
  </si>
  <si>
    <t>Season 14 Rune Values</t>
  </si>
  <si>
    <t>5 sockets</t>
  </si>
  <si>
    <t>This chart is meant to provide a general overview of value ranges, rather than dictate precise values.</t>
  </si>
  <si>
    <t>Defender</t>
  </si>
  <si>
    <t>xuc</t>
  </si>
  <si>
    <t>19</t>
  </si>
  <si>
    <t>Fal</t>
  </si>
  <si>
    <t>0.01</t>
  </si>
  <si>
    <t>6 sockets</t>
  </si>
  <si>
    <t>Naga</t>
  </si>
  <si>
    <t>9wa</t>
  </si>
  <si>
    <t>Heater</t>
  </si>
  <si>
    <t>uuc</t>
  </si>
  <si>
    <t>Berserker Axe</t>
  </si>
  <si>
    <t>7wa</t>
  </si>
  <si>
    <t>Steel</t>
  </si>
  <si>
    <t>Expect Volatility</t>
  </si>
  <si>
    <t>Please expand the HR value ranges to encompass common values if they are too narrow.</t>
  </si>
  <si>
    <t>Leaf</t>
  </si>
  <si>
    <t>Zephyr</t>
  </si>
  <si>
    <t>20</t>
  </si>
  <si>
    <t>Lem</t>
  </si>
  <si>
    <t>0.02</t>
  </si>
  <si>
    <t>Neophyte</t>
  </si>
  <si>
    <t>~0.1</t>
  </si>
  <si>
    <t>shield</t>
  </si>
  <si>
    <t>Strength</t>
  </si>
  <si>
    <t>Large Axe</t>
  </si>
  <si>
    <t>White</t>
  </si>
  <si>
    <t>lax</t>
  </si>
  <si>
    <t>Wind</t>
  </si>
  <si>
    <t>Dominion</t>
  </si>
  <si>
    <t>Small Shield</t>
  </si>
  <si>
    <t>sml</t>
  </si>
  <si>
    <t>Military Axe</t>
  </si>
  <si>
    <t>Malice</t>
  </si>
  <si>
    <t>9la</t>
  </si>
  <si>
    <t>Pattern</t>
  </si>
  <si>
    <t>Edge</t>
  </si>
  <si>
    <t>King's Grace</t>
  </si>
  <si>
    <t>Feral Axe</t>
  </si>
  <si>
    <t>Round Shield</t>
  </si>
  <si>
    <t>7la</t>
  </si>
  <si>
    <t>xml</t>
  </si>
  <si>
    <t>Black</t>
  </si>
  <si>
    <t>Melody</t>
  </si>
  <si>
    <t>Lawbringer</t>
  </si>
  <si>
    <t>Crescent Moon</t>
  </si>
  <si>
    <t>Venom</t>
  </si>
  <si>
    <t>Chaos</t>
  </si>
  <si>
    <t>Luna</t>
  </si>
  <si>
    <t>Fury</t>
  </si>
  <si>
    <t>uml</t>
  </si>
  <si>
    <t>melee (two-hand)</t>
  </si>
  <si>
    <t>Plague</t>
  </si>
  <si>
    <t>Broad Axe</t>
  </si>
  <si>
    <t>bax</t>
  </si>
  <si>
    <t>Large Shield</t>
  </si>
  <si>
    <t>lrg</t>
  </si>
  <si>
    <t>Bearded Axe</t>
  </si>
  <si>
    <t>9ba</t>
  </si>
  <si>
    <t>Holy Thunder</t>
  </si>
  <si>
    <t>Scutum</t>
  </si>
  <si>
    <t>xrg</t>
  </si>
  <si>
    <t>Spirit</t>
  </si>
  <si>
    <t>Silver-Edged Axe</t>
  </si>
  <si>
    <t>Insight</t>
  </si>
  <si>
    <t>7ba</t>
  </si>
  <si>
    <t>Memory</t>
  </si>
  <si>
    <t>Rampage</t>
  </si>
  <si>
    <t>Hyperion</t>
  </si>
  <si>
    <t>urg</t>
  </si>
  <si>
    <t>Harmony</t>
  </si>
  <si>
    <t>Passion</t>
  </si>
  <si>
    <t>Voice of Reason</t>
  </si>
  <si>
    <t>Oath</t>
  </si>
  <si>
    <t>Rift</t>
  </si>
  <si>
    <t>Kingslayer</t>
  </si>
  <si>
    <t>21</t>
  </si>
  <si>
    <t>Heart of the Oak</t>
  </si>
  <si>
    <t>Pul</t>
  </si>
  <si>
    <t>Fortitude</t>
  </si>
  <si>
    <t>Battle Axe</t>
  </si>
  <si>
    <t>Spiked Shield</t>
  </si>
  <si>
    <t>btx</t>
  </si>
  <si>
    <t>spk</t>
  </si>
  <si>
    <t>Wrath</t>
  </si>
  <si>
    <t>Infinity</t>
  </si>
  <si>
    <t>~0.15</t>
  </si>
  <si>
    <t>Ice</t>
  </si>
  <si>
    <t>Famine</t>
  </si>
  <si>
    <t>Faith</t>
  </si>
  <si>
    <t>Brand</t>
  </si>
  <si>
    <t>Phoenix</t>
  </si>
  <si>
    <t>Hand of Justice</t>
  </si>
  <si>
    <t>Pride</t>
  </si>
  <si>
    <t>Barbed Shield</t>
  </si>
  <si>
    <t>Tabar</t>
  </si>
  <si>
    <t>xpk</t>
  </si>
  <si>
    <t>9bt</t>
  </si>
  <si>
    <t>Honor</t>
  </si>
  <si>
    <t>Obedience</t>
  </si>
  <si>
    <t>Death</t>
  </si>
  <si>
    <t>Call to Arms</t>
  </si>
  <si>
    <t>Grief</t>
  </si>
  <si>
    <t>Definitions</t>
  </si>
  <si>
    <t>Beast</t>
  </si>
  <si>
    <t>Eternity</t>
  </si>
  <si>
    <t>Destruction</t>
  </si>
  <si>
    <t>Doom</t>
  </si>
  <si>
    <t>Decapitator</t>
  </si>
  <si>
    <t>7bt</t>
  </si>
  <si>
    <t>Mist</t>
  </si>
  <si>
    <t>Zenith</t>
  </si>
  <si>
    <t>22</t>
  </si>
  <si>
    <t>Um</t>
  </si>
  <si>
    <t>Unbending Will</t>
  </si>
  <si>
    <t>0.05</t>
  </si>
  <si>
    <t>Silence</t>
  </si>
  <si>
    <t>Great Axe</t>
  </si>
  <si>
    <t>Last Wish</t>
  </si>
  <si>
    <t>gax</t>
  </si>
  <si>
    <t>Asylum</t>
  </si>
  <si>
    <t>Obsession</t>
  </si>
  <si>
    <t>~0.25</t>
  </si>
  <si>
    <t>Breath of the Dying</t>
  </si>
  <si>
    <t>Blade Barrier</t>
  </si>
  <si>
    <t>Gothic Axe</t>
  </si>
  <si>
    <t>9ga</t>
  </si>
  <si>
    <t>Dagger</t>
  </si>
  <si>
    <t>"High Rune" refers to runes that cannot drop from the Hellforge quest (Vex-Zod)</t>
  </si>
  <si>
    <t>Champion Axe</t>
  </si>
  <si>
    <t>7ga</t>
  </si>
  <si>
    <t>upk</t>
  </si>
  <si>
    <t>23</t>
  </si>
  <si>
    <t>Mal</t>
  </si>
  <si>
    <t>.10</t>
  </si>
  <si>
    <t>attackers take damage</t>
  </si>
  <si>
    <t>~0.4</t>
  </si>
  <si>
    <t>Giant Axe</t>
  </si>
  <si>
    <t>Kite Shield</t>
  </si>
  <si>
    <t>kit</t>
  </si>
  <si>
    <t>gix</t>
  </si>
  <si>
    <t>Dragon Shield</t>
  </si>
  <si>
    <t>-</t>
  </si>
  <si>
    <t>xit</t>
  </si>
  <si>
    <t>Monarch</t>
  </si>
  <si>
    <t>uit</t>
  </si>
  <si>
    <t>Bone Shield</t>
  </si>
  <si>
    <t>bsh</t>
  </si>
  <si>
    <t>Grim Shield</t>
  </si>
  <si>
    <t>xsh</t>
  </si>
  <si>
    <t>"HR" is an arbitrary unit of value</t>
  </si>
  <si>
    <t>Troll Nest</t>
  </si>
  <si>
    <t>ush</t>
  </si>
  <si>
    <t>Ancient Axe</t>
  </si>
  <si>
    <t>9gi</t>
  </si>
  <si>
    <t>magic damage reduction</t>
  </si>
  <si>
    <t>Tower Shield</t>
  </si>
  <si>
    <t>•</t>
  </si>
  <si>
    <t>tow</t>
  </si>
  <si>
    <t>Pavise</t>
  </si>
  <si>
    <t>xow</t>
  </si>
  <si>
    <t>Aegis</t>
  </si>
  <si>
    <t>uow</t>
  </si>
  <si>
    <t>24</t>
  </si>
  <si>
    <t>Ist</t>
  </si>
  <si>
    <t>0.15</t>
  </si>
  <si>
    <t>Gothic Shield</t>
  </si>
  <si>
    <t>gts</t>
  </si>
  <si>
    <t>~0.65</t>
  </si>
  <si>
    <t>Ancient Shield</t>
  </si>
  <si>
    <t>xts</t>
  </si>
  <si>
    <t>Glorious Axe</t>
  </si>
  <si>
    <t>7gi</t>
  </si>
  <si>
    <t>Ward</t>
  </si>
  <si>
    <t>uts</t>
  </si>
  <si>
    <t>Targe</t>
  </si>
  <si>
    <t>pa1</t>
  </si>
  <si>
    <t>Bow</t>
  </si>
  <si>
    <t>"GV" is a unit of value measured in Gul runes (4x the HR value and fewer decimals needed)</t>
  </si>
  <si>
    <t>Club</t>
  </si>
  <si>
    <t>clb</t>
  </si>
  <si>
    <t>Akaran Targe</t>
  </si>
  <si>
    <t>pa6</t>
  </si>
  <si>
    <t>Sacred Targe</t>
  </si>
  <si>
    <t>25</t>
  </si>
  <si>
    <t>pab</t>
  </si>
  <si>
    <t>Gul</t>
  </si>
  <si>
    <t>Cudgel</t>
  </si>
  <si>
    <t>9cl</t>
  </si>
  <si>
    <t>shield (paladin)</t>
  </si>
  <si>
    <t>Truncheon</t>
  </si>
  <si>
    <t>7cl</t>
  </si>
  <si>
    <t>+5-30 Res or +10-65 ED &amp; +15-121 AR</t>
  </si>
  <si>
    <t>Rondache</t>
  </si>
  <si>
    <t>pa2</t>
  </si>
  <si>
    <t>Akaran Rondache</t>
  </si>
  <si>
    <t>mace - club</t>
  </si>
  <si>
    <t>pa7</t>
  </si>
  <si>
    <t>Druid Pointmods</t>
  </si>
  <si>
    <t>Spiked Club</t>
  </si>
  <si>
    <t>spc</t>
  </si>
  <si>
    <t>Sacred Rondache</t>
  </si>
  <si>
    <t>pac</t>
  </si>
  <si>
    <t>Heraldic Shield</t>
  </si>
  <si>
    <t>pa3</t>
  </si>
  <si>
    <t>Barbed Club</t>
  </si>
  <si>
    <t>9sp</t>
  </si>
  <si>
    <t>Protector Shield</t>
  </si>
  <si>
    <t>pa8</t>
  </si>
  <si>
    <t>Kurast Shield</t>
  </si>
  <si>
    <t>pad</t>
  </si>
  <si>
    <t>Tyrant Club</t>
  </si>
  <si>
    <t>7sp</t>
  </si>
  <si>
    <t>Aerin Shield</t>
  </si>
  <si>
    <t>pa4</t>
  </si>
  <si>
    <t>Crossbow</t>
  </si>
  <si>
    <t>Gilded Shield</t>
  </si>
  <si>
    <t>pa9</t>
  </si>
  <si>
    <t>Mace</t>
  </si>
  <si>
    <t>mac</t>
  </si>
  <si>
    <t>Zakarum Shield</t>
  </si>
  <si>
    <t>pae</t>
  </si>
  <si>
    <t>Flanged Mace</t>
  </si>
  <si>
    <t>9ma</t>
  </si>
  <si>
    <t>Crown Shield</t>
  </si>
  <si>
    <t>pa5</t>
  </si>
  <si>
    <t>Reinforced Mace</t>
  </si>
  <si>
    <t>7ma</t>
  </si>
  <si>
    <t>Royal Shield</t>
  </si>
  <si>
    <t>paa</t>
  </si>
  <si>
    <t>mace - tipped mace</t>
  </si>
  <si>
    <t>Morning Star</t>
  </si>
  <si>
    <t>mst</t>
  </si>
  <si>
    <t>Vortex Shield</t>
  </si>
  <si>
    <t>paf</t>
  </si>
  <si>
    <t>Jagged Star</t>
  </si>
  <si>
    <t>9mt</t>
  </si>
  <si>
    <t>Preserved Head</t>
  </si>
  <si>
    <t>ne1</t>
  </si>
  <si>
    <t>"WSS" is a unit of value measured in Worldstone Shards</t>
  </si>
  <si>
    <t>Devil Star</t>
  </si>
  <si>
    <t>7mt</t>
  </si>
  <si>
    <t>Flail</t>
  </si>
  <si>
    <t>fla</t>
  </si>
  <si>
    <t>Spear</t>
  </si>
  <si>
    <t>Knout</t>
  </si>
  <si>
    <t>9fl</t>
  </si>
  <si>
    <t>Mummified Trophy</t>
  </si>
  <si>
    <t>ne6</t>
  </si>
  <si>
    <t>26</t>
  </si>
  <si>
    <t>Vex</t>
  </si>
  <si>
    <t>Scourge</t>
  </si>
  <si>
    <t>7fl</t>
  </si>
  <si>
    <t>Minion Skull</t>
  </si>
  <si>
    <t>neb</t>
  </si>
  <si>
    <t>shield (necromancer)</t>
  </si>
  <si>
    <t>War Hammer</t>
  </si>
  <si>
    <t>Necromancer Pointmods</t>
  </si>
  <si>
    <t>whm</t>
  </si>
  <si>
    <t>Zombie Head</t>
  </si>
  <si>
    <t>ne2</t>
  </si>
  <si>
    <t>Fetish Trophy</t>
  </si>
  <si>
    <t>ne7</t>
  </si>
  <si>
    <t>○</t>
  </si>
  <si>
    <t>Battle Hammer</t>
  </si>
  <si>
    <t>9wh</t>
  </si>
  <si>
    <t>Hellspawn Skull</t>
  </si>
  <si>
    <t>neg</t>
  </si>
  <si>
    <t>Legendary Mallet</t>
  </si>
  <si>
    <t>7wh</t>
  </si>
  <si>
    <t>Unraveller Head</t>
  </si>
  <si>
    <t>Polearm</t>
  </si>
  <si>
    <t>ne3</t>
  </si>
  <si>
    <t>27</t>
  </si>
  <si>
    <t>mace - hammer</t>
  </si>
  <si>
    <t>Ohm</t>
  </si>
  <si>
    <t>Maul</t>
  </si>
  <si>
    <t>mau</t>
  </si>
  <si>
    <t>Sexton Trophy</t>
  </si>
  <si>
    <t>ne8</t>
  </si>
  <si>
    <t>,75</t>
  </si>
  <si>
    <t>Overseer Skull</t>
  </si>
  <si>
    <t>ned</t>
  </si>
  <si>
    <t>War Club</t>
  </si>
  <si>
    <t>9m9</t>
  </si>
  <si>
    <t>Gargoyle Head</t>
  </si>
  <si>
    <t>ne4</t>
  </si>
  <si>
    <t>Ogre Maul</t>
  </si>
  <si>
    <t>7m7</t>
  </si>
  <si>
    <t>Cantor Trophy</t>
  </si>
  <si>
    <t>ne9</t>
  </si>
  <si>
    <t xml:space="preserve">Price Volatility ↑  </t>
  </si>
  <si>
    <t>Sword</t>
  </si>
  <si>
    <t>Succubus Skull</t>
  </si>
  <si>
    <t>nee</t>
  </si>
  <si>
    <t>Trading Site:</t>
  </si>
  <si>
    <t>Great Maul</t>
  </si>
  <si>
    <t>gma</t>
  </si>
  <si>
    <t>Demon Head</t>
  </si>
  <si>
    <t>ne5</t>
  </si>
  <si>
    <t>https://projectdiablo2.com/market</t>
  </si>
  <si>
    <t>Heirophant Trophy</t>
  </si>
  <si>
    <t>nea</t>
  </si>
  <si>
    <t>Martel de Fer</t>
  </si>
  <si>
    <t>9gm</t>
  </si>
  <si>
    <t>Bloodlord Skull</t>
  </si>
  <si>
    <t>nef</t>
  </si>
  <si>
    <t>Cap</t>
  </si>
  <si>
    <t>cap</t>
  </si>
  <si>
    <t>Thunder Maul</t>
  </si>
  <si>
    <t>7gm</t>
  </si>
  <si>
    <t>War Hat</t>
  </si>
  <si>
    <t>xap</t>
  </si>
  <si>
    <t>&lt;•&gt;</t>
  </si>
  <si>
    <t>Shako</t>
  </si>
  <si>
    <t>uap</t>
  </si>
  <si>
    <t>helm</t>
  </si>
  <si>
    <t>Skull Cap</t>
  </si>
  <si>
    <t>skp</t>
  </si>
  <si>
    <t>Short Sword</t>
  </si>
  <si>
    <t>ssd</t>
  </si>
  <si>
    <t>Sallet</t>
  </si>
  <si>
    <t>xkp</t>
  </si>
  <si>
    <t>Hydraskull</t>
  </si>
  <si>
    <t>ukp</t>
  </si>
  <si>
    <t>Helm</t>
  </si>
  <si>
    <t>hlm</t>
  </si>
  <si>
    <t>Gladius</t>
  </si>
  <si>
    <t>9ss</t>
  </si>
  <si>
    <t>Casque</t>
  </si>
  <si>
    <t>xlm</t>
  </si>
  <si>
    <t>Armet</t>
  </si>
  <si>
    <t>ulm</t>
  </si>
  <si>
    <t>Falcata</t>
  </si>
  <si>
    <t>7ss</t>
  </si>
  <si>
    <t>Full Helm</t>
  </si>
  <si>
    <t>fhl</t>
  </si>
  <si>
    <t>28</t>
  </si>
  <si>
    <t>Lo</t>
  </si>
  <si>
    <t>Basinet</t>
  </si>
  <si>
    <t>xhl</t>
  </si>
  <si>
    <t>sword</t>
  </si>
  <si>
    <t>{ • }</t>
  </si>
  <si>
    <t>Giant Conch</t>
  </si>
  <si>
    <t>( • )</t>
  </si>
  <si>
    <t>uhl</t>
  </si>
  <si>
    <t>Scimitar</t>
  </si>
  <si>
    <t>scm</t>
  </si>
  <si>
    <t>Mask</t>
  </si>
  <si>
    <t>[ • ]</t>
  </si>
  <si>
    <t>msk</t>
  </si>
  <si>
    <t>Death Mask</t>
  </si>
  <si>
    <t>xsk</t>
  </si>
  <si>
    <t>{ ○ }</t>
  </si>
  <si>
    <t>Cutlass</t>
  </si>
  <si>
    <t>9sm</t>
  </si>
  <si>
    <t>Past Trading Site Listings:</t>
  </si>
  <si>
    <t>Demonhead</t>
  </si>
  <si>
    <t>usk</t>
  </si>
  <si>
    <t>https://projectdiablo2.com/market/archive</t>
  </si>
  <si>
    <t>Bone Helm</t>
  </si>
  <si>
    <t>bhm</t>
  </si>
  <si>
    <t>29</t>
  </si>
  <si>
    <t>Sur</t>
  </si>
  <si>
    <t>Grim Helm</t>
  </si>
  <si>
    <t>xh9</t>
  </si>
  <si>
    <t>Bone Visage</t>
  </si>
  <si>
    <t>uh9</t>
  </si>
  <si>
    <t>Ataghan</t>
  </si>
  <si>
    <t>7sm</t>
  </si>
  <si>
    <t>Great Helm</t>
  </si>
  <si>
    <t>ghm</t>
  </si>
  <si>
    <t>Winged Helm</t>
  </si>
  <si>
    <t>xhm</t>
  </si>
  <si>
    <t>rewre</t>
  </si>
  <si>
    <t>Spired Helm</t>
  </si>
  <si>
    <t>uhm</t>
  </si>
  <si>
    <t>Crown</t>
  </si>
  <si>
    <t>crn</t>
  </si>
  <si>
    <t>Sabre</t>
  </si>
  <si>
    <t>sbr</t>
  </si>
  <si>
    <t>30</t>
  </si>
  <si>
    <t>Grand Crown</t>
  </si>
  <si>
    <t>Ber</t>
  </si>
  <si>
    <t>xrn</t>
  </si>
  <si>
    <t>Corona</t>
  </si>
  <si>
    <t>urn</t>
  </si>
  <si>
    <t>Shamshir</t>
  </si>
  <si>
    <t>9sb</t>
  </si>
  <si>
    <t>Circlet</t>
  </si>
  <si>
    <t>ci0</t>
  </si>
  <si>
    <t>Staff</t>
  </si>
  <si>
    <t>Tiara</t>
  </si>
  <si>
    <t>ci2</t>
  </si>
  <si>
    <t>Elegant Blade</t>
  </si>
  <si>
    <t>This page can be linked with:</t>
  </si>
  <si>
    <t>7sb</t>
  </si>
  <si>
    <t>Diadem</t>
  </si>
  <si>
    <t>ci3</t>
  </si>
  <si>
    <t>https://tinyurl.com/d2runevalues</t>
  </si>
  <si>
    <t>helm (circlet)</t>
  </si>
  <si>
    <t>Coronet</t>
  </si>
  <si>
    <t>ci1</t>
  </si>
  <si>
    <t>Falchion</t>
  </si>
  <si>
    <t>flc</t>
  </si>
  <si>
    <t>31</t>
  </si>
  <si>
    <t>Jah</t>
  </si>
  <si>
    <t>Tulwar</t>
  </si>
  <si>
    <t>9fc</t>
  </si>
  <si>
    <t>Wolf Head</t>
  </si>
  <si>
    <t>dr1</t>
  </si>
  <si>
    <t>Alpha Helm</t>
  </si>
  <si>
    <t>dr6</t>
  </si>
  <si>
    <t>Scepter</t>
  </si>
  <si>
    <t>Hydra Edge</t>
  </si>
  <si>
    <t>Blood Spirt</t>
  </si>
  <si>
    <t>drb</t>
  </si>
  <si>
    <t>7fc</t>
  </si>
  <si>
    <t>helm (druid)</t>
  </si>
  <si>
    <t>Hawk Helm</t>
  </si>
  <si>
    <t>dr2</t>
  </si>
  <si>
    <t>32</t>
  </si>
  <si>
    <t>Crystal Sword</t>
  </si>
  <si>
    <t>Cham</t>
  </si>
  <si>
    <t>crs</t>
  </si>
  <si>
    <t>Griffon Headress</t>
  </si>
  <si>
    <t>dr7</t>
  </si>
  <si>
    <t>Sun Spirit</t>
  </si>
  <si>
    <t>drc</t>
  </si>
  <si>
    <t>Dimensional Blade</t>
  </si>
  <si>
    <t>9cr</t>
  </si>
  <si>
    <t>Antlers</t>
  </si>
  <si>
    <t>dr3</t>
  </si>
  <si>
    <t>Katar</t>
  </si>
  <si>
    <t>Hunter's Guise</t>
  </si>
  <si>
    <t>dr8</t>
  </si>
  <si>
    <t>Phase Blade</t>
  </si>
  <si>
    <t>33</t>
  </si>
  <si>
    <t>7cr</t>
  </si>
  <si>
    <t>Zod</t>
  </si>
  <si>
    <t>Earth Spirit</t>
  </si>
  <si>
    <t>drd</t>
  </si>
  <si>
    <t>Falcon Mask</t>
  </si>
  <si>
    <t>dr4</t>
  </si>
  <si>
    <t>Price Volatility ↓</t>
  </si>
  <si>
    <t>Broad Sword</t>
  </si>
  <si>
    <t>bsd</t>
  </si>
  <si>
    <t>Abbreviation</t>
  </si>
  <si>
    <t>Sacred Feathers</t>
  </si>
  <si>
    <t>dr9</t>
  </si>
  <si>
    <t>Description</t>
  </si>
  <si>
    <t>Battle Sword</t>
  </si>
  <si>
    <t>Sky Spirit</t>
  </si>
  <si>
    <t>9bs</t>
  </si>
  <si>
    <t>dre</t>
  </si>
  <si>
    <t>Orb</t>
  </si>
  <si>
    <t>Spirit Mask</t>
  </si>
  <si>
    <t>Conquest Sword</t>
  </si>
  <si>
    <t>dr5</t>
  </si>
  <si>
    <t>7bs</t>
  </si>
  <si>
    <t>Totemic Mask</t>
  </si>
  <si>
    <t>Legend</t>
  </si>
  <si>
    <t>dra</t>
  </si>
  <si>
    <t>Dream Spirit</t>
  </si>
  <si>
    <t>Long Sword</t>
  </si>
  <si>
    <t>drf</t>
  </si>
  <si>
    <t>lsd</t>
  </si>
  <si>
    <t>Jawbone Cap</t>
  </si>
  <si>
    <t>ba1</t>
  </si>
  <si>
    <t>Changes are shown in orange</t>
  </si>
  <si>
    <t>Jawbone Visor</t>
  </si>
  <si>
    <t>ba6</t>
  </si>
  <si>
    <t>Rune Sword</t>
  </si>
  <si>
    <t>9ls</t>
  </si>
  <si>
    <t>Carnage Helm</t>
  </si>
  <si>
    <t>bab</t>
  </si>
  <si>
    <t>helm (barbarian)</t>
  </si>
  <si>
    <t>Wand</t>
  </si>
  <si>
    <t>Barbarian Pointmods</t>
  </si>
  <si>
    <t>Fanged Helm</t>
  </si>
  <si>
    <t>ba2</t>
  </si>
  <si>
    <t>Cryptic Sword</t>
  </si>
  <si>
    <t>7ls</t>
  </si>
  <si>
    <t>Lion Helm</t>
  </si>
  <si>
    <t>ba7</t>
  </si>
  <si>
    <t>Fury Visor</t>
  </si>
  <si>
    <t>bac</t>
  </si>
  <si>
    <t>War Sword</t>
  </si>
  <si>
    <t>wsd</t>
  </si>
  <si>
    <t>Horned Helm</t>
  </si>
  <si>
    <t>ba3</t>
  </si>
  <si>
    <t>Worldstone Shard              (corrupts items)</t>
  </si>
  <si>
    <t>suitable</t>
  </si>
  <si>
    <t>Ancient Sword</t>
  </si>
  <si>
    <t>Rage Mask</t>
  </si>
  <si>
    <t>9wd</t>
  </si>
  <si>
    <t>ba8</t>
  </si>
  <si>
    <t>0,01</t>
  </si>
  <si>
    <t>Destroyer Helm</t>
  </si>
  <si>
    <t>bad</t>
  </si>
  <si>
    <t>Mythical Sword</t>
  </si>
  <si>
    <t>7wd</t>
  </si>
  <si>
    <t>Preference differences (suitable vs ideal) are shown in green</t>
  </si>
  <si>
    <t>Assault Helmet</t>
  </si>
  <si>
    <t>ba4</t>
  </si>
  <si>
    <t>Savage Helmet</t>
  </si>
  <si>
    <t>ba9</t>
  </si>
  <si>
    <t>Two-Handed Sword</t>
  </si>
  <si>
    <t>Conquerer Crown</t>
  </si>
  <si>
    <t>bae</t>
  </si>
  <si>
    <t>2hs</t>
  </si>
  <si>
    <t>suitable, but not ideal</t>
  </si>
  <si>
    <t>Avenger Guard</t>
  </si>
  <si>
    <t>ba5</t>
  </si>
  <si>
    <t>Slayer Guard</t>
  </si>
  <si>
    <t>baa</t>
  </si>
  <si>
    <t>Espandon</t>
  </si>
  <si>
    <t>92h</t>
  </si>
  <si>
    <t>Legend Sword</t>
  </si>
  <si>
    <t>72h</t>
  </si>
  <si>
    <t>https://tinyurl.com/d2runewordgrid</t>
  </si>
  <si>
    <t>Guardian Crown</t>
  </si>
  <si>
    <t>baf</t>
  </si>
  <si>
    <t>Sash</t>
  </si>
  <si>
    <t>lbl</t>
  </si>
  <si>
    <t>Demonhide Sash</t>
  </si>
  <si>
    <t>wss now &gt; 0.01 in large volumes</t>
  </si>
  <si>
    <t>zlb</t>
  </si>
  <si>
    <t>WSS</t>
  </si>
  <si>
    <t>Claymore</t>
  </si>
  <si>
    <t>Spiderweb Sash</t>
  </si>
  <si>
    <t>Corrupts items/maps</t>
  </si>
  <si>
    <t>clm</t>
  </si>
  <si>
    <t>ulc</t>
  </si>
  <si>
    <t>belt</t>
  </si>
  <si>
    <t>Light Belt</t>
  </si>
  <si>
    <t>vbl</t>
  </si>
  <si>
    <t>Larzuk's Puzzlebox            (adds 2-4 sockets to two-handed weapons and 1-2 sockets to other items)</t>
  </si>
  <si>
    <t>Sharkskin Belt</t>
  </si>
  <si>
    <t>zvb</t>
  </si>
  <si>
    <t>Vampirefang Belt</t>
  </si>
  <si>
    <t>uvc</t>
  </si>
  <si>
    <t>suitable; should ideally be ethereal</t>
  </si>
  <si>
    <t>Belt</t>
  </si>
  <si>
    <t>mbl</t>
  </si>
  <si>
    <t>Dacian Falx</t>
  </si>
  <si>
    <t>Mesh Belt</t>
  </si>
  <si>
    <t>zmb</t>
  </si>
  <si>
    <t>9cm</t>
  </si>
  <si>
    <t>Mithril Coil</t>
  </si>
  <si>
    <t>umc</t>
  </si>
  <si>
    <t>Heavy Belt</t>
  </si>
  <si>
    <t>tbl</t>
  </si>
  <si>
    <t>Battle Belt</t>
  </si>
  <si>
    <t>ztb</t>
  </si>
  <si>
    <t>Troll Belt</t>
  </si>
  <si>
    <t>utc</t>
  </si>
  <si>
    <t>Plated Belt</t>
  </si>
  <si>
    <t>hbl</t>
  </si>
  <si>
    <t>Highland Blade</t>
  </si>
  <si>
    <t>7cm</t>
  </si>
  <si>
    <t>War Belt</t>
  </si>
  <si>
    <t>zhb</t>
  </si>
  <si>
    <t>Colossus Girdle</t>
  </si>
  <si>
    <t>uhc</t>
  </si>
  <si>
    <t>Drops@ World</t>
  </si>
  <si>
    <t>Gloves</t>
  </si>
  <si>
    <t>lgl</t>
  </si>
  <si>
    <t>PB</t>
  </si>
  <si>
    <t>Demonhide Gloves</t>
  </si>
  <si>
    <t>xlg</t>
  </si>
  <si>
    <t>Adds sockets</t>
  </si>
  <si>
    <t>Bramble Mitts</t>
  </si>
  <si>
    <t>ulg</t>
  </si>
  <si>
    <t>gloves</t>
  </si>
  <si>
    <t>Heavy Gloves</t>
  </si>
  <si>
    <t>vgl</t>
  </si>
  <si>
    <t>Sharkskin Gloves</t>
  </si>
  <si>
    <t>Giant Sword</t>
  </si>
  <si>
    <t>xvg</t>
  </si>
  <si>
    <t>gis</t>
  </si>
  <si>
    <t>Larzuk's Puzzlepiece</t>
  </si>
  <si>
    <t>Vampirebone Gloves</t>
  </si>
  <si>
    <t>uvg</t>
  </si>
  <si>
    <t>Chain Gloves</t>
  </si>
  <si>
    <t>mgl</t>
  </si>
  <si>
    <t>Heavy Bracers</t>
  </si>
  <si>
    <t>xmg</t>
  </si>
  <si>
    <t>Runeword stats:</t>
  </si>
  <si>
    <t>Vambraces</t>
  </si>
  <si>
    <t>umg</t>
  </si>
  <si>
    <t>Tusk Sword</t>
  </si>
  <si>
    <t>Light Gauntlets</t>
  </si>
  <si>
    <t>9gs</t>
  </si>
  <si>
    <t>tgl</t>
  </si>
  <si>
    <t>https://projectdiablo2.miraheze.org/wiki/RWWeapons</t>
  </si>
  <si>
    <t>Battle Gauntlets</t>
  </si>
  <si>
    <t>xtg</t>
  </si>
  <si>
    <t>Crusader Gauntlets</t>
  </si>
  <si>
    <t>utg</t>
  </si>
  <si>
    <t>Balrog Blade</t>
  </si>
  <si>
    <t>7gs</t>
  </si>
  <si>
    <t>Gaunlets</t>
  </si>
  <si>
    <t>hgl</t>
  </si>
  <si>
    <t>PP</t>
  </si>
  <si>
    <t>War Gauntlets</t>
  </si>
  <si>
    <t>xhg</t>
  </si>
  <si>
    <t>Adds sockets (can't be used on unique/set items)</t>
  </si>
  <si>
    <t>Ogre Gauntlets</t>
  </si>
  <si>
    <t>uhg</t>
  </si>
  <si>
    <t>Boots</t>
  </si>
  <si>
    <t>lbt</t>
  </si>
  <si>
    <t>Bastard Sword</t>
  </si>
  <si>
    <t>bsw</t>
  </si>
  <si>
    <t>50 Perfect Gems               (variety of uses in different recipes)</t>
  </si>
  <si>
    <t>Gothic Sword</t>
  </si>
  <si>
    <t>9b9</t>
  </si>
  <si>
    <t>Demonhide Boots</t>
  </si>
  <si>
    <t>Champion Sword</t>
  </si>
  <si>
    <t>xlb</t>
  </si>
  <si>
    <t>7b7</t>
  </si>
  <si>
    <t>Flamberge</t>
  </si>
  <si>
    <t>flb</t>
  </si>
  <si>
    <t>Wyrmhide Boots</t>
  </si>
  <si>
    <t>ulb</t>
  </si>
  <si>
    <t>Zweihander</t>
  </si>
  <si>
    <t>9fb</t>
  </si>
  <si>
    <t>PGem</t>
  </si>
  <si>
    <t>( )</t>
  </si>
  <si>
    <t>Colossus Sword</t>
  </si>
  <si>
    <t>7fb</t>
  </si>
  <si>
    <t>boots</t>
  </si>
  <si>
    <t>Heavy Boots</t>
  </si>
  <si>
    <t>vbt</t>
  </si>
  <si>
    <t>Clubs only</t>
  </si>
  <si>
    <t>Great Sword</t>
  </si>
  <si>
    <t>gsd</t>
  </si>
  <si>
    <t>Sharkskin Boots</t>
  </si>
  <si>
    <t>xvb</t>
  </si>
  <si>
    <t>50 Jewel Fragments            (variety of uses in different recipes)</t>
  </si>
  <si>
    <t>Scarabshell Boots</t>
  </si>
  <si>
    <t>uvb</t>
  </si>
  <si>
    <t>Executioner Sword</t>
  </si>
  <si>
    <t>9gd</t>
  </si>
  <si>
    <t>Chain Boots</t>
  </si>
  <si>
    <t>mbt</t>
  </si>
  <si>
    <t>Mesh Boots</t>
  </si>
  <si>
    <t>xmb</t>
  </si>
  <si>
    <t>Boneweave Boots</t>
  </si>
  <si>
    <t>umb</t>
  </si>
  <si>
    <t>Cubed@ Key+Jewel</t>
  </si>
  <si>
    <t>Frag</t>
  </si>
  <si>
    <t>Light Plated Boots</t>
  </si>
  <si>
    <t>tbt</t>
  </si>
  <si>
    <t>Battle Boots</t>
  </si>
  <si>
    <t>Colossus Blade</t>
  </si>
  <si>
    <t>xtb</t>
  </si>
  <si>
    <t>7gd</t>
  </si>
  <si>
    <t>50 Runes (#1-#15)</t>
  </si>
  <si>
    <t>.1-.25</t>
  </si>
  <si>
    <t>Mirrored Boots</t>
  </si>
  <si>
    <t>Two-Handed Sword (1h)</t>
  </si>
  <si>
    <t>utb</t>
  </si>
  <si>
    <t>{ }</t>
  </si>
  <si>
    <t>Greaves</t>
  </si>
  <si>
    <t>hbt</t>
  </si>
  <si>
    <t>Tipped Maces only (not hammers or clubs)</t>
  </si>
  <si>
    <t>War Boots</t>
  </si>
  <si>
    <t>xhb</t>
  </si>
  <si>
    <t>Myrmidon Greaves</t>
  </si>
  <si>
    <t>uhb</t>
  </si>
  <si>
    <t>Espandon (1h)</t>
  </si>
  <si>
    <t>[ ]</t>
  </si>
  <si>
    <t>Legend Sword (1h)</t>
  </si>
  <si>
    <t>Hammers only</t>
  </si>
  <si>
    <t>Ideal Craft Mats = +Value</t>
  </si>
  <si>
    <t>Claymore (1h)</t>
  </si>
  <si>
    <t>Dacian Falx (1h)</t>
  </si>
  <si>
    <t>&lt; &gt;</t>
  </si>
  <si>
    <t>Highland Blade (1h)</t>
  </si>
  <si>
    <t>Two-Handed only</t>
  </si>
  <si>
    <t>50 Craft Infusions</t>
  </si>
  <si>
    <t>Giant Sword (1h)</t>
  </si>
  <si>
    <t>.25-.5</t>
  </si>
  <si>
    <t>Tusk Sword (1h)</t>
  </si>
  <si>
    <t>Last Updated: 2024-01-09</t>
  </si>
  <si>
    <t>Balrog Blade (1h)</t>
  </si>
  <si>
    <t>Vanilla Weapons</t>
  </si>
  <si>
    <t>Bastard Sword (1h)</t>
  </si>
  <si>
    <t>Create a copy to make changes: File, Make a copy</t>
  </si>
  <si>
    <t>Gothic Sword (1h)</t>
  </si>
  <si>
    <t>Cubed@ Mats Merged</t>
  </si>
  <si>
    <t>Champion Sword (1h)</t>
  </si>
  <si>
    <t>Flamberge (1h)</t>
  </si>
  <si>
    <t>50 "Map" Orbs                  (Horadrim, Angelic, Zakarum, etc)</t>
  </si>
  <si>
    <t>Enter your stats here:</t>
  </si>
  <si>
    <t>Zweihander (1h)</t>
  </si>
  <si>
    <t>.05-.1</t>
  </si>
  <si>
    <t>Colossus Sword (1h)</t>
  </si>
  <si>
    <t>Standard DPS is shown for each weapon below.</t>
  </si>
  <si>
    <t>Great Sword (1h)</t>
  </si>
  <si>
    <t>vanilla info</t>
  </si>
  <si>
    <t>Gold-Sink@ Anya</t>
  </si>
  <si>
    <t>vanilla dps</t>
  </si>
  <si>
    <t>Executioner Sword (1h)</t>
  </si>
  <si>
    <t>vanilla % differences</t>
  </si>
  <si>
    <t>50 Infused "Map" Orbs</t>
  </si>
  <si>
    <t>Colossus Blade (1h)</t>
  </si>
  <si>
    <t>0.2-0.5</t>
  </si>
  <si>
    <t>Frames</t>
  </si>
  <si>
    <t>dgr</t>
  </si>
  <si>
    <t>proposed changes (s4)</t>
  </si>
  <si>
    <t>index</t>
  </si>
  <si>
    <t>Poignard</t>
  </si>
  <si>
    <t>9dg</t>
  </si>
  <si>
    <t>Bone Knife</t>
  </si>
  <si>
    <t>7dg</t>
  </si>
  <si>
    <t>old mindam (s4)</t>
  </si>
  <si>
    <t>old maxdam (s4)</t>
  </si>
  <si>
    <t>Catalyst Shard</t>
  </si>
  <si>
    <t>thrown</t>
  </si>
  <si>
    <t>knife</t>
  </si>
  <si>
    <t>wclass</t>
  </si>
  <si>
    <t>Amazon frames per direction</t>
  </si>
  <si>
    <t>20% Deadly Strike, Pointmods (martial arts, poison strike)</t>
  </si>
  <si>
    <t>Assassin frames per direction</t>
  </si>
  <si>
    <t>Dirk</t>
  </si>
  <si>
    <t>dir</t>
  </si>
  <si>
    <t>Barbarian frames per direction</t>
  </si>
  <si>
    <t>Druid frames per direction</t>
  </si>
  <si>
    <t>Necromancer frames per direction</t>
  </si>
  <si>
    <t>Paladin frames per direction</t>
  </si>
  <si>
    <t>Sorceress frames per direction</t>
  </si>
  <si>
    <t>Rondel</t>
  </si>
  <si>
    <t>name</t>
  </si>
  <si>
    <t>9di</t>
  </si>
  <si>
    <t>unique version</t>
  </si>
  <si>
    <t>set/unique version</t>
  </si>
  <si>
    <t>Mithril Point</t>
  </si>
  <si>
    <t>tier</t>
  </si>
  <si>
    <t>7di</t>
  </si>
  <si>
    <t>rstr</t>
  </si>
  <si>
    <t>rdex</t>
  </si>
  <si>
    <t>Kris</t>
  </si>
  <si>
    <t>kri</t>
  </si>
  <si>
    <t>cost</t>
  </si>
  <si>
    <t>Cinquedeas</t>
  </si>
  <si>
    <t>9kr</t>
  </si>
  <si>
    <t>eth</t>
  </si>
  <si>
    <t>weap ED</t>
  </si>
  <si>
    <t>flat dmg</t>
  </si>
  <si>
    <t>Fanged Knife</t>
  </si>
  <si>
    <t>7kr</t>
  </si>
  <si>
    <t>misc ED</t>
  </si>
  <si>
    <t>crit</t>
  </si>
  <si>
    <t>item IAS</t>
  </si>
  <si>
    <t>weap IAS</t>
  </si>
  <si>
    <t>Drops@ Map Event</t>
  </si>
  <si>
    <t>skill IAS</t>
  </si>
  <si>
    <t>total min</t>
  </si>
  <si>
    <t>Blade</t>
  </si>
  <si>
    <t>bld</t>
  </si>
  <si>
    <t>total max</t>
  </si>
  <si>
    <t>Guarantees a map event</t>
  </si>
  <si>
    <t>total avg</t>
  </si>
  <si>
    <t>amazon</t>
  </si>
  <si>
    <t>assassin</t>
  </si>
  <si>
    <t>barb</t>
  </si>
  <si>
    <t>paladin</t>
  </si>
  <si>
    <t>necro</t>
  </si>
  <si>
    <t>sorc</t>
  </si>
  <si>
    <t>druid</t>
  </si>
  <si>
    <t>wolf</t>
  </si>
  <si>
    <t>Stiletto</t>
  </si>
  <si>
    <t>Horadrim Scarab               (turns a T3 map into a dungeon)</t>
  </si>
  <si>
    <t>bear</t>
  </si>
  <si>
    <t>barb wolf</t>
  </si>
  <si>
    <t>9bl</t>
  </si>
  <si>
    <t>barb bear</t>
  </si>
  <si>
    <t>zon bear</t>
  </si>
  <si>
    <t>sin bear</t>
  </si>
  <si>
    <t>pal bear</t>
  </si>
  <si>
    <t>nec bear</t>
  </si>
  <si>
    <t>sorc bear</t>
  </si>
  <si>
    <t>1 merc</t>
  </si>
  <si>
    <t>a2 merc</t>
  </si>
  <si>
    <t>a5 merc</t>
  </si>
  <si>
    <t>Legend Spike</t>
  </si>
  <si>
    <t>merc</t>
  </si>
  <si>
    <t>7bl</t>
  </si>
  <si>
    <t>Throwing Knife</t>
  </si>
  <si>
    <t>tkf</t>
  </si>
  <si>
    <t>Drops@ Map</t>
  </si>
  <si>
    <t>zon</t>
  </si>
  <si>
    <t>sin</t>
  </si>
  <si>
    <t>bar</t>
  </si>
  <si>
    <t>dru</t>
  </si>
  <si>
    <t>nec</t>
  </si>
  <si>
    <t>Turns a T3 map into a dungeon</t>
  </si>
  <si>
    <t>pal</t>
  </si>
  <si>
    <t>sor</t>
  </si>
  <si>
    <t>Battle Dart</t>
  </si>
  <si>
    <t>9tk</t>
  </si>
  <si>
    <t>dps</t>
  </si>
  <si>
    <t>weapon name</t>
  </si>
  <si>
    <t>Flying Knife</t>
  </si>
  <si>
    <t>7tk</t>
  </si>
  <si>
    <t>Standard of Heroes            (adds 10% exp, 20% density, 20% mf/gf to maps)</t>
  </si>
  <si>
    <t>throwing knife</t>
  </si>
  <si>
    <t>ranged (thrown)</t>
  </si>
  <si>
    <t>Balanced Knife</t>
  </si>
  <si>
    <t>bkf</t>
  </si>
  <si>
    <t>Drops@ Uber Anc/Evils</t>
  </si>
  <si>
    <t>SOH</t>
  </si>
  <si>
    <t>War Dart</t>
  </si>
  <si>
    <t>Adds Heroic bonuses to maps</t>
  </si>
  <si>
    <t>9bk</t>
  </si>
  <si>
    <t>Winged Knife</t>
  </si>
  <si>
    <t>7bk</t>
  </si>
  <si>
    <t>Tainted Worldstone Shard      (corrupts Annihilus)</t>
  </si>
  <si>
    <t>Throwing Knife (melee)</t>
  </si>
  <si>
    <t>bp</t>
  </si>
  <si>
    <t>custom</t>
  </si>
  <si>
    <t>Battle Dart (melee)</t>
  </si>
  <si>
    <t>3-hit dps</t>
  </si>
  <si>
    <t>5-hit dps</t>
  </si>
  <si>
    <t>diff% avg</t>
  </si>
  <si>
    <t>mult</t>
  </si>
  <si>
    <t>notes</t>
  </si>
  <si>
    <t>Flying Knife (melee)</t>
  </si>
  <si>
    <t>Balanced Knife (melee)</t>
  </si>
  <si>
    <t>Drops@ Uber Rathma</t>
  </si>
  <si>
    <t>TWSS</t>
  </si>
  <si>
    <t>Corrupts Annihilus charm</t>
  </si>
  <si>
    <t>War Dart (melee)</t>
  </si>
  <si>
    <t>Vial of Lightsong</t>
  </si>
  <si>
    <t>Winged Knife (melee)</t>
  </si>
  <si>
    <t>Drops@ Any Mob/Dif</t>
  </si>
  <si>
    <t>Throwing Axe</t>
  </si>
  <si>
    <t>Makes an item become ethereal</t>
  </si>
  <si>
    <t>tax</t>
  </si>
  <si>
    <t>Lilith's Mirror</t>
  </si>
  <si>
    <t>Francisca</t>
  </si>
  <si>
    <t>9ta</t>
  </si>
  <si>
    <t>Duplicates an item</t>
  </si>
  <si>
    <t>Flying Axe</t>
  </si>
  <si>
    <t>7ta</t>
  </si>
  <si>
    <t>Mostly used for Calculations</t>
  </si>
  <si>
    <t>Identifiers and Categories</t>
  </si>
  <si>
    <t>throwing axe</t>
  </si>
  <si>
    <t>Static Properties (these don't change)</t>
  </si>
  <si>
    <t>Balanced Axe</t>
  </si>
  <si>
    <t>bal</t>
  </si>
  <si>
    <t>Dynamic Properties (these depend on your character)</t>
  </si>
  <si>
    <t>Damage per Hit</t>
  </si>
  <si>
    <t>Hurlbat</t>
  </si>
  <si>
    <t>9b8</t>
  </si>
  <si>
    <t>Damage per Second (Standard Attacks Only)</t>
  </si>
  <si>
    <t>Winged Axe</t>
  </si>
  <si>
    <t>7b8</t>
  </si>
  <si>
    <t>Throwing Axe (melee)</t>
  </si>
  <si>
    <t>Francisca (melee)</t>
  </si>
  <si>
    <t>Flying Axe (melee)</t>
  </si>
  <si>
    <t>Damage per Second (if the attack animation uses this many frames)</t>
  </si>
  <si>
    <t>Balanced Axe (melee)</t>
  </si>
  <si>
    <t>Hurlbat (melee)</t>
  </si>
  <si>
    <t>direction frames (Amazon)</t>
  </si>
  <si>
    <t>direction frames (Assassin)</t>
  </si>
  <si>
    <t>direction frames (Barbarian)</t>
  </si>
  <si>
    <t>direction frames (Druid)</t>
  </si>
  <si>
    <t>direction frames (Necromancer)</t>
  </si>
  <si>
    <t>direction frames (Paladin)</t>
  </si>
  <si>
    <t>direction frames (Sorceress)</t>
  </si>
  <si>
    <t>Base Name</t>
  </si>
  <si>
    <t>Unique Version #1</t>
  </si>
  <si>
    <t>Winged Axe (melee)</t>
  </si>
  <si>
    <t>Set Version or Unique #2</t>
  </si>
  <si>
    <t>Tier</t>
  </si>
  <si>
    <t>Style</t>
  </si>
  <si>
    <t>Type</t>
  </si>
  <si>
    <t>Javelin</t>
  </si>
  <si>
    <t>Cost</t>
  </si>
  <si>
    <t>Bonus ED from Strength</t>
  </si>
  <si>
    <t>jav</t>
  </si>
  <si>
    <t>Bonus ED from Dexterity</t>
  </si>
  <si>
    <t>Base Damage (min)</t>
  </si>
  <si>
    <t>Base Damage (max)</t>
  </si>
  <si>
    <t>Base Damage (average)</t>
  </si>
  <si>
    <t>Ethereal Damage Bonus (0 or 25)</t>
  </si>
  <si>
    <t>War Javelin</t>
  </si>
  <si>
    <t>ED on Weapon</t>
  </si>
  <si>
    <t>9ja</t>
  </si>
  <si>
    <t>Flat Damage (average)</t>
  </si>
  <si>
    <t>Dexterity</t>
  </si>
  <si>
    <t>ED from Other Sources</t>
  </si>
  <si>
    <t>Total Crit Chance</t>
  </si>
  <si>
    <t>Total IAS on Items</t>
  </si>
  <si>
    <t>IAS on Weapon</t>
  </si>
  <si>
    <t>Skill IAS</t>
  </si>
  <si>
    <t>Total Damage (min)</t>
  </si>
  <si>
    <t>Total Damage (max)</t>
  </si>
  <si>
    <t>Total Damage (average)</t>
  </si>
  <si>
    <t>DPS (Amazon)</t>
  </si>
  <si>
    <t>DPS (Assassin)</t>
  </si>
  <si>
    <t>DPS (Barbarian)</t>
  </si>
  <si>
    <t>Token of Absolution           (resets stats/skills)</t>
  </si>
  <si>
    <t>DPS (Paladin)</t>
  </si>
  <si>
    <t>DPS (Necromancer)</t>
  </si>
  <si>
    <t>DPS (Sorceress)</t>
  </si>
  <si>
    <t>DPS (Druid, Not in Wereform)</t>
  </si>
  <si>
    <t>DPS (Druid Werewolf)</t>
  </si>
  <si>
    <t>DPS (Druid Werebear)</t>
  </si>
  <si>
    <t>DPS (Barbarian Werewolf)</t>
  </si>
  <si>
    <t>DPS (Barbarian Werebear)</t>
  </si>
  <si>
    <t>DPS (Amazon Werebear)</t>
  </si>
  <si>
    <t>DPS (Assassin Werebear)</t>
  </si>
  <si>
    <t>DPS (Paladin Werebear)</t>
  </si>
  <si>
    <t>DPS (Necro Werebear)</t>
  </si>
  <si>
    <t>Hyperion Javelin</t>
  </si>
  <si>
    <t>7ja</t>
  </si>
  <si>
    <t>DPS (Sorceress Werebear)</t>
  </si>
  <si>
    <t>DPS (Act 1 Merc)</t>
  </si>
  <si>
    <t>DPS (Act 2 Merc)</t>
  </si>
  <si>
    <t>DPS (Act 5 Merc)</t>
  </si>
  <si>
    <t>DPS (Merc depending on Weapon)</t>
  </si>
  <si>
    <t>vanilla - min base damage</t>
  </si>
  <si>
    <t>javelin</t>
  </si>
  <si>
    <t>vanilla - max base damage</t>
  </si>
  <si>
    <t>vanilla - wsm</t>
  </si>
  <si>
    <t>Pilum</t>
  </si>
  <si>
    <t>pil</t>
  </si>
  <si>
    <t>vanilla - strength bonus</t>
  </si>
  <si>
    <t>vanilla - dexterity bonus</t>
  </si>
  <si>
    <t>vanilla - average base damage</t>
  </si>
  <si>
    <t>vanilla - average total damage</t>
  </si>
  <si>
    <t>Vanilla DPS - Amazon</t>
  </si>
  <si>
    <t>Great Pilum</t>
  </si>
  <si>
    <t>9pi</t>
  </si>
  <si>
    <t>Vanilla DPS - Assassin</t>
  </si>
  <si>
    <t>Vanilla DPS - Barbarian</t>
  </si>
  <si>
    <t>Vanilla DPS - Druid</t>
  </si>
  <si>
    <t>Vanilla DPS - Necromancer</t>
  </si>
  <si>
    <t>Vanilla DPS - Paladin</t>
  </si>
  <si>
    <t>Vanilla DPS - Sorceress</t>
  </si>
  <si>
    <t>Token</t>
  </si>
  <si>
    <t>Stygian Pilum</t>
  </si>
  <si>
    <t>Diff - average base damage</t>
  </si>
  <si>
    <t>7pi</t>
  </si>
  <si>
    <t>Diff - average total damage</t>
  </si>
  <si>
    <t>Diff - overall dps</t>
  </si>
  <si>
    <t>Resets stats/skills</t>
  </si>
  <si>
    <t>Short Spear</t>
  </si>
  <si>
    <t>ssp</t>
  </si>
  <si>
    <t>Simbilan</t>
  </si>
  <si>
    <t>9s9</t>
  </si>
  <si>
    <t>Essence of Suffering          ("Twisted", blue icon, from Andariel/Duriel)</t>
  </si>
  <si>
    <t>Custom Breakpoint (Frames)</t>
  </si>
  <si>
    <t>Balrog Spear</t>
  </si>
  <si>
    <t>DPS (based on custom frames)</t>
  </si>
  <si>
    <t>7s7</t>
  </si>
  <si>
    <t>3-hit multi-attack dps</t>
  </si>
  <si>
    <t>5-hit multi-attack dps</t>
  </si>
  <si>
    <t>Diff % for Proposed Average Base Damage</t>
  </si>
  <si>
    <t>Proposed Average Base Damage</t>
  </si>
  <si>
    <t>Glaive</t>
  </si>
  <si>
    <t>Proposed Base Speed</t>
  </si>
  <si>
    <t>glv</t>
  </si>
  <si>
    <t>Diff Multiplier compared to previous tier</t>
  </si>
  <si>
    <t>Spiculum</t>
  </si>
  <si>
    <t>9gl</t>
  </si>
  <si>
    <t>Blue ess</t>
  </si>
  <si>
    <t>Ghost Glaive</t>
  </si>
  <si>
    <t>7gl</t>
  </si>
  <si>
    <t>Ingredient - Token (blue, from Andariel/Duriel)</t>
  </si>
  <si>
    <t>Try filtering out irrelevant items.</t>
  </si>
  <si>
    <t>Throwing Spear</t>
  </si>
  <si>
    <t>tsp</t>
  </si>
  <si>
    <t>You can hide rows or columns that aren't useful to you.</t>
  </si>
  <si>
    <t>Harpoon</t>
  </si>
  <si>
    <t>9ts</t>
  </si>
  <si>
    <t>Essence of Hatred             ("Charged", yellow icon, from Mephisto)</t>
  </si>
  <si>
    <t>You can also enter stats below for individual items.</t>
  </si>
  <si>
    <t>Winged Harpoon</t>
  </si>
  <si>
    <t>7ts</t>
  </si>
  <si>
    <t>Javelin (melee)</t>
  </si>
  <si>
    <t>War Javelin (melee)</t>
  </si>
  <si>
    <t>QLVL</t>
  </si>
  <si>
    <t>Yellow ess</t>
  </si>
  <si>
    <t>Ingredient - Token (yellow, from Mephisto)</t>
  </si>
  <si>
    <t>Hyperion Javelin (melee)</t>
  </si>
  <si>
    <t>This chart shows ALVL for items that don't have magic levels.</t>
  </si>
  <si>
    <t>Essence of Terror             ("Burning", red icon, from Diablo)</t>
  </si>
  <si>
    <t>Pilum (melee)</t>
  </si>
  <si>
    <t>Great Pilum (melee)</t>
  </si>
  <si>
    <t>Stygian Pilum (melee)</t>
  </si>
  <si>
    <t>Red ess</t>
  </si>
  <si>
    <t>Short Spear (melee)</t>
  </si>
  <si>
    <t>Ingredient - Token (red, from Diablo)</t>
  </si>
  <si>
    <t>Simbilan (melee)</t>
  </si>
  <si>
    <t>Last Updated: 2025-07-05</t>
  </si>
  <si>
    <t>Balrog Spear (melee)</t>
  </si>
  <si>
    <t>Essence of Destruction        ("Festering", green icon, from Baal)</t>
  </si>
  <si>
    <t>The ALVL is colored white if the ILVL is superfluous, and blue if the QLVL is superfluous.</t>
  </si>
  <si>
    <t>1hs</t>
  </si>
  <si>
    <t>Glaive (melee)</t>
  </si>
  <si>
    <t>Spiculum (melee)</t>
  </si>
  <si>
    <t>Ghost Glaive (melee)</t>
  </si>
  <si>
    <t>Green ess</t>
  </si>
  <si>
    <t>Ingredient - Token (green, from Baal)</t>
  </si>
  <si>
    <t>Throwing Spear (melee)</t>
  </si>
  <si>
    <t>Relic of the Ancients</t>
  </si>
  <si>
    <t>Harpoon (melee)</t>
  </si>
  <si>
    <t>.15-.25</t>
  </si>
  <si>
    <t>Winged Harpoon (melee)</t>
  </si>
  <si>
    <t>highest QLVL is 86</t>
  </si>
  <si>
    <t>Maiden Javelin</t>
  </si>
  <si>
    <t>am5</t>
  </si>
  <si>
    <t>Ceremonial Javelin</t>
  </si>
  <si>
    <t>ILVL</t>
  </si>
  <si>
    <t>ama</t>
  </si>
  <si>
    <t>Cubed@ x1 of ea Sigil</t>
  </si>
  <si>
    <t>Uber Ancients</t>
  </si>
  <si>
    <t>Matriarchal Javelin</t>
  </si>
  <si>
    <t>amf</t>
  </si>
  <si>
    <t>Sigil of Madawc</t>
  </si>
  <si>
    <t>amazon javelin</t>
  </si>
  <si>
    <t>.05-.08</t>
  </si>
  <si>
    <t>+1-3 Spear and Javelin Skills</t>
  </si>
  <si>
    <t>Maiden Javelin (melee)</t>
  </si>
  <si>
    <t>Ceremonial Javelin (melee)</t>
  </si>
  <si>
    <t>Matriarchal Javelin (melee)</t>
  </si>
  <si>
    <t>Ingredient - Uber Ancients (from T1 maps)</t>
  </si>
  <si>
    <t>Maiden Spear</t>
  </si>
  <si>
    <t>am3</t>
  </si>
  <si>
    <t>Sigil of Talic</t>
  </si>
  <si>
    <t>Ceremonial Spear</t>
  </si>
  <si>
    <t>am8</t>
  </si>
  <si>
    <t>Matriarchal Spear</t>
  </si>
  <si>
    <t>amd</t>
  </si>
  <si>
    <t>amazon spear</t>
  </si>
  <si>
    <t>Maiden Pike</t>
  </si>
  <si>
    <t>am4</t>
  </si>
  <si>
    <t>Ceremonial Pike</t>
  </si>
  <si>
    <t>am9</t>
  </si>
  <si>
    <t>Matriarchal Pike</t>
  </si>
  <si>
    <t>ame</t>
  </si>
  <si>
    <t>spr</t>
  </si>
  <si>
    <t>Ingredient - Uber Ancients (from T2 maps)</t>
  </si>
  <si>
    <t>War Spear</t>
  </si>
  <si>
    <t>9sr</t>
  </si>
  <si>
    <t>Hyperion Spear</t>
  </si>
  <si>
    <t>7sr</t>
  </si>
  <si>
    <t>spear</t>
  </si>
  <si>
    <t>Trident</t>
  </si>
  <si>
    <t>tri</t>
  </si>
  <si>
    <t>Fuscina</t>
  </si>
  <si>
    <t>9tr</t>
  </si>
  <si>
    <t>Stygian Pike</t>
  </si>
  <si>
    <t>7tr</t>
  </si>
  <si>
    <t>Brandistock</t>
  </si>
  <si>
    <t>brn</t>
  </si>
  <si>
    <t>Sigil of Korlic</t>
  </si>
  <si>
    <t>.03-.05</t>
  </si>
  <si>
    <t>War Fork</t>
  </si>
  <si>
    <t>9br</t>
  </si>
  <si>
    <t>Mancatcher</t>
  </si>
  <si>
    <t>7br</t>
  </si>
  <si>
    <t>The Gnasher</t>
  </si>
  <si>
    <t>Spetum</t>
  </si>
  <si>
    <t>spt</t>
  </si>
  <si>
    <t>normal</t>
  </si>
  <si>
    <t>melee (one-handed)</t>
  </si>
  <si>
    <t>Yari</t>
  </si>
  <si>
    <t>9st</t>
  </si>
  <si>
    <t>Ghost Spear</t>
  </si>
  <si>
    <t>7st</t>
  </si>
  <si>
    <t>Ingredient - Uber Ancients (from T3 maps)</t>
  </si>
  <si>
    <t>Pike</t>
  </si>
  <si>
    <t>pik</t>
  </si>
  <si>
    <t>Lance</t>
  </si>
  <si>
    <t>9p9</t>
  </si>
  <si>
    <t>3x3 Uber Keys                 (keyset - opens 3 portals, 45% organ droprate per portal)</t>
  </si>
  <si>
    <t>War Pike</t>
  </si>
  <si>
    <t>7p7</t>
  </si>
  <si>
    <t>Bardiche</t>
  </si>
  <si>
    <t>Lochaber Axe</t>
  </si>
  <si>
    <t>9b7</t>
  </si>
  <si>
    <t>Ogre Axe</t>
  </si>
  <si>
    <t>7o7</t>
  </si>
  <si>
    <t>polearm</t>
  </si>
  <si>
    <t>Voulge</t>
  </si>
  <si>
    <t>vou</t>
  </si>
  <si>
    <t>Bill</t>
  </si>
  <si>
    <t>9vo</t>
  </si>
  <si>
    <t>Colossus Voulge</t>
  </si>
  <si>
    <t>7vo</t>
  </si>
  <si>
    <t>Scythe</t>
  </si>
  <si>
    <t>scy</t>
  </si>
  <si>
    <t>3x3</t>
  </si>
  <si>
    <t>Battle Scythe</t>
  </si>
  <si>
    <t>9s8</t>
  </si>
  <si>
    <t>Ubers (Mini Ubers &amp; Uber Tristram)</t>
  </si>
  <si>
    <t>Thresher</t>
  </si>
  <si>
    <t>7s8</t>
  </si>
  <si>
    <t>polearm (scythe)</t>
  </si>
  <si>
    <t>Poleaxe</t>
  </si>
  <si>
    <t>pax</t>
  </si>
  <si>
    <t>Key of Terror</t>
  </si>
  <si>
    <t>Partizan</t>
  </si>
  <si>
    <t>9pa</t>
  </si>
  <si>
    <t>Cryptic Axe</t>
  </si>
  <si>
    <t>7pa</t>
  </si>
  <si>
    <t>Halberd</t>
  </si>
  <si>
    <t>hal</t>
  </si>
  <si>
    <t>Bec-de-Corbin</t>
  </si>
  <si>
    <t>9h9</t>
  </si>
  <si>
    <t>Great Poleaxe</t>
  </si>
  <si>
    <t>TKey</t>
  </si>
  <si>
    <t>7h7</t>
  </si>
  <si>
    <t>Ingredient - Ubers (from Countess/Blood Raven)</t>
  </si>
  <si>
    <t>War Scythe</t>
  </si>
  <si>
    <t>wsc</t>
  </si>
  <si>
    <t>Grim Scythe</t>
  </si>
  <si>
    <t>Key of Hate</t>
  </si>
  <si>
    <t>9wc</t>
  </si>
  <si>
    <t>Giant Thresher</t>
  </si>
  <si>
    <t>7wc</t>
  </si>
  <si>
    <t>Short Bow</t>
  </si>
  <si>
    <t>sbw</t>
  </si>
  <si>
    <t>Edge Bow</t>
  </si>
  <si>
    <t>8sb</t>
  </si>
  <si>
    <t>HKey</t>
  </si>
  <si>
    <t>Ingredient - Ubers (from Summoner/Bloodwitch)</t>
  </si>
  <si>
    <t>Spider Bow</t>
  </si>
  <si>
    <t>6sb</t>
  </si>
  <si>
    <t>bow</t>
  </si>
  <si>
    <t>Key of Destruction</t>
  </si>
  <si>
    <t>ranged (bow)</t>
  </si>
  <si>
    <t>Hunter's Bow</t>
  </si>
  <si>
    <t>hbw</t>
  </si>
  <si>
    <t>Razor Bow</t>
  </si>
  <si>
    <t>8hb</t>
  </si>
  <si>
    <t>Blade Bow</t>
  </si>
  <si>
    <t>6hb</t>
  </si>
  <si>
    <t>DKey</t>
  </si>
  <si>
    <t>Long Bow</t>
  </si>
  <si>
    <t>lbw</t>
  </si>
  <si>
    <t>Ingredient - Ubers (from Nihlathak/Izual)</t>
  </si>
  <si>
    <t>Cedar Bow</t>
  </si>
  <si>
    <t>8lb</t>
  </si>
  <si>
    <t>Vision of Terror              (accesses DClone)</t>
  </si>
  <si>
    <t>Shadow Bow</t>
  </si>
  <si>
    <t>6lb</t>
  </si>
  <si>
    <t>0.75-1</t>
  </si>
  <si>
    <t>Composite Bow</t>
  </si>
  <si>
    <t>cbw</t>
  </si>
  <si>
    <t>Double Bow</t>
  </si>
  <si>
    <t>8cb</t>
  </si>
  <si>
    <t>Great Bow</t>
  </si>
  <si>
    <t>6cb</t>
  </si>
  <si>
    <t>Short Battle Bow</t>
  </si>
  <si>
    <t>sbb</t>
  </si>
  <si>
    <t>Short Siege Bow</t>
  </si>
  <si>
    <t>8s8</t>
  </si>
  <si>
    <t>Diamond Bow</t>
  </si>
  <si>
    <t>6s7</t>
  </si>
  <si>
    <t>VOT</t>
  </si>
  <si>
    <t>Long Battle Bow</t>
  </si>
  <si>
    <t>lbb</t>
  </si>
  <si>
    <t>DClone</t>
  </si>
  <si>
    <t>Large Siege Bow</t>
  </si>
  <si>
    <t>8l8</t>
  </si>
  <si>
    <t>Crusader Bow</t>
  </si>
  <si>
    <t>6l7</t>
  </si>
  <si>
    <t>Pure Demonic Essence          (DClone ingredient, from Map Bosses)</t>
  </si>
  <si>
    <t>Short War Bow</t>
  </si>
  <si>
    <t>swb</t>
  </si>
  <si>
    <t>Rune Bow</t>
  </si>
  <si>
    <t>8sw</t>
  </si>
  <si>
    <t>Ward Bow</t>
  </si>
  <si>
    <t>6sw</t>
  </si>
  <si>
    <t>Long War Bow</t>
  </si>
  <si>
    <t>lwb</t>
  </si>
  <si>
    <t>Gothic Bow</t>
  </si>
  <si>
    <t>8lw</t>
  </si>
  <si>
    <t>Hydra Bow</t>
  </si>
  <si>
    <t>6lw</t>
  </si>
  <si>
    <t>Stag Bow</t>
  </si>
  <si>
    <t>am1</t>
  </si>
  <si>
    <t>Ashwood Bow</t>
  </si>
  <si>
    <t>am6</t>
  </si>
  <si>
    <t>PDE</t>
  </si>
  <si>
    <t>Matriarchal Bow</t>
  </si>
  <si>
    <t>Ingredient - DClone (from map bosses)</t>
  </si>
  <si>
    <t>amb</t>
  </si>
  <si>
    <t>amazon bow</t>
  </si>
  <si>
    <t>+1-3 Bow and Crossbow Skills</t>
  </si>
  <si>
    <t>Reflex Bow</t>
  </si>
  <si>
    <t>am2</t>
  </si>
  <si>
    <t>Black Soulstone               (DClone ingredient, from Uber Tristram)</t>
  </si>
  <si>
    <t>Ceremonial Bow</t>
  </si>
  <si>
    <t>am7</t>
  </si>
  <si>
    <t>Grand Matron Bow</t>
  </si>
  <si>
    <t>amc</t>
  </si>
  <si>
    <t>BSS</t>
  </si>
  <si>
    <t>Light Crossbow</t>
  </si>
  <si>
    <t>lxb</t>
  </si>
  <si>
    <t>Ingredient - DClone (from Uber Tristram)</t>
  </si>
  <si>
    <t>Arbalest</t>
  </si>
  <si>
    <t>8lx</t>
  </si>
  <si>
    <t>Pellet Bow</t>
  </si>
  <si>
    <t>6lx</t>
  </si>
  <si>
    <t>Prime Evil Soul               (DClone/Rathma ingredient, from Hell Diablo/Baal)</t>
  </si>
  <si>
    <t>crossbow</t>
  </si>
  <si>
    <t>-5% to Enemy Physical Resistance</t>
  </si>
  <si>
    <t>mxb</t>
  </si>
  <si>
    <t>Siege Crossbow</t>
  </si>
  <si>
    <t>8mx</t>
  </si>
  <si>
    <t>Gorgon Crossbow</t>
  </si>
  <si>
    <t>6mx</t>
  </si>
  <si>
    <t>PES</t>
  </si>
  <si>
    <t>Ingredient - DClone (from Mephisto/Diablo/Baal)</t>
  </si>
  <si>
    <t>Heavy Crossbow</t>
  </si>
  <si>
    <t>hxb</t>
  </si>
  <si>
    <t>Ballista</t>
  </si>
  <si>
    <t>8hx</t>
  </si>
  <si>
    <t>Voidstone                     (accesses Rathma)</t>
  </si>
  <si>
    <t>Colossus Crossbow</t>
  </si>
  <si>
    <t>6hx</t>
  </si>
  <si>
    <t>.75-1</t>
  </si>
  <si>
    <t>Repeating Crossbow</t>
  </si>
  <si>
    <t>rxb</t>
  </si>
  <si>
    <t>Chu-Ko-Nu</t>
  </si>
  <si>
    <t>8rx</t>
  </si>
  <si>
    <t>Demon Crossbow</t>
  </si>
  <si>
    <t>6rx</t>
  </si>
  <si>
    <t>Rathma</t>
  </si>
  <si>
    <t>ktr</t>
  </si>
  <si>
    <t>Splinter of the Void          (Rathma ingredient, from Shadow of Mendeln map event)</t>
  </si>
  <si>
    <t>Quhab</t>
  </si>
  <si>
    <t>9ar</t>
  </si>
  <si>
    <t>Suwayyah</t>
  </si>
  <si>
    <t>7ar</t>
  </si>
  <si>
    <t>claw</t>
  </si>
  <si>
    <t>Assassin Pointmods</t>
  </si>
  <si>
    <t>Wrist Blade</t>
  </si>
  <si>
    <t>wrb</t>
  </si>
  <si>
    <t>Wrist Spike</t>
  </si>
  <si>
    <t>9wb</t>
  </si>
  <si>
    <t>Wrist Sword</t>
  </si>
  <si>
    <t>7wb</t>
  </si>
  <si>
    <t>Hatchet Hands</t>
  </si>
  <si>
    <t>axf</t>
  </si>
  <si>
    <t>Splinter</t>
  </si>
  <si>
    <t>Fascia</t>
  </si>
  <si>
    <t>9xf</t>
  </si>
  <si>
    <t>Ingredient - Rathma (from map event)</t>
  </si>
  <si>
    <t>War Fist</t>
  </si>
  <si>
    <t>7xf</t>
  </si>
  <si>
    <t>Trang-Oul's Jawbone           (Rathma ingredient, from undead enemies)</t>
  </si>
  <si>
    <t>Cestus</t>
  </si>
  <si>
    <t>ces</t>
  </si>
  <si>
    <t>Hand Scythe</t>
  </si>
  <si>
    <t>9cs</t>
  </si>
  <si>
    <t>ALVL Formula:</t>
  </si>
  <si>
    <t>Battle Cestus</t>
  </si>
  <si>
    <t>7cs</t>
  </si>
  <si>
    <t>Claws</t>
  </si>
  <si>
    <t>clw</t>
  </si>
  <si>
    <t>TOJ</t>
  </si>
  <si>
    <t>Ingredient - Rathma (World Drop from Undead)</t>
  </si>
  <si>
    <t>Greater Claws</t>
  </si>
  <si>
    <t>9lw</t>
  </si>
  <si>
    <t>Feral Claws</t>
  </si>
  <si>
    <t>7lw</t>
  </si>
  <si>
    <t>Hellfire Ashes</t>
  </si>
  <si>
    <t>Blade Talons</t>
  </si>
  <si>
    <t>btl</t>
  </si>
  <si>
    <t>Greater Talons</t>
  </si>
  <si>
    <t>9tw</t>
  </si>
  <si>
    <t>Runic Talons</t>
  </si>
  <si>
    <t>7tw</t>
  </si>
  <si>
    <t>Scissors Katar</t>
  </si>
  <si>
    <t>ash</t>
  </si>
  <si>
    <t>skr</t>
  </si>
  <si>
    <t>Ingredient - Rathma (stackable Hellfire Torch)</t>
  </si>
  <si>
    <t>Scissors Quhab</t>
  </si>
  <si>
    <t>9qr</t>
  </si>
  <si>
    <t>Scissors Suwayyah</t>
  </si>
  <si>
    <t>7qr</t>
  </si>
  <si>
    <t>Shadow of Hatred</t>
  </si>
  <si>
    <t>scp</t>
  </si>
  <si>
    <t>Rune Scepter</t>
  </si>
  <si>
    <t>9sc</t>
  </si>
  <si>
    <t>Mighty Scepter</t>
  </si>
  <si>
    <t>7sc</t>
  </si>
  <si>
    <t>scepter</t>
  </si>
  <si>
    <t>Paladin Pointmods</t>
  </si>
  <si>
    <t>Lucion</t>
  </si>
  <si>
    <t>Grand Scepter</t>
  </si>
  <si>
    <t>gsc</t>
  </si>
  <si>
    <t>Holy Water Sprinkler</t>
  </si>
  <si>
    <t>9qs</t>
  </si>
  <si>
    <t>Seraph Rod</t>
  </si>
  <si>
    <t>7qs</t>
  </si>
  <si>
    <t>War Scepter</t>
  </si>
  <si>
    <t>wsp</t>
  </si>
  <si>
    <t>Demonic Insignia</t>
  </si>
  <si>
    <t>Divine Scepter</t>
  </si>
  <si>
    <t>9ws</t>
  </si>
  <si>
    <t>Caduceus</t>
  </si>
  <si>
    <t>7ws</t>
  </si>
  <si>
    <t>Short Staff</t>
  </si>
  <si>
    <t>sst</t>
  </si>
  <si>
    <t>Jo Staff</t>
  </si>
  <si>
    <t>8ss</t>
  </si>
  <si>
    <t>Dorito</t>
  </si>
  <si>
    <t>Ingredient - Lucion (A5 red portals - Abaddon, Pit of Acheron, Infernal Pit)</t>
  </si>
  <si>
    <t>Walking Stick</t>
  </si>
  <si>
    <t>6ss</t>
  </si>
  <si>
    <t>Talisman of Transgression</t>
  </si>
  <si>
    <t>staff</t>
  </si>
  <si>
    <t>10%/30%/50% FCR, Sorc Pointmods</t>
  </si>
  <si>
    <t>Long Staff</t>
  </si>
  <si>
    <t>lst</t>
  </si>
  <si>
    <t>Quarterstaff</t>
  </si>
  <si>
    <t>8ls</t>
  </si>
  <si>
    <t>Ingredient - Lucion (Corrupted Zones)</t>
  </si>
  <si>
    <t>Stalagmite</t>
  </si>
  <si>
    <t>6ls</t>
  </si>
  <si>
    <t>Flesh of Malic</t>
  </si>
  <si>
    <t>Gnarled Staff</t>
  </si>
  <si>
    <t>cst</t>
  </si>
  <si>
    <t>Cedar Staff</t>
  </si>
  <si>
    <t>Flesh</t>
  </si>
  <si>
    <t>8cs</t>
  </si>
  <si>
    <t>Ingredient - Lucion (World Drop from Demons)</t>
  </si>
  <si>
    <t>Elder Staff</t>
  </si>
  <si>
    <t>6cs</t>
  </si>
  <si>
    <t>Battle Staff</t>
  </si>
  <si>
    <t>bst</t>
  </si>
  <si>
    <t>*xl#</t>
  </si>
  <si>
    <t>Gothic Staff</t>
  </si>
  <si>
    <t>8bs</t>
  </si>
  <si>
    <t>Shillelagh</t>
  </si>
  <si>
    <t>6bs</t>
  </si>
  <si>
    <t>PD2 Currency Data</t>
  </si>
  <si>
    <t>War Staff</t>
  </si>
  <si>
    <t>wst</t>
  </si>
  <si>
    <t>Rune Staff</t>
  </si>
  <si>
    <t>8ws</t>
  </si>
  <si>
    <t>Archon Staff</t>
  </si>
  <si>
    <t>6ws</t>
  </si>
  <si>
    <t>HR
min</t>
  </si>
  <si>
    <t>HR
max</t>
  </si>
  <si>
    <t>Q
min</t>
  </si>
  <si>
    <t>if (ilvl &lt; 99-[qlvl/2])</t>
  </si>
  <si>
    <t>Q
max</t>
  </si>
  <si>
    <t>wnd</t>
  </si>
  <si>
    <t>WSS
min</t>
  </si>
  <si>
    <t>WSS
max</t>
  </si>
  <si>
    <t>Burnt Wand</t>
  </si>
  <si>
    <t>9wn</t>
  </si>
  <si>
    <t>Polished Wand</t>
  </si>
  <si>
    <t>7wn</t>
  </si>
  <si>
    <t>wand</t>
  </si>
  <si>
    <t>Yew Wand</t>
  </si>
  <si>
    <t>ywn</t>
  </si>
  <si>
    <t>Petrified Wand</t>
  </si>
  <si>
    <t>9yw</t>
  </si>
  <si>
    <t>Ghost Wand</t>
  </si>
  <si>
    <t>7yw</t>
  </si>
  <si>
    <t>Bone Wand</t>
  </si>
  <si>
    <t>bwn</t>
  </si>
  <si>
    <t>Tomb Wand</t>
  </si>
  <si>
    <t>9bw</t>
  </si>
  <si>
    <t>Lich Wand</t>
  </si>
  <si>
    <t>7bw</t>
  </si>
  <si>
    <t>Grim Wand</t>
  </si>
  <si>
    <t>gwn</t>
  </si>
  <si>
    <t>Grave Wand</t>
  </si>
  <si>
    <t>9gw</t>
  </si>
  <si>
    <t>Unearthed Wand</t>
  </si>
  <si>
    <t>7gw</t>
  </si>
  <si>
    <t>Eagle Orb</t>
  </si>
  <si>
    <t>ob1</t>
  </si>
  <si>
    <t>Glowing Orb</t>
  </si>
  <si>
    <t>ob6</t>
  </si>
  <si>
    <t>Heavenly Stone</t>
  </si>
  <si>
    <t>obb</t>
  </si>
  <si>
    <t>orb</t>
  </si>
  <si>
    <t>Sorceress Pointmods</t>
  </si>
  <si>
    <t>Sacred Globe</t>
  </si>
  <si>
    <t>ob2</t>
  </si>
  <si>
    <t>Crystalline Globe</t>
  </si>
  <si>
    <t>ob7</t>
  </si>
  <si>
    <t>Eldritch Orb</t>
  </si>
  <si>
    <t>obc</t>
  </si>
  <si>
    <t>Smoked Sphere</t>
  </si>
  <si>
    <t>ob3</t>
  </si>
  <si>
    <t>Cloudy Sphere</t>
  </si>
  <si>
    <t>ob8</t>
  </si>
  <si>
    <t>Demon Heart</t>
  </si>
  <si>
    <t>obd</t>
  </si>
  <si>
    <t>matches Tomahawk speed</t>
  </si>
  <si>
    <t>Clasped Orb</t>
  </si>
  <si>
    <t>ob4</t>
  </si>
  <si>
    <t>Sparkling Ball</t>
  </si>
  <si>
    <t>ob9</t>
  </si>
  <si>
    <t>Vortex Orb</t>
  </si>
  <si>
    <t>obe</t>
  </si>
  <si>
    <t>Jared's Stone</t>
  </si>
  <si>
    <t>ob5</t>
  </si>
  <si>
    <t>Swirling Crystal</t>
  </si>
  <si>
    <t>oba</t>
  </si>
  <si>
    <t>Deathspade</t>
  </si>
  <si>
    <t>Dimensional Shard</t>
  </si>
  <si>
    <t>obf</t>
  </si>
  <si>
    <t>then {alvl = ilvl-[qlvl/2]}</t>
  </si>
  <si>
    <t>Bladebone</t>
  </si>
  <si>
    <t>Berserker's Hatchet</t>
  </si>
  <si>
    <t>else {alvl = 2*ilvl-99}</t>
  </si>
  <si>
    <t>Skull Splitter</t>
  </si>
  <si>
    <t>Tancred's Crowbill</t>
  </si>
  <si>
    <t>Rakescar</t>
  </si>
  <si>
    <t>if (alvl &gt; 99) then {alvl = 99}</t>
  </si>
  <si>
    <t>Coldkill</t>
  </si>
  <si>
    <t>exceptional</t>
  </si>
  <si>
    <t>Butcher's Pupil</t>
  </si>
  <si>
    <t>Islestrike</t>
  </si>
  <si>
    <t>Pompeii's Wrath</t>
  </si>
  <si>
    <t>Guardian Naga</t>
  </si>
  <si>
    <t>Razor's Edge</t>
  </si>
  <si>
    <t>elite</t>
  </si>
  <si>
    <t>slight speed buff to compete with Berserker Axe in some situations</t>
  </si>
  <si>
    <t>Body armor</t>
  </si>
  <si>
    <t>Rune Master</t>
  </si>
  <si>
    <t>Cranebeak</t>
  </si>
  <si>
    <t>dps should be highest among 1-hand axes at 0 ias</t>
  </si>
  <si>
    <t>Death Cleaver</t>
  </si>
  <si>
    <t>stf</t>
  </si>
  <si>
    <t>Axe of Fechmar</t>
  </si>
  <si>
    <t>melee (two-handed)</t>
  </si>
  <si>
    <t>Goreshovel</t>
  </si>
  <si>
    <t>The Chieftain</t>
  </si>
  <si>
    <t>Brainhew</t>
  </si>
  <si>
    <t>Humongous</t>
  </si>
  <si>
    <t>Hel + Ohm + Um + Lo + Cham</t>
  </si>
  <si>
    <t>Warlord's Trust</t>
  </si>
  <si>
    <t>Spellsteel</t>
  </si>
  <si>
    <t>Filter Highlighting for Unidentified Items</t>
  </si>
  <si>
    <t>This chart helps keep track of highlighted items for item filters.</t>
  </si>
  <si>
    <t>Filter</t>
  </si>
  <si>
    <t>Explanation of Highlights</t>
  </si>
  <si>
    <t>spaces on either side of the item's name</t>
  </si>
  <si>
    <t>spaces on either side of the item's name (notification if * or if 2+ spaces)</t>
  </si>
  <si>
    <t>?</t>
  </si>
  <si>
    <t>Code</t>
  </si>
  <si>
    <t>Base</t>
  </si>
  <si>
    <t>Stormrider</t>
  </si>
  <si>
    <t>Item</t>
  </si>
  <si>
    <t>Feather PoD</t>
  </si>
  <si>
    <t>Feather PD2</t>
  </si>
  <si>
    <t>add your own</t>
  </si>
  <si>
    <t>non-eth</t>
  </si>
  <si>
    <t>Unique Items</t>
  </si>
  <si>
    <t>Non-Armor/Non-Weapon</t>
  </si>
  <si>
    <t>amu</t>
  </si>
  <si>
    <t>Amulet</t>
  </si>
  <si>
    <t>Amulet (85+ Metalgrid)</t>
  </si>
  <si>
    <t>Amulet (80+ Mara's Kaleidoscope)</t>
  </si>
  <si>
    <t>Amulet (73+ Highlord's, Seraph's, Rising Sun)</t>
  </si>
  <si>
    <t>Amulet (60+ Atma's Scarab)</t>
  </si>
  <si>
    <t>Amulet (58+ Cat's Eye, Crescent Moon)</t>
  </si>
  <si>
    <t>Amulet (55+ Saracen's Chance)</t>
  </si>
  <si>
    <t>Amulet (34+ The Mahim Oak Curio)</t>
  </si>
  <si>
    <t>Amulet (20+ Eye of Etlich)</t>
  </si>
  <si>
    <t>Amulet (Nokozan Relic)</t>
  </si>
  <si>
    <t>rin</t>
  </si>
  <si>
    <t>Ring</t>
  </si>
  <si>
    <t>Ring (84+ Wisp Projector)</t>
  </si>
  <si>
    <t>Ring (77+ Nature's Peace)</t>
  </si>
  <si>
    <t>Ring (68+ Carrion Wind)</t>
  </si>
  <si>
    <t>Ring (66+ Bul-Kathos' Wedding Band)</t>
  </si>
  <si>
    <t>Ring (53+ Raven Frost, Dwarf Star)</t>
  </si>
  <si>
    <t>Ring (39+ Stone of Jordan)</t>
  </si>
  <si>
    <t>Ring (20+ Manald Heal)</t>
  </si>
  <si>
    <t>Ring (Nagelring)</t>
  </si>
  <si>
    <t>cm1</t>
  </si>
  <si>
    <t>Small Charm</t>
  </si>
  <si>
    <t>Annihilus</t>
  </si>
  <si>
    <t>cm2</t>
  </si>
  <si>
    <t>Large Charm</t>
  </si>
  <si>
    <t>Hellfire Torch</t>
  </si>
  <si>
    <t>cm3</t>
  </si>
  <si>
    <t>Grand Charm</t>
  </si>
  <si>
    <t>Gheed's Fortune</t>
  </si>
  <si>
    <t>jew</t>
  </si>
  <si>
    <t>Jewel</t>
  </si>
  <si>
    <t>Rainbow Facet</t>
  </si>
  <si>
    <t>aq2</t>
  </si>
  <si>
    <t>Arrows</t>
  </si>
  <si>
    <t>cq2</t>
  </si>
  <si>
    <t>Bolts</t>
  </si>
  <si>
    <t>Armor</t>
  </si>
  <si>
    <t>Biggin's Bonnet</t>
  </si>
  <si>
    <t>Tarnhelm</t>
  </si>
  <si>
    <t>Coif of Glory</t>
  </si>
  <si>
    <t>Boneslayer Blade</t>
  </si>
  <si>
    <t>Duskdeep</t>
  </si>
  <si>
    <t>The Face of Horror</t>
  </si>
  <si>
    <t>Wormskull</t>
  </si>
  <si>
    <t>Howltusk</t>
  </si>
  <si>
    <t>Undead Crown</t>
  </si>
  <si>
    <t>War hat</t>
  </si>
  <si>
    <t>Peasant Crown</t>
  </si>
  <si>
    <t>Rockstopper</t>
  </si>
  <si>
    <t>Stealskull</t>
  </si>
  <si>
    <t>Darksight Helm</t>
  </si>
  <si>
    <t>Blackhorn's Face</t>
  </si>
  <si>
    <t>Vampire Gaze</t>
  </si>
  <si>
    <t>Valkyrie Wing</t>
  </si>
  <si>
    <t>Crown of Thieves</t>
  </si>
  <si>
    <t>Harlequin Crest (Shako)</t>
  </si>
  <si>
    <t>Steel Shade</t>
  </si>
  <si>
    <t>Andariels Visage</t>
  </si>
  <si>
    <t>Giant Skull</t>
  </si>
  <si>
    <t>Veil of Steel  (or Nightwing's Veil)</t>
  </si>
  <si>
    <t>Nightwing's Veil  (only 76-)</t>
  </si>
  <si>
    <t>Crown of Ages</t>
  </si>
  <si>
    <t>Kira's Guardian</t>
  </si>
  <si>
    <t>Griffon's Eye</t>
  </si>
  <si>
    <t>Primal Helm</t>
  </si>
  <si>
    <t>Arreat's Face</t>
  </si>
  <si>
    <t>Wolfhowl</t>
  </si>
  <si>
    <t>Demonhorn's Edge</t>
  </si>
  <si>
    <t>Conqueror Crown</t>
  </si>
  <si>
    <t>Halaberd's Reign</t>
  </si>
  <si>
    <t>Cyclopean Roar</t>
  </si>
  <si>
    <t>Raekor's Virtue</t>
  </si>
  <si>
    <t>Pelt</t>
  </si>
  <si>
    <t>Jalal's Mane</t>
  </si>
  <si>
    <t>Blood Spirit</t>
  </si>
  <si>
    <t>Cerebus' Bite</t>
  </si>
  <si>
    <t>Spirit Keeper</t>
  </si>
  <si>
    <t>Ravenlore</t>
  </si>
  <si>
    <t>Quetzalcoatl</t>
  </si>
  <si>
    <t>Ursa's Nightmare</t>
  </si>
  <si>
    <t>Body Armor</t>
  </si>
  <si>
    <t>The Minotaur</t>
  </si>
  <si>
    <t>Greyform</t>
  </si>
  <si>
    <t>Blinkbat's Form</t>
  </si>
  <si>
    <t>The Centurion</t>
  </si>
  <si>
    <t>Twitchthroe</t>
  </si>
  <si>
    <t>Darkglow</t>
  </si>
  <si>
    <t>Hawkmail</t>
  </si>
  <si>
    <t>Sparking Mail</t>
  </si>
  <si>
    <t>Venom Ward</t>
  </si>
  <si>
    <t>Iceblink</t>
  </si>
  <si>
    <t>Boneflesh</t>
  </si>
  <si>
    <t>Rockfleece</t>
  </si>
  <si>
    <t>Rattlecage</t>
  </si>
  <si>
    <t>Goldskin</t>
  </si>
  <si>
    <t>Silks of the Victor</t>
  </si>
  <si>
    <t>Heavenly Garb</t>
  </si>
  <si>
    <t>The Spirit Shroud</t>
  </si>
  <si>
    <t>Serpentskin</t>
  </si>
  <si>
    <t>Skin of the Vipermagi</t>
  </si>
  <si>
    <t>Skin of the Flayed One</t>
  </si>
  <si>
    <t>Iron Pelt</t>
  </si>
  <si>
    <t>Spirit Forge</t>
  </si>
  <si>
    <t>Crow Caw</t>
  </si>
  <si>
    <t>Shaftstop</t>
  </si>
  <si>
    <t>Duriel's Shell</t>
  </si>
  <si>
    <t>Skullder's Ire</t>
  </si>
  <si>
    <t>Guardian Angel</t>
  </si>
  <si>
    <t>Toothrow</t>
  </si>
  <si>
    <t>Atma's Wail</t>
  </si>
  <si>
    <t>Black Hades</t>
  </si>
  <si>
    <t>Corpsemourn</t>
  </si>
  <si>
    <t>Que-Hegan's Wisdom</t>
  </si>
  <si>
    <t>Ormus' Robes</t>
  </si>
  <si>
    <t>The Gladiator's Bane</t>
  </si>
  <si>
    <t>Arkaine's Valor</t>
  </si>
  <si>
    <t>Leviathan</t>
  </si>
  <si>
    <t>Steel Carapace</t>
  </si>
  <si>
    <t>Templar's Might  (only 86-)</t>
  </si>
  <si>
    <t>Tyrael's Might (or Templar's Might)</t>
  </si>
  <si>
    <t>Purgatory</t>
  </si>
  <si>
    <t>Shield</t>
  </si>
  <si>
    <t>Pelta Lunata</t>
  </si>
  <si>
    <t>Umbral Disk</t>
  </si>
  <si>
    <t>Stormguild</t>
  </si>
  <si>
    <t>Swordback Hold</t>
  </si>
  <si>
    <t>Steelclash</t>
  </si>
  <si>
    <t>Wall of the Eyeless</t>
  </si>
  <si>
    <t>Bverrit Keep</t>
  </si>
  <si>
    <t>The Ward</t>
  </si>
  <si>
    <t>Visceratuant</t>
  </si>
  <si>
    <t>Moser's Blessed Circle</t>
  </si>
  <si>
    <t>Stormchaser</t>
  </si>
  <si>
    <t>Lance Guard</t>
  </si>
  <si>
    <t>Tiamat's Rebuke</t>
  </si>
  <si>
    <t>Lidless Wall</t>
  </si>
  <si>
    <t>Gerke's Sanctuary</t>
  </si>
  <si>
    <t>Radament's Sphere</t>
  </si>
  <si>
    <t>Blackoak Shield</t>
  </si>
  <si>
    <t>Spike Thorn</t>
  </si>
  <si>
    <t>Stormshield</t>
  </si>
  <si>
    <t>Head Hunter's Glory</t>
  </si>
  <si>
    <t>Medusa's Gaze</t>
  </si>
  <si>
    <t>Spirit Ward</t>
  </si>
  <si>
    <t>Paladin Shield</t>
  </si>
  <si>
    <t>Herald of Zakarum</t>
  </si>
  <si>
    <t>Alma Negra</t>
  </si>
  <si>
    <t>Dragonscale</t>
  </si>
  <si>
    <t>Sankekur's Fall</t>
  </si>
  <si>
    <t>Necromancer Shield</t>
  </si>
  <si>
    <t>Homunculus</t>
  </si>
  <si>
    <t>Succubae Skull</t>
  </si>
  <si>
    <t>Boneflame</t>
  </si>
  <si>
    <t>Darkforce Spawn</t>
  </si>
  <si>
    <t>Kalan's Legacy</t>
  </si>
  <si>
    <t>Martyrdom</t>
  </si>
  <si>
    <t>Leather Gloves</t>
  </si>
  <si>
    <t>The Hand of Broc</t>
  </si>
  <si>
    <t>Bloodfist</t>
  </si>
  <si>
    <t>Chance Guards</t>
  </si>
  <si>
    <t>Magefist</t>
  </si>
  <si>
    <t>Gauntlets</t>
  </si>
  <si>
    <t>Frostburn</t>
  </si>
  <si>
    <t>Venom Grip</t>
  </si>
  <si>
    <t>Gravepalm</t>
  </si>
  <si>
    <t>Ghoulhide</t>
  </si>
  <si>
    <t>Lava Gout</t>
  </si>
  <si>
    <t>Hellmouth</t>
  </si>
  <si>
    <t>Dracul's Grasp</t>
  </si>
  <si>
    <t>Soul Drainer</t>
  </si>
  <si>
    <t>Steelrend</t>
  </si>
  <si>
    <t>Occultist</t>
  </si>
  <si>
    <t>Ethereal Edge</t>
  </si>
  <si>
    <t>Hotspur</t>
  </si>
  <si>
    <t>Gorefoot</t>
  </si>
  <si>
    <t>Treads of Cthon</t>
  </si>
  <si>
    <t>Goblin Toe</t>
  </si>
  <si>
    <t>Tearhaunch</t>
  </si>
  <si>
    <t>Infernostride</t>
  </si>
  <si>
    <t>Waterwalk</t>
  </si>
  <si>
    <t>Silkweave</t>
  </si>
  <si>
    <t>War Traveler</t>
  </si>
  <si>
    <t>Gore Rider</t>
  </si>
  <si>
    <t>Sandstorm Trek</t>
  </si>
  <si>
    <t>Marrowwalk</t>
  </si>
  <si>
    <t>Shadow Dancer</t>
  </si>
  <si>
    <t>Merman's Socket</t>
  </si>
  <si>
    <t>Belts</t>
  </si>
  <si>
    <t>Lenymo</t>
  </si>
  <si>
    <t>Snakecord</t>
  </si>
  <si>
    <t>Nightsmoke</t>
  </si>
  <si>
    <t>Goldwrap</t>
  </si>
  <si>
    <t>Bladebuckle</t>
  </si>
  <si>
    <t>String of Ears</t>
  </si>
  <si>
    <t>Razortail</t>
  </si>
  <si>
    <t>Gloom's Trap</t>
  </si>
  <si>
    <t>Snowclash</t>
  </si>
  <si>
    <t>Thundergod's Vigor</t>
  </si>
  <si>
    <t>Arachnid Mesh</t>
  </si>
  <si>
    <t>Nosferatu's Coil</t>
  </si>
  <si>
    <t>Verdungo's Hearty Cord</t>
  </si>
  <si>
    <t>Weapon</t>
  </si>
  <si>
    <t>dps is higher than faster two-handed axes, even at 0 ias</t>
  </si>
  <si>
    <t>gas</t>
  </si>
  <si>
    <t>Hellslayer</t>
  </si>
  <si>
    <t>Silver-edged Axe</t>
  </si>
  <si>
    <t>Messerschmidt's Reaver</t>
  </si>
  <si>
    <t>Executioner's Justice</t>
  </si>
  <si>
    <t>Felloak</t>
  </si>
  <si>
    <t>Stoutnail</t>
  </si>
  <si>
    <t>Crushflange</t>
  </si>
  <si>
    <t>Bloodrise</t>
  </si>
  <si>
    <t>The General's Tan Do Li Ga</t>
  </si>
  <si>
    <t>Ironstone</t>
  </si>
  <si>
    <t>Bonesnap</t>
  </si>
  <si>
    <t>Steeldriver</t>
  </si>
  <si>
    <t>Dark Clan Crusher</t>
  </si>
  <si>
    <t>Fleshrender</t>
  </si>
  <si>
    <t>Sureshrill Frost</t>
  </si>
  <si>
    <t>Moonfall</t>
  </si>
  <si>
    <t>Baezil's Vortex</t>
  </si>
  <si>
    <t>Earthshaker</t>
  </si>
  <si>
    <t>Bloodtree Stump</t>
  </si>
  <si>
    <t>The Gavel of Pain</t>
  </si>
  <si>
    <t>Nord's Tenderizer</t>
  </si>
  <si>
    <t>Demon Limb</t>
  </si>
  <si>
    <t>Baranar's Star</t>
  </si>
  <si>
    <t>Horizon's Tornado  (only 85-)</t>
  </si>
  <si>
    <t>Stormlash  (or Horizon's Tornado)</t>
  </si>
  <si>
    <t>Stone Crusher  (only 82-)</t>
  </si>
  <si>
    <t>Schaefer's Hammer  (or Stone Crusher)</t>
  </si>
  <si>
    <t>Windhammer</t>
  </si>
  <si>
    <t>Earth Shifter  (only 84-)</t>
  </si>
  <si>
    <t>The Cranium Basher  (or Earth Shifter)</t>
  </si>
  <si>
    <t>Rixot's Keen</t>
  </si>
  <si>
    <t>Blood Crescent</t>
  </si>
  <si>
    <t>Saber</t>
  </si>
  <si>
    <t>Skewer of Krintiz</t>
  </si>
  <si>
    <t>Gleamscythe</t>
  </si>
  <si>
    <t>Griswold's Edge</t>
  </si>
  <si>
    <t>Hellplague</t>
  </si>
  <si>
    <t>Culwen's Point</t>
  </si>
  <si>
    <t>Two-handed Sword</t>
  </si>
  <si>
    <t>Shadowfang</t>
  </si>
  <si>
    <t>Soulflay</t>
  </si>
  <si>
    <t>Kinemil's Awl</t>
  </si>
  <si>
    <t>Blacktongue</t>
  </si>
  <si>
    <t>Ripsaw</t>
  </si>
  <si>
    <t>The Patriarch</t>
  </si>
  <si>
    <t>Bloodletter</t>
  </si>
  <si>
    <t>Coldsteel Eye</t>
  </si>
  <si>
    <t>Hexfire</t>
  </si>
  <si>
    <t>Blade of Ali Baba</t>
  </si>
  <si>
    <t>Ginther's Rift</t>
  </si>
  <si>
    <t>Headstriker</t>
  </si>
  <si>
    <t>Plague Bearer</t>
  </si>
  <si>
    <t>The Atlantean</t>
  </si>
  <si>
    <t>Crainte Vomir</t>
  </si>
  <si>
    <t>Bing Sz Wang</t>
  </si>
  <si>
    <t>The Vile Husk</t>
  </si>
  <si>
    <t>Cloudcrack</t>
  </si>
  <si>
    <t>Todesfaelle Flamme</t>
  </si>
  <si>
    <t>Swordguard</t>
  </si>
  <si>
    <t>Djinn Slayer</t>
  </si>
  <si>
    <t>Bloodmoon</t>
  </si>
  <si>
    <t>Lightsabre  (only 86-)</t>
  </si>
  <si>
    <t>Azurewrath  (or Lightsabre)</t>
  </si>
  <si>
    <t>Frostwind</t>
  </si>
  <si>
    <t>Flamebellow</t>
  </si>
  <si>
    <t>Doombringer</t>
  </si>
  <si>
    <t>The Grandfather</t>
  </si>
  <si>
    <t>Leoric's Mithril Bane</t>
  </si>
  <si>
    <t>Odium</t>
  </si>
  <si>
    <t>Gull</t>
  </si>
  <si>
    <t>The Diggler</t>
  </si>
  <si>
    <t>The Jade Tan Do</t>
  </si>
  <si>
    <t>Spectral Shard</t>
  </si>
  <si>
    <t>Spineripper</t>
  </si>
  <si>
    <t>Heart Carver</t>
  </si>
  <si>
    <t>Blackbogs Sharp</t>
  </si>
  <si>
    <t>Stilleto</t>
  </si>
  <si>
    <t>Stormspike</t>
  </si>
  <si>
    <t>Wizardspike</t>
  </si>
  <si>
    <t>Fleshripper</t>
  </si>
  <si>
    <t>Ghostflame</t>
  </si>
  <si>
    <t>Dimoak's Hew</t>
  </si>
  <si>
    <t>Steelgoad</t>
  </si>
  <si>
    <t>Soul Harvest</t>
  </si>
  <si>
    <t>The Battlebranch</t>
  </si>
  <si>
    <t>Woestave</t>
  </si>
  <si>
    <t>The Grim Reaper</t>
  </si>
  <si>
    <t>The Meat Scraper</t>
  </si>
  <si>
    <t>Blackleach Blade</t>
  </si>
  <si>
    <t>Athena's Wrath</t>
  </si>
  <si>
    <t>Pierre Tombale Couant</t>
  </si>
  <si>
    <t>Husoldal Evo</t>
  </si>
  <si>
    <t>Grim's Burning Dead</t>
  </si>
  <si>
    <t>Bonehew</t>
  </si>
  <si>
    <t>The Reaper's Toll</t>
  </si>
  <si>
    <t>Tomb Reaver</t>
  </si>
  <si>
    <t>Stormspire</t>
  </si>
  <si>
    <t>The Dragon Chang</t>
  </si>
  <si>
    <t>Razortine</t>
  </si>
  <si>
    <t>Bloodthief</t>
  </si>
  <si>
    <t>Lance of Yaggai</t>
  </si>
  <si>
    <t>The Tannr Gorerod</t>
  </si>
  <si>
    <t>The Impaler</t>
  </si>
  <si>
    <t>Kelpie Snare</t>
  </si>
  <si>
    <t>Soulfeast Tine</t>
  </si>
  <si>
    <t>Hone Sundan</t>
  </si>
  <si>
    <t>Spire of Honor</t>
  </si>
  <si>
    <t>Arioc's Needle</t>
  </si>
  <si>
    <t>Viperfork</t>
  </si>
  <si>
    <t>Uldyssian's Awakening</t>
  </si>
  <si>
    <t>Steel Pillar</t>
  </si>
  <si>
    <t>Lycander's Flank</t>
  </si>
  <si>
    <t>Stoneraven</t>
  </si>
  <si>
    <t>Zerae's Resolve</t>
  </si>
  <si>
    <t>Demon's Arch</t>
  </si>
  <si>
    <t>Wraith Flight</t>
  </si>
  <si>
    <t>Gargoyle's Bite</t>
  </si>
  <si>
    <t>Titan's Revenge</t>
  </si>
  <si>
    <t>Thunderstroke</t>
  </si>
  <si>
    <t>True Silver</t>
  </si>
  <si>
    <t>Throwing Weapons</t>
  </si>
  <si>
    <t>The Scalper</t>
  </si>
  <si>
    <t>Deathbit</t>
  </si>
  <si>
    <t>Gimmershred</t>
  </si>
  <si>
    <t>Warshrike</t>
  </si>
  <si>
    <t>Lacerator</t>
  </si>
  <si>
    <t>Pluckeye</t>
  </si>
  <si>
    <t>Witherstring</t>
  </si>
  <si>
    <t>Raven Claw</t>
  </si>
  <si>
    <t>Rogue's Bow</t>
  </si>
  <si>
    <t>Stormstrike</t>
  </si>
  <si>
    <t>Wizendraw</t>
  </si>
  <si>
    <t>Hellclap</t>
  </si>
  <si>
    <t>Blastbark</t>
  </si>
  <si>
    <t>Skystrike</t>
  </si>
  <si>
    <t>Riphook</t>
  </si>
  <si>
    <t>Kuko Shakaku</t>
  </si>
  <si>
    <t>Endlesshail</t>
  </si>
  <si>
    <t>Witchwild String</t>
  </si>
  <si>
    <t>Cliffkiller</t>
  </si>
  <si>
    <t>Magewrath</t>
  </si>
  <si>
    <t>Goldstrike Arch</t>
  </si>
  <si>
    <t>Eaglehorn</t>
  </si>
  <si>
    <t>Widowmaker</t>
  </si>
  <si>
    <t>Windforce</t>
  </si>
  <si>
    <t>Lycander's Aim</t>
  </si>
  <si>
    <t>Blood Raven's Charge</t>
  </si>
  <si>
    <t>Leadcrow</t>
  </si>
  <si>
    <t>Ichorsting</t>
  </si>
  <si>
    <t>Hellcast</t>
  </si>
  <si>
    <t>Doomslinger</t>
  </si>
  <si>
    <t>Langer Briser</t>
  </si>
  <si>
    <t>Pus Spitter</t>
  </si>
  <si>
    <t>Buriza-Do Kyanon</t>
  </si>
  <si>
    <t>Demon Machine</t>
  </si>
  <si>
    <t>Hellrack</t>
  </si>
  <si>
    <t>Gut Siphon</t>
  </si>
  <si>
    <t>Bane Ash</t>
  </si>
  <si>
    <t>Serpent Lord</t>
  </si>
  <si>
    <t>Spire of Lazarus</t>
  </si>
  <si>
    <t>The Salamander</t>
  </si>
  <si>
    <t>The Iron Jang Bong</t>
  </si>
  <si>
    <t>Razorswitch</t>
  </si>
  <si>
    <t>Ribcracker</t>
  </si>
  <si>
    <t>Chromatic Ire</t>
  </si>
  <si>
    <t>Warpspear</t>
  </si>
  <si>
    <t>Skull Collector</t>
  </si>
  <si>
    <t>Ondal's Wisdom</t>
  </si>
  <si>
    <t>Mang Song's Lesson</t>
  </si>
  <si>
    <t>Brimstone Rain</t>
  </si>
  <si>
    <t>Torch of Iro</t>
  </si>
  <si>
    <t>Maelstrom</t>
  </si>
  <si>
    <t>Gravenspine</t>
  </si>
  <si>
    <t>Ume's Lament</t>
  </si>
  <si>
    <t>Suicide Branch</t>
  </si>
  <si>
    <t>Carin Shard</t>
  </si>
  <si>
    <t>Arm of King Leoric</t>
  </si>
  <si>
    <t>Blackhand Key</t>
  </si>
  <si>
    <t>Boneshade</t>
  </si>
  <si>
    <t>Death's Web</t>
  </si>
  <si>
    <t>mace (club)</t>
  </si>
  <si>
    <t>Knell Striker</t>
  </si>
  <si>
    <t>Rusthandle</t>
  </si>
  <si>
    <t>Stormeye</t>
  </si>
  <si>
    <t>Zakarum's Hand</t>
  </si>
  <si>
    <t>The Fetid Sprinkler</t>
  </si>
  <si>
    <t>Hand of Blessed Light</t>
  </si>
  <si>
    <t>Heaven's Light  (only 79-)</t>
  </si>
  <si>
    <t>The Redeemer  (or Heaven's Light)</t>
  </si>
  <si>
    <t>Astreon's Iron Ward</t>
  </si>
  <si>
    <t>Akarat's Devotion</t>
  </si>
  <si>
    <t>Claw</t>
  </si>
  <si>
    <t>Bartuc's Cut-Throat</t>
  </si>
  <si>
    <t>Jade Talon</t>
  </si>
  <si>
    <t>Shadow Killer</t>
  </si>
  <si>
    <t>Firelizard's Talons</t>
  </si>
  <si>
    <t>Stalker's Cull</t>
  </si>
  <si>
    <t>Mage Slayer</t>
  </si>
  <si>
    <t>The Oculus</t>
  </si>
  <si>
    <t>Eschuta's Temper</t>
  </si>
  <si>
    <t>Death's Fathom</t>
  </si>
  <si>
    <t>Tempest</t>
  </si>
  <si>
    <t>Set Items</t>
  </si>
  <si>
    <t>Shared Bases</t>
  </si>
  <si>
    <t>Amulet (39+ Telling of Beads)</t>
  </si>
  <si>
    <t>*</t>
  </si>
  <si>
    <t>Amulet (27+ Tancred's Weird)</t>
  </si>
  <si>
    <t>Amulet (26+ Tal Rasha's Adjudication)</t>
  </si>
  <si>
    <t>Amulet (21+ Iratha's Collar)</t>
  </si>
  <si>
    <t>Amulet (20+ Arcanna's Sign)</t>
  </si>
  <si>
    <t>Amulet (19+ Vidala's Snare)</t>
  </si>
  <si>
    <t>Amulet (17+ Angelic Wings)</t>
  </si>
  <si>
    <t>1*</t>
  </si>
  <si>
    <t>Amulet (15+ Cathan's Sigil)</t>
  </si>
  <si>
    <t>Amulet (Civerb's Icon)</t>
  </si>
  <si>
    <t>Ring (50+ Bul-Kathos' Death Band)</t>
  </si>
  <si>
    <t>Ring (17+ Angelic Halo)</t>
  </si>
  <si>
    <t>Ring (Cathan's Seal)</t>
  </si>
  <si>
    <t>Iratha's Coil  (only 22-)</t>
  </si>
  <si>
    <t>Milabrega's Diadem  (or Iratha's Coil)</t>
  </si>
  <si>
    <t>Arctic Mitts  (only 20-)</t>
  </si>
  <si>
    <t>Iratha's Cuff  (or Arctic Mitts)</t>
  </si>
  <si>
    <t>Infernal Sign  (only 20-)</t>
  </si>
  <si>
    <t>Iratha's Cord  (or Infernal Sign)</t>
  </si>
  <si>
    <t>Infernal Cranium  (only 19-)</t>
  </si>
  <si>
    <t>Druid Pointmods, capable of Visceral affix</t>
  </si>
  <si>
    <t>Sander's Paragon  (or Infernal Cranium)</t>
  </si>
  <si>
    <t>Hsarus' Iron Stay  (only 27-)</t>
  </si>
  <si>
    <t>Hwanin's Blessing  (or Hsarus' Iron Stay)</t>
  </si>
  <si>
    <t>Sander's Riprap  (only non-cow areas)</t>
  </si>
  <si>
    <t>Cow King's Hooves  (or Sander's Riprap)</t>
  </si>
  <si>
    <t>Non-Shared Bases</t>
  </si>
  <si>
    <t>Common Sets</t>
  </si>
  <si>
    <t>Angelic Mantle</t>
  </si>
  <si>
    <t>Angelic Sickle</t>
  </si>
  <si>
    <t>Arcanna's Head</t>
  </si>
  <si>
    <t>Arcanna's Flesh</t>
  </si>
  <si>
    <t>Arcanna's Deathwand</t>
  </si>
  <si>
    <t>Arctic Furs</t>
  </si>
  <si>
    <t>Arctic Binding</t>
  </si>
  <si>
    <t>Arctic Horn</t>
  </si>
  <si>
    <t>Berserker's Headgear</t>
  </si>
  <si>
    <t>Beserker's Hauberk</t>
  </si>
  <si>
    <t>Cathan's Visage</t>
  </si>
  <si>
    <t>Cathan's Mesh</t>
  </si>
  <si>
    <t>Cathan's Rule</t>
  </si>
  <si>
    <t>Civerb's Cudgel</t>
  </si>
  <si>
    <t>Civerb's Ward</t>
  </si>
  <si>
    <t>Cleglaw's Tooth</t>
  </si>
  <si>
    <t>Cleglaw's Pincers</t>
  </si>
  <si>
    <t>Cleglaw's Claw</t>
  </si>
  <si>
    <t>Death's Touch</t>
  </si>
  <si>
    <t>Death's Hand</t>
  </si>
  <si>
    <t>Death's Guard</t>
  </si>
  <si>
    <t>Hsarus' Iron Fist</t>
  </si>
  <si>
    <t>Hsarus' Iron Heel</t>
  </si>
  <si>
    <t>Infernal Torch</t>
  </si>
  <si>
    <t>Infernal Spire</t>
  </si>
  <si>
    <t>Isenhart's Lightbrand</t>
  </si>
  <si>
    <t>Isenhart's Horns</t>
  </si>
  <si>
    <t>Isenhart's Case</t>
  </si>
  <si>
    <t>Isenhart's Parry</t>
  </si>
  <si>
    <t>Milabrega's Robe</t>
  </si>
  <si>
    <t>Milabrega's Orb</t>
  </si>
  <si>
    <t>Milabrega's Rod</t>
  </si>
  <si>
    <t>Sigon's Visor</t>
  </si>
  <si>
    <t>Sigon's Shelter</t>
  </si>
  <si>
    <t>Sigon's Sabot</t>
  </si>
  <si>
    <t>Sigon's Guard</t>
  </si>
  <si>
    <t>Sigon's Wrap</t>
  </si>
  <si>
    <t>Sigon's Gage</t>
  </si>
  <si>
    <t>Tancred's Skull</t>
  </si>
  <si>
    <t>Tancred's Spine</t>
  </si>
  <si>
    <t>Tancred's Hobnails</t>
  </si>
  <si>
    <t>Vidala's Barb</t>
  </si>
  <si>
    <t>Vidala's Ambush</t>
  </si>
  <si>
    <t>Vidala's Fetlock</t>
  </si>
  <si>
    <t>Sander's Superstition</t>
  </si>
  <si>
    <t>Sander's Taboo</t>
  </si>
  <si>
    <t>Uncommon Sets</t>
  </si>
  <si>
    <t>mace (tipped mace)</t>
  </si>
  <si>
    <t>Cow King's Horns</t>
  </si>
  <si>
    <t>Cow King's Hide</t>
  </si>
  <si>
    <t>Hwanin's Splendor</t>
  </si>
  <si>
    <t>Hwanin's Justice</t>
  </si>
  <si>
    <t>Hwanin's Refuge</t>
  </si>
  <si>
    <t>Sazabi's Mental Sheath</t>
  </si>
  <si>
    <t>Sazabi's Cobalt Redeemer</t>
  </si>
  <si>
    <t>Sazabi's Ghost Liberator</t>
  </si>
  <si>
    <t>Naj's Circlet</t>
  </si>
  <si>
    <t>Naj's Light Plate</t>
  </si>
  <si>
    <t>Naj's Puzzler</t>
  </si>
  <si>
    <t>Bul-Kathos' Sacred Charge</t>
  </si>
  <si>
    <t>Bul-Kathos' Tribal Guardian</t>
  </si>
  <si>
    <t>Haemosu's Adamant</t>
  </si>
  <si>
    <t>Dangoon's Teaching</t>
  </si>
  <si>
    <t>Taebaek's Glory</t>
  </si>
  <si>
    <t>Ondal's Almighty</t>
  </si>
  <si>
    <t>Guillaume's Face</t>
  </si>
  <si>
    <t>Whitstan's Guard</t>
  </si>
  <si>
    <t>Magnus' Skin</t>
  </si>
  <si>
    <t>Wilhelm's Pride</t>
  </si>
  <si>
    <t>Laying of Hands</t>
  </si>
  <si>
    <t>Dark Adherent</t>
  </si>
  <si>
    <t>Rite of Passage</t>
  </si>
  <si>
    <t>Credendum</t>
  </si>
  <si>
    <t>Class Sets</t>
  </si>
  <si>
    <t>Aldur's Stony Gaze</t>
  </si>
  <si>
    <t>Aldur's Advance</t>
  </si>
  <si>
    <t>Aldur's Deception</t>
  </si>
  <si>
    <t>Aldur's Rhythm</t>
  </si>
  <si>
    <t>Griswold's Heart</t>
  </si>
  <si>
    <t>Griswold's Valor</t>
  </si>
  <si>
    <t>Griswold's Redemption</t>
  </si>
  <si>
    <t>Griswold's Honor</t>
  </si>
  <si>
    <t>Immortal King's Will</t>
  </si>
  <si>
    <t>Immortal King's Stone Crusher</t>
  </si>
  <si>
    <t>Immortal King's Soul Cage</t>
  </si>
  <si>
    <t>Immortal King's Detail</t>
  </si>
  <si>
    <t>Immortal King's Forge</t>
  </si>
  <si>
    <t>Immortal King's Pillar</t>
  </si>
  <si>
    <t>M'avina's True Sight</t>
  </si>
  <si>
    <t>M'avina's Caster</t>
  </si>
  <si>
    <t>M'avina's Embrace</t>
  </si>
  <si>
    <t>M'avina's Icy Clutch</t>
  </si>
  <si>
    <t>M'avina's Tenet</t>
  </si>
  <si>
    <t>Natalya's Totem</t>
  </si>
  <si>
    <t>capable of Visceral affix</t>
  </si>
  <si>
    <t>Natalya's Mark</t>
  </si>
  <si>
    <t>Natalya's Shadow</t>
  </si>
  <si>
    <t>Natalya's Soul</t>
  </si>
  <si>
    <t>Tal Rasha's Lidless Eye</t>
  </si>
  <si>
    <t>Tal Rasha's Horadric Crest</t>
  </si>
  <si>
    <t>Tal Rasha's Guardianship</t>
  </si>
  <si>
    <t>Tal Rasha's Fine-Spun Cloth</t>
  </si>
  <si>
    <t>Trang-Oul's Guise</t>
  </si>
  <si>
    <t>Trang-Oul's Scales</t>
  </si>
  <si>
    <t>Trang-Oul's Wing</t>
  </si>
  <si>
    <t>Trang-Oul's Girth</t>
  </si>
  <si>
    <t>Trang-Oul's Claws</t>
  </si>
  <si>
    <t>Other Items</t>
  </si>
  <si>
    <t>Runes</t>
  </si>
  <si>
    <t>r01</t>
  </si>
  <si>
    <t>r02</t>
  </si>
  <si>
    <t>r03</t>
  </si>
  <si>
    <t>r04</t>
  </si>
  <si>
    <t>r05</t>
  </si>
  <si>
    <t>r06</t>
  </si>
  <si>
    <t>r07</t>
  </si>
  <si>
    <t>r08</t>
  </si>
  <si>
    <t>r09</t>
  </si>
  <si>
    <t>r10</t>
  </si>
  <si>
    <t>r11</t>
  </si>
  <si>
    <t>r12</t>
  </si>
  <si>
    <t>r13</t>
  </si>
  <si>
    <t>r14</t>
  </si>
  <si>
    <t>r15</t>
  </si>
  <si>
    <t>r16</t>
  </si>
  <si>
    <t>r17</t>
  </si>
  <si>
    <t>r18</t>
  </si>
  <si>
    <t>r19</t>
  </si>
  <si>
    <t>r20</t>
  </si>
  <si>
    <t>r21</t>
  </si>
  <si>
    <t>r22</t>
  </si>
  <si>
    <t>r23</t>
  </si>
  <si>
    <t>r24</t>
  </si>
  <si>
    <t>r25</t>
  </si>
  <si>
    <t>r26</t>
  </si>
  <si>
    <t>r27</t>
  </si>
  <si>
    <t>r28</t>
  </si>
  <si>
    <t>r29</t>
  </si>
  <si>
    <t>r30</t>
  </si>
  <si>
    <t>r31</t>
  </si>
  <si>
    <t>r32</t>
  </si>
  <si>
    <t>r33</t>
  </si>
  <si>
    <t>Exclusive Uniques</t>
  </si>
  <si>
    <t>DClone Uniques</t>
  </si>
  <si>
    <t>Itherael's Path</t>
  </si>
  <si>
    <t>Overlord's Helm</t>
  </si>
  <si>
    <t>Hadriel's Hand</t>
  </si>
  <si>
    <t>Aidan's Scar</t>
  </si>
  <si>
    <t>Dark Abyss</t>
  </si>
  <si>
    <t>Rathma Uniques</t>
  </si>
  <si>
    <t>ram</t>
  </si>
  <si>
    <t>The Third Eye</t>
  </si>
  <si>
    <t>rbe</t>
  </si>
  <si>
    <t>Band of Skulls</t>
  </si>
  <si>
    <t>rar</t>
  </si>
  <si>
    <t>Cage of the Unsullied</t>
  </si>
  <si>
    <t>Other</t>
  </si>
  <si>
    <t>Kadala's Heirloom</t>
  </si>
  <si>
    <t>https://tinyurl.com/d2filterhighlighting</t>
  </si>
  <si>
    <t>mace (hammer)</t>
  </si>
  <si>
    <t>current relative power compared to the slower Devil Star (and other weapons) is too high... should either be nerfed slightly, or others should be buffed</t>
  </si>
  <si>
    <t>Horizon's Tornado</t>
  </si>
  <si>
    <t>Stormlash</t>
  </si>
  <si>
    <t>Stone Crusher</t>
  </si>
  <si>
    <t>Schaefer's Hammer</t>
  </si>
  <si>
    <t>Earth Shifter</t>
  </si>
  <si>
    <t>The Cranium Basher</t>
  </si>
  <si>
    <t>should be comparable to Cryptic Sword in damage, which can get 1 more socket and has fewer str/dex requirements</t>
  </si>
  <si>
    <t>Lightsabre</t>
  </si>
  <si>
    <t>Azurewrath</t>
  </si>
  <si>
    <t>Hadriel's Hand (new, exclusive)</t>
  </si>
  <si>
    <t>Espadon</t>
  </si>
  <si>
    <t>elite two-handed swords have very different speeds compared to their normal/exceptional versions - should speeds be rebalanced so they match eachother?</t>
  </si>
  <si>
    <t>Leoric's Mithril Bane (new)</t>
  </si>
  <si>
    <t>dps is higher than faster two-handed swords, even at 0 ias</t>
  </si>
  <si>
    <t>Odium (new)</t>
  </si>
  <si>
    <t>Two-Handed Sword (1 hand)</t>
  </si>
  <si>
    <t>Claymore (1 hand)</t>
  </si>
  <si>
    <t>Giant Sword (1 hand)</t>
  </si>
  <si>
    <t>Bastard Sword (1 hand)</t>
  </si>
  <si>
    <t>Flamberge (1 hand)</t>
  </si>
  <si>
    <t>Great Sword (1 hand)</t>
  </si>
  <si>
    <t>Espandon (1 hand)</t>
  </si>
  <si>
    <t>Espadon (1 hand)</t>
  </si>
  <si>
    <t>Dacian Falx (1 hand)</t>
  </si>
  <si>
    <t>Tusk Sword (1 hand)</t>
  </si>
  <si>
    <t>Gothic Sword (1 hand)</t>
  </si>
  <si>
    <t>Zweihander (1 hand)</t>
  </si>
  <si>
    <t>Executioner Sword (1 hand)</t>
  </si>
  <si>
    <t>Legend Sword (1 hand)</t>
  </si>
  <si>
    <t>Highland Blade (1 hand)</t>
  </si>
  <si>
    <t>Balrog Blade (1 hand)</t>
  </si>
  <si>
    <t>Champion Sword (1 hand)</t>
  </si>
  <si>
    <t>Colossus Sword (1 hand)</t>
  </si>
  <si>
    <t>Colossal Sword (1 hand)</t>
  </si>
  <si>
    <t>Colossus Blade (1 hand)</t>
  </si>
  <si>
    <t>1ht</t>
  </si>
  <si>
    <t>20% Deadly Strike, Dagger-Related Pointmods (martial arts, poison strike), capable of Visceral affix</t>
  </si>
  <si>
    <t>Blackbog's Sharp</t>
  </si>
  <si>
    <t>if all knives had 20% deadly strike as an automod instead of just daggers, throwing knives would be quite comparable to javelins without any other changes</t>
  </si>
  <si>
    <t>throwing axes could also get the same automod (20% deadly strike) to be comparable to javelins without other changes</t>
  </si>
  <si>
    <t>slower elite weapons should deal more damage per hit - javelin stats didn't follow that trend for some reason... it's possible they were balanced to have certain bases better for melee and others better for throwing (leading to fewer choices for any character dedicated to either)</t>
  </si>
  <si>
    <t>This chart shows ALVL for items that don't have magic levels - everything except circlets, staves, orbs, and non-elite wands</t>
  </si>
  <si>
    <t>The ALVL is colored white if the ILVL is superfluous - these don't change at all with different ILVLs, so only the QLVL matters when determining the ALVL for them (they repeat vertically within the triangle in the top right)</t>
  </si>
  <si>
    <t>The ALVL is colored blue if the QLVL is superfluous - these don't change at all with different QLVLs, so only the ILVL matters when determining the ALVL for them (they repeat horizontally within the triangle at the bottom)</t>
  </si>
  <si>
    <t>The triangle of ALVLs on the left is usually the part to focus on, especially the bottom left since that's where the highest ALVLs are</t>
  </si>
  <si>
    <t>True Silver (new)</t>
  </si>
  <si>
    <t>+1-3 Spear and Javelin Skills, capable of Visceral affix</t>
  </si>
  <si>
    <t>2ht</t>
  </si>
  <si>
    <t>Zerae's Resolve (new)</t>
  </si>
  <si>
    <t>Uldyssian's Awakening (new)</t>
  </si>
  <si>
    <t>capable of Visceral affix, rares capable of Grandmaster's/Celestial/Divine affixes</t>
  </si>
  <si>
    <t>Long Siege Bow</t>
  </si>
  <si>
    <t>even with more base damage than vanilla, bows generally deal less damage than vanilla due to the dex bonus being halved - if the dex bonus was increased to ~75%, bows would largely be comparable crossbows as they are currently (and crossbows could be adjusted accordingly)</t>
  </si>
  <si>
    <t>+1-3 Bow and Crossbow Skills, capable of Visceral affix, rares capable of Grandmaster's/Celestial/Divine affixes</t>
  </si>
  <si>
    <t>as an alternative to the highlighted changes or a 75% dex bonus, also consider adding a strength bonus in addition to the dex bonus - perhaps 50% for each would work (historically, strength was important for bowmen since it gave them more draw power)</t>
  </si>
  <si>
    <t>xbw</t>
  </si>
  <si>
    <t>-10% to Enemy Physical Resistance, capable of Visceral affix, rares capable of Grandmaster's/Celestial/Divine affixes</t>
  </si>
  <si>
    <t>Balista</t>
  </si>
  <si>
    <t>crossbows seem much better than bows currently, especially considering they also grant -10% to enemy phys res as an automod now</t>
  </si>
  <si>
    <t>*demon crossbow loses out at 35+ias on merc and player both without flat dmg.*</t>
  </si>
  <si>
    <t>ht1</t>
  </si>
  <si>
    <t>Mage Slayer (new)</t>
  </si>
  <si>
    <t>why wasn't this base adjusted previously alongside other claws?</t>
  </si>
  <si>
    <t>Stalker's Cull (new)</t>
  </si>
  <si>
    <t>Aidan's Scar (new, exclusive)</t>
  </si>
  <si>
    <t>Heaven's Light</t>
  </si>
  <si>
    <t>The Redeemer</t>
  </si>
  <si>
    <t>Akarat's Devotion (new)</t>
  </si>
  <si>
    <t>Brimstone Rain (new)</t>
  </si>
  <si>
    <t>matches speed of normal/exceptional versions, damage increased so it can be an alternative to other 20-speed weapons like War Pike and Thunder Maul</t>
  </si>
  <si>
    <t>Dragon Stone</t>
  </si>
  <si>
    <t>Tempest (new)</t>
  </si>
  <si>
    <t>Rancid Gas Potion</t>
  </si>
  <si>
    <t>extra</t>
  </si>
  <si>
    <t>Oil Potion</t>
  </si>
  <si>
    <t>Choking Gas Potion</t>
  </si>
  <si>
    <t>Exploding Potion</t>
  </si>
  <si>
    <t>Strangling Gas Potion</t>
  </si>
  <si>
    <t>Fulminating Potion</t>
  </si>
  <si>
    <t>decoy dagger</t>
  </si>
  <si>
    <t>Gidbinn</t>
  </si>
  <si>
    <t>Wirt's Leg</t>
  </si>
  <si>
    <t>Horadric Malus</t>
  </si>
  <si>
    <t>Hellforge Hammer</t>
  </si>
  <si>
    <t>Horadric Staff</t>
  </si>
  <si>
    <t>Staff of the Kings</t>
  </si>
  <si>
    <t>KhalimFlail</t>
  </si>
  <si>
    <t>SuperKhalimFlail</t>
  </si>
  <si>
    <t>Expansion</t>
  </si>
  <si>
    <t>END OF LIST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</si>
</sst>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h.mm"/>
  </numFmts>
  <fonts count="94">
    <font>
      <sz val="10.0"/>
      <color rgb="FF000000"/>
      <name val="Arial"/>
      <scheme val="minor"/>
    </font>
    <font>
      <b/>
      <sz val="12.0"/>
      <color theme="1"/>
      <name val="Arial"/>
    </font>
    <font>
      <color theme="1"/>
      <name val="Arial"/>
    </font>
    <font>
      <b/>
      <color theme="1"/>
      <name val="Arial"/>
    </font>
    <font>
      <b/>
      <sz val="8.0"/>
      <color rgb="FF666666"/>
      <name val="Arial Narrow"/>
    </font>
    <font>
      <b/>
      <sz val="9.0"/>
      <color rgb="FF666666"/>
      <name val="Arial Narrow"/>
    </font>
    <font>
      <b/>
      <sz val="11.0"/>
      <color theme="1"/>
      <name val="Arial"/>
    </font>
    <font>
      <color theme="1"/>
      <name val="Georgia"/>
    </font>
    <font>
      <b/>
      <sz val="8.0"/>
      <color rgb="FF666666"/>
      <name val="&quot;Arial Narrow&quot;"/>
    </font>
    <font>
      <b/>
      <sz val="9.0"/>
      <color rgb="FF666666"/>
      <name val="&quot;Arial Narrow&quot;"/>
    </font>
    <font>
      <b/>
      <color rgb="FF666666"/>
      <name val="&quot;Arial Narrow&quot;"/>
    </font>
    <font>
      <b/>
      <color rgb="FF666666"/>
      <name val="Arial"/>
    </font>
    <font>
      <sz val="11.0"/>
      <color theme="1"/>
      <name val="Arial"/>
    </font>
    <font>
      <sz val="11.0"/>
      <color rgb="FF666666"/>
      <name val="Arial"/>
    </font>
    <font>
      <sz val="9.0"/>
      <color rgb="FF666666"/>
      <name val="Arial Narrow"/>
    </font>
    <font>
      <b/>
      <sz val="13.0"/>
      <color rgb="FF000000"/>
      <name val="Arial"/>
    </font>
    <font>
      <color rgb="FF000000"/>
      <name val="Arial"/>
    </font>
    <font>
      <b/>
      <color rgb="FF000000"/>
      <name val="Arial"/>
    </font>
    <font>
      <color rgb="FFA5A5A5"/>
      <name val="Arial Narrow"/>
    </font>
    <font>
      <color rgb="FFA5A5A5"/>
      <name val="Arial"/>
    </font>
    <font/>
    <font>
      <sz val="11.0"/>
      <color rgb="FF666666"/>
      <name val="Arial Narrow"/>
    </font>
    <font>
      <color rgb="FF666666"/>
      <name val="Arial"/>
    </font>
    <font>
      <b/>
      <color rgb="FF000000"/>
      <name val="Arial Narrow"/>
    </font>
    <font>
      <color rgb="FFE06666"/>
      <name val="Arial"/>
    </font>
    <font>
      <color rgb="FFBF9000"/>
      <name val="Arial"/>
    </font>
    <font>
      <b/>
      <sz val="14.0"/>
      <color rgb="FF000000"/>
      <name val="Arial"/>
    </font>
    <font>
      <sz val="10.0"/>
      <color rgb="FF000000"/>
      <name val="Arial"/>
    </font>
    <font>
      <sz val="12.0"/>
      <color rgb="FF000000"/>
      <name val="Arial"/>
    </font>
    <font>
      <color rgb="FFD9D9D9"/>
      <name val="Arial"/>
    </font>
    <font>
      <b/>
      <i/>
      <color rgb="FFCC0000"/>
      <name val="Arial"/>
    </font>
    <font>
      <b/>
      <sz val="10.0"/>
      <color rgb="FF000000"/>
      <name val="Arial"/>
    </font>
    <font>
      <b/>
      <i/>
      <color rgb="FF666666"/>
      <name val="Arial"/>
    </font>
    <font>
      <color rgb="FFFF6D01"/>
      <name val="Arial"/>
    </font>
    <font>
      <b/>
      <color rgb="FF666666"/>
      <name val="Arial"/>
      <scheme val="minor"/>
    </font>
    <font>
      <b/>
      <sz val="9.0"/>
      <color rgb="FF000000"/>
      <name val="Arial"/>
    </font>
    <font>
      <sz val="9.0"/>
      <color theme="1"/>
      <name val="Arial"/>
    </font>
    <font>
      <b/>
      <color rgb="FFFF6D01"/>
      <name val="Arial"/>
    </font>
    <font>
      <b/>
      <color rgb="FF5DC15D"/>
      <name val="Arial"/>
    </font>
    <font>
      <color rgb="FF5DC15D"/>
      <name val="Arial"/>
    </font>
    <font>
      <u/>
      <sz val="10.0"/>
      <color rgb="FF1155CC"/>
      <name val="Arial"/>
    </font>
    <font>
      <sz val="10.0"/>
      <color rgb="FF666666"/>
      <name val="Arial"/>
    </font>
    <font>
      <sz val="10.0"/>
      <color theme="1"/>
      <name val="Arial"/>
    </font>
    <font>
      <sz val="10.0"/>
      <color rgb="FF000000"/>
      <name val="Arial Narrow"/>
    </font>
    <font>
      <color theme="1"/>
      <name val="Arial Narrow"/>
    </font>
    <font>
      <u/>
      <color rgb="FF1155CC"/>
      <name val="Arial"/>
    </font>
    <font>
      <sz val="9.0"/>
      <color rgb="FF666666"/>
      <name val="Arial"/>
    </font>
    <font>
      <u/>
      <color rgb="FF1155CC"/>
      <name val="Arial"/>
    </font>
    <font>
      <sz val="8.0"/>
      <color theme="1"/>
      <name val="&quot;Arial Narrow&quot;"/>
    </font>
    <font>
      <color rgb="FFD9D9D9"/>
      <name val="Arial Narrow"/>
    </font>
    <font>
      <sz val="9.0"/>
      <color theme="1"/>
      <name val="&quot;Arial Narrow&quot;"/>
    </font>
    <font>
      <color rgb="FFFFFFFF"/>
      <name val="Arial"/>
    </font>
    <font>
      <b/>
      <sz val="9.0"/>
      <color theme="1"/>
      <name val="Arial"/>
    </font>
    <font>
      <sz val="9.0"/>
      <color rgb="FF000000"/>
      <name val="Arial Narrow"/>
    </font>
    <font>
      <sz val="9.0"/>
      <color theme="1"/>
      <name val="Arial Narrow"/>
    </font>
    <font>
      <color rgb="FF000000"/>
      <name val="&quot;Arial Narrow&quot;"/>
    </font>
    <font>
      <sz val="8.0"/>
      <color rgb="FF000000"/>
      <name val="Arial Narrow"/>
    </font>
    <font>
      <color theme="1"/>
      <name val="&quot;Arial Narrow&quot;"/>
    </font>
    <font>
      <sz val="8.0"/>
      <color theme="1"/>
      <name val="Arial Narrow"/>
    </font>
    <font>
      <b/>
      <sz val="8.0"/>
      <color theme="1"/>
      <name val="&quot;Arial Narrow&quot;"/>
    </font>
    <font>
      <b/>
      <sz val="8.0"/>
      <color rgb="FFA5A5A5"/>
      <name val="&quot;Arial Narrow&quot;"/>
    </font>
    <font>
      <b/>
      <color rgb="FFD9D9D9"/>
      <name val="Arial"/>
    </font>
    <font>
      <sz val="11.0"/>
      <color theme="1"/>
      <name val="Arial Narrow"/>
    </font>
    <font>
      <sz val="10.0"/>
      <color theme="1"/>
      <name val="Arial Narrow"/>
    </font>
    <font>
      <sz val="11.0"/>
      <color theme="1"/>
      <name val="Arial"/>
      <scheme val="minor"/>
    </font>
    <font>
      <sz val="11.0"/>
      <color theme="1"/>
      <name val="&quot;Arial Narrow&quot;"/>
    </font>
    <font>
      <sz val="7.0"/>
      <color theme="1"/>
      <name val="Arial Narrow"/>
    </font>
    <font>
      <sz val="8.0"/>
      <color rgb="FF666666"/>
      <name val="Arial"/>
    </font>
    <font>
      <sz val="8.0"/>
      <color theme="1"/>
      <name val="Arial"/>
    </font>
    <font>
      <b/>
      <i/>
      <sz val="8.0"/>
      <color theme="1"/>
      <name val="Arial"/>
    </font>
    <font>
      <sz val="8.0"/>
      <color rgb="FF999999"/>
      <name val="Arial"/>
    </font>
    <font>
      <color rgb="FFBF9000"/>
      <name val="Arial Narrow"/>
    </font>
    <font>
      <color rgb="FFCC0000"/>
      <name val="Arial"/>
    </font>
    <font>
      <b/>
      <sz val="8.0"/>
      <color theme="1"/>
      <name val="Arial"/>
    </font>
    <font>
      <color rgb="FF000000"/>
      <name val="Arial Narrow"/>
    </font>
    <font>
      <color rgb="FF434343"/>
      <name val="Arial"/>
    </font>
    <font>
      <b/>
      <color rgb="FFB7B7B7"/>
      <name val="Arial"/>
    </font>
    <font>
      <color rgb="FFB7B7B7"/>
      <name val="Arial"/>
    </font>
    <font>
      <sz val="10.0"/>
      <color theme="1"/>
      <name val="Calibri"/>
    </font>
    <font>
      <color rgb="FF00B209"/>
      <name val="Arial Narrow"/>
    </font>
    <font>
      <sz val="10.0"/>
      <color rgb="FF000000"/>
      <name val="Calibri"/>
    </font>
    <font>
      <sz val="10.0"/>
      <color rgb="FFB7B7B7"/>
      <name val="Arial"/>
    </font>
    <font>
      <sz val="10.0"/>
      <color rgb="FFF8F8F8"/>
      <name val="Calibri"/>
    </font>
    <font>
      <sz val="10.0"/>
      <color rgb="FF1A3438"/>
      <name val="Calibri"/>
    </font>
    <font>
      <sz val="10.0"/>
      <color rgb="FF233A44"/>
      <name val="Calibri"/>
    </font>
    <font>
      <sz val="10.0"/>
      <color rgb="FF071924"/>
      <name val="Calibri"/>
    </font>
    <font>
      <sz val="10.0"/>
      <color rgb="FF314C59"/>
      <name val="Calibri"/>
    </font>
    <font>
      <color theme="1"/>
      <name val="Arial"/>
      <scheme val="minor"/>
    </font>
    <font>
      <sz val="10.0"/>
      <color rgb="FFFFFFFF"/>
      <name val="Calibri"/>
    </font>
    <font>
      <b/>
      <sz val="10.0"/>
      <color theme="1"/>
      <name val="Calibri"/>
    </font>
    <font>
      <b/>
      <color theme="1"/>
      <name val="Arial"/>
      <scheme val="minor"/>
    </font>
    <font>
      <b/>
      <sz val="16.0"/>
      <color theme="1"/>
      <name val="Arial"/>
    </font>
    <font>
      <sz val="14.0"/>
      <color theme="1"/>
      <name val="Arial"/>
    </font>
    <font>
      <u/>
      <color rgb="FF0000FF"/>
      <name val="Arial"/>
    </font>
  </fonts>
  <fills count="17">
    <fill>
      <patternFill patternType="none"/>
    </fill>
    <fill>
      <patternFill patternType="lightGray"/>
    </fill>
    <fill>
      <patternFill patternType="solid">
        <fgColor rgb="FFD9D9D9"/>
        <bgColor rgb="FFD9D9D9"/>
      </patternFill>
    </fill>
    <fill>
      <patternFill patternType="solid">
        <fgColor rgb="FFF3F3F3"/>
        <bgColor rgb="FFF3F3F3"/>
      </patternFill>
    </fill>
    <fill>
      <patternFill patternType="solid">
        <fgColor rgb="FFFCE5CD"/>
        <bgColor rgb="FFFCE5CD"/>
      </patternFill>
    </fill>
    <fill>
      <patternFill patternType="solid">
        <fgColor rgb="FFFFFFFF"/>
        <bgColor rgb="FFFFFFFF"/>
      </patternFill>
    </fill>
    <fill>
      <patternFill patternType="solid">
        <fgColor rgb="FFD9EAD3"/>
        <bgColor rgb="FFD9EAD3"/>
      </patternFill>
    </fill>
    <fill>
      <patternFill patternType="solid">
        <fgColor rgb="FFF2F2F2"/>
        <bgColor rgb="FFF2F2F2"/>
      </patternFill>
    </fill>
    <fill>
      <patternFill patternType="solid">
        <fgColor rgb="FFF8F8F8"/>
        <bgColor rgb="FFF8F8F8"/>
      </patternFill>
    </fill>
    <fill>
      <patternFill patternType="solid">
        <fgColor rgb="FFEFEFEF"/>
        <bgColor rgb="FFEFEFEF"/>
      </patternFill>
    </fill>
    <fill>
      <patternFill patternType="solid">
        <fgColor rgb="FFCFE2F3"/>
        <bgColor rgb="FFCFE2F3"/>
      </patternFill>
    </fill>
    <fill>
      <patternFill patternType="solid">
        <fgColor rgb="FFFFFF00"/>
        <bgColor rgb="FFFFFF00"/>
      </patternFill>
    </fill>
    <fill>
      <patternFill patternType="solid">
        <fgColor rgb="FFFFF4F4"/>
        <bgColor rgb="FFFFF4F4"/>
      </patternFill>
    </fill>
    <fill>
      <patternFill patternType="solid">
        <fgColor rgb="FFA61C00"/>
        <bgColor rgb="FFA61C00"/>
      </patternFill>
    </fill>
    <fill>
      <patternFill patternType="solid">
        <fgColor rgb="FFFEFFA3"/>
        <bgColor rgb="FFFEFFA3"/>
      </patternFill>
    </fill>
    <fill>
      <patternFill patternType="solid">
        <fgColor rgb="FFE0FBD7"/>
        <bgColor rgb="FFE0FBD7"/>
      </patternFill>
    </fill>
    <fill>
      <patternFill patternType="solid">
        <fgColor rgb="FFFCFCFC"/>
        <bgColor rgb="FFFCFCFC"/>
      </patternFill>
    </fill>
  </fills>
  <borders count="113">
    <border/>
    <border>
      <left style="thin">
        <color rgb="FF000000"/>
      </left>
      <right style="thin">
        <color rgb="FF666666"/>
      </right>
      <top style="thin">
        <color rgb="FF000000"/>
      </top>
      <bottom style="thin">
        <color rgb="FF000000"/>
      </bottom>
    </border>
    <border>
      <left style="thin">
        <color rgb="FF666666"/>
      </left>
      <right style="thin">
        <color rgb="FF000000"/>
      </right>
      <top style="thin">
        <color rgb="FF000000"/>
      </top>
      <bottom style="thin">
        <color rgb="FF000000"/>
      </bottom>
    </border>
    <border>
      <left style="thin">
        <color rgb="FF000000"/>
      </left>
      <right style="thin">
        <color rgb="FF666666"/>
      </right>
    </border>
    <border>
      <left style="medium">
        <color rgb="FF000000"/>
      </left>
    </border>
    <border>
      <left style="thin">
        <color rgb="FF666666"/>
      </left>
      <right style="thin">
        <color rgb="FF000000"/>
      </right>
    </border>
    <border>
      <left style="thin">
        <color rgb="FF000000"/>
      </left>
      <right style="thin">
        <color rgb="FF666666"/>
      </right>
      <bottom style="thin">
        <color rgb="FF000000"/>
      </bottom>
    </border>
    <border>
      <left style="thin">
        <color rgb="FF666666"/>
      </left>
      <right style="thin">
        <color rgb="FF000000"/>
      </right>
      <bottom style="thin">
        <color rgb="FF000000"/>
      </bottom>
    </border>
    <border>
      <right style="medium">
        <color rgb="FF000000"/>
      </right>
    </border>
    <border>
      <bottom style="double">
        <color rgb="FF000000"/>
      </bottom>
    </border>
    <border>
      <left style="medium">
        <color rgb="FF000000"/>
      </left>
      <bottom style="double">
        <color rgb="FF000000"/>
      </bottom>
    </border>
    <border>
      <left style="thin">
        <color rgb="FFD9D9D9"/>
      </left>
      <right style="thin">
        <color rgb="FFD9D9D9"/>
      </right>
      <top style="thin">
        <color rgb="FFD9D9D9"/>
      </top>
    </border>
    <border>
      <left style="thin">
        <color rgb="FFD9D9D9"/>
      </left>
      <top style="thin">
        <color rgb="FFD9D9D9"/>
      </top>
    </border>
    <border>
      <right style="thin">
        <color rgb="FFD9D9D9"/>
      </right>
      <top style="thin">
        <color rgb="FFD9D9D9"/>
      </top>
    </border>
    <border>
      <top style="thin">
        <color rgb="FFD9D9D9"/>
      </top>
    </border>
    <border>
      <right style="medium">
        <color rgb="FF000000"/>
      </right>
      <bottom style="double">
        <color rgb="FF000000"/>
      </bottom>
    </border>
    <border>
      <left style="thin">
        <color rgb="FFEFEFEF"/>
      </left>
      <right style="thin">
        <color rgb="FFEFEFEF"/>
      </right>
      <top style="thin">
        <color rgb="FFEFEFEF"/>
      </top>
      <bottom style="thin">
        <color rgb="FFEFEFEF"/>
      </bottom>
    </border>
    <border>
      <left style="thin">
        <color rgb="FFEFEFEF"/>
      </left>
      <top style="thin">
        <color rgb="FFEFEFEF"/>
      </top>
      <bottom style="thin">
        <color rgb="FFEFEFEF"/>
      </bottom>
    </border>
    <border>
      <right style="thin">
        <color rgb="FFEFEFEF"/>
      </right>
      <top style="thin">
        <color rgb="FFEFEFEF"/>
      </top>
      <bottom style="thin">
        <color rgb="FFEFEFEF"/>
      </bottom>
    </border>
    <border>
      <bottom style="thin">
        <color rgb="FF000000"/>
      </bottom>
    </border>
    <border>
      <right/>
      <bottom style="thin">
        <color rgb="FF000000"/>
      </bottom>
    </border>
    <border>
      <right/>
    </border>
    <border>
      <left style="thin">
        <color rgb="FFD9D9D9"/>
      </left>
      <right style="thin">
        <color rgb="FFD9D9D9"/>
      </right>
      <top style="thin">
        <color rgb="FFD9D9D9"/>
      </top>
      <bottom style="thin">
        <color rgb="FFD9D9D9"/>
      </bottom>
    </border>
    <border>
      <right style="thin">
        <color rgb="FFD9D9D9"/>
      </right>
      <top style="thin">
        <color rgb="FFD9D9D9"/>
      </top>
      <bottom style="thin">
        <color rgb="FFD9D9D9"/>
      </bottom>
    </border>
    <border>
      <left style="thin">
        <color rgb="FFD9D9D9"/>
      </left>
      <right style="thin">
        <color rgb="FFD9D9D9"/>
      </right>
    </border>
    <border>
      <right style="thin">
        <color rgb="FFD9D9D9"/>
      </right>
    </border>
    <border>
      <left style="thin">
        <color rgb="FFD9D9D9"/>
      </left>
      <bottom style="thin">
        <color rgb="FFD9D9D9"/>
      </bottom>
    </border>
    <border>
      <bottom style="thin">
        <color rgb="FFD9D9D9"/>
      </bottom>
    </border>
    <border>
      <right style="thin">
        <color rgb="FFD9D9D9"/>
      </right>
      <bottom style="thin">
        <color rgb="FFD9D9D9"/>
      </bottom>
    </border>
    <border>
      <top style="thin">
        <color rgb="FF000000"/>
      </top>
    </border>
    <border>
      <left style="thin">
        <color rgb="FFD9D9D9"/>
      </left>
      <top style="thin">
        <color rgb="FFD9D9D9"/>
      </top>
      <bottom style="thin">
        <color rgb="FFD9D9D9"/>
      </bottom>
    </border>
    <border>
      <top style="thin">
        <color rgb="FFD9D9D9"/>
      </top>
      <bottom style="thin">
        <color rgb="FFD9D9D9"/>
      </bottom>
    </border>
    <border>
      <bottom style="dotted">
        <color rgb="FF000000"/>
      </bottom>
    </border>
    <border>
      <left style="medium">
        <color rgb="FF000000"/>
      </left>
      <top style="thin">
        <color rgb="FF000000"/>
      </top>
    </border>
    <border>
      <right style="medium">
        <color rgb="FF000000"/>
      </right>
      <bottom style="dotted">
        <color rgb="FF000000"/>
      </bottom>
    </border>
    <border>
      <left style="medium">
        <color rgb="FF000000"/>
      </left>
      <bottom style="dotted">
        <color rgb="FF000000"/>
      </bottom>
    </border>
    <border>
      <left style="thin">
        <color rgb="FFD9D9D9"/>
      </left>
      <right style="thin">
        <color rgb="FFD9D9D9"/>
      </right>
      <bottom style="thin">
        <color rgb="FFD9D9D9"/>
      </bottom>
    </border>
    <border>
      <left style="thin">
        <color rgb="FFEFEFEF"/>
      </left>
      <bottom style="thin">
        <color rgb="FFEFEFEF"/>
      </bottom>
    </border>
    <border>
      <bottom style="thin">
        <color rgb="FFEFEFEF"/>
      </bottom>
    </border>
    <border>
      <left style="thin">
        <color rgb="FFF3F3F3"/>
      </left>
      <top style="thin">
        <color rgb="FFF3F3F3"/>
      </top>
      <bottom style="thin">
        <color rgb="FFF2F2F2"/>
      </bottom>
    </border>
    <border>
      <top style="thin">
        <color rgb="FFF3F3F3"/>
      </top>
      <bottom style="thin">
        <color rgb="FFF2F2F2"/>
      </bottom>
    </border>
    <border>
      <right style="thin">
        <color rgb="FFF2F2F2"/>
      </right>
      <top style="thin">
        <color rgb="FFF3F3F3"/>
      </top>
      <bottom style="thin">
        <color rgb="FFF2F2F2"/>
      </bottom>
    </border>
    <border>
      <right style="medium">
        <color rgb="FF000000"/>
      </right>
      <bottom style="thin">
        <color rgb="FF000000"/>
      </bottom>
    </border>
    <border>
      <left style="medium">
        <color rgb="FF000000"/>
      </left>
      <bottom style="thin">
        <color rgb="FF000000"/>
      </bottom>
    </border>
    <border>
      <top style="thin">
        <color rgb="FFEFEFEF"/>
      </top>
      <bottom style="thin">
        <color rgb="FFEFEFEF"/>
      </bottom>
    </border>
    <border>
      <left style="thin">
        <color rgb="FFD9D9D9"/>
      </left>
      <right style="thin">
        <color rgb="FFD9D9D9"/>
      </right>
      <top style="thin">
        <color rgb="FFF8F8F8"/>
      </top>
      <bottom style="thin">
        <color rgb="FFD9D9D9"/>
      </bottom>
    </border>
    <border>
      <left style="thin">
        <color rgb="FFD9D9D9"/>
      </left>
      <right style="thin">
        <color rgb="FFD9D9D9"/>
      </right>
      <top style="thin">
        <color rgb="FFF2F2F2"/>
      </top>
      <bottom style="thin">
        <color rgb="FFD9D9D9"/>
      </bottom>
    </border>
    <border>
      <left style="thin">
        <color rgb="FFF3F3F3"/>
      </left>
      <bottom style="thin">
        <color rgb="FFF2F2F2"/>
      </bottom>
    </border>
    <border>
      <bottom style="thin">
        <color rgb="FFF2F2F2"/>
      </bottom>
    </border>
    <border>
      <right style="thin">
        <color rgb="FFF2F2F2"/>
      </right>
      <bottom style="thin">
        <color rgb="FFF2F2F2"/>
      </bottom>
    </border>
    <border>
      <right style="medium">
        <color rgb="FF000000"/>
      </right>
      <top style="thin">
        <color rgb="FF000000"/>
      </top>
    </border>
    <border>
      <left style="thin">
        <color rgb="FFD9D9D9"/>
      </left>
    </border>
    <border>
      <right style="thin">
        <color rgb="FF000000"/>
      </right>
      <bottom style="thin">
        <color rgb="FF000000"/>
      </bottom>
    </border>
    <border>
      <right style="thin">
        <color rgb="FFB7B7B7"/>
      </right>
      <bottom style="thin">
        <color rgb="FF000000"/>
      </bottom>
    </border>
    <border>
      <right style="thin">
        <color rgb="FF434343"/>
      </right>
      <bottom style="thin">
        <color rgb="FF000000"/>
      </bottom>
    </border>
    <border>
      <left style="thin">
        <color rgb="FF000000"/>
      </left>
      <right style="thin">
        <color rgb="FF434343"/>
      </right>
      <bottom style="thin">
        <color rgb="FF000000"/>
      </bottom>
    </border>
    <border>
      <right style="thin">
        <color rgb="FF000000"/>
      </right>
    </border>
    <border>
      <right style="thin">
        <color rgb="FF000000"/>
      </right>
      <top style="thin">
        <color rgb="FF000000"/>
      </top>
    </border>
    <border>
      <left style="thin">
        <color rgb="FF000000"/>
      </left>
      <top style="thin">
        <color rgb="FF000000"/>
      </top>
    </border>
    <border>
      <left style="thin">
        <color rgb="FF000000"/>
      </left>
      <right style="thin">
        <color rgb="FF000000"/>
      </right>
      <top style="thin">
        <color rgb="FF000000"/>
      </top>
    </border>
    <border>
      <left style="thin">
        <color rgb="FF000000"/>
      </left>
    </border>
    <border>
      <left style="thin">
        <color rgb="FF000000"/>
      </left>
      <right style="thin">
        <color rgb="FF000000"/>
      </right>
    </border>
    <border>
      <top style="dotted">
        <color rgb="FF000000"/>
      </top>
    </border>
    <border>
      <right style="medium">
        <color rgb="FF000000"/>
      </right>
      <top style="dotted">
        <color rgb="FF000000"/>
      </top>
    </border>
    <border>
      <left style="medium">
        <color rgb="FF000000"/>
      </left>
      <top style="dotted">
        <color rgb="FF000000"/>
      </top>
    </border>
    <border>
      <left style="thin">
        <color rgb="FF000000"/>
      </left>
      <bottom style="thin">
        <color rgb="FF000000"/>
      </bottom>
    </border>
    <border>
      <left style="thin">
        <color rgb="FF000000"/>
      </left>
      <right style="thin">
        <color rgb="FF000000"/>
      </right>
      <bottom style="thin">
        <color rgb="FF000000"/>
      </bottom>
    </border>
    <border>
      <right style="thin">
        <color rgb="FF000000"/>
      </right>
      <top style="thin">
        <color rgb="FF000000"/>
      </top>
      <bottom style="double">
        <color rgb="FF000000"/>
      </bottom>
    </border>
    <border>
      <top style="thin">
        <color rgb="FF000000"/>
      </top>
      <bottom style="double">
        <color rgb="FF000000"/>
      </bottom>
    </border>
    <border>
      <left style="thin">
        <color rgb="FF000000"/>
      </left>
      <right style="thin">
        <color rgb="FF000000"/>
      </right>
      <bottom style="double">
        <color rgb="FF000000"/>
      </bottom>
    </border>
    <border>
      <left style="thin">
        <color rgb="FF000000"/>
      </left>
      <bottom style="double">
        <color rgb="FF000000"/>
      </bottom>
    </border>
    <border>
      <right style="thin">
        <color rgb="FF000000"/>
      </right>
      <bottom style="double">
        <color rgb="FF000000"/>
      </bottom>
    </border>
    <border>
      <right style="dotted">
        <color rgb="FF666666"/>
      </right>
    </border>
    <border>
      <right style="thin">
        <color rgb="FF666666"/>
      </right>
    </border>
    <border>
      <left style="thin">
        <color rgb="FFEFEFEF"/>
      </left>
      <right style="thin">
        <color rgb="FFEFEFEF"/>
      </right>
      <bottom style="thin">
        <color rgb="FFEFEFEF"/>
      </bottom>
    </border>
    <border>
      <left style="thin">
        <color rgb="FF000000"/>
      </left>
      <top style="double">
        <color rgb="FF000000"/>
      </top>
    </border>
    <border>
      <top style="double">
        <color rgb="FF000000"/>
      </top>
    </border>
    <border>
      <left style="medium">
        <color rgb="FFAAAAAA"/>
      </left>
      <right style="medium">
        <color rgb="FFAAAAAA"/>
      </right>
      <top style="medium">
        <color rgb="FFAAAAAA"/>
      </top>
      <bottom style="medium">
        <color rgb="FFAAAAAA"/>
      </bottom>
    </border>
    <border>
      <left style="medium">
        <color rgb="FFAAAAAA"/>
      </left>
      <right style="medium">
        <color rgb="FFAAAAAA"/>
      </right>
      <top style="medium">
        <color rgb="FFAAAAAA"/>
      </top>
    </border>
    <border>
      <bottom style="dotted">
        <color rgb="FF666666"/>
      </bottom>
    </border>
    <border>
      <right style="dotted">
        <color rgb="FF666666"/>
      </right>
      <bottom style="dotted">
        <color rgb="FF666666"/>
      </bottom>
    </border>
    <border>
      <right style="thin">
        <color rgb="FF666666"/>
      </right>
      <bottom style="dotted">
        <color rgb="FF666666"/>
      </bottom>
    </border>
    <border>
      <right style="thin">
        <color rgb="FF000000"/>
      </right>
      <bottom style="dotted">
        <color rgb="FF000000"/>
      </bottom>
    </border>
    <border>
      <left style="thin">
        <color rgb="FF000000"/>
      </left>
      <right style="thin">
        <color rgb="FF000000"/>
      </right>
      <bottom style="dotted">
        <color rgb="FF000000"/>
      </bottom>
    </border>
    <border>
      <left style="thin">
        <color rgb="FF000000"/>
      </left>
      <bottom style="dotted">
        <color rgb="FF000000"/>
      </bottom>
    </border>
    <border>
      <bottom style="thin">
        <color rgb="FF666666"/>
      </bottom>
    </border>
    <border>
      <right style="dotted">
        <color rgb="FF666666"/>
      </right>
      <bottom style="thin">
        <color rgb="FF666666"/>
      </bottom>
    </border>
    <border>
      <right style="thin">
        <color rgb="FF666666"/>
      </right>
      <bottom style="thin">
        <color rgb="FF666666"/>
      </bottom>
    </border>
    <border>
      <right style="thin">
        <color rgb="FFFFFFFF"/>
      </right>
    </border>
    <border>
      <left style="thin">
        <color rgb="FFFFFFFF"/>
      </left>
      <right style="thin">
        <color rgb="FFFFFFFF"/>
      </right>
    </border>
    <border>
      <left style="thin">
        <color rgb="FFFFFFFF"/>
      </left>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
      <left style="thin">
        <color rgb="FFB7B7B7"/>
      </left>
    </border>
    <border>
      <right style="thin">
        <color rgb="FFB7B7B7"/>
      </right>
    </border>
    <border>
      <left style="thin">
        <color rgb="FFB7B7B7"/>
      </left>
      <bottom style="thin">
        <color rgb="FFB7B7B7"/>
      </bottom>
    </border>
    <border>
      <bottom style="thin">
        <color rgb="FFB7B7B7"/>
      </bottom>
    </border>
    <border>
      <right style="thin">
        <color rgb="FFB7B7B7"/>
      </right>
      <bottom style="thin">
        <color rgb="FFB7B7B7"/>
      </bottom>
    </border>
    <border>
      <left style="thin">
        <color rgb="FFB7B7B7"/>
      </left>
      <right style="thin">
        <color rgb="FFB7B7B7"/>
      </right>
      <top style="thin">
        <color rgb="FFB7B7B7"/>
      </top>
    </border>
    <border>
      <left style="thin">
        <color rgb="FFB7B7B7"/>
      </left>
      <right style="thin">
        <color rgb="FFB7B7B7"/>
      </right>
      <bottom style="thin">
        <color rgb="FFB7B7B7"/>
      </bottom>
    </border>
    <border>
      <left style="thin">
        <color rgb="FFB7B7B7"/>
      </left>
      <right style="thin">
        <color rgb="FFB7B7B7"/>
      </right>
      <top style="thin">
        <color rgb="FFB7B7B7"/>
      </top>
      <bottom style="thin">
        <color rgb="FFB7B7B7"/>
      </bottom>
    </border>
    <border>
      <left style="thin">
        <color rgb="FF000000"/>
      </left>
      <right style="thin">
        <color rgb="FFFFFFFF"/>
      </right>
    </border>
    <border>
      <left style="thin">
        <color rgb="FFB7B7B7"/>
      </left>
      <top style="thin">
        <color rgb="FFB7B7B7"/>
      </top>
    </border>
    <border>
      <top style="thin">
        <color rgb="FFB7B7B7"/>
      </top>
    </border>
    <border>
      <right style="thin">
        <color rgb="FF000000"/>
      </right>
      <bottom style="medium">
        <color rgb="FF000000"/>
      </bottom>
    </border>
    <border>
      <bottom style="medium">
        <color rgb="FF000000"/>
      </bottom>
    </border>
    <border>
      <left style="thin">
        <color rgb="FF000000"/>
      </left>
      <right style="thin">
        <color rgb="FF000000"/>
      </right>
      <bottom style="medium">
        <color rgb="FF000000"/>
      </bottom>
    </border>
    <border>
      <left style="thin">
        <color rgb="FF000000"/>
      </left>
      <bottom style="medium">
        <color rgb="FF000000"/>
      </bottom>
    </border>
    <border>
      <left style="thin">
        <color rgb="FF000000"/>
      </left>
      <top style="medium">
        <color rgb="FF000000"/>
      </top>
    </border>
    <border>
      <top style="medium">
        <color rgb="FF000000"/>
      </top>
    </border>
    <border>
      <left style="thin">
        <color rgb="FF000000"/>
      </left>
      <top style="medium">
        <color rgb="FF000000"/>
      </top>
      <bottom style="dotted">
        <color rgb="FF000000"/>
      </bottom>
    </border>
    <border>
      <top style="medium">
        <color rgb="FF000000"/>
      </top>
      <bottom style="dotted">
        <color rgb="FF000000"/>
      </bottom>
    </border>
  </borders>
  <cellStyleXfs count="1">
    <xf borderId="0" fillId="0" fontId="0" numFmtId="0" applyAlignment="1" applyFont="1"/>
  </cellStyleXfs>
  <cellXfs count="99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Font="1"/>
    <xf borderId="0" fillId="0" fontId="2" numFmtId="0" xfId="0" applyAlignment="1" applyFont="1">
      <alignment readingOrder="0"/>
    </xf>
    <xf borderId="0" fillId="2" fontId="3" numFmtId="0" xfId="0" applyAlignment="1" applyFill="1" applyFont="1">
      <alignment horizontal="center" vertical="bottom"/>
    </xf>
    <xf borderId="0" fillId="2" fontId="2" numFmtId="0" xfId="0" applyAlignment="1" applyFill="1" applyFont="1">
      <alignment vertical="bottom"/>
    </xf>
    <xf borderId="0" fillId="2" fontId="4" numFmtId="0" xfId="0" applyAlignment="1" applyFill="1" applyFont="1">
      <alignment horizontal="center" readingOrder="0" vertical="bottom"/>
    </xf>
    <xf borderId="0" fillId="2" fontId="5" numFmtId="0" xfId="0" applyAlignment="1" applyFill="1" applyFont="1">
      <alignment horizontal="center" readingOrder="0" vertical="bottom"/>
    </xf>
    <xf borderId="1" fillId="2" fontId="6" numFmtId="0" xfId="0" applyAlignment="1" applyBorder="1" applyFill="1" applyFont="1">
      <alignment horizontal="center" readingOrder="0"/>
    </xf>
    <xf borderId="2" fillId="2" fontId="6" numFmtId="0" xfId="0" applyAlignment="1" applyBorder="1" applyFill="1" applyFont="1">
      <alignment horizontal="center" readingOrder="0"/>
    </xf>
    <xf borderId="0" fillId="2" fontId="4" numFmtId="0" xfId="0" applyAlignment="1" applyFill="1" applyFont="1">
      <alignment horizontal="center" vertical="bottom"/>
    </xf>
    <xf borderId="3" fillId="0" fontId="2" numFmtId="0" xfId="0" applyAlignment="1" applyBorder="1" applyFont="1">
      <alignment readingOrder="0"/>
    </xf>
    <xf borderId="4" fillId="2" fontId="3" numFmtId="0" xfId="0" applyAlignment="1" applyBorder="1" applyFill="1" applyFont="1">
      <alignment horizontal="center" vertical="bottom"/>
    </xf>
    <xf borderId="4" fillId="2" fontId="2" numFmtId="0" xfId="0" applyAlignment="1" applyBorder="1" applyFill="1" applyFont="1">
      <alignment vertical="bottom"/>
    </xf>
    <xf borderId="5" fillId="0" fontId="2" numFmtId="0" xfId="0" applyAlignment="1" applyBorder="1" applyFont="1">
      <alignment readingOrder="0"/>
    </xf>
    <xf borderId="0" fillId="2" fontId="7" numFmtId="0" xfId="0" applyAlignment="1" applyFill="1" applyFont="1">
      <alignment vertical="bottom"/>
    </xf>
    <xf borderId="6" fillId="0" fontId="2" numFmtId="0" xfId="0" applyAlignment="1" applyBorder="1" applyFont="1">
      <alignment readingOrder="0"/>
    </xf>
    <xf borderId="7" fillId="0" fontId="2" numFmtId="0" xfId="0" applyAlignment="1" applyBorder="1" applyFont="1">
      <alignment readingOrder="0"/>
    </xf>
    <xf borderId="4" fillId="2" fontId="4" numFmtId="0" xfId="0" applyAlignment="1" applyBorder="1" applyFill="1" applyFont="1">
      <alignment horizontal="center" readingOrder="0" vertical="bottom"/>
    </xf>
    <xf borderId="0" fillId="2" fontId="8" numFmtId="0" xfId="0" applyAlignment="1" applyFill="1" applyFont="1">
      <alignment horizontal="center" readingOrder="0" vertical="bottom"/>
    </xf>
    <xf borderId="0" fillId="2" fontId="9" numFmtId="0" xfId="0" applyAlignment="1" applyFill="1" applyFont="1">
      <alignment horizontal="center" vertical="bottom"/>
    </xf>
    <xf borderId="0" fillId="2" fontId="8" numFmtId="0" xfId="0" applyAlignment="1" applyFill="1" applyFont="1">
      <alignment horizontal="center" vertical="bottom"/>
    </xf>
    <xf borderId="0" fillId="2" fontId="9" numFmtId="0" xfId="0" applyAlignment="1" applyFill="1" applyFont="1">
      <alignment horizontal="center" readingOrder="0" vertical="bottom"/>
    </xf>
    <xf borderId="0" fillId="2" fontId="10" numFmtId="0" xfId="0" applyAlignment="1" applyFill="1" applyFont="1">
      <alignment horizontal="center" vertical="bottom"/>
    </xf>
    <xf borderId="0" fillId="2" fontId="11" numFmtId="0" xfId="0" applyAlignment="1" applyFill="1" applyFont="1">
      <alignment horizontal="left" readingOrder="0" vertical="bottom"/>
    </xf>
    <xf borderId="0" fillId="2" fontId="11" numFmtId="0" xfId="0" applyAlignment="1" applyFill="1" applyFont="1">
      <alignment horizontal="left" vertical="bottom"/>
    </xf>
    <xf borderId="8" fillId="2" fontId="11" numFmtId="0" xfId="0" applyAlignment="1" applyBorder="1" applyFill="1" applyFont="1">
      <alignment horizontal="center" vertical="bottom"/>
    </xf>
    <xf borderId="9" fillId="2" fontId="12" numFmtId="0" xfId="0" applyAlignment="1" applyBorder="1" applyFill="1" applyFont="1">
      <alignment textRotation="90" vertical="bottom"/>
    </xf>
    <xf borderId="9" fillId="2" fontId="13" numFmtId="0" xfId="0" applyAlignment="1" applyBorder="1" applyFill="1" applyFont="1">
      <alignment horizontal="center" readingOrder="0" textRotation="90" vertical="bottom"/>
    </xf>
    <xf borderId="9" fillId="2" fontId="13" numFmtId="0" xfId="0" applyAlignment="1" applyBorder="1" applyFill="1" applyFont="1">
      <alignment horizontal="center" textRotation="90" vertical="bottom"/>
    </xf>
    <xf borderId="9" fillId="2" fontId="14" numFmtId="0" xfId="0" applyAlignment="1" applyBorder="1" applyFill="1" applyFont="1">
      <alignment horizontal="center" readingOrder="0" textRotation="90" vertical="bottom"/>
    </xf>
    <xf borderId="10" fillId="2" fontId="12" numFmtId="0" xfId="0" applyAlignment="1" applyBorder="1" applyFill="1" applyFont="1">
      <alignment textRotation="90" vertical="bottom"/>
    </xf>
    <xf borderId="0" fillId="0" fontId="15" numFmtId="0" xfId="0" applyAlignment="1" applyFont="1">
      <alignment readingOrder="0"/>
    </xf>
    <xf borderId="8" fillId="2" fontId="2" numFmtId="0" xfId="0" applyAlignment="1" applyBorder="1" applyFill="1" applyFont="1">
      <alignment readingOrder="0" vertical="bottom"/>
    </xf>
    <xf borderId="4" fillId="2" fontId="9" numFmtId="0" xfId="0" applyAlignment="1" applyBorder="1" applyFill="1" applyFont="1">
      <alignment horizontal="center" vertical="bottom"/>
    </xf>
    <xf borderId="0" fillId="0" fontId="16" numFmtId="0" xfId="0" applyAlignment="1" applyFont="1">
      <alignment readingOrder="0"/>
    </xf>
    <xf borderId="11" fillId="3" fontId="17" numFmtId="0" xfId="0" applyAlignment="1" applyBorder="1" applyFill="1" applyFont="1">
      <alignment horizontal="center" readingOrder="0"/>
    </xf>
    <xf borderId="0" fillId="0" fontId="2" numFmtId="0" xfId="0" applyAlignment="1" applyFont="1">
      <alignment readingOrder="0" vertical="bottom"/>
    </xf>
    <xf borderId="0" fillId="0" fontId="18" numFmtId="0" xfId="0" applyAlignment="1" applyFont="1">
      <alignment horizontal="left" readingOrder="0" vertical="bottom"/>
    </xf>
    <xf borderId="0" fillId="0" fontId="19" numFmtId="0" xfId="0" applyAlignment="1" applyFont="1">
      <alignment horizontal="right" readingOrder="0" vertical="bottom"/>
    </xf>
    <xf borderId="12" fillId="3" fontId="17" numFmtId="0" xfId="0" applyAlignment="1" applyBorder="1" applyFill="1" applyFont="1">
      <alignment horizontal="center" readingOrder="0"/>
    </xf>
    <xf borderId="13" fillId="0" fontId="20" numFmtId="0" xfId="0" applyBorder="1" applyFont="1"/>
    <xf borderId="9" fillId="2" fontId="21" numFmtId="0" xfId="0" applyAlignment="1" applyBorder="1" applyFill="1" applyFont="1">
      <alignment horizontal="center" textRotation="90" vertical="bottom"/>
    </xf>
    <xf borderId="0" fillId="0" fontId="22" numFmtId="0" xfId="0" applyAlignment="1" applyFont="1">
      <alignment horizontal="right" readingOrder="0" vertical="bottom"/>
    </xf>
    <xf borderId="12" fillId="3" fontId="23" numFmtId="0" xfId="0" applyAlignment="1" applyBorder="1" applyFill="1" applyFont="1">
      <alignment horizontal="center" readingOrder="0"/>
    </xf>
    <xf borderId="0" fillId="0" fontId="24" numFmtId="0" xfId="0" applyAlignment="1" applyFont="1">
      <alignment readingOrder="0" vertical="bottom"/>
    </xf>
    <xf borderId="0" fillId="0" fontId="25" numFmtId="0" xfId="0" applyAlignment="1" applyFont="1">
      <alignment horizontal="right" readingOrder="0" vertical="bottom"/>
    </xf>
    <xf borderId="14" fillId="3" fontId="17" numFmtId="0" xfId="0" applyAlignment="1" applyBorder="1" applyFill="1" applyFont="1">
      <alignment horizontal="center" readingOrder="0"/>
    </xf>
    <xf borderId="0" fillId="0" fontId="26" numFmtId="0" xfId="0" applyAlignment="1" applyFont="1">
      <alignment readingOrder="0" shrinkToFit="0" vertical="bottom" wrapText="0"/>
    </xf>
    <xf borderId="15" fillId="2" fontId="12" numFmtId="0" xfId="0" applyAlignment="1" applyBorder="1" applyFill="1" applyFont="1">
      <alignment textRotation="90" vertical="bottom"/>
    </xf>
    <xf borderId="0" fillId="4" fontId="22" numFmtId="0" xfId="0" applyAlignment="1" applyFill="1" applyFont="1">
      <alignment horizontal="right" readingOrder="0" vertical="bottom"/>
    </xf>
    <xf borderId="13" fillId="3" fontId="17" numFmtId="0" xfId="0" applyAlignment="1" applyBorder="1" applyFill="1" applyFont="1">
      <alignment horizontal="center" readingOrder="0"/>
    </xf>
    <xf borderId="0" fillId="0" fontId="7" numFmtId="0" xfId="0" applyAlignment="1" applyFont="1">
      <alignment vertical="bottom"/>
    </xf>
    <xf borderId="0" fillId="5" fontId="27" numFmtId="0" xfId="0" applyAlignment="1" applyFill="1" applyFont="1">
      <alignment readingOrder="0"/>
    </xf>
    <xf borderId="0" fillId="0" fontId="19" numFmtId="0" xfId="0" applyAlignment="1" applyFont="1">
      <alignment horizontal="right" vertical="bottom"/>
    </xf>
    <xf borderId="0" fillId="0" fontId="16" numFmtId="0" xfId="0" applyFont="1"/>
    <xf borderId="4" fillId="0" fontId="2" numFmtId="0" xfId="0" applyAlignment="1" applyBorder="1" applyFont="1">
      <alignment readingOrder="0" vertical="bottom"/>
    </xf>
    <xf borderId="0" fillId="0" fontId="16" numFmtId="0" xfId="0" applyAlignment="1" applyFont="1">
      <alignment shrinkToFit="0" vertical="bottom" wrapText="0"/>
    </xf>
    <xf borderId="16" fillId="0" fontId="16" numFmtId="49" xfId="0" applyAlignment="1" applyBorder="1" applyFont="1" applyNumberFormat="1">
      <alignment horizontal="left" vertical="bottom"/>
    </xf>
    <xf borderId="16" fillId="0" fontId="16" numFmtId="49" xfId="0" applyAlignment="1" applyBorder="1" applyFont="1" applyNumberFormat="1">
      <alignment readingOrder="0"/>
    </xf>
    <xf borderId="0" fillId="0" fontId="19" numFmtId="0" xfId="0" applyAlignment="1" applyFont="1">
      <alignment readingOrder="0" vertical="bottom"/>
    </xf>
    <xf borderId="0" fillId="0" fontId="22" numFmtId="0" xfId="0" applyAlignment="1" applyFont="1">
      <alignment readingOrder="0" vertical="bottom"/>
    </xf>
    <xf borderId="17" fillId="0" fontId="2" numFmtId="49" xfId="0" applyAlignment="1" applyBorder="1" applyFont="1" applyNumberFormat="1">
      <alignment horizontal="right"/>
    </xf>
    <xf borderId="0" fillId="0" fontId="25" numFmtId="0" xfId="0" applyAlignment="1" applyFont="1">
      <alignment readingOrder="0" vertical="bottom"/>
    </xf>
    <xf borderId="18" fillId="0" fontId="20" numFmtId="0" xfId="0" applyBorder="1" applyFont="1"/>
    <xf borderId="0" fillId="6" fontId="22" numFmtId="0" xfId="0" applyAlignment="1" applyFill="1" applyFont="1">
      <alignment readingOrder="0" vertical="bottom"/>
    </xf>
    <xf borderId="10" fillId="2" fontId="21" numFmtId="0" xfId="0" applyAlignment="1" applyBorder="1" applyFill="1" applyFont="1">
      <alignment horizontal="center" textRotation="90" vertical="bottom"/>
    </xf>
    <xf borderId="16" fillId="0" fontId="22" numFmtId="49" xfId="0" applyBorder="1" applyFont="1" applyNumberFormat="1"/>
    <xf borderId="0" fillId="0" fontId="19" numFmtId="0" xfId="0" applyAlignment="1" applyFont="1">
      <alignment vertical="bottom"/>
    </xf>
    <xf borderId="0" fillId="0" fontId="16" numFmtId="0" xfId="0" applyAlignment="1" applyFont="1">
      <alignment horizontal="center" shrinkToFit="0" vertical="bottom" wrapText="0"/>
    </xf>
    <xf borderId="4" fillId="0" fontId="19" numFmtId="0" xfId="0" applyAlignment="1" applyBorder="1" applyFont="1">
      <alignment horizontal="left" readingOrder="0" vertical="bottom"/>
    </xf>
    <xf borderId="0" fillId="0" fontId="19" numFmtId="0" xfId="0" applyAlignment="1" applyFont="1">
      <alignment horizontal="left" vertical="bottom"/>
    </xf>
    <xf borderId="0" fillId="0" fontId="22" numFmtId="0" xfId="0" applyAlignment="1" applyFont="1">
      <alignment horizontal="right" vertical="bottom"/>
    </xf>
    <xf borderId="16" fillId="0" fontId="16" numFmtId="49" xfId="0" applyAlignment="1" applyBorder="1" applyFont="1" applyNumberFormat="1">
      <alignment horizontal="left" readingOrder="0" vertical="bottom"/>
    </xf>
    <xf borderId="0" fillId="0" fontId="2" numFmtId="0" xfId="0" applyAlignment="1" applyFont="1">
      <alignment vertical="bottom"/>
    </xf>
    <xf borderId="0" fillId="0" fontId="16" numFmtId="0" xfId="0" applyAlignment="1" applyFont="1">
      <alignment readingOrder="0" shrinkToFit="0" vertical="bottom" wrapText="0"/>
    </xf>
    <xf borderId="0" fillId="0" fontId="16" numFmtId="0" xfId="0" applyAlignment="1" applyFont="1">
      <alignment vertical="bottom"/>
    </xf>
    <xf borderId="19" fillId="0" fontId="28" numFmtId="0" xfId="0" applyAlignment="1" applyBorder="1" applyFont="1">
      <alignment readingOrder="0" shrinkToFit="0" vertical="bottom" wrapText="0"/>
    </xf>
    <xf borderId="19" fillId="0" fontId="20" numFmtId="0" xfId="0" applyBorder="1" applyFont="1"/>
    <xf borderId="20" fillId="0" fontId="20" numFmtId="0" xfId="0" applyBorder="1" applyFont="1"/>
    <xf borderId="19" fillId="0" fontId="16" numFmtId="0" xfId="0" applyAlignment="1" applyBorder="1" applyFont="1">
      <alignment shrinkToFit="0" vertical="bottom" wrapText="0"/>
    </xf>
    <xf borderId="0" fillId="0" fontId="24" numFmtId="0" xfId="0" applyAlignment="1" applyFont="1">
      <alignment horizontal="right" readingOrder="0" vertical="bottom"/>
    </xf>
    <xf borderId="19" fillId="0" fontId="16" numFmtId="0" xfId="0" applyAlignment="1" applyBorder="1" applyFont="1">
      <alignment vertical="bottom"/>
    </xf>
    <xf borderId="0" fillId="0" fontId="25" numFmtId="0" xfId="0" applyAlignment="1" applyFont="1">
      <alignment horizontal="right" vertical="bottom"/>
    </xf>
    <xf borderId="0" fillId="4" fontId="22" numFmtId="0" xfId="0" applyAlignment="1" applyFill="1" applyFont="1">
      <alignment horizontal="right" vertical="bottom"/>
    </xf>
    <xf borderId="0" fillId="0" fontId="18" numFmtId="0" xfId="0" applyAlignment="1" applyFont="1">
      <alignment horizontal="right" vertical="bottom"/>
    </xf>
    <xf borderId="0" fillId="0" fontId="29" numFmtId="0" xfId="0" applyAlignment="1" applyFont="1">
      <alignment horizontal="right" vertical="bottom"/>
    </xf>
    <xf borderId="8" fillId="0" fontId="2" numFmtId="0" xfId="0" applyAlignment="1" applyBorder="1" applyFont="1">
      <alignment vertical="bottom"/>
    </xf>
    <xf borderId="4" fillId="0" fontId="2" numFmtId="0" xfId="0" applyAlignment="1" applyBorder="1" applyFont="1">
      <alignment vertical="bottom"/>
    </xf>
    <xf borderId="16" fillId="0" fontId="22" numFmtId="49" xfId="0" applyAlignment="1" applyBorder="1" applyFont="1" applyNumberFormat="1">
      <alignment readingOrder="0"/>
    </xf>
    <xf borderId="0" fillId="0" fontId="24" numFmtId="0" xfId="0" applyAlignment="1" applyFont="1">
      <alignment horizontal="right" vertical="bottom"/>
    </xf>
    <xf borderId="21" fillId="0" fontId="20" numFmtId="0" xfId="0" applyBorder="1" applyFont="1"/>
    <xf borderId="22" fillId="7" fontId="16" numFmtId="0" xfId="0" applyAlignment="1" applyBorder="1" applyFill="1" applyFont="1">
      <alignment vertical="bottom"/>
    </xf>
    <xf borderId="23" fillId="8" fontId="16" numFmtId="0" xfId="0" applyAlignment="1" applyBorder="1" applyFill="1" applyFont="1">
      <alignment vertical="bottom"/>
    </xf>
    <xf borderId="23" fillId="7" fontId="16" numFmtId="0" xfId="0" applyAlignment="1" applyBorder="1" applyFill="1" applyFont="1">
      <alignment vertical="bottom"/>
    </xf>
    <xf borderId="22" fillId="7" fontId="16" numFmtId="0" xfId="0" applyAlignment="1" applyBorder="1" applyFill="1" applyFont="1">
      <alignment horizontal="center" readingOrder="0" shrinkToFit="0" wrapText="0"/>
    </xf>
    <xf borderId="0" fillId="0" fontId="18" numFmtId="0" xfId="0" applyAlignment="1" applyFont="1">
      <alignment readingOrder="0" vertical="bottom"/>
    </xf>
    <xf borderId="23" fillId="8" fontId="16" numFmtId="0" xfId="0" applyAlignment="1" applyBorder="1" applyFill="1" applyFont="1">
      <alignment readingOrder="0" vertical="bottom"/>
    </xf>
    <xf borderId="24" fillId="0" fontId="16" numFmtId="0" xfId="0" applyAlignment="1" applyBorder="1" applyFont="1">
      <alignment shrinkToFit="0" vertical="bottom" wrapText="0"/>
    </xf>
    <xf borderId="23" fillId="7" fontId="16" numFmtId="0" xfId="0" applyAlignment="1" applyBorder="1" applyFill="1" applyFont="1">
      <alignment horizontal="center" readingOrder="0" vertical="bottom"/>
    </xf>
    <xf borderId="23" fillId="8" fontId="16" numFmtId="0" xfId="0" applyAlignment="1" applyBorder="1" applyFill="1" applyFont="1">
      <alignment horizontal="center" readingOrder="0" vertical="bottom"/>
    </xf>
    <xf borderId="25" fillId="0" fontId="16" numFmtId="0" xfId="0" applyAlignment="1" applyBorder="1" applyFont="1">
      <alignment vertical="bottom"/>
    </xf>
    <xf borderId="23" fillId="7" fontId="16" numFmtId="0" xfId="0" applyAlignment="1" applyBorder="1" applyFill="1" applyFont="1">
      <alignment horizontal="center" vertical="bottom"/>
    </xf>
    <xf borderId="23" fillId="8" fontId="16" numFmtId="0" xfId="0" applyAlignment="1" applyBorder="1" applyFill="1" applyFont="1">
      <alignment horizontal="center" vertical="bottom"/>
    </xf>
    <xf borderId="0" fillId="6" fontId="18" numFmtId="0" xfId="0" applyAlignment="1" applyFill="1" applyFont="1">
      <alignment horizontal="right" vertical="bottom"/>
    </xf>
    <xf borderId="4" fillId="0" fontId="22" numFmtId="0" xfId="0" applyAlignment="1" applyBorder="1" applyFont="1">
      <alignment vertical="bottom"/>
    </xf>
    <xf borderId="22" fillId="7" fontId="16" numFmtId="0" xfId="0" applyAlignment="1" applyBorder="1" applyFill="1" applyFont="1">
      <alignment horizontal="center" shrinkToFit="0" wrapText="0"/>
    </xf>
    <xf borderId="22" fillId="8" fontId="16" numFmtId="0" xfId="0" applyAlignment="1" applyBorder="1" applyFill="1" applyFont="1">
      <alignment horizontal="center" shrinkToFit="0" wrapText="0"/>
    </xf>
    <xf borderId="22" fillId="8" fontId="16" numFmtId="0" xfId="0" applyAlignment="1" applyBorder="1" applyFill="1" applyFont="1">
      <alignment horizontal="center" readingOrder="0" shrinkToFit="0" wrapText="0"/>
    </xf>
    <xf borderId="17" fillId="0" fontId="2" numFmtId="49" xfId="0" applyAlignment="1" applyBorder="1" applyFont="1" applyNumberFormat="1">
      <alignment horizontal="right" readingOrder="0"/>
    </xf>
    <xf borderId="26" fillId="0" fontId="17" numFmtId="0" xfId="0" applyAlignment="1" applyBorder="1" applyFont="1">
      <alignment horizontal="center" vertical="bottom"/>
    </xf>
    <xf borderId="27" fillId="0" fontId="20" numFmtId="0" xfId="0" applyBorder="1" applyFont="1"/>
    <xf borderId="28" fillId="0" fontId="20" numFmtId="0" xfId="0" applyBorder="1" applyFont="1"/>
    <xf borderId="17" fillId="0" fontId="16" numFmtId="49" xfId="0" applyAlignment="1" applyBorder="1" applyFont="1" applyNumberFormat="1">
      <alignment horizontal="right" readingOrder="0"/>
    </xf>
    <xf borderId="17" fillId="0" fontId="22" numFmtId="49" xfId="0" applyAlignment="1" applyBorder="1" applyFont="1" applyNumberFormat="1">
      <alignment horizontal="right" readingOrder="0"/>
    </xf>
    <xf borderId="0" fillId="5" fontId="26" numFmtId="0" xfId="0" applyAlignment="1" applyFill="1" applyFont="1">
      <alignment readingOrder="0"/>
    </xf>
    <xf borderId="29" fillId="0" fontId="2" numFmtId="0" xfId="0" applyAlignment="1" applyBorder="1" applyFont="1">
      <alignment readingOrder="0" vertical="bottom"/>
    </xf>
    <xf borderId="29" fillId="0" fontId="18" numFmtId="0" xfId="0" applyAlignment="1" applyBorder="1" applyFont="1">
      <alignment horizontal="left" readingOrder="0" vertical="bottom"/>
    </xf>
    <xf borderId="29" fillId="0" fontId="19" numFmtId="0" xfId="0" applyAlignment="1" applyBorder="1" applyFont="1">
      <alignment horizontal="right" readingOrder="0" vertical="bottom"/>
    </xf>
    <xf borderId="29" fillId="0" fontId="22" numFmtId="0" xfId="0" applyAlignment="1" applyBorder="1" applyFont="1">
      <alignment horizontal="right" readingOrder="0" vertical="bottom"/>
    </xf>
    <xf borderId="29" fillId="0" fontId="24" numFmtId="0" xfId="0" applyAlignment="1" applyBorder="1" applyFont="1">
      <alignment horizontal="right" readingOrder="0" vertical="bottom"/>
    </xf>
    <xf borderId="29" fillId="0" fontId="25" numFmtId="0" xfId="0" applyAlignment="1" applyBorder="1" applyFont="1">
      <alignment horizontal="right" readingOrder="0" vertical="bottom"/>
    </xf>
    <xf borderId="29" fillId="4" fontId="22" numFmtId="0" xfId="0" applyAlignment="1" applyBorder="1" applyFill="1" applyFont="1">
      <alignment horizontal="right" readingOrder="0" vertical="bottom"/>
    </xf>
    <xf borderId="30" fillId="0" fontId="17" numFmtId="0" xfId="0" applyAlignment="1" applyBorder="1" applyFont="1">
      <alignment horizontal="center" readingOrder="0" shrinkToFit="0" wrapText="0"/>
    </xf>
    <xf borderId="31" fillId="0" fontId="20" numFmtId="0" xfId="0" applyBorder="1" applyFont="1"/>
    <xf borderId="23" fillId="0" fontId="20" numFmtId="0" xfId="0" applyBorder="1" applyFont="1"/>
    <xf borderId="27" fillId="0" fontId="17" numFmtId="0" xfId="0" applyAlignment="1" applyBorder="1" applyFont="1">
      <alignment horizontal="center" readingOrder="0" vertical="bottom"/>
    </xf>
    <xf borderId="32" fillId="0" fontId="2" numFmtId="0" xfId="0" applyAlignment="1" applyBorder="1" applyFont="1">
      <alignment readingOrder="0" vertical="bottom"/>
    </xf>
    <xf borderId="32" fillId="0" fontId="18" numFmtId="0" xfId="0" applyAlignment="1" applyBorder="1" applyFont="1">
      <alignment horizontal="left" readingOrder="0" vertical="bottom"/>
    </xf>
    <xf borderId="32" fillId="0" fontId="19" numFmtId="0" xfId="0" applyAlignment="1" applyBorder="1" applyFont="1">
      <alignment horizontal="right" vertical="bottom"/>
    </xf>
    <xf borderId="32" fillId="0" fontId="22" numFmtId="0" xfId="0" applyAlignment="1" applyBorder="1" applyFont="1">
      <alignment horizontal="right" vertical="bottom"/>
    </xf>
    <xf borderId="29" fillId="0" fontId="19" numFmtId="0" xfId="0" applyAlignment="1" applyBorder="1" applyFont="1">
      <alignment horizontal="right" vertical="bottom"/>
    </xf>
    <xf borderId="32" fillId="0" fontId="24" numFmtId="0" xfId="0" applyAlignment="1" applyBorder="1" applyFont="1">
      <alignment horizontal="right" vertical="bottom"/>
    </xf>
    <xf borderId="16" fillId="0" fontId="30" numFmtId="49" xfId="0" applyAlignment="1" applyBorder="1" applyFont="1" applyNumberFormat="1">
      <alignment readingOrder="0"/>
    </xf>
    <xf borderId="32" fillId="0" fontId="2" numFmtId="0" xfId="0" applyAlignment="1" applyBorder="1" applyFont="1">
      <alignment vertical="bottom"/>
    </xf>
    <xf borderId="32" fillId="0" fontId="25" numFmtId="0" xfId="0" applyAlignment="1" applyBorder="1" applyFont="1">
      <alignment horizontal="right" vertical="bottom"/>
    </xf>
    <xf borderId="0" fillId="5" fontId="31" numFmtId="0" xfId="0" applyAlignment="1" applyFill="1" applyFont="1">
      <alignment readingOrder="0"/>
    </xf>
    <xf borderId="29" fillId="0" fontId="19" numFmtId="0" xfId="0" applyAlignment="1" applyBorder="1" applyFont="1">
      <alignment horizontal="right" vertical="bottom"/>
    </xf>
    <xf borderId="30" fillId="0" fontId="17" numFmtId="0" xfId="0" applyAlignment="1" applyBorder="1" applyFont="1">
      <alignment horizontal="center" vertical="bottom"/>
    </xf>
    <xf borderId="33" fillId="0" fontId="2" numFmtId="0" xfId="0" applyAlignment="1" applyBorder="1" applyFont="1">
      <alignment readingOrder="0" vertical="bottom"/>
    </xf>
    <xf borderId="32" fillId="0" fontId="18" numFmtId="0" xfId="0" applyAlignment="1" applyBorder="1" applyFont="1">
      <alignment horizontal="right" vertical="bottom"/>
    </xf>
    <xf borderId="32" fillId="0" fontId="29" numFmtId="0" xfId="0" applyAlignment="1" applyBorder="1" applyFont="1">
      <alignment horizontal="right" vertical="bottom"/>
    </xf>
    <xf borderId="34" fillId="0" fontId="2" numFmtId="0" xfId="0" applyAlignment="1" applyBorder="1" applyFont="1">
      <alignment vertical="bottom"/>
    </xf>
    <xf borderId="35" fillId="0" fontId="2" numFmtId="0" xfId="0" applyAlignment="1" applyBorder="1" applyFont="1">
      <alignment vertical="bottom"/>
    </xf>
    <xf borderId="29" fillId="0" fontId="19" numFmtId="0" xfId="0" applyAlignment="1" applyBorder="1" applyFont="1">
      <alignment readingOrder="0" vertical="bottom"/>
    </xf>
    <xf borderId="29" fillId="0" fontId="22" numFmtId="0" xfId="0" applyAlignment="1" applyBorder="1" applyFont="1">
      <alignment readingOrder="0" vertical="bottom"/>
    </xf>
    <xf borderId="32" fillId="0" fontId="18" numFmtId="0" xfId="0" applyAlignment="1" applyBorder="1" applyFont="1">
      <alignment readingOrder="0" vertical="bottom"/>
    </xf>
    <xf borderId="29" fillId="0" fontId="24" numFmtId="0" xfId="0" applyAlignment="1" applyBorder="1" applyFont="1">
      <alignment readingOrder="0" vertical="bottom"/>
    </xf>
    <xf borderId="22" fillId="7" fontId="16" numFmtId="0" xfId="0" applyAlignment="1" applyBorder="1" applyFill="1" applyFont="1">
      <alignment horizontal="center" readingOrder="0" shrinkToFit="0" textRotation="45" vertical="bottom" wrapText="0"/>
    </xf>
    <xf borderId="16" fillId="0" fontId="32" numFmtId="49" xfId="0" applyAlignment="1" applyBorder="1" applyFont="1" applyNumberFormat="1">
      <alignment horizontal="center" readingOrder="0"/>
    </xf>
    <xf borderId="29" fillId="0" fontId="25" numFmtId="0" xfId="0" applyAlignment="1" applyBorder="1" applyFont="1">
      <alignment readingOrder="0" vertical="bottom"/>
    </xf>
    <xf borderId="32" fillId="6" fontId="18" numFmtId="0" xfId="0" applyAlignment="1" applyBorder="1" applyFill="1" applyFont="1">
      <alignment horizontal="right" vertical="bottom"/>
    </xf>
    <xf borderId="22" fillId="8" fontId="16" numFmtId="0" xfId="0" applyAlignment="1" applyBorder="1" applyFill="1" applyFont="1">
      <alignment horizontal="center" readingOrder="0" shrinkToFit="0" textRotation="45" vertical="bottom" wrapText="0"/>
    </xf>
    <xf borderId="35" fillId="0" fontId="22" numFmtId="0" xfId="0" applyAlignment="1" applyBorder="1" applyFont="1">
      <alignment vertical="bottom"/>
    </xf>
    <xf borderId="32" fillId="0" fontId="19" numFmtId="0" xfId="0" applyAlignment="1" applyBorder="1" applyFont="1">
      <alignment vertical="bottom"/>
    </xf>
    <xf borderId="29" fillId="0" fontId="19" numFmtId="0" xfId="0" applyAlignment="1" applyBorder="1" applyFont="1">
      <alignment vertical="bottom"/>
    </xf>
    <xf borderId="22" fillId="8" fontId="33" numFmtId="0" xfId="0" applyAlignment="1" applyBorder="1" applyFill="1" applyFont="1">
      <alignment horizontal="center" readingOrder="0" shrinkToFit="0" textRotation="45" vertical="bottom" wrapText="0"/>
    </xf>
    <xf borderId="32" fillId="0" fontId="19" numFmtId="0" xfId="0" applyAlignment="1" applyBorder="1" applyFont="1">
      <alignment readingOrder="0" vertical="bottom"/>
    </xf>
    <xf borderId="33" fillId="0" fontId="19" numFmtId="0" xfId="0" applyAlignment="1" applyBorder="1" applyFont="1">
      <alignment horizontal="left" readingOrder="0" vertical="bottom"/>
    </xf>
    <xf borderId="29" fillId="0" fontId="19" numFmtId="0" xfId="0" applyAlignment="1" applyBorder="1" applyFont="1">
      <alignment horizontal="left" vertical="bottom"/>
    </xf>
    <xf borderId="24" fillId="0" fontId="2" numFmtId="0" xfId="0" applyAlignment="1" applyBorder="1" applyFont="1">
      <alignment horizontal="center" shrinkToFit="0" textRotation="45" vertical="bottom" wrapText="0"/>
    </xf>
    <xf borderId="36" fillId="8" fontId="16" numFmtId="0" xfId="0" applyAlignment="1" applyBorder="1" applyFill="1" applyFont="1">
      <alignment horizontal="center" readingOrder="0" shrinkToFit="0" textRotation="45" vertical="bottom" wrapText="0"/>
    </xf>
    <xf borderId="36" fillId="7" fontId="33" numFmtId="0" xfId="0" applyAlignment="1" applyBorder="1" applyFill="1" applyFont="1">
      <alignment horizontal="center" textRotation="45" vertical="bottom"/>
    </xf>
    <xf borderId="0" fillId="0" fontId="19" numFmtId="0" xfId="0" applyAlignment="1" applyFont="1">
      <alignment horizontal="right" vertical="bottom"/>
    </xf>
    <xf borderId="36" fillId="7" fontId="16" numFmtId="0" xfId="0" applyAlignment="1" applyBorder="1" applyFill="1" applyFont="1">
      <alignment horizontal="center" textRotation="45" vertical="bottom"/>
    </xf>
    <xf borderId="36" fillId="8" fontId="16" numFmtId="0" xfId="0" applyAlignment="1" applyBorder="1" applyFill="1" applyFont="1">
      <alignment horizontal="center" textRotation="45" vertical="bottom"/>
    </xf>
    <xf borderId="0" fillId="6" fontId="22" numFmtId="0" xfId="0" applyAlignment="1" applyFill="1" applyFont="1">
      <alignment horizontal="right" vertical="bottom"/>
    </xf>
    <xf borderId="36" fillId="7" fontId="33" numFmtId="0" xfId="0" applyAlignment="1" applyBorder="1" applyFill="1" applyFont="1">
      <alignment horizontal="center" readingOrder="0" textRotation="45" vertical="bottom"/>
    </xf>
    <xf borderId="21" fillId="0" fontId="16" numFmtId="0" xfId="0" applyAlignment="1" applyBorder="1" applyFont="1">
      <alignment horizontal="center" vertical="bottom"/>
    </xf>
    <xf borderId="24" fillId="8" fontId="16" numFmtId="0" xfId="0" applyAlignment="1" applyBorder="1" applyFill="1" applyFont="1">
      <alignment horizontal="center" readingOrder="0" shrinkToFit="0" textRotation="45" vertical="bottom" wrapText="0"/>
    </xf>
    <xf borderId="24" fillId="7" fontId="16" numFmtId="0" xfId="0" applyAlignment="1" applyBorder="1" applyFill="1" applyFont="1">
      <alignment horizontal="center" readingOrder="0" shrinkToFit="0" textRotation="45" vertical="bottom" wrapText="0"/>
    </xf>
    <xf borderId="0" fillId="0" fontId="34" numFmtId="0" xfId="0" applyAlignment="1" applyFont="1">
      <alignment readingOrder="0"/>
    </xf>
    <xf borderId="24" fillId="8" fontId="33" numFmtId="0" xfId="0" applyAlignment="1" applyBorder="1" applyFill="1" applyFont="1">
      <alignment horizontal="center" readingOrder="0" shrinkToFit="0" textRotation="45" vertical="bottom" wrapText="0"/>
    </xf>
    <xf borderId="0" fillId="0" fontId="16" numFmtId="0" xfId="0" applyAlignment="1" applyFont="1">
      <alignment horizontal="center"/>
    </xf>
    <xf borderId="30" fillId="3" fontId="35" numFmtId="0" xfId="0" applyAlignment="1" applyBorder="1" applyFill="1" applyFont="1">
      <alignment readingOrder="0"/>
    </xf>
    <xf borderId="24" fillId="7" fontId="33" numFmtId="0" xfId="0" applyAlignment="1" applyBorder="1" applyFill="1" applyFont="1">
      <alignment horizontal="center" readingOrder="0" shrinkToFit="0" textRotation="45" vertical="bottom" wrapText="0"/>
    </xf>
    <xf borderId="37" fillId="0" fontId="36" numFmtId="0" xfId="0" applyAlignment="1" applyBorder="1" applyFont="1">
      <alignment readingOrder="0"/>
    </xf>
    <xf borderId="38" fillId="0" fontId="20" numFmtId="0" xfId="0" applyBorder="1" applyFont="1"/>
    <xf borderId="39" fillId="0" fontId="16" numFmtId="0" xfId="0" applyAlignment="1" applyBorder="1" applyFont="1">
      <alignment vertical="bottom"/>
    </xf>
    <xf borderId="40" fillId="0" fontId="20" numFmtId="0" xfId="0" applyBorder="1" applyFont="1"/>
    <xf borderId="41" fillId="0" fontId="20" numFmtId="0" xfId="0" applyBorder="1" applyFont="1"/>
    <xf borderId="0" fillId="0" fontId="19" numFmtId="0" xfId="0" applyAlignment="1" applyFont="1">
      <alignment horizontal="left" readingOrder="0" vertical="bottom"/>
    </xf>
    <xf borderId="27" fillId="7" fontId="17" numFmtId="0" xfId="0" applyAlignment="1" applyBorder="1" applyFill="1" applyFont="1">
      <alignment horizontal="center" vertical="bottom"/>
    </xf>
    <xf borderId="19" fillId="0" fontId="2" numFmtId="0" xfId="0" applyAlignment="1" applyBorder="1" applyFont="1">
      <alignment readingOrder="0" vertical="bottom"/>
    </xf>
    <xf borderId="27" fillId="8" fontId="17" numFmtId="0" xfId="0" applyAlignment="1" applyBorder="1" applyFill="1" applyFont="1">
      <alignment horizontal="center" vertical="bottom"/>
    </xf>
    <xf borderId="19" fillId="0" fontId="18" numFmtId="0" xfId="0" applyAlignment="1" applyBorder="1" applyFont="1">
      <alignment horizontal="left" readingOrder="0" vertical="bottom"/>
    </xf>
    <xf borderId="19" fillId="0" fontId="19" numFmtId="0" xfId="0" applyAlignment="1" applyBorder="1" applyFont="1">
      <alignment horizontal="right" vertical="bottom"/>
    </xf>
    <xf borderId="27" fillId="8" fontId="37" numFmtId="0" xfId="0" applyAlignment="1" applyBorder="1" applyFill="1" applyFont="1">
      <alignment horizontal="center" vertical="bottom"/>
    </xf>
    <xf borderId="19" fillId="0" fontId="22" numFmtId="0" xfId="0" applyAlignment="1" applyBorder="1" applyFont="1">
      <alignment horizontal="right" vertical="bottom"/>
    </xf>
    <xf borderId="19" fillId="0" fontId="24" numFmtId="0" xfId="0" applyAlignment="1" applyBorder="1" applyFont="1">
      <alignment horizontal="right" vertical="bottom"/>
    </xf>
    <xf borderId="19" fillId="0" fontId="2" numFmtId="0" xfId="0" applyAlignment="1" applyBorder="1" applyFont="1">
      <alignment vertical="bottom"/>
    </xf>
    <xf borderId="19" fillId="0" fontId="25" numFmtId="0" xfId="0" applyAlignment="1" applyBorder="1" applyFont="1">
      <alignment horizontal="right" vertical="bottom"/>
    </xf>
    <xf borderId="31" fillId="8" fontId="17" numFmtId="0" xfId="0" applyAlignment="1" applyBorder="1" applyFill="1" applyFont="1">
      <alignment horizontal="center" shrinkToFit="0" wrapText="0"/>
    </xf>
    <xf borderId="31" fillId="7" fontId="17" numFmtId="0" xfId="0" applyAlignment="1" applyBorder="1" applyFill="1" applyFont="1">
      <alignment horizontal="center" readingOrder="0" shrinkToFit="0" wrapText="0"/>
    </xf>
    <xf borderId="23" fillId="8" fontId="37" numFmtId="0" xfId="0" applyAlignment="1" applyBorder="1" applyFill="1" applyFont="1">
      <alignment horizontal="center" readingOrder="0" shrinkToFit="0" wrapText="0"/>
    </xf>
    <xf borderId="19" fillId="0" fontId="18" numFmtId="0" xfId="0" applyAlignment="1" applyBorder="1" applyFont="1">
      <alignment horizontal="right" vertical="bottom"/>
    </xf>
    <xf borderId="19" fillId="0" fontId="29" numFmtId="0" xfId="0" applyAlignment="1" applyBorder="1" applyFont="1">
      <alignment horizontal="right" vertical="bottom"/>
    </xf>
    <xf borderId="26" fillId="8" fontId="17" numFmtId="0" xfId="0" applyAlignment="1" applyBorder="1" applyFill="1" applyFont="1">
      <alignment horizontal="center" vertical="bottom"/>
    </xf>
    <xf borderId="42" fillId="0" fontId="2" numFmtId="0" xfId="0" applyAlignment="1" applyBorder="1" applyFont="1">
      <alignment vertical="bottom"/>
    </xf>
    <xf borderId="27" fillId="7" fontId="37" numFmtId="0" xfId="0" applyAlignment="1" applyBorder="1" applyFill="1" applyFont="1">
      <alignment horizontal="center" vertical="bottom"/>
    </xf>
    <xf borderId="43" fillId="0" fontId="2" numFmtId="0" xfId="0" applyAlignment="1" applyBorder="1" applyFont="1">
      <alignment vertical="bottom"/>
    </xf>
    <xf borderId="17" fillId="0" fontId="36" numFmtId="0" xfId="0" applyAlignment="1" applyBorder="1" applyFont="1">
      <alignment readingOrder="0"/>
    </xf>
    <xf borderId="44" fillId="0" fontId="20" numFmtId="0" xfId="0" applyBorder="1" applyFont="1"/>
    <xf borderId="27" fillId="8" fontId="38" numFmtId="0" xfId="0" applyAlignment="1" applyBorder="1" applyFill="1" applyFont="1">
      <alignment horizontal="center" readingOrder="0" vertical="bottom"/>
    </xf>
    <xf borderId="27" fillId="7" fontId="16" numFmtId="0" xfId="0" applyAlignment="1" applyBorder="1" applyFill="1" applyFont="1">
      <alignment horizontal="center" vertical="bottom"/>
    </xf>
    <xf borderId="27" fillId="8" fontId="17" numFmtId="0" xfId="0" applyAlignment="1" applyBorder="1" applyFill="1" applyFont="1">
      <alignment horizontal="center" readingOrder="0" vertical="bottom"/>
    </xf>
    <xf borderId="28" fillId="7" fontId="37" numFmtId="0" xfId="0" applyAlignment="1" applyBorder="1" applyFill="1" applyFont="1">
      <alignment horizontal="center" readingOrder="0" vertical="bottom"/>
    </xf>
    <xf borderId="28" fillId="8" fontId="2" numFmtId="0" xfId="0" applyAlignment="1" applyBorder="1" applyFill="1" applyFont="1">
      <alignment vertical="bottom"/>
    </xf>
    <xf borderId="28" fillId="7" fontId="2" numFmtId="0" xfId="0" applyAlignment="1" applyBorder="1" applyFill="1" applyFont="1">
      <alignment vertical="bottom"/>
    </xf>
    <xf borderId="28" fillId="8" fontId="33" numFmtId="0" xfId="0" applyAlignment="1" applyBorder="1" applyFill="1" applyFont="1">
      <alignment vertical="bottom"/>
    </xf>
    <xf borderId="28" fillId="7" fontId="16" numFmtId="0" xfId="0" applyAlignment="1" applyBorder="1" applyFill="1" applyFont="1">
      <alignment vertical="bottom"/>
    </xf>
    <xf borderId="28" fillId="8" fontId="16" numFmtId="0" xfId="0" applyAlignment="1" applyBorder="1" applyFill="1" applyFont="1">
      <alignment vertical="bottom"/>
    </xf>
    <xf borderId="45" fillId="7" fontId="16" numFmtId="0" xfId="0" applyAlignment="1" applyBorder="1" applyFill="1" applyFont="1">
      <alignment horizontal="center" shrinkToFit="0" vertical="bottom" wrapText="0"/>
    </xf>
    <xf borderId="46" fillId="8" fontId="16" numFmtId="0" xfId="0" applyAlignment="1" applyBorder="1" applyFill="1" applyFont="1">
      <alignment horizontal="center" shrinkToFit="0" vertical="bottom" wrapText="0"/>
    </xf>
    <xf borderId="19" fillId="0" fontId="18" numFmtId="0" xfId="0" applyAlignment="1" applyBorder="1" applyFont="1">
      <alignment readingOrder="0" vertical="bottom"/>
    </xf>
    <xf borderId="45" fillId="8" fontId="33" numFmtId="0" xfId="0" applyAlignment="1" applyBorder="1" applyFill="1" applyFont="1">
      <alignment horizontal="center" shrinkToFit="0" vertical="bottom" wrapText="0"/>
    </xf>
    <xf borderId="45" fillId="7" fontId="33" numFmtId="0" xfId="0" applyAlignment="1" applyBorder="1" applyFill="1" applyFont="1">
      <alignment horizontal="center" shrinkToFit="0" vertical="bottom" wrapText="0"/>
    </xf>
    <xf borderId="25" fillId="0" fontId="16" numFmtId="0" xfId="0" applyBorder="1" applyFont="1"/>
    <xf borderId="28" fillId="7" fontId="33" numFmtId="0" xfId="0" applyAlignment="1" applyBorder="1" applyFill="1" applyFont="1">
      <alignment vertical="bottom"/>
    </xf>
    <xf borderId="19" fillId="6" fontId="18" numFmtId="0" xfId="0" applyAlignment="1" applyBorder="1" applyFill="1" applyFont="1">
      <alignment horizontal="right" vertical="bottom"/>
    </xf>
    <xf borderId="43" fillId="0" fontId="22" numFmtId="0" xfId="0" applyAlignment="1" applyBorder="1" applyFont="1">
      <alignment vertical="bottom"/>
    </xf>
    <xf borderId="19" fillId="0" fontId="19" numFmtId="0" xfId="0" applyAlignment="1" applyBorder="1" applyFont="1">
      <alignment vertical="bottom"/>
    </xf>
    <xf borderId="47" fillId="0" fontId="16" numFmtId="0" xfId="0" applyAlignment="1" applyBorder="1" applyFont="1">
      <alignment vertical="bottom"/>
    </xf>
    <xf borderId="48" fillId="0" fontId="20" numFmtId="0" xfId="0" applyBorder="1" applyFont="1"/>
    <xf borderId="19" fillId="0" fontId="19" numFmtId="0" xfId="0" applyAlignment="1" applyBorder="1" applyFont="1">
      <alignment readingOrder="0" vertical="bottom"/>
    </xf>
    <xf borderId="49" fillId="0" fontId="20" numFmtId="0" xfId="0" applyBorder="1" applyFont="1"/>
    <xf borderId="17" fillId="0" fontId="36" numFmtId="0" xfId="0" applyAlignment="1" applyBorder="1" applyFont="1">
      <alignment readingOrder="0" shrinkToFit="0" wrapText="0"/>
    </xf>
    <xf borderId="31" fillId="7" fontId="17" numFmtId="0" xfId="0" applyAlignment="1" applyBorder="1" applyFill="1" applyFont="1">
      <alignment horizontal="center" shrinkToFit="0" wrapText="0"/>
    </xf>
    <xf borderId="29" fillId="0" fontId="22" numFmtId="0" xfId="0" applyAlignment="1" applyBorder="1" applyFont="1">
      <alignment horizontal="right" vertical="bottom"/>
    </xf>
    <xf borderId="29" fillId="0" fontId="2" numFmtId="0" xfId="0" applyAlignment="1" applyBorder="1" applyFont="1">
      <alignment vertical="bottom"/>
    </xf>
    <xf borderId="23" fillId="8" fontId="37" numFmtId="0" xfId="0" applyAlignment="1" applyBorder="1" applyFill="1" applyFont="1">
      <alignment horizontal="center" shrinkToFit="0" wrapText="0"/>
    </xf>
    <xf borderId="29" fillId="0" fontId="25" numFmtId="0" xfId="0" applyAlignment="1" applyBorder="1" applyFont="1">
      <alignment horizontal="right" vertical="bottom"/>
    </xf>
    <xf borderId="27" fillId="8" fontId="16" numFmtId="0" xfId="0" applyAlignment="1" applyBorder="1" applyFill="1" applyFont="1">
      <alignment horizontal="center" vertical="bottom"/>
    </xf>
    <xf borderId="29" fillId="4" fontId="22" numFmtId="0" xfId="0" applyAlignment="1" applyBorder="1" applyFill="1" applyFont="1">
      <alignment horizontal="right" vertical="bottom"/>
    </xf>
    <xf borderId="29" fillId="0" fontId="18" numFmtId="0" xfId="0" applyAlignment="1" applyBorder="1" applyFont="1">
      <alignment horizontal="right" vertical="bottom"/>
    </xf>
    <xf borderId="28" fillId="7" fontId="37" numFmtId="0" xfId="0" applyAlignment="1" applyBorder="1" applyFill="1" applyFont="1">
      <alignment horizontal="center" vertical="bottom"/>
    </xf>
    <xf borderId="29" fillId="0" fontId="29" numFmtId="0" xfId="0" applyAlignment="1" applyBorder="1" applyFont="1">
      <alignment horizontal="right" vertical="bottom"/>
    </xf>
    <xf borderId="50" fillId="0" fontId="2" numFmtId="0" xfId="0" applyAlignment="1" applyBorder="1" applyFont="1">
      <alignment vertical="bottom"/>
    </xf>
    <xf borderId="33" fillId="0" fontId="2" numFmtId="0" xfId="0" applyAlignment="1" applyBorder="1" applyFont="1">
      <alignment vertical="bottom"/>
    </xf>
    <xf borderId="27" fillId="7" fontId="17" numFmtId="0" xfId="0" applyAlignment="1" applyBorder="1" applyFill="1" applyFont="1">
      <alignment horizontal="center" readingOrder="0" vertical="bottom"/>
    </xf>
    <xf borderId="29" fillId="0" fontId="24" numFmtId="0" xfId="0" applyAlignment="1" applyBorder="1" applyFont="1">
      <alignment horizontal="right" vertical="bottom"/>
    </xf>
    <xf borderId="17" fillId="0" fontId="16" numFmtId="0" xfId="0" applyAlignment="1" applyBorder="1" applyFont="1">
      <alignment horizontal="right" readingOrder="0"/>
    </xf>
    <xf borderId="51" fillId="0" fontId="16" numFmtId="0" xfId="0" applyBorder="1" applyFont="1"/>
    <xf borderId="26" fillId="7" fontId="17" numFmtId="0" xfId="0" applyAlignment="1" applyBorder="1" applyFill="1" applyFont="1">
      <alignment horizontal="center" shrinkToFit="0" wrapText="0"/>
    </xf>
    <xf borderId="29" fillId="0" fontId="18" numFmtId="0" xfId="0" applyAlignment="1" applyBorder="1" applyFont="1">
      <alignment readingOrder="0" vertical="bottom"/>
    </xf>
    <xf borderId="27" fillId="8" fontId="17" numFmtId="0" xfId="0" applyAlignment="1" applyBorder="1" applyFill="1" applyFont="1">
      <alignment horizontal="center" shrinkToFit="0" wrapText="0"/>
    </xf>
    <xf borderId="27" fillId="7" fontId="16" numFmtId="0" xfId="0" applyAlignment="1" applyBorder="1" applyFill="1" applyFont="1">
      <alignment horizontal="center" shrinkToFit="0" wrapText="0"/>
    </xf>
    <xf quotePrefix="1" borderId="29" fillId="0" fontId="19" numFmtId="0" xfId="0" applyAlignment="1" applyBorder="1" applyFont="1">
      <alignment horizontal="left" readingOrder="0" vertical="bottom"/>
    </xf>
    <xf borderId="29" fillId="6" fontId="18" numFmtId="0" xfId="0" applyAlignment="1" applyBorder="1" applyFill="1" applyFont="1">
      <alignment horizontal="right" vertical="bottom"/>
    </xf>
    <xf borderId="27" fillId="8" fontId="17" numFmtId="0" xfId="0" applyAlignment="1" applyBorder="1" applyFill="1" applyFont="1">
      <alignment horizontal="center" readingOrder="0" shrinkToFit="0" wrapText="0"/>
    </xf>
    <xf borderId="33" fillId="0" fontId="22" numFmtId="0" xfId="0" applyAlignment="1" applyBorder="1" applyFont="1">
      <alignment vertical="bottom"/>
    </xf>
    <xf borderId="27" fillId="7" fontId="17" numFmtId="0" xfId="0" applyAlignment="1" applyBorder="1" applyFill="1" applyFont="1">
      <alignment horizontal="center" shrinkToFit="0" wrapText="0"/>
    </xf>
    <xf borderId="27" fillId="8" fontId="37" numFmtId="0" xfId="0" applyAlignment="1" applyBorder="1" applyFill="1" applyFont="1">
      <alignment horizontal="center" readingOrder="0" shrinkToFit="0" wrapText="0"/>
    </xf>
    <xf borderId="31" fillId="7" fontId="37" numFmtId="0" xfId="0" applyAlignment="1" applyBorder="1" applyFill="1" applyFont="1">
      <alignment horizontal="center" readingOrder="0" shrinkToFit="0" wrapText="0"/>
    </xf>
    <xf borderId="24" fillId="0" fontId="16" numFmtId="0" xfId="0" applyBorder="1" applyFont="1"/>
    <xf borderId="27" fillId="8" fontId="37" numFmtId="0" xfId="0" applyAlignment="1" applyBorder="1" applyFill="1" applyFont="1">
      <alignment horizontal="center" readingOrder="0" vertical="bottom"/>
    </xf>
    <xf borderId="32" fillId="4" fontId="22" numFmtId="0" xfId="0" applyAlignment="1" applyBorder="1" applyFill="1" applyFont="1">
      <alignment horizontal="right" vertical="bottom"/>
    </xf>
    <xf quotePrefix="1" borderId="0" fillId="0" fontId="19" numFmtId="0" xfId="0" applyAlignment="1" applyFont="1">
      <alignment horizontal="left" readingOrder="0" vertical="bottom"/>
    </xf>
    <xf borderId="27" fillId="7" fontId="37" numFmtId="0" xfId="0" applyAlignment="1" applyBorder="1" applyFill="1" applyFont="1">
      <alignment horizontal="center" readingOrder="0" vertical="bottom"/>
    </xf>
    <xf borderId="27" fillId="8" fontId="33" numFmtId="0" xfId="0" applyAlignment="1" applyBorder="1" applyFill="1" applyFont="1">
      <alignment horizontal="center" readingOrder="0" vertical="bottom"/>
    </xf>
    <xf borderId="47" fillId="0" fontId="16" numFmtId="0" xfId="0" applyAlignment="1" applyBorder="1" applyFont="1">
      <alignment horizontal="left" vertical="bottom"/>
    </xf>
    <xf borderId="30" fillId="7" fontId="17" numFmtId="0" xfId="0" applyAlignment="1" applyBorder="1" applyFill="1" applyFont="1">
      <alignment horizontal="center" shrinkToFit="0" wrapText="0"/>
    </xf>
    <xf borderId="31" fillId="7" fontId="16" numFmtId="0" xfId="0" applyAlignment="1" applyBorder="1" applyFill="1" applyFont="1">
      <alignment horizontal="center" shrinkToFit="0" wrapText="0"/>
    </xf>
    <xf borderId="31" fillId="8" fontId="17" numFmtId="0" xfId="0" applyAlignment="1" applyBorder="1" applyFill="1" applyFont="1">
      <alignment horizontal="center" readingOrder="0" shrinkToFit="0" wrapText="0"/>
    </xf>
    <xf borderId="31" fillId="8" fontId="37" numFmtId="0" xfId="0" applyAlignment="1" applyBorder="1" applyFill="1" applyFont="1">
      <alignment horizontal="center" readingOrder="0" shrinkToFit="0" wrapText="0"/>
    </xf>
    <xf borderId="29" fillId="4" fontId="22" numFmtId="0" xfId="0" applyAlignment="1" applyBorder="1" applyFill="1" applyFont="1">
      <alignment readingOrder="0" vertical="bottom"/>
    </xf>
    <xf borderId="17" fillId="0" fontId="16" numFmtId="4" xfId="0" applyAlignment="1" applyBorder="1" applyFont="1" applyNumberFormat="1">
      <alignment horizontal="right" readingOrder="0"/>
    </xf>
    <xf borderId="33" fillId="0" fontId="18" numFmtId="0" xfId="0" applyAlignment="1" applyBorder="1" applyFont="1">
      <alignment horizontal="left" readingOrder="0" vertical="bottom"/>
    </xf>
    <xf borderId="29" fillId="0" fontId="19" numFmtId="0" xfId="0" applyAlignment="1" applyBorder="1" applyFont="1">
      <alignment horizontal="left" readingOrder="0" vertical="bottom"/>
    </xf>
    <xf borderId="0" fillId="4" fontId="22" numFmtId="0" xfId="0" applyAlignment="1" applyFill="1" applyFont="1">
      <alignment readingOrder="0" vertical="bottom"/>
    </xf>
    <xf borderId="30" fillId="7" fontId="17" numFmtId="0" xfId="0" applyAlignment="1" applyBorder="1" applyFill="1" applyFont="1">
      <alignment horizontal="center" readingOrder="0" shrinkToFit="0" wrapText="0"/>
    </xf>
    <xf borderId="31" fillId="7" fontId="33" numFmtId="0" xfId="0" applyAlignment="1" applyBorder="1" applyFill="1" applyFont="1">
      <alignment horizontal="center" readingOrder="0" shrinkToFit="0" wrapText="0"/>
    </xf>
    <xf borderId="27" fillId="8" fontId="33" numFmtId="0" xfId="0" applyAlignment="1" applyBorder="1" applyFill="1" applyFont="1">
      <alignment horizontal="center" vertical="bottom"/>
    </xf>
    <xf borderId="27" fillId="7" fontId="16" numFmtId="0" xfId="0" applyAlignment="1" applyBorder="1" applyFill="1" applyFont="1">
      <alignment horizontal="center" readingOrder="0" vertical="bottom"/>
    </xf>
    <xf borderId="4" fillId="0" fontId="18" numFmtId="0" xfId="0" applyAlignment="1" applyBorder="1" applyFont="1">
      <alignment horizontal="left" readingOrder="0" vertical="bottom"/>
    </xf>
    <xf borderId="31" fillId="7" fontId="16" numFmtId="0" xfId="0" applyAlignment="1" applyBorder="1" applyFill="1" applyFont="1">
      <alignment horizontal="center" readingOrder="0" shrinkToFit="0" wrapText="0"/>
    </xf>
    <xf borderId="0" fillId="5" fontId="22" numFmtId="49" xfId="0" applyAlignment="1" applyFill="1" applyFont="1" applyNumberFormat="1">
      <alignment horizontal="left" readingOrder="0"/>
    </xf>
    <xf borderId="0" fillId="0" fontId="16" numFmtId="0" xfId="0" applyAlignment="1" applyFont="1">
      <alignment horizontal="right" readingOrder="0"/>
    </xf>
    <xf borderId="27" fillId="8" fontId="39" numFmtId="0" xfId="0" applyAlignment="1" applyBorder="1" applyFill="1" applyFont="1">
      <alignment horizontal="center" readingOrder="0" vertical="bottom"/>
    </xf>
    <xf borderId="29" fillId="0" fontId="7" numFmtId="0" xfId="0" applyAlignment="1" applyBorder="1" applyFont="1">
      <alignment vertical="bottom"/>
    </xf>
    <xf borderId="31" fillId="7" fontId="16" numFmtId="0" xfId="0" applyAlignment="1" applyBorder="1" applyFill="1" applyFont="1">
      <alignment horizontal="center" readingOrder="0" shrinkToFit="0" wrapText="0"/>
    </xf>
    <xf borderId="0" fillId="0" fontId="40" numFmtId="0" xfId="0" applyAlignment="1" applyFont="1">
      <alignment readingOrder="0"/>
    </xf>
    <xf borderId="0" fillId="5" fontId="41" numFmtId="49" xfId="0" applyAlignment="1" applyFill="1" applyFont="1" applyNumberFormat="1">
      <alignment horizontal="left" readingOrder="0"/>
    </xf>
    <xf borderId="27" fillId="8" fontId="16" numFmtId="0" xfId="0" applyAlignment="1" applyBorder="1" applyFill="1" applyFont="1">
      <alignment horizontal="center" readingOrder="0" shrinkToFit="0" vertical="bottom" wrapText="0"/>
    </xf>
    <xf borderId="48" fillId="0" fontId="16" numFmtId="0" xfId="0" applyAlignment="1" applyBorder="1" applyFont="1">
      <alignment shrinkToFit="0" vertical="bottom" wrapText="0"/>
    </xf>
    <xf borderId="27" fillId="2" fontId="17" numFmtId="0" xfId="0" applyAlignment="1" applyBorder="1" applyFill="1" applyFont="1">
      <alignment horizontal="center" vertical="bottom"/>
    </xf>
    <xf borderId="27" fillId="2" fontId="37" numFmtId="0" xfId="0" applyAlignment="1" applyBorder="1" applyFill="1" applyFont="1">
      <alignment horizontal="center" vertical="bottom"/>
    </xf>
    <xf borderId="31" fillId="2" fontId="17" numFmtId="0" xfId="0" applyAlignment="1" applyBorder="1" applyFill="1" applyFont="1">
      <alignment horizontal="center" shrinkToFit="0" wrapText="0"/>
    </xf>
    <xf borderId="31" fillId="2" fontId="37" numFmtId="0" xfId="0" applyAlignment="1" applyBorder="1" applyFill="1" applyFont="1">
      <alignment horizontal="center" shrinkToFit="0" wrapText="0"/>
    </xf>
    <xf borderId="27" fillId="2" fontId="16" numFmtId="0" xfId="0" applyAlignment="1" applyBorder="1" applyFill="1" applyFont="1">
      <alignment horizontal="center" vertical="bottom"/>
    </xf>
    <xf borderId="0" fillId="0" fontId="16" numFmtId="0" xfId="0" applyAlignment="1" applyFont="1">
      <alignment horizontal="right" readingOrder="0"/>
    </xf>
    <xf borderId="28" fillId="2" fontId="37" numFmtId="0" xfId="0" applyAlignment="1" applyBorder="1" applyFill="1" applyFont="1">
      <alignment horizontal="center" vertical="bottom"/>
    </xf>
    <xf borderId="30" fillId="2" fontId="17" numFmtId="0" xfId="0" applyAlignment="1" applyBorder="1" applyFill="1" applyFont="1">
      <alignment horizontal="center" shrinkToFit="0" wrapText="0"/>
    </xf>
    <xf borderId="31" fillId="2" fontId="16" numFmtId="0" xfId="0" applyAlignment="1" applyBorder="1" applyFill="1" applyFont="1">
      <alignment horizontal="center" shrinkToFit="0" wrapText="0"/>
    </xf>
    <xf borderId="27" fillId="2" fontId="33" numFmtId="0" xfId="0" applyAlignment="1" applyBorder="1" applyFill="1" applyFont="1">
      <alignment horizontal="center" vertical="bottom"/>
    </xf>
    <xf borderId="31" fillId="7" fontId="38" numFmtId="0" xfId="0" applyAlignment="1" applyBorder="1" applyFill="1" applyFont="1">
      <alignment horizontal="center" readingOrder="0" shrinkToFit="0" wrapText="0"/>
    </xf>
    <xf borderId="0" fillId="0" fontId="18" numFmtId="0" xfId="0" applyAlignment="1" applyFont="1">
      <alignment horizontal="left" vertical="bottom"/>
    </xf>
    <xf borderId="0" fillId="0" fontId="22" numFmtId="0" xfId="0" applyAlignment="1" applyFont="1">
      <alignment vertical="bottom"/>
    </xf>
    <xf borderId="0" fillId="0" fontId="24" numFmtId="0" xfId="0" applyAlignment="1" applyFont="1">
      <alignment vertical="bottom"/>
    </xf>
    <xf borderId="0" fillId="0" fontId="25" numFmtId="0" xfId="0" applyAlignment="1" applyFont="1">
      <alignment vertical="bottom"/>
    </xf>
    <xf borderId="31" fillId="7" fontId="17" numFmtId="0" xfId="0" applyAlignment="1" applyBorder="1" applyFill="1" applyFont="1">
      <alignment horizontal="center" readingOrder="0" shrinkToFit="0" wrapText="0"/>
    </xf>
    <xf borderId="0" fillId="0" fontId="7" numFmtId="0" xfId="0" applyAlignment="1" applyFont="1">
      <alignment vertical="bottom"/>
    </xf>
    <xf borderId="31" fillId="8" fontId="3" numFmtId="0" xfId="0" applyAlignment="1" applyBorder="1" applyFill="1" applyFont="1">
      <alignment horizontal="center" readingOrder="0" shrinkToFit="0" wrapText="0"/>
    </xf>
    <xf borderId="4" fillId="0" fontId="42" numFmtId="0" xfId="0" applyAlignment="1" applyBorder="1" applyFont="1">
      <alignment vertical="bottom"/>
    </xf>
    <xf borderId="27" fillId="7" fontId="39" numFmtId="0" xfId="0" applyAlignment="1" applyBorder="1" applyFill="1" applyFont="1">
      <alignment horizontal="center" readingOrder="0" vertical="bottom"/>
    </xf>
    <xf borderId="14" fillId="3" fontId="23" numFmtId="0" xfId="0" applyAlignment="1" applyBorder="1" applyFill="1" applyFont="1">
      <alignment horizontal="center" readingOrder="0"/>
    </xf>
    <xf borderId="14" fillId="0" fontId="20" numFmtId="0" xfId="0" applyBorder="1" applyFont="1"/>
    <xf borderId="16" fillId="9" fontId="16" numFmtId="49" xfId="0" applyBorder="1" applyFill="1" applyFont="1" applyNumberFormat="1"/>
    <xf borderId="30" fillId="8" fontId="17" numFmtId="0" xfId="0" applyAlignment="1" applyBorder="1" applyFill="1" applyFont="1">
      <alignment horizontal="center" readingOrder="0" shrinkToFit="0" vertical="bottom" wrapText="0"/>
    </xf>
    <xf borderId="17" fillId="9" fontId="2" numFmtId="49" xfId="0" applyAlignment="1" applyBorder="1" applyFill="1" applyFont="1" applyNumberFormat="1">
      <alignment horizontal="right"/>
    </xf>
    <xf borderId="0" fillId="0" fontId="37" numFmtId="0" xfId="0" applyAlignment="1" applyFont="1">
      <alignment horizontal="right" readingOrder="0"/>
    </xf>
    <xf borderId="17" fillId="9" fontId="22" numFmtId="49" xfId="0" applyAlignment="1" applyBorder="1" applyFill="1" applyFont="1" applyNumberFormat="1">
      <alignment horizontal="right"/>
    </xf>
    <xf borderId="0" fillId="0" fontId="16" numFmtId="0" xfId="0" applyAlignment="1" applyFont="1">
      <alignment readingOrder="0" vertical="bottom"/>
    </xf>
    <xf borderId="17" fillId="9" fontId="2" numFmtId="49" xfId="0" applyBorder="1" applyFill="1" applyFont="1" applyNumberFormat="1"/>
    <xf borderId="16" fillId="9" fontId="22" numFmtId="49" xfId="0" applyBorder="1" applyFill="1" applyFont="1" applyNumberFormat="1"/>
    <xf borderId="17" fillId="9" fontId="22" numFmtId="49" xfId="0" applyBorder="1" applyFill="1" applyFont="1" applyNumberFormat="1"/>
    <xf borderId="30" fillId="5" fontId="17" numFmtId="0" xfId="0" applyAlignment="1" applyBorder="1" applyFill="1" applyFont="1">
      <alignment horizontal="center" readingOrder="0" shrinkToFit="0" wrapText="0"/>
    </xf>
    <xf borderId="17" fillId="0" fontId="43" numFmtId="0" xfId="0" applyAlignment="1" applyBorder="1" applyFont="1">
      <alignment readingOrder="0"/>
    </xf>
    <xf borderId="30" fillId="0" fontId="16" numFmtId="0" xfId="0" applyAlignment="1" applyBorder="1" applyFont="1">
      <alignment readingOrder="0" shrinkToFit="0" vertical="bottom" wrapText="0"/>
    </xf>
    <xf borderId="0" fillId="0" fontId="38" numFmtId="0" xfId="0" applyAlignment="1" applyFont="1">
      <alignment horizontal="right" readingOrder="0" vertical="bottom"/>
    </xf>
    <xf borderId="0" fillId="0" fontId="44" numFmtId="0" xfId="0" applyAlignment="1" applyFont="1">
      <alignment readingOrder="0" vertical="bottom"/>
    </xf>
    <xf borderId="17" fillId="0" fontId="22" numFmtId="49" xfId="0" applyAlignment="1" applyBorder="1" applyFont="1" applyNumberFormat="1">
      <alignment horizontal="right" vertical="bottom"/>
    </xf>
    <xf borderId="0" fillId="5" fontId="16" numFmtId="0" xfId="0" applyAlignment="1" applyFill="1" applyFont="1">
      <alignment horizontal="right" readingOrder="0"/>
    </xf>
    <xf borderId="0" fillId="0" fontId="45" numFmtId="0" xfId="0" applyAlignment="1" applyFont="1">
      <alignment readingOrder="0" vertical="bottom"/>
    </xf>
    <xf borderId="16" fillId="0" fontId="46" numFmtId="49" xfId="0" applyAlignment="1" applyBorder="1" applyFont="1" applyNumberFormat="1">
      <alignment shrinkToFit="0" vertical="bottom" wrapText="1"/>
    </xf>
    <xf borderId="17" fillId="0" fontId="22" numFmtId="49" xfId="0" applyAlignment="1" applyBorder="1" applyFont="1" applyNumberFormat="1">
      <alignment readingOrder="0"/>
    </xf>
    <xf borderId="30" fillId="0" fontId="16" numFmtId="0" xfId="0" applyAlignment="1" applyBorder="1" applyFont="1">
      <alignment horizontal="center" readingOrder="0" shrinkToFit="0" wrapText="0"/>
    </xf>
    <xf borderId="17" fillId="0" fontId="16" numFmtId="49" xfId="0" applyAlignment="1" applyBorder="1" applyFont="1" applyNumberFormat="1">
      <alignment horizontal="right" readingOrder="0" vertical="bottom"/>
    </xf>
    <xf borderId="16" fillId="0" fontId="46" numFmtId="49" xfId="0" applyAlignment="1" applyBorder="1" applyFont="1" applyNumberFormat="1">
      <alignment vertical="bottom"/>
    </xf>
    <xf borderId="17" fillId="0" fontId="16" numFmtId="4" xfId="0" applyAlignment="1" applyBorder="1" applyFont="1" applyNumberFormat="1">
      <alignment horizontal="right" readingOrder="0" vertical="bottom"/>
    </xf>
    <xf borderId="0" fillId="0" fontId="16" numFmtId="0" xfId="0" applyAlignment="1" applyFont="1">
      <alignment horizontal="right" readingOrder="0" vertical="bottom"/>
    </xf>
    <xf borderId="17" fillId="0" fontId="16" numFmtId="0" xfId="0" applyAlignment="1" applyBorder="1" applyFont="1">
      <alignment horizontal="right" readingOrder="0" vertical="bottom"/>
    </xf>
    <xf borderId="17" fillId="0" fontId="22" numFmtId="0" xfId="0" applyAlignment="1" applyBorder="1" applyFont="1">
      <alignment horizontal="right"/>
    </xf>
    <xf borderId="0" fillId="0" fontId="47" numFmtId="0" xfId="0" applyAlignment="1" applyFont="1">
      <alignment readingOrder="0" vertical="bottom"/>
    </xf>
    <xf borderId="0" fillId="0" fontId="18" numFmtId="0" xfId="0" applyAlignment="1" applyFont="1">
      <alignment horizontal="right" vertical="bottom"/>
    </xf>
    <xf borderId="4" fillId="3" fontId="48" numFmtId="0" xfId="0" applyAlignment="1" applyBorder="1" applyFill="1" applyFont="1">
      <alignment readingOrder="0" vertical="bottom"/>
    </xf>
    <xf borderId="0" fillId="3" fontId="49" numFmtId="0" xfId="0" applyAlignment="1" applyFill="1" applyFont="1">
      <alignment horizontal="left" readingOrder="0" vertical="bottom"/>
    </xf>
    <xf borderId="0" fillId="3" fontId="29" numFmtId="0" xfId="0" applyAlignment="1" applyFill="1" applyFont="1">
      <alignment horizontal="right" vertical="bottom"/>
    </xf>
    <xf borderId="0" fillId="3" fontId="19" numFmtId="0" xfId="0" applyAlignment="1" applyFill="1" applyFont="1">
      <alignment horizontal="right" vertical="bottom"/>
    </xf>
    <xf borderId="0" fillId="3" fontId="25" numFmtId="0" xfId="0" applyAlignment="1" applyFill="1" applyFont="1">
      <alignment horizontal="right" vertical="bottom"/>
    </xf>
    <xf borderId="0" fillId="3" fontId="49" numFmtId="0" xfId="0" applyAlignment="1" applyFill="1" applyFont="1">
      <alignment horizontal="right" vertical="bottom"/>
    </xf>
    <xf borderId="8" fillId="3" fontId="2" numFmtId="0" xfId="0" applyAlignment="1" applyBorder="1" applyFill="1" applyFont="1">
      <alignment vertical="bottom"/>
    </xf>
    <xf borderId="17" fillId="0" fontId="22" numFmtId="0" xfId="0" applyAlignment="1" applyBorder="1" applyFont="1">
      <alignment horizontal="right" vertical="bottom"/>
    </xf>
    <xf borderId="4" fillId="3" fontId="50" numFmtId="0" xfId="0" applyAlignment="1" applyBorder="1" applyFill="1" applyFont="1">
      <alignment readingOrder="0" vertical="bottom"/>
    </xf>
    <xf borderId="0" fillId="3" fontId="49" numFmtId="0" xfId="0" applyAlignment="1" applyFill="1" applyFont="1">
      <alignment readingOrder="0" vertical="bottom"/>
    </xf>
    <xf borderId="17" fillId="0" fontId="2" numFmtId="49" xfId="0" applyAlignment="1" applyBorder="1" applyFont="1" applyNumberFormat="1">
      <alignment horizontal="right" vertical="bottom"/>
    </xf>
    <xf borderId="4" fillId="3" fontId="22" numFmtId="0" xfId="0" applyAlignment="1" applyBorder="1" applyFill="1" applyFont="1">
      <alignment vertical="bottom"/>
    </xf>
    <xf borderId="0" fillId="3" fontId="2" numFmtId="0" xfId="0" applyAlignment="1" applyFill="1" applyFont="1">
      <alignment vertical="bottom"/>
    </xf>
    <xf borderId="0" fillId="3" fontId="22" numFmtId="0" xfId="0" applyAlignment="1" applyFill="1" applyFont="1">
      <alignment horizontal="right" vertical="bottom"/>
    </xf>
    <xf borderId="0" fillId="3" fontId="19" numFmtId="0" xfId="0" applyAlignment="1" applyFill="1" applyFont="1">
      <alignment vertical="bottom"/>
    </xf>
    <xf borderId="0" fillId="3" fontId="19" numFmtId="0" xfId="0" applyAlignment="1" applyFill="1" applyFont="1">
      <alignment readingOrder="0" vertical="bottom"/>
    </xf>
    <xf borderId="19" fillId="0" fontId="51" numFmtId="0" xfId="0" applyAlignment="1" applyBorder="1" applyFont="1">
      <alignment readingOrder="0" vertical="bottom"/>
    </xf>
    <xf borderId="19" fillId="0" fontId="3" numFmtId="0" xfId="0" applyAlignment="1" applyBorder="1" applyFont="1">
      <alignment readingOrder="0" shrinkToFit="0" vertical="bottom" wrapText="0"/>
    </xf>
    <xf borderId="19" fillId="0" fontId="16" numFmtId="0" xfId="0" applyAlignment="1" applyBorder="1" applyFont="1">
      <alignment horizontal="center" shrinkToFit="0" vertical="bottom" wrapText="0"/>
    </xf>
    <xf borderId="52" fillId="0" fontId="3" numFmtId="0" xfId="0" applyAlignment="1" applyBorder="1" applyFont="1">
      <alignment horizontal="right" shrinkToFit="0" vertical="bottom" wrapText="0"/>
    </xf>
    <xf borderId="53" fillId="3" fontId="2" numFmtId="0" xfId="0" applyAlignment="1" applyBorder="1" applyFill="1" applyFont="1">
      <alignment horizontal="center" readingOrder="0" vertical="bottom"/>
    </xf>
    <xf borderId="54" fillId="3" fontId="2" numFmtId="0" xfId="0" applyAlignment="1" applyBorder="1" applyFill="1" applyFont="1">
      <alignment horizontal="center" readingOrder="0" vertical="bottom"/>
    </xf>
    <xf borderId="0" fillId="0" fontId="16" numFmtId="0" xfId="0" applyAlignment="1" applyFont="1">
      <alignment horizontal="left" readingOrder="0" shrinkToFit="0" vertical="bottom" wrapText="0"/>
    </xf>
    <xf borderId="19" fillId="0" fontId="52" numFmtId="0" xfId="0" applyAlignment="1" applyBorder="1" applyFont="1">
      <alignment shrinkToFit="0" vertical="bottom" wrapText="0"/>
    </xf>
    <xf borderId="43" fillId="3" fontId="50" numFmtId="0" xfId="0" applyAlignment="1" applyBorder="1" applyFill="1" applyFont="1">
      <alignment readingOrder="0" vertical="bottom"/>
    </xf>
    <xf borderId="19" fillId="3" fontId="49" numFmtId="0" xfId="0" applyAlignment="1" applyBorder="1" applyFill="1" applyFont="1">
      <alignment horizontal="left" readingOrder="0" vertical="bottom"/>
    </xf>
    <xf borderId="19" fillId="3" fontId="29" numFmtId="0" xfId="0" applyAlignment="1" applyBorder="1" applyFill="1" applyFont="1">
      <alignment horizontal="right" vertical="bottom"/>
    </xf>
    <xf borderId="19" fillId="3" fontId="19" numFmtId="0" xfId="0" applyAlignment="1" applyBorder="1" applyFill="1" applyFont="1">
      <alignment horizontal="right" vertical="bottom"/>
    </xf>
    <xf borderId="0" fillId="10" fontId="2" numFmtId="0" xfId="0" applyAlignment="1" applyFill="1" applyFont="1">
      <alignment readingOrder="0" shrinkToFit="0" vertical="bottom" wrapText="0"/>
    </xf>
    <xf borderId="11" fillId="7" fontId="16" numFmtId="0" xfId="0" applyAlignment="1" applyBorder="1" applyFill="1" applyFont="1">
      <alignment horizontal="center" readingOrder="0" shrinkToFit="0" wrapText="0"/>
    </xf>
    <xf borderId="0" fillId="10" fontId="2" numFmtId="0" xfId="0" applyAlignment="1" applyFill="1" applyFont="1">
      <alignment vertical="bottom"/>
    </xf>
    <xf borderId="19" fillId="3" fontId="25" numFmtId="0" xfId="0" applyAlignment="1" applyBorder="1" applyFill="1" applyFont="1">
      <alignment horizontal="right" vertical="bottom"/>
    </xf>
    <xf borderId="11" fillId="8" fontId="16" numFmtId="0" xfId="0" applyAlignment="1" applyBorder="1" applyFill="1" applyFont="1">
      <alignment horizontal="center" readingOrder="0" shrinkToFit="0" wrapText="0"/>
    </xf>
    <xf borderId="19" fillId="3" fontId="49" numFmtId="0" xfId="0" applyAlignment="1" applyBorder="1" applyFill="1" applyFont="1">
      <alignment horizontal="right" vertical="bottom"/>
    </xf>
    <xf borderId="0" fillId="10" fontId="2" numFmtId="0" xfId="0" applyAlignment="1" applyFill="1" applyFont="1">
      <alignment shrinkToFit="0" vertical="bottom" wrapText="0"/>
    </xf>
    <xf borderId="42" fillId="3" fontId="2" numFmtId="0" xfId="0" applyAlignment="1" applyBorder="1" applyFill="1" applyFont="1">
      <alignment vertical="bottom"/>
    </xf>
    <xf borderId="24" fillId="0" fontId="16" numFmtId="0" xfId="0" applyAlignment="1" applyBorder="1" applyFont="1">
      <alignment horizontal="center" shrinkToFit="0" vertical="bottom" wrapText="0"/>
    </xf>
    <xf borderId="17" fillId="0" fontId="53" numFmtId="0" xfId="0" applyAlignment="1" applyBorder="1" applyFont="1">
      <alignment readingOrder="0"/>
    </xf>
    <xf borderId="19" fillId="3" fontId="49" numFmtId="0" xfId="0" applyAlignment="1" applyBorder="1" applyFill="1" applyFont="1">
      <alignment readingOrder="0" vertical="bottom"/>
    </xf>
    <xf borderId="17" fillId="0" fontId="16" numFmtId="4" xfId="0" applyAlignment="1" applyBorder="1" applyFont="1" applyNumberFormat="1">
      <alignment horizontal="right" vertical="bottom"/>
    </xf>
    <xf borderId="43" fillId="3" fontId="22" numFmtId="0" xfId="0" applyAlignment="1" applyBorder="1" applyFill="1" applyFont="1">
      <alignment vertical="bottom"/>
    </xf>
    <xf borderId="19" fillId="3" fontId="2" numFmtId="0" xfId="0" applyAlignment="1" applyBorder="1" applyFill="1" applyFont="1">
      <alignment vertical="bottom"/>
    </xf>
    <xf borderId="52" fillId="0" fontId="2" numFmtId="0" xfId="0" applyAlignment="1" applyBorder="1" applyFont="1">
      <alignment vertical="bottom"/>
    </xf>
    <xf borderId="19" fillId="3" fontId="22" numFmtId="0" xfId="0" applyAlignment="1" applyBorder="1" applyFill="1" applyFont="1">
      <alignment horizontal="right" vertical="bottom"/>
    </xf>
    <xf borderId="55" fillId="3" fontId="2" numFmtId="0" xfId="0" applyAlignment="1" applyBorder="1" applyFill="1" applyFont="1">
      <alignment horizontal="center" readingOrder="0" vertical="bottom"/>
    </xf>
    <xf borderId="19" fillId="3" fontId="19" numFmtId="0" xfId="0" applyAlignment="1" applyBorder="1" applyFill="1" applyFont="1">
      <alignment vertical="bottom"/>
    </xf>
    <xf borderId="19" fillId="0" fontId="3" numFmtId="0" xfId="0" applyAlignment="1" applyBorder="1" applyFont="1">
      <alignment shrinkToFit="0" vertical="bottom" wrapText="0"/>
    </xf>
    <xf borderId="19" fillId="3" fontId="19" numFmtId="0" xfId="0" applyAlignment="1" applyBorder="1" applyFill="1" applyFont="1">
      <alignment readingOrder="0" vertical="bottom"/>
    </xf>
    <xf borderId="56" fillId="2" fontId="48" numFmtId="0" xfId="0" applyAlignment="1" applyBorder="1" applyFill="1" applyFont="1">
      <alignment horizontal="center" vertical="center"/>
    </xf>
    <xf borderId="0" fillId="0" fontId="16" numFmtId="0" xfId="0" applyAlignment="1" applyFont="1">
      <alignment horizontal="left" shrinkToFit="0" textRotation="45" vertical="bottom" wrapText="0"/>
    </xf>
    <xf borderId="0" fillId="0" fontId="12" numFmtId="0" xfId="0" applyAlignment="1" applyFont="1">
      <alignment readingOrder="0"/>
    </xf>
    <xf borderId="0" fillId="2" fontId="48" numFmtId="0" xfId="0" applyAlignment="1" applyFill="1" applyFont="1">
      <alignment vertical="center"/>
    </xf>
    <xf borderId="56" fillId="2" fontId="48" numFmtId="0" xfId="0" applyAlignment="1" applyBorder="1" applyFill="1" applyFont="1">
      <alignment vertical="center"/>
    </xf>
    <xf borderId="19" fillId="2" fontId="36" numFmtId="0" xfId="0" applyAlignment="1" applyBorder="1" applyFill="1" applyFont="1">
      <alignment horizontal="center" readingOrder="0" vertical="center"/>
    </xf>
    <xf borderId="19" fillId="2" fontId="50" numFmtId="0" xfId="0" applyAlignment="1" applyBorder="1" applyFill="1" applyFont="1">
      <alignment horizontal="center" readingOrder="0" vertical="center"/>
    </xf>
    <xf borderId="19" fillId="2" fontId="50" numFmtId="0" xfId="0" applyAlignment="1" applyBorder="1" applyFill="1" applyFont="1">
      <alignment horizontal="center" vertical="center"/>
    </xf>
    <xf borderId="24" fillId="0" fontId="16" numFmtId="0" xfId="0" applyAlignment="1" applyBorder="1" applyFont="1">
      <alignment horizontal="center" shrinkToFit="0" textRotation="45" vertical="bottom" wrapText="0"/>
    </xf>
    <xf borderId="52" fillId="2" fontId="50" numFmtId="0" xfId="0" applyAlignment="1" applyBorder="1" applyFill="1" applyFont="1">
      <alignment horizontal="center" vertical="center"/>
    </xf>
    <xf borderId="19" fillId="2" fontId="48" numFmtId="0" xfId="0" applyAlignment="1" applyBorder="1" applyFill="1" applyFont="1">
      <alignment horizontal="center" vertical="center"/>
    </xf>
    <xf borderId="52" fillId="2" fontId="48" numFmtId="0" xfId="0" applyAlignment="1" applyBorder="1" applyFill="1" applyFont="1">
      <alignment horizontal="center" vertical="center"/>
    </xf>
    <xf borderId="0" fillId="2" fontId="54" numFmtId="0" xfId="0" applyAlignment="1" applyFill="1" applyFont="1">
      <alignment readingOrder="0" vertical="center"/>
    </xf>
    <xf borderId="56" fillId="2" fontId="50" numFmtId="0" xfId="0" applyAlignment="1" applyBorder="1" applyFill="1" applyFont="1">
      <alignment horizontal="center" vertical="center"/>
    </xf>
    <xf borderId="0" fillId="2" fontId="50" numFmtId="0" xfId="0" applyAlignment="1" applyFill="1" applyFont="1">
      <alignment horizontal="center" vertical="center"/>
    </xf>
    <xf borderId="0" fillId="2" fontId="50" numFmtId="0" xfId="0" applyAlignment="1" applyFill="1" applyFont="1">
      <alignment horizontal="center" readingOrder="0" vertical="center"/>
    </xf>
    <xf borderId="43" fillId="0" fontId="2" numFmtId="0" xfId="0" applyAlignment="1" applyBorder="1" applyFont="1">
      <alignment readingOrder="0" vertical="bottom"/>
    </xf>
    <xf borderId="23" fillId="8" fontId="17" numFmtId="0" xfId="0" applyAlignment="1" applyBorder="1" applyFill="1" applyFont="1">
      <alignment horizontal="center" readingOrder="0" shrinkToFit="0" wrapText="0"/>
    </xf>
    <xf borderId="17" fillId="0" fontId="16" numFmtId="0" xfId="0" applyAlignment="1" applyBorder="1" applyFont="1">
      <alignment horizontal="right" vertical="bottom"/>
    </xf>
    <xf borderId="57" fillId="2" fontId="50" numFmtId="0" xfId="0" applyAlignment="1" applyBorder="1" applyFill="1" applyFont="1">
      <alignment horizontal="center" vertical="center"/>
    </xf>
    <xf borderId="46" fillId="7" fontId="16" numFmtId="0" xfId="0" applyAlignment="1" applyBorder="1" applyFill="1" applyFont="1">
      <alignment horizontal="center" shrinkToFit="0" vertical="bottom" wrapText="0"/>
    </xf>
    <xf borderId="58" fillId="2" fontId="55" numFmtId="0" xfId="0" applyAlignment="1" applyBorder="1" applyFill="1" applyFont="1">
      <alignment horizontal="center" readingOrder="0" vertical="center"/>
    </xf>
    <xf borderId="29" fillId="2" fontId="55" numFmtId="0" xfId="0" applyAlignment="1" applyBorder="1" applyFill="1" applyFont="1">
      <alignment horizontal="center" readingOrder="0" vertical="center"/>
    </xf>
    <xf borderId="45" fillId="8" fontId="16" numFmtId="0" xfId="0" applyAlignment="1" applyBorder="1" applyFill="1" applyFont="1">
      <alignment horizontal="center" shrinkToFit="0" vertical="bottom" wrapText="0"/>
    </xf>
    <xf borderId="59" fillId="2" fontId="55" numFmtId="0" xfId="0" applyAlignment="1" applyBorder="1" applyFill="1" applyFont="1">
      <alignment horizontal="center" readingOrder="0" vertical="center"/>
    </xf>
    <xf borderId="57" fillId="2" fontId="55" numFmtId="0" xfId="0" applyAlignment="1" applyBorder="1" applyFill="1" applyFont="1">
      <alignment horizontal="center" readingOrder="0" vertical="center"/>
    </xf>
    <xf borderId="56" fillId="2" fontId="2" numFmtId="0" xfId="0" applyAlignment="1" applyBorder="1" applyFill="1" applyFont="1">
      <alignment horizontal="center" readingOrder="0" vertical="center"/>
    </xf>
    <xf borderId="0" fillId="2" fontId="36" numFmtId="0" xfId="0" applyAlignment="1" applyFill="1" applyFont="1">
      <alignment horizontal="center" vertical="center"/>
    </xf>
    <xf borderId="23" fillId="8" fontId="17" numFmtId="0" xfId="0" applyAlignment="1" applyBorder="1" applyFill="1" applyFont="1">
      <alignment horizontal="center" shrinkToFit="0" wrapText="0"/>
    </xf>
    <xf borderId="27" fillId="7" fontId="17" numFmtId="0" xfId="0" applyAlignment="1" applyBorder="1" applyFill="1" applyFont="1">
      <alignment horizontal="center" readingOrder="0" shrinkToFit="0" wrapText="0"/>
    </xf>
    <xf borderId="29" fillId="0" fontId="29" numFmtId="0" xfId="0" applyAlignment="1" applyBorder="1" applyFont="1">
      <alignment readingOrder="0" vertical="bottom"/>
    </xf>
    <xf borderId="27" fillId="8" fontId="16" numFmtId="0" xfId="0" applyAlignment="1" applyBorder="1" applyFill="1" applyFont="1">
      <alignment horizontal="center" shrinkToFit="0" wrapText="0"/>
    </xf>
    <xf borderId="28" fillId="7" fontId="17" numFmtId="0" xfId="0" applyAlignment="1" applyBorder="1" applyFill="1" applyFont="1">
      <alignment horizontal="center" shrinkToFit="0" wrapText="0"/>
    </xf>
    <xf borderId="26" fillId="8" fontId="17" numFmtId="0" xfId="0" applyAlignment="1" applyBorder="1" applyFill="1" applyFont="1">
      <alignment horizontal="center" shrinkToFit="0" wrapText="0"/>
    </xf>
    <xf borderId="28" fillId="8" fontId="16" numFmtId="0" xfId="0" applyAlignment="1" applyBorder="1" applyFill="1" applyFont="1">
      <alignment horizontal="center" shrinkToFit="0" wrapText="0"/>
    </xf>
    <xf borderId="23" fillId="7" fontId="17" numFmtId="0" xfId="0" applyAlignment="1" applyBorder="1" applyFill="1" applyFont="1">
      <alignment horizontal="center" readingOrder="0" shrinkToFit="0" wrapText="0"/>
    </xf>
    <xf borderId="0" fillId="0" fontId="2" numFmtId="0" xfId="0" applyAlignment="1" applyFont="1">
      <alignment readingOrder="0" shrinkToFit="0" wrapText="1"/>
    </xf>
    <xf borderId="0" fillId="0" fontId="29" numFmtId="0" xfId="0" applyAlignment="1" applyFont="1">
      <alignment readingOrder="0" vertical="bottom"/>
    </xf>
    <xf borderId="17" fillId="0" fontId="56" numFmtId="0" xfId="0" applyAlignment="1" applyBorder="1" applyFont="1">
      <alignment readingOrder="0"/>
    </xf>
    <xf borderId="0" fillId="3" fontId="50" numFmtId="0" xfId="0" applyAlignment="1" applyFill="1" applyFont="1">
      <alignment readingOrder="0" vertical="bottom"/>
    </xf>
    <xf borderId="56" fillId="2" fontId="36" numFmtId="0" xfId="0" applyAlignment="1" applyBorder="1" applyFill="1" applyFont="1">
      <alignment horizontal="center" vertical="center"/>
    </xf>
    <xf borderId="17" fillId="5" fontId="16" numFmtId="0" xfId="0" applyAlignment="1" applyBorder="1" applyFill="1" applyFont="1">
      <alignment horizontal="right" readingOrder="0" vertical="bottom"/>
    </xf>
    <xf borderId="31" fillId="8" fontId="16" numFmtId="0" xfId="0" applyAlignment="1" applyBorder="1" applyFill="1" applyFont="1">
      <alignment horizontal="center" shrinkToFit="0" wrapText="0"/>
    </xf>
    <xf borderId="4" fillId="3" fontId="50" numFmtId="0" xfId="0" applyAlignment="1" applyBorder="1" applyFill="1" applyFont="1">
      <alignment vertical="bottom"/>
    </xf>
    <xf borderId="29" fillId="2" fontId="50" numFmtId="0" xfId="0" applyAlignment="1" applyBorder="1" applyFill="1" applyFont="1">
      <alignment horizontal="center" vertical="center"/>
    </xf>
    <xf borderId="23" fillId="7" fontId="17" numFmtId="0" xfId="0" applyAlignment="1" applyBorder="1" applyFill="1" applyFont="1">
      <alignment horizontal="center" shrinkToFit="0" wrapText="0"/>
    </xf>
    <xf borderId="29" fillId="2" fontId="57" numFmtId="0" xfId="0" applyAlignment="1" applyBorder="1" applyFill="1" applyFont="1">
      <alignment horizontal="center" readingOrder="0" vertical="center"/>
    </xf>
    <xf borderId="30" fillId="8" fontId="17" numFmtId="0" xfId="0" applyAlignment="1" applyBorder="1" applyFill="1" applyFont="1">
      <alignment horizontal="center" shrinkToFit="0" wrapText="0"/>
    </xf>
    <xf borderId="0" fillId="3" fontId="29" numFmtId="0" xfId="0" applyAlignment="1" applyFill="1" applyFont="1">
      <alignment horizontal="right" readingOrder="0" vertical="bottom"/>
    </xf>
    <xf borderId="57" fillId="2" fontId="57" numFmtId="0" xfId="0" applyAlignment="1" applyBorder="1" applyFill="1" applyFont="1">
      <alignment horizontal="center" readingOrder="0" vertical="center"/>
    </xf>
    <xf borderId="23" fillId="8" fontId="16" numFmtId="0" xfId="0" applyAlignment="1" applyBorder="1" applyFill="1" applyFont="1">
      <alignment horizontal="center" shrinkToFit="0" wrapText="0"/>
    </xf>
    <xf borderId="56" fillId="2" fontId="2" numFmtId="0" xfId="0" applyAlignment="1" applyBorder="1" applyFill="1" applyFont="1">
      <alignment vertical="center"/>
    </xf>
    <xf borderId="0" fillId="2" fontId="2" numFmtId="0" xfId="0" applyAlignment="1" applyFill="1" applyFont="1">
      <alignment vertical="center"/>
    </xf>
    <xf borderId="32" fillId="3" fontId="50" numFmtId="0" xfId="0" applyAlignment="1" applyBorder="1" applyFill="1" applyFont="1">
      <alignment readingOrder="0" vertical="bottom"/>
    </xf>
    <xf borderId="32" fillId="3" fontId="49" numFmtId="0" xfId="0" applyAlignment="1" applyBorder="1" applyFill="1" applyFont="1">
      <alignment horizontal="left" readingOrder="0" vertical="bottom"/>
    </xf>
    <xf borderId="32" fillId="3" fontId="29" numFmtId="0" xfId="0" applyAlignment="1" applyBorder="1" applyFill="1" applyFont="1">
      <alignment horizontal="right" vertical="bottom"/>
    </xf>
    <xf borderId="32" fillId="3" fontId="2" numFmtId="0" xfId="0" applyAlignment="1" applyBorder="1" applyFill="1" applyFont="1">
      <alignment vertical="bottom"/>
    </xf>
    <xf borderId="32" fillId="3" fontId="19" numFmtId="0" xfId="0" applyAlignment="1" applyBorder="1" applyFill="1" applyFont="1">
      <alignment horizontal="right" vertical="bottom"/>
    </xf>
    <xf borderId="0" fillId="2" fontId="58" numFmtId="0" xfId="0" applyAlignment="1" applyFill="1" applyFont="1">
      <alignment readingOrder="0" vertical="center"/>
    </xf>
    <xf borderId="32" fillId="3" fontId="25" numFmtId="0" xfId="0" applyAlignment="1" applyBorder="1" applyFill="1" applyFont="1">
      <alignment horizontal="right" vertical="bottom"/>
    </xf>
    <xf borderId="56" fillId="2" fontId="59" numFmtId="0" xfId="0" applyAlignment="1" applyBorder="1" applyFill="1" applyFont="1">
      <alignment vertical="center"/>
    </xf>
    <xf borderId="32" fillId="3" fontId="49" numFmtId="0" xfId="0" applyAlignment="1" applyBorder="1" applyFill="1" applyFont="1">
      <alignment horizontal="right" vertical="bottom"/>
    </xf>
    <xf borderId="0" fillId="2" fontId="59" numFmtId="0" xfId="0" applyAlignment="1" applyFill="1" applyFont="1">
      <alignment vertical="center"/>
    </xf>
    <xf borderId="30" fillId="8" fontId="17" numFmtId="0" xfId="0" applyAlignment="1" applyBorder="1" applyFill="1" applyFont="1">
      <alignment horizontal="center" readingOrder="0" shrinkToFit="0" wrapText="0"/>
    </xf>
    <xf borderId="34" fillId="3" fontId="2" numFmtId="0" xfId="0" applyAlignment="1" applyBorder="1" applyFill="1" applyFont="1">
      <alignment vertical="bottom"/>
    </xf>
    <xf borderId="23" fillId="8" fontId="16" numFmtId="0" xfId="0" applyAlignment="1" applyBorder="1" applyFill="1" applyFont="1">
      <alignment horizontal="center" readingOrder="0" shrinkToFit="0" wrapText="0"/>
    </xf>
    <xf borderId="35" fillId="3" fontId="50" numFmtId="0" xfId="0" applyAlignment="1" applyBorder="1" applyFill="1" applyFont="1">
      <alignment vertical="bottom"/>
    </xf>
    <xf borderId="23" fillId="7" fontId="16" numFmtId="0" xfId="0" applyAlignment="1" applyBorder="1" applyFill="1" applyFont="1">
      <alignment horizontal="center" readingOrder="0" shrinkToFit="0" wrapText="0"/>
    </xf>
    <xf borderId="60" fillId="2" fontId="60" numFmtId="0" xfId="0" applyAlignment="1" applyBorder="1" applyFill="1" applyFont="1">
      <alignment vertical="center"/>
    </xf>
    <xf borderId="32" fillId="3" fontId="49" numFmtId="0" xfId="0" applyAlignment="1" applyBorder="1" applyFill="1" applyFont="1">
      <alignment readingOrder="0" vertical="bottom"/>
    </xf>
    <xf borderId="0" fillId="2" fontId="60" numFmtId="0" xfId="0" applyAlignment="1" applyFill="1" applyFont="1">
      <alignment vertical="center"/>
    </xf>
    <xf borderId="61" fillId="2" fontId="60" numFmtId="0" xfId="0" applyAlignment="1" applyBorder="1" applyFill="1" applyFont="1">
      <alignment vertical="center"/>
    </xf>
    <xf borderId="60" fillId="2" fontId="59" numFmtId="0" xfId="0" applyAlignment="1" applyBorder="1" applyFill="1" applyFont="1">
      <alignment vertical="center"/>
    </xf>
    <xf borderId="35" fillId="3" fontId="22" numFmtId="0" xfId="0" applyAlignment="1" applyBorder="1" applyFill="1" applyFont="1">
      <alignment vertical="bottom"/>
    </xf>
    <xf borderId="0" fillId="2" fontId="61" numFmtId="0" xfId="0" applyAlignment="1" applyFill="1" applyFont="1">
      <alignment horizontal="right" vertical="center"/>
    </xf>
    <xf borderId="32" fillId="3" fontId="22" numFmtId="0" xfId="0" applyAlignment="1" applyBorder="1" applyFill="1" applyFont="1">
      <alignment horizontal="right" vertical="bottom"/>
    </xf>
    <xf borderId="32" fillId="3" fontId="19" numFmtId="0" xfId="0" applyAlignment="1" applyBorder="1" applyFill="1" applyFont="1">
      <alignment vertical="bottom"/>
    </xf>
    <xf borderId="0" fillId="5" fontId="46" numFmtId="49" xfId="0" applyAlignment="1" applyFill="1" applyFont="1" applyNumberFormat="1">
      <alignment vertical="bottom"/>
    </xf>
    <xf borderId="32" fillId="3" fontId="19" numFmtId="0" xfId="0" applyAlignment="1" applyBorder="1" applyFill="1" applyFont="1">
      <alignment readingOrder="0" vertical="bottom"/>
    </xf>
    <xf borderId="62" fillId="0" fontId="2" numFmtId="0" xfId="0" applyAlignment="1" applyBorder="1" applyFont="1">
      <alignment readingOrder="0" vertical="bottom"/>
    </xf>
    <xf borderId="62" fillId="0" fontId="18" numFmtId="0" xfId="0" applyAlignment="1" applyBorder="1" applyFont="1">
      <alignment horizontal="left" readingOrder="0" vertical="bottom"/>
    </xf>
    <xf borderId="62" fillId="0" fontId="19" numFmtId="0" xfId="0" applyAlignment="1" applyBorder="1" applyFont="1">
      <alignment horizontal="right" vertical="bottom"/>
    </xf>
    <xf borderId="62" fillId="0" fontId="22" numFmtId="0" xfId="0" applyAlignment="1" applyBorder="1" applyFont="1">
      <alignment horizontal="right" vertical="bottom"/>
    </xf>
    <xf borderId="62" fillId="0" fontId="2" numFmtId="0" xfId="0" applyAlignment="1" applyBorder="1" applyFont="1">
      <alignment vertical="bottom"/>
    </xf>
    <xf borderId="62" fillId="0" fontId="24" numFmtId="0" xfId="0" applyAlignment="1" applyBorder="1" applyFont="1">
      <alignment horizontal="right" vertical="bottom"/>
    </xf>
    <xf borderId="62" fillId="0" fontId="25" numFmtId="0" xfId="0" applyAlignment="1" applyBorder="1" applyFont="1">
      <alignment horizontal="right" vertical="bottom"/>
    </xf>
    <xf borderId="31" fillId="8" fontId="16" numFmtId="0" xfId="0" applyAlignment="1" applyBorder="1" applyFill="1" applyFont="1">
      <alignment horizontal="center" readingOrder="0" shrinkToFit="0" wrapText="0"/>
    </xf>
    <xf borderId="62" fillId="4" fontId="22" numFmtId="0" xfId="0" applyAlignment="1" applyBorder="1" applyFill="1" applyFont="1">
      <alignment horizontal="right" vertical="bottom"/>
    </xf>
    <xf borderId="62" fillId="0" fontId="18" numFmtId="0" xfId="0" applyAlignment="1" applyBorder="1" applyFont="1">
      <alignment horizontal="right" vertical="bottom"/>
    </xf>
    <xf borderId="62" fillId="0" fontId="29" numFmtId="0" xfId="0" applyAlignment="1" applyBorder="1" applyFont="1">
      <alignment horizontal="right" vertical="bottom"/>
    </xf>
    <xf borderId="63" fillId="0" fontId="2" numFmtId="0" xfId="0" applyAlignment="1" applyBorder="1" applyFont="1">
      <alignment vertical="bottom"/>
    </xf>
    <xf borderId="64" fillId="0" fontId="2" numFmtId="0" xfId="0" applyAlignment="1" applyBorder="1" applyFont="1">
      <alignment vertical="bottom"/>
    </xf>
    <xf borderId="62" fillId="0" fontId="22" numFmtId="0" xfId="0" applyAlignment="1" applyBorder="1" applyFont="1">
      <alignment horizontal="right" readingOrder="0" vertical="bottom"/>
    </xf>
    <xf borderId="56" fillId="2" fontId="61" numFmtId="0" xfId="0" applyAlignment="1" applyBorder="1" applyFill="1" applyFont="1">
      <alignment horizontal="right" vertical="center"/>
    </xf>
    <xf borderId="62" fillId="0" fontId="18" numFmtId="0" xfId="0" applyAlignment="1" applyBorder="1" applyFont="1">
      <alignment readingOrder="0" vertical="bottom"/>
    </xf>
    <xf borderId="0" fillId="2" fontId="57" numFmtId="0" xfId="0" applyAlignment="1" applyFill="1" applyFont="1">
      <alignment vertical="center"/>
    </xf>
    <xf borderId="56" fillId="2" fontId="57" numFmtId="0" xfId="0" applyAlignment="1" applyBorder="1" applyFill="1" applyFont="1">
      <alignment vertical="center"/>
    </xf>
    <xf borderId="0" fillId="0" fontId="2" numFmtId="0" xfId="0" applyAlignment="1" applyFont="1">
      <alignment horizontal="right" readingOrder="0"/>
    </xf>
    <xf borderId="52" fillId="2" fontId="2" numFmtId="0" xfId="0" applyAlignment="1" applyBorder="1" applyFill="1" applyFont="1">
      <alignment vertical="center"/>
    </xf>
    <xf borderId="64" fillId="0" fontId="22" numFmtId="0" xfId="0" applyAlignment="1" applyBorder="1" applyFont="1">
      <alignment vertical="bottom"/>
    </xf>
    <xf borderId="19" fillId="2" fontId="36" numFmtId="0" xfId="0" applyAlignment="1" applyBorder="1" applyFill="1" applyFont="1">
      <alignment horizontal="center" vertical="center"/>
    </xf>
    <xf borderId="62" fillId="0" fontId="29" numFmtId="0" xfId="0" applyAlignment="1" applyBorder="1" applyFont="1">
      <alignment readingOrder="0" vertical="bottom"/>
    </xf>
    <xf borderId="52" fillId="0" fontId="20" numFmtId="0" xfId="0" applyBorder="1" applyFont="1"/>
    <xf borderId="62" fillId="0" fontId="19" numFmtId="0" xfId="0" applyAlignment="1" applyBorder="1" applyFont="1">
      <alignment vertical="bottom"/>
    </xf>
    <xf borderId="62" fillId="0" fontId="19" numFmtId="0" xfId="0" applyAlignment="1" applyBorder="1" applyFont="1">
      <alignment readingOrder="0" vertical="bottom"/>
    </xf>
    <xf borderId="19" fillId="2" fontId="2" numFmtId="0" xfId="0" applyAlignment="1" applyBorder="1" applyFill="1" applyFont="1">
      <alignment readingOrder="0" vertical="center"/>
    </xf>
    <xf borderId="19" fillId="2" fontId="2" numFmtId="0" xfId="0" applyAlignment="1" applyBorder="1" applyFill="1" applyFont="1">
      <alignment vertical="center"/>
    </xf>
    <xf borderId="65" fillId="2" fontId="2" numFmtId="0" xfId="0" applyAlignment="1" applyBorder="1" applyFill="1" applyFont="1">
      <alignment vertical="center"/>
    </xf>
    <xf borderId="23" fillId="2" fontId="17" numFmtId="0" xfId="0" applyAlignment="1" applyBorder="1" applyFill="1" applyFont="1">
      <alignment horizontal="center" shrinkToFit="0" wrapText="0"/>
    </xf>
    <xf borderId="66" fillId="2" fontId="2" numFmtId="0" xfId="0" applyAlignment="1" applyBorder="1" applyFill="1" applyFont="1">
      <alignment vertical="center"/>
    </xf>
    <xf borderId="30" fillId="2" fontId="17" numFmtId="0" xfId="0" applyAlignment="1" applyBorder="1" applyFill="1" applyFont="1">
      <alignment shrinkToFit="0" wrapText="0"/>
    </xf>
    <xf borderId="31" fillId="2" fontId="17" numFmtId="0" xfId="0" applyAlignment="1" applyBorder="1" applyFill="1" applyFont="1">
      <alignment shrinkToFit="0" wrapText="0"/>
    </xf>
    <xf borderId="31" fillId="2" fontId="16" numFmtId="0" xfId="0" applyAlignment="1" applyBorder="1" applyFill="1" applyFont="1">
      <alignment shrinkToFit="0" wrapText="0"/>
    </xf>
    <xf borderId="23" fillId="2" fontId="16" numFmtId="0" xfId="0" applyAlignment="1" applyBorder="1" applyFill="1" applyFont="1">
      <alignment shrinkToFit="0" wrapText="0"/>
    </xf>
    <xf borderId="19" fillId="3" fontId="50" numFmtId="0" xfId="0" applyAlignment="1" applyBorder="1" applyFill="1" applyFont="1">
      <alignment readingOrder="0" vertical="bottom"/>
    </xf>
    <xf borderId="52" fillId="2" fontId="12" numFmtId="0" xfId="0" applyAlignment="1" applyBorder="1" applyFill="1" applyFont="1">
      <alignment horizontal="center" textRotation="90" vertical="bottom"/>
    </xf>
    <xf borderId="19" fillId="2" fontId="12" numFmtId="0" xfId="0" applyAlignment="1" applyBorder="1" applyFill="1" applyFont="1">
      <alignment horizontal="center" textRotation="90" vertical="bottom"/>
    </xf>
    <xf borderId="43" fillId="3" fontId="50" numFmtId="0" xfId="0" applyAlignment="1" applyBorder="1" applyFill="1" applyFont="1">
      <alignment vertical="bottom"/>
    </xf>
    <xf borderId="19" fillId="2" fontId="62" numFmtId="0" xfId="0" applyAlignment="1" applyBorder="1" applyFill="1" applyFont="1">
      <alignment horizontal="center" textRotation="90" vertical="bottom"/>
    </xf>
    <xf borderId="19" fillId="2" fontId="63" numFmtId="0" xfId="0" applyAlignment="1" applyBorder="1" applyFill="1" applyFont="1">
      <alignment horizontal="center" textRotation="90" vertical="bottom"/>
    </xf>
    <xf borderId="52" fillId="2" fontId="62" numFmtId="0" xfId="0" applyAlignment="1" applyBorder="1" applyFill="1" applyFont="1">
      <alignment horizontal="center" textRotation="90" vertical="bottom"/>
    </xf>
    <xf borderId="19" fillId="2" fontId="12" numFmtId="0" xfId="0" applyAlignment="1" applyBorder="1" applyFill="1" applyFont="1">
      <alignment horizontal="center" readingOrder="0" textRotation="90" vertical="bottom"/>
    </xf>
    <xf borderId="19" fillId="2" fontId="64" numFmtId="0" xfId="0" applyAlignment="1" applyBorder="1" applyFill="1" applyFont="1">
      <alignment horizontal="center" readingOrder="0" textRotation="90" vertical="bottom"/>
    </xf>
    <xf borderId="19" fillId="2" fontId="57" numFmtId="0" xfId="0" applyAlignment="1" applyBorder="1" applyFill="1" applyFont="1">
      <alignment horizontal="center" textRotation="90" vertical="bottom"/>
    </xf>
    <xf borderId="52" fillId="2" fontId="12" numFmtId="0" xfId="0" applyAlignment="1" applyBorder="1" applyFill="1" applyFont="1">
      <alignment horizontal="center" readingOrder="0" textRotation="90" vertical="bottom"/>
    </xf>
    <xf borderId="19" fillId="2" fontId="65" numFmtId="0" xfId="0" applyAlignment="1" applyBorder="1" applyFill="1" applyFont="1">
      <alignment horizontal="center" textRotation="90" vertical="bottom"/>
    </xf>
    <xf borderId="17" fillId="8" fontId="43" numFmtId="0" xfId="0" applyAlignment="1" applyBorder="1" applyFill="1" applyFont="1">
      <alignment readingOrder="0"/>
    </xf>
    <xf borderId="19" fillId="2" fontId="42" numFmtId="0" xfId="0" applyAlignment="1" applyBorder="1" applyFill="1" applyFont="1">
      <alignment horizontal="center" textRotation="90" vertical="bottom"/>
    </xf>
    <xf borderId="19" fillId="2" fontId="42" numFmtId="0" xfId="0" applyAlignment="1" applyBorder="1" applyFill="1" applyFont="1">
      <alignment horizontal="center" readingOrder="0" textRotation="90" vertical="bottom"/>
    </xf>
    <xf borderId="17" fillId="8" fontId="16" numFmtId="0" xfId="0" applyAlignment="1" applyBorder="1" applyFill="1" applyFont="1">
      <alignment horizontal="right" readingOrder="0"/>
    </xf>
    <xf borderId="52" fillId="2" fontId="50" numFmtId="0" xfId="0" applyAlignment="1" applyBorder="1" applyFill="1" applyFont="1">
      <alignment horizontal="center" textRotation="90" vertical="bottom"/>
    </xf>
    <xf borderId="65" fillId="2" fontId="42" numFmtId="0" xfId="0" applyAlignment="1" applyBorder="1" applyFill="1" applyFont="1">
      <alignment readingOrder="0" textRotation="90" vertical="bottom"/>
    </xf>
    <xf borderId="19" fillId="2" fontId="42" numFmtId="0" xfId="0" applyAlignment="1" applyBorder="1" applyFill="1" applyFont="1">
      <alignment readingOrder="0" textRotation="90" vertical="bottom"/>
    </xf>
    <xf borderId="17" fillId="8" fontId="22" numFmtId="0" xfId="0" applyAlignment="1" applyBorder="1" applyFill="1" applyFont="1">
      <alignment horizontal="right"/>
    </xf>
    <xf borderId="19" fillId="2" fontId="12" numFmtId="0" xfId="0" applyAlignment="1" applyBorder="1" applyFill="1" applyFont="1">
      <alignment readingOrder="0" textRotation="90" vertical="bottom"/>
    </xf>
    <xf borderId="19" fillId="2" fontId="63" numFmtId="0" xfId="0" applyAlignment="1" applyBorder="1" applyFill="1" applyFont="1">
      <alignment readingOrder="0" textRotation="90" vertical="bottom"/>
    </xf>
    <xf borderId="66" fillId="2" fontId="62" numFmtId="0" xfId="0" applyAlignment="1" applyBorder="1" applyFill="1" applyFont="1">
      <alignment readingOrder="0" textRotation="90" vertical="bottom"/>
    </xf>
    <xf borderId="17" fillId="8" fontId="2" numFmtId="49" xfId="0" applyAlignment="1" applyBorder="1" applyFill="1" applyFont="1" applyNumberFormat="1">
      <alignment horizontal="right" readingOrder="0"/>
    </xf>
    <xf borderId="19" fillId="2" fontId="2" numFmtId="0" xfId="0" applyAlignment="1" applyBorder="1" applyFill="1" applyFont="1">
      <alignment readingOrder="0" textRotation="90" vertical="bottom"/>
    </xf>
    <xf borderId="16" fillId="8" fontId="22" numFmtId="49" xfId="0" applyAlignment="1" applyBorder="1" applyFill="1" applyFont="1" applyNumberFormat="1">
      <alignment readingOrder="0"/>
    </xf>
    <xf borderId="65" fillId="2" fontId="36" numFmtId="0" xfId="0" applyAlignment="1" applyBorder="1" applyFill="1" applyFont="1">
      <alignment readingOrder="0" textRotation="90" vertical="bottom"/>
    </xf>
    <xf borderId="17" fillId="8" fontId="22" numFmtId="49" xfId="0" applyAlignment="1" applyBorder="1" applyFill="1" applyFont="1" applyNumberFormat="1">
      <alignment readingOrder="0"/>
    </xf>
    <xf borderId="19" fillId="2" fontId="36" numFmtId="0" xfId="0" applyAlignment="1" applyBorder="1" applyFill="1" applyFont="1">
      <alignment readingOrder="0" textRotation="90" vertical="bottom"/>
    </xf>
    <xf borderId="52" fillId="2" fontId="2" numFmtId="0" xfId="0" applyAlignment="1" applyBorder="1" applyFill="1" applyFont="1">
      <alignment readingOrder="0" textRotation="90" vertical="bottom"/>
    </xf>
    <xf borderId="52" fillId="2" fontId="2" numFmtId="0" xfId="0" applyAlignment="1" applyBorder="1" applyFill="1" applyFont="1">
      <alignment textRotation="90" vertical="bottom"/>
    </xf>
    <xf borderId="19" fillId="2" fontId="2" numFmtId="0" xfId="0" applyAlignment="1" applyBorder="1" applyFill="1" applyFont="1">
      <alignment textRotation="90" vertical="bottom"/>
    </xf>
    <xf borderId="52" fillId="2" fontId="65" numFmtId="0" xfId="0" applyAlignment="1" applyBorder="1" applyFill="1" applyFont="1">
      <alignment horizontal="center" textRotation="90" vertical="bottom"/>
    </xf>
    <xf borderId="52" fillId="2" fontId="57" numFmtId="0" xfId="0" applyAlignment="1" applyBorder="1" applyFill="1" applyFont="1">
      <alignment horizontal="center" textRotation="90" vertical="bottom"/>
    </xf>
    <xf borderId="19" fillId="2" fontId="66" numFmtId="0" xfId="0" applyAlignment="1" applyBorder="1" applyFill="1" applyFont="1">
      <alignment horizontal="center" readingOrder="0" textRotation="90" vertical="bottom"/>
    </xf>
    <xf borderId="19" fillId="2" fontId="63" numFmtId="0" xfId="0" applyAlignment="1" applyBorder="1" applyFill="1" applyFont="1">
      <alignment horizontal="center" readingOrder="0" textRotation="90" vertical="bottom"/>
    </xf>
    <xf borderId="19" fillId="2" fontId="2" numFmtId="0" xfId="0" applyAlignment="1" applyBorder="1" applyFill="1" applyFont="1">
      <alignment horizontal="center" readingOrder="0" textRotation="90" vertical="bottom"/>
    </xf>
    <xf borderId="19" fillId="2" fontId="58" numFmtId="0" xfId="0" applyAlignment="1" applyBorder="1" applyFill="1" applyFont="1">
      <alignment horizontal="center" readingOrder="0" textRotation="90" vertical="bottom"/>
    </xf>
    <xf borderId="52" fillId="2" fontId="2" numFmtId="0" xfId="0" applyAlignment="1" applyBorder="1" applyFill="1" applyFont="1">
      <alignment horizontal="center" textRotation="90" vertical="bottom"/>
    </xf>
    <xf borderId="67" fillId="0" fontId="29" numFmtId="0" xfId="0" applyAlignment="1" applyBorder="1" applyFont="1">
      <alignment horizontal="right" vertical="bottom"/>
    </xf>
    <xf borderId="16" fillId="0" fontId="67" numFmtId="49" xfId="0" applyAlignment="1" applyBorder="1" applyFont="1" applyNumberFormat="1">
      <alignment readingOrder="0"/>
    </xf>
    <xf borderId="68" fillId="0" fontId="2" numFmtId="0" xfId="0" applyAlignment="1" applyBorder="1" applyFont="1">
      <alignment vertical="bottom"/>
    </xf>
    <xf borderId="67" fillId="0" fontId="2" numFmtId="0" xfId="0" applyAlignment="1" applyBorder="1" applyFont="1">
      <alignment vertical="bottom"/>
    </xf>
    <xf borderId="68" fillId="0" fontId="2" numFmtId="0" xfId="0" applyAlignment="1" applyBorder="1" applyFont="1">
      <alignment shrinkToFit="0" vertical="bottom" wrapText="0"/>
    </xf>
    <xf borderId="9" fillId="10" fontId="2" numFmtId="0" xfId="0" applyAlignment="1" applyBorder="1" applyFill="1" applyFont="1">
      <alignment vertical="bottom"/>
    </xf>
    <xf borderId="69" fillId="10" fontId="2" numFmtId="0" xfId="0" applyAlignment="1" applyBorder="1" applyFill="1" applyFont="1">
      <alignment vertical="bottom"/>
    </xf>
    <xf borderId="0" fillId="0" fontId="68" numFmtId="0" xfId="0" applyAlignment="1" applyFont="1">
      <alignment vertical="center"/>
    </xf>
    <xf borderId="70" fillId="10" fontId="2" numFmtId="0" xfId="0" applyAlignment="1" applyBorder="1" applyFill="1" applyFont="1">
      <alignment vertical="bottom"/>
    </xf>
    <xf borderId="71" fillId="10" fontId="2" numFmtId="0" xfId="0" applyAlignment="1" applyBorder="1" applyFill="1" applyFont="1">
      <alignment vertical="bottom"/>
    </xf>
    <xf borderId="0" fillId="0" fontId="68" numFmtId="0" xfId="0" applyAlignment="1" applyFont="1">
      <alignment horizontal="right" shrinkToFit="0" vertical="center" wrapText="0"/>
    </xf>
    <xf borderId="0" fillId="0" fontId="68" numFmtId="0" xfId="0" applyAlignment="1" applyFont="1">
      <alignment horizontal="left" shrinkToFit="0" vertical="center" wrapText="0"/>
    </xf>
    <xf borderId="0" fillId="3" fontId="49" numFmtId="0" xfId="0" applyAlignment="1" applyFill="1" applyFont="1">
      <alignment horizontal="right" readingOrder="0" vertical="bottom"/>
    </xf>
    <xf borderId="0" fillId="0" fontId="69" numFmtId="0" xfId="0" applyAlignment="1" applyFont="1">
      <alignment readingOrder="0" vertical="center"/>
    </xf>
    <xf borderId="67" fillId="10" fontId="2" numFmtId="0" xfId="0" applyAlignment="1" applyBorder="1" applyFill="1" applyFont="1">
      <alignment vertical="bottom"/>
    </xf>
    <xf borderId="68" fillId="0" fontId="2" numFmtId="0" xfId="0" applyAlignment="1" applyBorder="1" applyFont="1">
      <alignment readingOrder="0" vertical="bottom"/>
    </xf>
    <xf borderId="56" fillId="0" fontId="29" numFmtId="0" xfId="0" applyAlignment="1" applyBorder="1" applyFont="1">
      <alignment horizontal="right" vertical="bottom"/>
    </xf>
    <xf borderId="19" fillId="3" fontId="48" numFmtId="0" xfId="0" applyAlignment="1" applyBorder="1" applyFill="1" applyFont="1">
      <alignment readingOrder="0" vertical="bottom"/>
    </xf>
    <xf borderId="17" fillId="8" fontId="16" numFmtId="0" xfId="0" applyAlignment="1" applyBorder="1" applyFill="1" applyFont="1">
      <alignment horizontal="right" readingOrder="0" vertical="bottom"/>
    </xf>
    <xf borderId="0" fillId="0" fontId="68" numFmtId="0" xfId="0" applyAlignment="1" applyFont="1">
      <alignment horizontal="right" readingOrder="0" vertical="center"/>
    </xf>
    <xf borderId="0" fillId="0" fontId="70" numFmtId="0" xfId="0" applyAlignment="1" applyFont="1">
      <alignment shrinkToFit="0" vertical="center" wrapText="0"/>
    </xf>
    <xf borderId="0" fillId="0" fontId="68" numFmtId="0" xfId="0" applyAlignment="1" applyFont="1">
      <alignment horizontal="right" shrinkToFit="0" vertical="center" wrapText="0"/>
    </xf>
    <xf borderId="33" fillId="0" fontId="42" numFmtId="0" xfId="0" applyAlignment="1" applyBorder="1" applyFont="1">
      <alignment vertical="bottom"/>
    </xf>
    <xf borderId="0" fillId="0" fontId="68" numFmtId="0" xfId="0" applyAlignment="1" applyFont="1">
      <alignment vertical="center"/>
    </xf>
    <xf borderId="0" fillId="0" fontId="68" numFmtId="0" xfId="0" applyAlignment="1" applyFont="1">
      <alignment horizontal="center" vertical="center"/>
    </xf>
    <xf borderId="17" fillId="8" fontId="11" numFmtId="49" xfId="0" applyAlignment="1" applyBorder="1" applyFill="1" applyFont="1" applyNumberFormat="1">
      <alignment readingOrder="0"/>
    </xf>
    <xf borderId="33" fillId="0" fontId="36" numFmtId="0" xfId="0" applyAlignment="1" applyBorder="1" applyFont="1">
      <alignment vertical="bottom"/>
    </xf>
    <xf borderId="0" fillId="0" fontId="68" numFmtId="0" xfId="0" applyAlignment="1" applyFont="1">
      <alignment horizontal="center" vertical="center"/>
    </xf>
    <xf quotePrefix="1" borderId="29" fillId="0" fontId="18" numFmtId="0" xfId="0" applyAlignment="1" applyBorder="1" applyFont="1">
      <alignment readingOrder="0" vertical="bottom"/>
    </xf>
    <xf borderId="35" fillId="3" fontId="48" numFmtId="0" xfId="0" applyAlignment="1" applyBorder="1" applyFill="1" applyFont="1">
      <alignment vertical="bottom"/>
    </xf>
    <xf quotePrefix="1" borderId="32" fillId="3" fontId="18" numFmtId="0" xfId="0" applyAlignment="1" applyBorder="1" applyFill="1" applyFont="1">
      <alignment readingOrder="0" vertical="bottom"/>
    </xf>
    <xf quotePrefix="1" borderId="0" fillId="0" fontId="18" numFmtId="0" xfId="0" applyAlignment="1" applyFont="1">
      <alignment readingOrder="0" vertical="bottom"/>
    </xf>
    <xf quotePrefix="1" borderId="19" fillId="0" fontId="18" numFmtId="0" xfId="0" applyAlignment="1" applyBorder="1" applyFont="1">
      <alignment readingOrder="0" vertical="bottom"/>
    </xf>
    <xf borderId="56" fillId="0" fontId="19" numFmtId="0" xfId="0" applyAlignment="1" applyBorder="1" applyFont="1">
      <alignment vertical="bottom"/>
    </xf>
    <xf borderId="0" fillId="0" fontId="71" numFmtId="0" xfId="0" applyAlignment="1" applyFont="1">
      <alignment readingOrder="0" vertical="bottom"/>
    </xf>
    <xf borderId="0" fillId="0" fontId="18" numFmtId="0" xfId="0" applyAlignment="1" applyFont="1">
      <alignment vertical="bottom"/>
    </xf>
    <xf borderId="56" fillId="0" fontId="18" numFmtId="0" xfId="0" applyAlignment="1" applyBorder="1" applyFont="1">
      <alignment readingOrder="0" vertical="bottom"/>
    </xf>
    <xf borderId="0" fillId="4" fontId="19" numFmtId="0" xfId="0" applyAlignment="1" applyFill="1" applyFont="1">
      <alignment horizontal="right" vertical="bottom"/>
    </xf>
    <xf borderId="56" fillId="0" fontId="25" numFmtId="0" xfId="0" applyAlignment="1" applyBorder="1" applyFont="1">
      <alignment horizontal="right" vertical="bottom"/>
    </xf>
    <xf borderId="56" fillId="0" fontId="2" numFmtId="0" xfId="0" applyAlignment="1" applyBorder="1" applyFont="1">
      <alignment vertical="bottom"/>
    </xf>
    <xf borderId="29" fillId="6" fontId="22" numFmtId="0" xfId="0" applyAlignment="1" applyBorder="1" applyFill="1" applyFont="1">
      <alignment horizontal="right" vertical="bottom"/>
    </xf>
    <xf borderId="0" fillId="0" fontId="68" numFmtId="0" xfId="0" applyAlignment="1" applyFont="1">
      <alignment readingOrder="0" vertical="center"/>
    </xf>
    <xf borderId="16" fillId="0" fontId="46" numFmtId="49" xfId="0" applyAlignment="1" applyBorder="1" applyFont="1" applyNumberFormat="1">
      <alignment readingOrder="0"/>
    </xf>
    <xf borderId="72" fillId="0" fontId="68" numFmtId="0" xfId="0" applyAlignment="1" applyBorder="1" applyFont="1">
      <alignment horizontal="center" vertical="center"/>
    </xf>
    <xf borderId="73" fillId="0" fontId="68" numFmtId="0" xfId="0" applyAlignment="1" applyBorder="1" applyFont="1">
      <alignment horizontal="center" vertical="center"/>
    </xf>
    <xf borderId="56" fillId="0" fontId="72" numFmtId="0" xfId="0" applyAlignment="1" applyBorder="1" applyFont="1">
      <alignment horizontal="right" vertical="bottom"/>
    </xf>
    <xf borderId="0" fillId="0" fontId="2" numFmtId="0" xfId="0" applyAlignment="1" applyFont="1">
      <alignment horizontal="right" vertical="bottom"/>
    </xf>
    <xf borderId="19" fillId="0" fontId="19" numFmtId="0" xfId="0" applyAlignment="1" applyBorder="1" applyFont="1">
      <alignment horizontal="right" readingOrder="0" vertical="bottom"/>
    </xf>
    <xf borderId="4" fillId="0" fontId="36" numFmtId="0" xfId="0" applyAlignment="1" applyBorder="1" applyFont="1">
      <alignment vertical="bottom"/>
    </xf>
    <xf borderId="19" fillId="0" fontId="44" numFmtId="0" xfId="0" applyAlignment="1" applyBorder="1" applyFont="1">
      <alignment readingOrder="0" vertical="bottom"/>
    </xf>
    <xf borderId="0" fillId="4" fontId="18" numFmtId="0" xfId="0" applyAlignment="1" applyFill="1" applyFont="1">
      <alignment horizontal="right" vertical="bottom"/>
    </xf>
    <xf borderId="0" fillId="0" fontId="73" numFmtId="0" xfId="0" applyAlignment="1" applyFont="1">
      <alignment shrinkToFit="0" vertical="center" wrapText="0"/>
    </xf>
    <xf borderId="19" fillId="6" fontId="22" numFmtId="0" xfId="0" applyAlignment="1" applyBorder="1" applyFill="1" applyFont="1">
      <alignment horizontal="right" vertical="bottom"/>
    </xf>
    <xf borderId="0" fillId="0" fontId="42" numFmtId="0" xfId="0" applyAlignment="1" applyFont="1">
      <alignment readingOrder="0"/>
    </xf>
    <xf borderId="43" fillId="0" fontId="36" numFmtId="0" xfId="0" applyAlignment="1" applyBorder="1" applyFont="1">
      <alignment vertical="bottom"/>
    </xf>
    <xf borderId="0" fillId="3" fontId="2" numFmtId="0" xfId="0" applyAlignment="1" applyFill="1" applyFont="1">
      <alignment vertical="bottom"/>
    </xf>
    <xf borderId="0" fillId="3" fontId="74" numFmtId="0" xfId="0" applyAlignment="1" applyFill="1" applyFont="1">
      <alignment readingOrder="0" vertical="bottom"/>
    </xf>
    <xf borderId="17" fillId="3" fontId="16" numFmtId="0" xfId="0" applyAlignment="1" applyBorder="1" applyFill="1" applyFont="1">
      <alignment horizontal="right" readingOrder="0" vertical="bottom"/>
    </xf>
    <xf borderId="17" fillId="3" fontId="75" numFmtId="0" xfId="0" applyAlignment="1" applyBorder="1" applyFill="1" applyFont="1">
      <alignment vertical="bottom"/>
    </xf>
    <xf borderId="17" fillId="3" fontId="75" numFmtId="49" xfId="0" applyAlignment="1" applyBorder="1" applyFill="1" applyFont="1" applyNumberFormat="1">
      <alignment horizontal="right" vertical="bottom"/>
    </xf>
    <xf borderId="0" fillId="3" fontId="2" numFmtId="49" xfId="0" applyAlignment="1" applyFill="1" applyFont="1" applyNumberFormat="1">
      <alignment vertical="bottom"/>
    </xf>
    <xf borderId="0" fillId="3" fontId="11" numFmtId="49" xfId="0" applyAlignment="1" applyFill="1" applyFont="1" applyNumberFormat="1">
      <alignment readingOrder="0" vertical="bottom"/>
    </xf>
    <xf borderId="0" fillId="0" fontId="2" numFmtId="0" xfId="0" applyAlignment="1" applyFont="1">
      <alignment vertical="bottom"/>
    </xf>
    <xf borderId="0" fillId="5" fontId="2" numFmtId="0" xfId="0" applyAlignment="1" applyFill="1" applyFont="1">
      <alignment vertical="bottom"/>
    </xf>
    <xf borderId="0" fillId="5" fontId="74" numFmtId="0" xfId="0" applyAlignment="1" applyFill="1" applyFont="1">
      <alignment readingOrder="0" vertical="bottom"/>
    </xf>
    <xf borderId="17" fillId="5" fontId="75" numFmtId="0" xfId="0" applyAlignment="1" applyBorder="1" applyFill="1" applyFont="1">
      <alignment vertical="bottom"/>
    </xf>
    <xf borderId="56" fillId="0" fontId="2" numFmtId="0" xfId="0" applyAlignment="1" applyBorder="1" applyFont="1">
      <alignment horizontal="right" vertical="bottom"/>
    </xf>
    <xf borderId="17" fillId="5" fontId="75" numFmtId="49" xfId="0" applyAlignment="1" applyBorder="1" applyFill="1" applyFont="1" applyNumberFormat="1">
      <alignment horizontal="right" vertical="bottom"/>
    </xf>
    <xf borderId="0" fillId="5" fontId="2" numFmtId="49" xfId="0" applyAlignment="1" applyFill="1" applyFont="1" applyNumberFormat="1">
      <alignment vertical="bottom"/>
    </xf>
    <xf borderId="0" fillId="5" fontId="22" numFmtId="49" xfId="0" applyAlignment="1" applyFill="1" applyFont="1" applyNumberFormat="1">
      <alignment readingOrder="0" vertical="bottom"/>
    </xf>
    <xf borderId="17" fillId="0" fontId="22" numFmtId="49" xfId="0" applyAlignment="1" applyBorder="1" applyFont="1" applyNumberFormat="1">
      <alignment readingOrder="0" vertical="bottom"/>
    </xf>
    <xf borderId="0" fillId="5" fontId="56" numFmtId="0" xfId="0" applyAlignment="1" applyFill="1" applyFont="1">
      <alignment readingOrder="0" vertical="bottom"/>
    </xf>
    <xf borderId="61" fillId="0" fontId="72" numFmtId="0" xfId="0" applyAlignment="1" applyBorder="1" applyFont="1">
      <alignment horizontal="right" vertical="bottom"/>
    </xf>
    <xf borderId="0" fillId="5" fontId="22" numFmtId="49" xfId="0" applyAlignment="1" applyFill="1" applyFont="1" applyNumberFormat="1">
      <alignment vertical="bottom"/>
    </xf>
    <xf borderId="17" fillId="0" fontId="22" numFmtId="49" xfId="0" applyAlignment="1" applyBorder="1" applyFont="1" applyNumberFormat="1">
      <alignment vertical="bottom"/>
    </xf>
    <xf borderId="0" fillId="5" fontId="43" numFmtId="0" xfId="0" applyAlignment="1" applyFill="1" applyFont="1">
      <alignment readingOrder="0" vertical="bottom"/>
    </xf>
    <xf borderId="0" fillId="0" fontId="43" numFmtId="0" xfId="0" applyAlignment="1" applyFont="1">
      <alignment readingOrder="0"/>
    </xf>
    <xf borderId="0" fillId="0" fontId="16" numFmtId="0" xfId="0" applyAlignment="1" applyFont="1">
      <alignment horizontal="right" vertical="bottom"/>
    </xf>
    <xf borderId="0" fillId="0" fontId="22" numFmtId="0" xfId="0" applyAlignment="1" applyFont="1">
      <alignment horizontal="right"/>
    </xf>
    <xf borderId="0" fillId="0" fontId="2" numFmtId="49" xfId="0" applyAlignment="1" applyFont="1" applyNumberFormat="1">
      <alignment horizontal="right" readingOrder="0"/>
    </xf>
    <xf borderId="0" fillId="0" fontId="22" numFmtId="49" xfId="0" applyAlignment="1" applyFont="1" applyNumberFormat="1">
      <alignment readingOrder="0"/>
    </xf>
    <xf borderId="0" fillId="0" fontId="51" numFmtId="0" xfId="0" applyAlignment="1" applyFont="1">
      <alignment readingOrder="0"/>
    </xf>
    <xf borderId="0" fillId="0" fontId="76" numFmtId="0" xfId="0" applyAlignment="1" applyFont="1">
      <alignment readingOrder="0"/>
    </xf>
    <xf borderId="11" fillId="3" fontId="76" numFmtId="0" xfId="0" applyAlignment="1" applyBorder="1" applyFill="1" applyFont="1">
      <alignment horizontal="center" readingOrder="0"/>
    </xf>
    <xf borderId="19" fillId="4" fontId="18" numFmtId="0" xfId="0" applyAlignment="1" applyBorder="1" applyFill="1" applyFont="1">
      <alignment horizontal="right" vertical="bottom"/>
    </xf>
    <xf borderId="0" fillId="0" fontId="68" numFmtId="0" xfId="0" applyAlignment="1" applyFont="1">
      <alignment shrinkToFit="0" vertical="center" wrapText="0"/>
    </xf>
    <xf borderId="36" fillId="0" fontId="20" numFmtId="0" xfId="0" applyBorder="1" applyFont="1"/>
    <xf borderId="60" fillId="0" fontId="2" numFmtId="0" xfId="0" applyAlignment="1" applyBorder="1" applyFont="1">
      <alignment vertical="bottom"/>
    </xf>
    <xf borderId="74" fillId="0" fontId="77" numFmtId="0" xfId="0" applyAlignment="1" applyBorder="1" applyFont="1">
      <alignment horizontal="left" vertical="bottom"/>
    </xf>
    <xf borderId="74" fillId="0" fontId="77" numFmtId="0" xfId="0" applyAlignment="1" applyBorder="1" applyFont="1">
      <alignment readingOrder="0"/>
    </xf>
    <xf borderId="74" fillId="0" fontId="77" numFmtId="0" xfId="0" applyAlignment="1" applyBorder="1" applyFont="1">
      <alignment horizontal="right"/>
    </xf>
    <xf borderId="16" fillId="0" fontId="77" numFmtId="0" xfId="0" applyAlignment="1" applyBorder="1" applyFont="1">
      <alignment horizontal="left" readingOrder="0" vertical="bottom"/>
    </xf>
    <xf borderId="16" fillId="0" fontId="77" numFmtId="0" xfId="0" applyAlignment="1" applyBorder="1" applyFont="1">
      <alignment readingOrder="0"/>
    </xf>
    <xf borderId="16" fillId="0" fontId="77" numFmtId="0" xfId="0" applyAlignment="1" applyBorder="1" applyFont="1">
      <alignment horizontal="right"/>
    </xf>
    <xf borderId="19" fillId="0" fontId="29" numFmtId="0" xfId="0" applyAlignment="1" applyBorder="1" applyFont="1">
      <alignment readingOrder="0" vertical="bottom"/>
    </xf>
    <xf borderId="16" fillId="0" fontId="77" numFmtId="0" xfId="0" applyAlignment="1" applyBorder="1" applyFont="1">
      <alignment horizontal="right" readingOrder="0"/>
    </xf>
    <xf borderId="75" fillId="0" fontId="2" numFmtId="0" xfId="0" applyAlignment="1" applyBorder="1" applyFont="1">
      <alignment vertical="bottom"/>
    </xf>
    <xf borderId="76" fillId="0" fontId="2" numFmtId="0" xfId="0" applyAlignment="1" applyBorder="1" applyFont="1">
      <alignment vertical="bottom"/>
    </xf>
    <xf borderId="76" fillId="11" fontId="2" numFmtId="0" xfId="0" applyAlignment="1" applyBorder="1" applyFill="1" applyFont="1">
      <alignment horizontal="right" vertical="bottom"/>
    </xf>
    <xf borderId="16" fillId="0" fontId="77" numFmtId="164" xfId="0" applyAlignment="1" applyBorder="1" applyFont="1" applyNumberFormat="1">
      <alignment horizontal="right" readingOrder="0"/>
    </xf>
    <xf borderId="77" fillId="0" fontId="78" numFmtId="0" xfId="0" applyAlignment="1" applyBorder="1" applyFont="1">
      <alignment horizontal="center" shrinkToFit="0" vertical="center" wrapText="1"/>
    </xf>
    <xf borderId="78" fillId="0" fontId="78" numFmtId="0" xfId="0" applyAlignment="1" applyBorder="1" applyFont="1">
      <alignment horizontal="center" shrinkToFit="0" vertical="center" wrapText="1"/>
    </xf>
    <xf borderId="78" fillId="0" fontId="78" numFmtId="0" xfId="0" applyAlignment="1" applyBorder="1" applyFont="1">
      <alignment horizontal="center" readingOrder="0" shrinkToFit="0" vertical="center" wrapText="1"/>
    </xf>
    <xf borderId="0" fillId="0" fontId="79" numFmtId="0" xfId="0" applyAlignment="1" applyFont="1">
      <alignment readingOrder="0" vertical="bottom"/>
    </xf>
    <xf borderId="79" fillId="0" fontId="68" numFmtId="0" xfId="0" applyAlignment="1" applyBorder="1" applyFont="1">
      <alignment horizontal="center" vertical="center"/>
    </xf>
    <xf borderId="80" fillId="0" fontId="68" numFmtId="0" xfId="0" applyAlignment="1" applyBorder="1" applyFont="1">
      <alignment horizontal="center" vertical="center"/>
    </xf>
    <xf borderId="78" fillId="0" fontId="80" numFmtId="0" xfId="0" applyAlignment="1" applyBorder="1" applyFont="1">
      <alignment horizontal="center" readingOrder="0" shrinkToFit="0" vertical="center" wrapText="1"/>
    </xf>
    <xf borderId="81" fillId="0" fontId="68" numFmtId="0" xfId="0" applyAlignment="1" applyBorder="1" applyFont="1">
      <alignment horizontal="center" vertical="center"/>
    </xf>
    <xf borderId="16" fillId="9" fontId="77" numFmtId="0" xfId="0" applyBorder="1" applyFill="1" applyFont="1"/>
    <xf borderId="16" fillId="9" fontId="77" numFmtId="0" xfId="0" applyAlignment="1" applyBorder="1" applyFill="1" applyFont="1">
      <alignment horizontal="right"/>
    </xf>
    <xf borderId="17" fillId="0" fontId="81" numFmtId="49" xfId="0" applyAlignment="1" applyBorder="1" applyFont="1" applyNumberFormat="1">
      <alignment readingOrder="0"/>
    </xf>
    <xf borderId="82" fillId="0" fontId="29" numFmtId="0" xfId="0" applyAlignment="1" applyBorder="1" applyFont="1">
      <alignment horizontal="right" vertical="bottom"/>
    </xf>
    <xf borderId="82" fillId="0" fontId="19" numFmtId="0" xfId="0" applyAlignment="1" applyBorder="1" applyFont="1">
      <alignment vertical="bottom"/>
    </xf>
    <xf borderId="32" fillId="0" fontId="71" numFmtId="0" xfId="0" applyAlignment="1" applyBorder="1" applyFont="1">
      <alignment readingOrder="0" vertical="bottom"/>
    </xf>
    <xf borderId="32" fillId="0" fontId="18" numFmtId="0" xfId="0" applyAlignment="1" applyBorder="1" applyFont="1">
      <alignment vertical="bottom"/>
    </xf>
    <xf borderId="82" fillId="0" fontId="18" numFmtId="0" xfId="0" applyAlignment="1" applyBorder="1" applyFont="1">
      <alignment readingOrder="0" vertical="bottom"/>
    </xf>
    <xf borderId="82" fillId="0" fontId="25" numFmtId="0" xfId="0" applyAlignment="1" applyBorder="1" applyFont="1">
      <alignment horizontal="right" vertical="bottom"/>
    </xf>
    <xf borderId="82" fillId="0" fontId="2" numFmtId="0" xfId="0" applyAlignment="1" applyBorder="1" applyFont="1">
      <alignment vertical="bottom"/>
    </xf>
    <xf borderId="82" fillId="0" fontId="72" numFmtId="0" xfId="0" applyAlignment="1" applyBorder="1" applyFont="1">
      <alignment horizontal="right" vertical="bottom"/>
    </xf>
    <xf borderId="32" fillId="0" fontId="2" numFmtId="0" xfId="0" applyAlignment="1" applyBorder="1" applyFont="1">
      <alignment horizontal="right" vertical="bottom"/>
    </xf>
    <xf borderId="82" fillId="0" fontId="2" numFmtId="0" xfId="0" applyAlignment="1" applyBorder="1" applyFont="1">
      <alignment horizontal="right" vertical="bottom"/>
    </xf>
    <xf borderId="83" fillId="0" fontId="72" numFmtId="0" xfId="0" applyAlignment="1" applyBorder="1" applyFont="1">
      <alignment horizontal="right" vertical="bottom"/>
    </xf>
    <xf borderId="0" fillId="0" fontId="78" numFmtId="0" xfId="0" applyFont="1"/>
    <xf borderId="84" fillId="0" fontId="25" numFmtId="0" xfId="0" applyAlignment="1" applyBorder="1" applyFont="1">
      <alignment horizontal="right" vertical="bottom"/>
    </xf>
    <xf borderId="78" fillId="0" fontId="82" numFmtId="0" xfId="0" applyAlignment="1" applyBorder="1" applyFont="1">
      <alignment horizontal="center" readingOrder="0" shrinkToFit="0" vertical="center" wrapText="1"/>
    </xf>
    <xf borderId="78" fillId="0" fontId="83" numFmtId="0" xfId="0" applyAlignment="1" applyBorder="1" applyFont="1">
      <alignment horizontal="center" readingOrder="0" shrinkToFit="0" vertical="center" wrapText="1"/>
    </xf>
    <xf borderId="84" fillId="0" fontId="2" numFmtId="0" xfId="0" applyAlignment="1" applyBorder="1" applyFont="1">
      <alignment vertical="bottom"/>
    </xf>
    <xf borderId="32" fillId="0" fontId="22" numFmtId="0" xfId="0" applyAlignment="1" applyBorder="1" applyFont="1">
      <alignment vertical="bottom"/>
    </xf>
    <xf borderId="60" fillId="0" fontId="25" numFmtId="0" xfId="0" applyAlignment="1" applyBorder="1" applyFont="1">
      <alignment horizontal="right" vertical="bottom"/>
    </xf>
    <xf borderId="0" fillId="11" fontId="2" numFmtId="0" xfId="0" applyAlignment="1" applyFill="1" applyFont="1">
      <alignment horizontal="right" vertical="bottom"/>
    </xf>
    <xf borderId="77" fillId="0" fontId="84" numFmtId="0" xfId="0" applyAlignment="1" applyBorder="1" applyFont="1">
      <alignment horizontal="center" readingOrder="0" shrinkToFit="0" vertical="center" wrapText="1"/>
    </xf>
    <xf borderId="78" fillId="0" fontId="85" numFmtId="0" xfId="0" applyAlignment="1" applyBorder="1" applyFont="1">
      <alignment horizontal="center" readingOrder="0" shrinkToFit="0" vertical="center" wrapText="1"/>
    </xf>
    <xf borderId="78" fillId="0" fontId="86" numFmtId="0" xfId="0" applyAlignment="1" applyBorder="1" applyFont="1">
      <alignment horizontal="center" readingOrder="0" shrinkToFit="0" vertical="center" wrapText="1"/>
    </xf>
    <xf borderId="0" fillId="6" fontId="19" numFmtId="0" xfId="0" applyAlignment="1" applyFill="1" applyFont="1">
      <alignment horizontal="right" vertical="bottom"/>
    </xf>
    <xf borderId="0" fillId="10" fontId="19" numFmtId="0" xfId="0" applyAlignment="1" applyFill="1" applyFont="1">
      <alignment horizontal="right" vertical="bottom"/>
    </xf>
    <xf borderId="0" fillId="10" fontId="25" numFmtId="0" xfId="0" applyAlignment="1" applyFill="1" applyFont="1">
      <alignment horizontal="right" vertical="bottom"/>
    </xf>
    <xf borderId="61" fillId="10" fontId="72" numFmtId="0" xfId="0" applyAlignment="1" applyBorder="1" applyFill="1" applyFont="1">
      <alignment horizontal="right" vertical="bottom"/>
    </xf>
    <xf borderId="0" fillId="10" fontId="2" numFmtId="0" xfId="0" applyAlignment="1" applyFill="1" applyFont="1">
      <alignment horizontal="right" vertical="bottom"/>
    </xf>
    <xf borderId="60" fillId="10" fontId="25" numFmtId="0" xfId="0" applyAlignment="1" applyBorder="1" applyFill="1" applyFont="1">
      <alignment horizontal="right" vertical="bottom"/>
    </xf>
    <xf borderId="0" fillId="10" fontId="29" numFmtId="0" xfId="0" applyAlignment="1" applyFill="1" applyFont="1">
      <alignment horizontal="right" vertical="bottom"/>
    </xf>
    <xf borderId="56" fillId="10" fontId="29" numFmtId="0" xfId="0" applyAlignment="1" applyBorder="1" applyFill="1" applyFont="1">
      <alignment horizontal="right" vertical="bottom"/>
    </xf>
    <xf borderId="77" fillId="0" fontId="86" numFmtId="0" xfId="0" applyAlignment="1" applyBorder="1" applyFont="1">
      <alignment horizontal="right" readingOrder="0" shrinkToFit="0" vertical="center" wrapText="1"/>
    </xf>
    <xf borderId="0" fillId="0" fontId="71" numFmtId="0" xfId="0" applyAlignment="1" applyFont="1">
      <alignment vertical="bottom"/>
    </xf>
    <xf borderId="0" fillId="12" fontId="19" numFmtId="0" xfId="0" applyAlignment="1" applyFill="1" applyFont="1">
      <alignment horizontal="right" vertical="bottom"/>
    </xf>
    <xf borderId="0" fillId="0" fontId="87" numFmtId="0" xfId="0" applyFont="1"/>
    <xf borderId="0" fillId="0" fontId="87" numFmtId="0" xfId="0" applyAlignment="1" applyFont="1">
      <alignment readingOrder="0"/>
    </xf>
    <xf borderId="85" fillId="0" fontId="68" numFmtId="0" xfId="0" applyAlignment="1" applyBorder="1" applyFont="1">
      <alignment horizontal="center" vertical="center"/>
    </xf>
    <xf borderId="86" fillId="0" fontId="68" numFmtId="0" xfId="0" applyAlignment="1" applyBorder="1" applyFont="1">
      <alignment horizontal="center" vertical="center"/>
    </xf>
    <xf borderId="87" fillId="0" fontId="68" numFmtId="0" xfId="0" applyAlignment="1" applyBorder="1" applyFont="1">
      <alignment horizontal="center" vertical="center"/>
    </xf>
    <xf borderId="0" fillId="11" fontId="25" numFmtId="0" xfId="0" applyAlignment="1" applyFill="1" applyFont="1">
      <alignment horizontal="right" vertical="bottom"/>
    </xf>
    <xf borderId="52" fillId="0" fontId="29" numFmtId="0" xfId="0" applyAlignment="1" applyBorder="1" applyFont="1">
      <alignment horizontal="right" vertical="bottom"/>
    </xf>
    <xf borderId="52" fillId="0" fontId="19" numFmtId="0" xfId="0" applyAlignment="1" applyBorder="1" applyFont="1">
      <alignment vertical="bottom"/>
    </xf>
    <xf borderId="19" fillId="0" fontId="71" numFmtId="0" xfId="0" applyAlignment="1" applyBorder="1" applyFont="1">
      <alignment readingOrder="0" vertical="bottom"/>
    </xf>
    <xf borderId="19" fillId="0" fontId="18" numFmtId="0" xfId="0" applyAlignment="1" applyBorder="1" applyFont="1">
      <alignment vertical="bottom"/>
    </xf>
    <xf borderId="52" fillId="0" fontId="18" numFmtId="0" xfId="0" applyAlignment="1" applyBorder="1" applyFont="1">
      <alignment readingOrder="0" vertical="bottom"/>
    </xf>
    <xf borderId="19" fillId="6" fontId="19" numFmtId="0" xfId="0" applyAlignment="1" applyBorder="1" applyFill="1" applyFont="1">
      <alignment horizontal="right" vertical="bottom"/>
    </xf>
    <xf borderId="52" fillId="0" fontId="25" numFmtId="0" xfId="0" applyAlignment="1" applyBorder="1" applyFont="1">
      <alignment horizontal="right" vertical="bottom"/>
    </xf>
    <xf borderId="52" fillId="0" fontId="72" numFmtId="0" xfId="0" applyAlignment="1" applyBorder="1" applyFont="1">
      <alignment horizontal="right" vertical="bottom"/>
    </xf>
    <xf borderId="19" fillId="0" fontId="2" numFmtId="0" xfId="0" applyAlignment="1" applyBorder="1" applyFont="1">
      <alignment horizontal="right" vertical="bottom"/>
    </xf>
    <xf borderId="52" fillId="0" fontId="2" numFmtId="0" xfId="0" applyAlignment="1" applyBorder="1" applyFont="1">
      <alignment horizontal="right" vertical="bottom"/>
    </xf>
    <xf borderId="19" fillId="10" fontId="19" numFmtId="0" xfId="0" applyAlignment="1" applyBorder="1" applyFill="1" applyFont="1">
      <alignment horizontal="right" vertical="bottom"/>
    </xf>
    <xf borderId="19" fillId="10" fontId="2" numFmtId="0" xfId="0" applyAlignment="1" applyBorder="1" applyFill="1" applyFont="1">
      <alignment vertical="bottom"/>
    </xf>
    <xf borderId="19" fillId="10" fontId="25" numFmtId="0" xfId="0" applyAlignment="1" applyBorder="1" applyFill="1" applyFont="1">
      <alignment horizontal="right" vertical="bottom"/>
    </xf>
    <xf borderId="66" fillId="10" fontId="72" numFmtId="0" xfId="0" applyAlignment="1" applyBorder="1" applyFill="1" applyFont="1">
      <alignment horizontal="right" vertical="bottom"/>
    </xf>
    <xf borderId="19" fillId="10" fontId="2" numFmtId="0" xfId="0" applyAlignment="1" applyBorder="1" applyFill="1" applyFont="1">
      <alignment horizontal="right" vertical="bottom"/>
    </xf>
    <xf borderId="65" fillId="10" fontId="25" numFmtId="0" xfId="0" applyAlignment="1" applyBorder="1" applyFill="1" applyFont="1">
      <alignment horizontal="right" vertical="bottom"/>
    </xf>
    <xf borderId="19" fillId="10" fontId="29" numFmtId="0" xfId="0" applyAlignment="1" applyBorder="1" applyFill="1" applyFont="1">
      <alignment horizontal="right" vertical="bottom"/>
    </xf>
    <xf borderId="52" fillId="10" fontId="29" numFmtId="0" xfId="0" applyAlignment="1" applyBorder="1" applyFill="1" applyFont="1">
      <alignment horizontal="right" vertical="bottom"/>
    </xf>
    <xf borderId="65" fillId="0" fontId="2" numFmtId="0" xfId="0" applyAlignment="1" applyBorder="1" applyFont="1">
      <alignment vertical="bottom"/>
    </xf>
    <xf borderId="19" fillId="0" fontId="22" numFmtId="0" xfId="0" applyAlignment="1" applyBorder="1" applyFont="1">
      <alignment vertical="bottom"/>
    </xf>
    <xf borderId="0" fillId="0" fontId="72" numFmtId="0" xfId="0" applyAlignment="1" applyFont="1">
      <alignment horizontal="right" vertical="bottom"/>
    </xf>
    <xf borderId="77" fillId="0" fontId="84" numFmtId="0" xfId="0" applyAlignment="1" applyBorder="1" applyFont="1">
      <alignment horizontal="right" readingOrder="0" shrinkToFit="0" vertical="center" wrapText="1"/>
    </xf>
    <xf borderId="78" fillId="0" fontId="88" numFmtId="0" xfId="0" applyAlignment="1" applyBorder="1" applyFont="1">
      <alignment horizontal="center" readingOrder="0" shrinkToFit="0" vertical="center" wrapText="1"/>
    </xf>
    <xf borderId="78" fillId="0" fontId="89" numFmtId="0" xfId="0" applyAlignment="1" applyBorder="1" applyFont="1">
      <alignment horizontal="center" shrinkToFit="0" vertical="center" wrapText="1"/>
    </xf>
    <xf borderId="0" fillId="0" fontId="90" numFmtId="0" xfId="0" applyFont="1"/>
    <xf borderId="77" fillId="0" fontId="78" numFmtId="0" xfId="0" applyAlignment="1" applyBorder="1" applyFont="1">
      <alignment horizontal="center" readingOrder="0" shrinkToFit="0" vertical="center" wrapText="1"/>
    </xf>
    <xf borderId="32" fillId="0" fontId="72" numFmtId="0" xfId="0" applyAlignment="1" applyBorder="1" applyFont="1">
      <alignment horizontal="right" vertical="bottom"/>
    </xf>
    <xf borderId="0" fillId="0" fontId="91" numFmtId="0" xfId="0" applyAlignment="1" applyFont="1">
      <alignment horizontal="left" readingOrder="0"/>
    </xf>
    <xf borderId="88" fillId="0" fontId="20" numFmtId="0" xfId="0" applyBorder="1" applyFont="1"/>
    <xf borderId="89" fillId="0" fontId="92" numFmtId="0" xfId="0" applyAlignment="1" applyBorder="1" applyFont="1">
      <alignment horizontal="center" readingOrder="0"/>
    </xf>
    <xf borderId="90" fillId="0" fontId="92" numFmtId="0" xfId="0" applyAlignment="1" applyBorder="1" applyFont="1">
      <alignment horizontal="center" readingOrder="0"/>
    </xf>
    <xf borderId="88" fillId="0" fontId="2" numFmtId="0" xfId="0" applyAlignment="1" applyBorder="1" applyFont="1">
      <alignment readingOrder="0"/>
    </xf>
    <xf borderId="88" fillId="0" fontId="2" numFmtId="0" xfId="0" applyBorder="1" applyFont="1"/>
    <xf borderId="89" fillId="0" fontId="2" numFmtId="0" xfId="0" applyBorder="1" applyFont="1"/>
    <xf borderId="89" fillId="0" fontId="2" numFmtId="0" xfId="0" applyAlignment="1" applyBorder="1" applyFont="1">
      <alignment horizontal="center"/>
    </xf>
    <xf borderId="90" fillId="0" fontId="2" numFmtId="0" xfId="0" applyAlignment="1" applyBorder="1" applyFont="1">
      <alignment horizontal="center"/>
    </xf>
    <xf borderId="0" fillId="0" fontId="2" numFmtId="0" xfId="0" applyAlignment="1" applyFont="1">
      <alignment horizontal="center"/>
    </xf>
    <xf borderId="91" fillId="9" fontId="2" numFmtId="0" xfId="0" applyAlignment="1" applyBorder="1" applyFill="1" applyFont="1">
      <alignment horizontal="center" readingOrder="0" vertical="center"/>
    </xf>
    <xf borderId="92" fillId="0" fontId="20" numFmtId="0" xfId="0" applyBorder="1" applyFont="1"/>
    <xf borderId="93" fillId="0" fontId="20" numFmtId="0" xfId="0" applyBorder="1" applyFont="1"/>
    <xf borderId="92" fillId="9" fontId="2" numFmtId="0" xfId="0" applyAlignment="1" applyBorder="1" applyFill="1" applyFont="1">
      <alignment horizontal="center" readingOrder="0" vertical="center"/>
    </xf>
    <xf borderId="93" fillId="9" fontId="2" numFmtId="0" xfId="0" applyAlignment="1" applyBorder="1" applyFill="1" applyFont="1">
      <alignment horizontal="center" readingOrder="0" vertical="center"/>
    </xf>
    <xf borderId="94" fillId="0" fontId="2" numFmtId="0" xfId="0" applyAlignment="1" applyBorder="1" applyFont="1">
      <alignment readingOrder="0"/>
    </xf>
    <xf borderId="0" fillId="0" fontId="2" numFmtId="0" xfId="0" applyAlignment="1" applyFont="1">
      <alignment horizontal="left" readingOrder="0"/>
    </xf>
    <xf borderId="95" fillId="0" fontId="2" numFmtId="0" xfId="0" applyAlignment="1" applyBorder="1" applyFont="1">
      <alignment horizontal="left" readingOrder="0"/>
    </xf>
    <xf borderId="95" fillId="0" fontId="20" numFmtId="0" xfId="0" applyBorder="1" applyFont="1"/>
    <xf borderId="96" fillId="0" fontId="2" numFmtId="0" xfId="0" applyAlignment="1" applyBorder="1" applyFont="1">
      <alignment readingOrder="0"/>
    </xf>
    <xf borderId="97" fillId="0" fontId="20" numFmtId="0" xfId="0" applyBorder="1" applyFont="1"/>
    <xf borderId="97" fillId="0" fontId="2" numFmtId="0" xfId="0" applyAlignment="1" applyBorder="1" applyFont="1">
      <alignment horizontal="left" readingOrder="0"/>
    </xf>
    <xf borderId="98" fillId="0" fontId="2" numFmtId="0" xfId="0" applyAlignment="1" applyBorder="1" applyFont="1">
      <alignment horizontal="left" readingOrder="0"/>
    </xf>
    <xf borderId="98" fillId="0" fontId="20" numFmtId="0" xfId="0" applyBorder="1" applyFont="1"/>
    <xf borderId="99" fillId="9" fontId="2" numFmtId="0" xfId="0" applyAlignment="1" applyBorder="1" applyFill="1" applyFont="1">
      <alignment horizontal="center" readingOrder="0" vertical="center"/>
    </xf>
    <xf borderId="100" fillId="0" fontId="20" numFmtId="0" xfId="0" applyBorder="1" applyFont="1"/>
    <xf borderId="101" fillId="9" fontId="77" numFmtId="0" xfId="0" applyAlignment="1" applyBorder="1" applyFill="1" applyFont="1">
      <alignment horizontal="center" readingOrder="0" vertical="center"/>
    </xf>
    <xf borderId="0" fillId="0" fontId="77" numFmtId="0" xfId="0" applyAlignment="1" applyFont="1">
      <alignment readingOrder="0"/>
    </xf>
    <xf borderId="102" fillId="0" fontId="2" numFmtId="0" xfId="0" applyAlignment="1" applyBorder="1" applyFont="1">
      <alignment horizontal="center"/>
    </xf>
    <xf borderId="60" fillId="0" fontId="2" numFmtId="0" xfId="0" applyBorder="1" applyFont="1"/>
    <xf borderId="102" fillId="0" fontId="2" numFmtId="0" xfId="0" applyAlignment="1" applyBorder="1" applyFont="1">
      <alignment horizontal="center" readingOrder="0"/>
    </xf>
    <xf borderId="103" fillId="0" fontId="2" numFmtId="0" xfId="0" applyAlignment="1" applyBorder="1" applyFont="1">
      <alignment readingOrder="0"/>
    </xf>
    <xf borderId="104" fillId="0" fontId="77" numFmtId="0" xfId="0" applyAlignment="1" applyBorder="1" applyFont="1">
      <alignment readingOrder="0"/>
    </xf>
    <xf borderId="104" fillId="0" fontId="2" numFmtId="0" xfId="0" applyAlignment="1" applyBorder="1" applyFont="1">
      <alignment readingOrder="0"/>
    </xf>
    <xf borderId="60" fillId="0" fontId="2" numFmtId="0" xfId="0" applyAlignment="1" applyBorder="1" applyFont="1">
      <alignment horizontal="center" readingOrder="0"/>
    </xf>
    <xf borderId="0" fillId="13" fontId="2" numFmtId="0" xfId="0" applyAlignment="1" applyFill="1" applyFont="1">
      <alignment horizontal="center"/>
    </xf>
    <xf borderId="0" fillId="0" fontId="77" numFmtId="0" xfId="0" applyAlignment="1" applyFont="1">
      <alignment readingOrder="0" vertical="bottom"/>
    </xf>
    <xf borderId="97" fillId="0" fontId="2" numFmtId="0" xfId="0" applyAlignment="1" applyBorder="1" applyFont="1">
      <alignment readingOrder="0"/>
    </xf>
    <xf borderId="60" fillId="0" fontId="2" numFmtId="0" xfId="0" applyAlignment="1" applyBorder="1" applyFont="1">
      <alignment horizontal="center"/>
    </xf>
    <xf borderId="0" fillId="0" fontId="77" numFmtId="0" xfId="0" applyAlignment="1" applyFont="1">
      <alignment vertical="bottom"/>
    </xf>
    <xf borderId="0" fillId="13" fontId="2" numFmtId="0" xfId="0" applyAlignment="1" applyFill="1" applyFont="1">
      <alignment horizontal="center" readingOrder="0"/>
    </xf>
    <xf borderId="91" fillId="0" fontId="2" numFmtId="0" xfId="0" applyAlignment="1" applyBorder="1" applyFont="1">
      <alignment readingOrder="0"/>
    </xf>
    <xf borderId="92" fillId="0" fontId="77" numFmtId="0" xfId="0" applyAlignment="1" applyBorder="1" applyFont="1">
      <alignment readingOrder="0"/>
    </xf>
    <xf borderId="92" fillId="0" fontId="2" numFmtId="0" xfId="0" applyAlignment="1" applyBorder="1" applyFont="1">
      <alignment readingOrder="0"/>
    </xf>
    <xf borderId="60" fillId="13" fontId="2" numFmtId="0" xfId="0" applyAlignment="1" applyBorder="1" applyFill="1" applyFont="1">
      <alignment horizontal="center"/>
    </xf>
    <xf borderId="0" fillId="3" fontId="2" numFmtId="0" xfId="0" applyAlignment="1" applyFill="1" applyFont="1">
      <alignment horizontal="center"/>
    </xf>
    <xf borderId="0" fillId="3" fontId="2" numFmtId="0" xfId="0" applyAlignment="1" applyFill="1" applyFont="1">
      <alignment horizontal="center" readingOrder="0"/>
    </xf>
    <xf borderId="97" fillId="0" fontId="77" numFmtId="0" xfId="0" applyAlignment="1" applyBorder="1" applyFont="1">
      <alignment readingOrder="0"/>
    </xf>
    <xf borderId="0" fillId="14" fontId="2" numFmtId="0" xfId="0" applyAlignment="1" applyFill="1" applyFont="1">
      <alignment readingOrder="0"/>
    </xf>
    <xf borderId="60" fillId="13" fontId="2" numFmtId="0" xfId="0" applyAlignment="1" applyBorder="1" applyFill="1" applyFont="1">
      <alignment horizontal="center" readingOrder="0"/>
    </xf>
    <xf borderId="0" fillId="10" fontId="72" numFmtId="0" xfId="0" applyAlignment="1" applyFill="1" applyFont="1">
      <alignment horizontal="right" vertical="bottom"/>
    </xf>
    <xf borderId="105" fillId="0" fontId="29" numFmtId="0" xfId="0" applyAlignment="1" applyBorder="1" applyFont="1">
      <alignment horizontal="right" vertical="bottom"/>
    </xf>
    <xf borderId="106" fillId="0" fontId="29" numFmtId="0" xfId="0" applyAlignment="1" applyBorder="1" applyFont="1">
      <alignment horizontal="right" vertical="bottom"/>
    </xf>
    <xf borderId="106" fillId="0" fontId="19" numFmtId="0" xfId="0" applyAlignment="1" applyBorder="1" applyFont="1">
      <alignment horizontal="right" vertical="bottom"/>
    </xf>
    <xf borderId="106" fillId="0" fontId="2" numFmtId="0" xfId="0" applyAlignment="1" applyBorder="1" applyFont="1">
      <alignment vertical="bottom"/>
    </xf>
    <xf borderId="106" fillId="0" fontId="19" numFmtId="0" xfId="0" applyAlignment="1" applyBorder="1" applyFont="1">
      <alignment vertical="bottom"/>
    </xf>
    <xf borderId="105" fillId="0" fontId="19" numFmtId="0" xfId="0" applyAlignment="1" applyBorder="1" applyFont="1">
      <alignment vertical="bottom"/>
    </xf>
    <xf borderId="106" fillId="0" fontId="71" numFmtId="0" xfId="0" applyAlignment="1" applyBorder="1" applyFont="1">
      <alignment readingOrder="0" vertical="bottom"/>
    </xf>
    <xf borderId="106" fillId="0" fontId="18" numFmtId="0" xfId="0" applyAlignment="1" applyBorder="1" applyFont="1">
      <alignment vertical="bottom"/>
    </xf>
    <xf borderId="105" fillId="0" fontId="18" numFmtId="0" xfId="0" applyAlignment="1" applyBorder="1" applyFont="1">
      <alignment readingOrder="0" vertical="bottom"/>
    </xf>
    <xf borderId="106" fillId="12" fontId="19" numFmtId="0" xfId="0" applyAlignment="1" applyBorder="1" applyFill="1" applyFont="1">
      <alignment horizontal="right" vertical="bottom"/>
    </xf>
    <xf borderId="106" fillId="6" fontId="19" numFmtId="0" xfId="0" applyAlignment="1" applyBorder="1" applyFill="1" applyFont="1">
      <alignment horizontal="right" vertical="bottom"/>
    </xf>
    <xf borderId="105" fillId="0" fontId="25" numFmtId="0" xfId="0" applyAlignment="1" applyBorder="1" applyFont="1">
      <alignment horizontal="right" vertical="bottom"/>
    </xf>
    <xf borderId="105" fillId="0" fontId="2" numFmtId="0" xfId="0" applyAlignment="1" applyBorder="1" applyFont="1">
      <alignment vertical="bottom"/>
    </xf>
    <xf borderId="105" fillId="0" fontId="72" numFmtId="0" xfId="0" applyAlignment="1" applyBorder="1" applyFont="1">
      <alignment horizontal="right" vertical="bottom"/>
    </xf>
    <xf borderId="106" fillId="0" fontId="2" numFmtId="0" xfId="0" applyAlignment="1" applyBorder="1" applyFont="1">
      <alignment horizontal="right" vertical="bottom"/>
    </xf>
    <xf borderId="105" fillId="0" fontId="2" numFmtId="0" xfId="0" applyAlignment="1" applyBorder="1" applyFont="1">
      <alignment horizontal="right" vertical="bottom"/>
    </xf>
    <xf borderId="106" fillId="10" fontId="19" numFmtId="0" xfId="0" applyAlignment="1" applyBorder="1" applyFill="1" applyFont="1">
      <alignment horizontal="right" vertical="bottom"/>
    </xf>
    <xf borderId="106" fillId="10" fontId="2" numFmtId="0" xfId="0" applyAlignment="1" applyBorder="1" applyFill="1" applyFont="1">
      <alignment vertical="bottom"/>
    </xf>
    <xf borderId="106" fillId="10" fontId="25" numFmtId="0" xfId="0" applyAlignment="1" applyBorder="1" applyFill="1" applyFont="1">
      <alignment horizontal="right" vertical="bottom"/>
    </xf>
    <xf borderId="107" fillId="10" fontId="72" numFmtId="0" xfId="0" applyAlignment="1" applyBorder="1" applyFill="1" applyFont="1">
      <alignment horizontal="right" vertical="bottom"/>
    </xf>
    <xf borderId="106" fillId="10" fontId="2" numFmtId="0" xfId="0" applyAlignment="1" applyBorder="1" applyFill="1" applyFont="1">
      <alignment horizontal="right" vertical="bottom"/>
    </xf>
    <xf borderId="108" fillId="10" fontId="25" numFmtId="0" xfId="0" applyAlignment="1" applyBorder="1" applyFill="1" applyFont="1">
      <alignment horizontal="right" vertical="bottom"/>
    </xf>
    <xf borderId="106" fillId="10" fontId="72" numFmtId="0" xfId="0" applyAlignment="1" applyBorder="1" applyFill="1" applyFont="1">
      <alignment horizontal="right" vertical="bottom"/>
    </xf>
    <xf borderId="105" fillId="10" fontId="29" numFmtId="0" xfId="0" applyAlignment="1" applyBorder="1" applyFill="1" applyFont="1">
      <alignment horizontal="right" vertical="bottom"/>
    </xf>
    <xf borderId="108" fillId="0" fontId="25" numFmtId="0" xfId="0" applyAlignment="1" applyBorder="1" applyFont="1">
      <alignment horizontal="right" vertical="bottom"/>
    </xf>
    <xf borderId="106" fillId="11" fontId="25" numFmtId="0" xfId="0" applyAlignment="1" applyBorder="1" applyFill="1" applyFont="1">
      <alignment horizontal="right" vertical="bottom"/>
    </xf>
    <xf borderId="106" fillId="0" fontId="22" numFmtId="0" xfId="0" applyAlignment="1" applyBorder="1" applyFont="1">
      <alignment vertical="bottom"/>
    </xf>
    <xf borderId="0" fillId="0" fontId="18" numFmtId="0" xfId="0" applyAlignment="1" applyFont="1">
      <alignment shrinkToFit="0" vertical="bottom" wrapText="0"/>
    </xf>
    <xf borderId="109" fillId="0" fontId="2" numFmtId="0" xfId="0" applyAlignment="1" applyBorder="1" applyFont="1">
      <alignment vertical="bottom"/>
    </xf>
    <xf borderId="110" fillId="0" fontId="2" numFmtId="0" xfId="0" applyAlignment="1" applyBorder="1" applyFont="1">
      <alignment vertical="bottom"/>
    </xf>
    <xf borderId="0" fillId="0" fontId="2" numFmtId="0" xfId="0" applyAlignment="1" applyFont="1">
      <alignment horizontal="center" readingOrder="0"/>
    </xf>
    <xf borderId="0" fillId="0" fontId="93" numFmtId="0" xfId="0" applyAlignment="1" applyFont="1">
      <alignment horizontal="left" readingOrder="0"/>
    </xf>
    <xf borderId="32" fillId="0" fontId="18" numFmtId="0" xfId="0" applyAlignment="1" applyBorder="1" applyFont="1">
      <alignment shrinkToFit="0" vertical="bottom" wrapText="0"/>
    </xf>
    <xf borderId="19" fillId="0" fontId="18" numFmtId="0" xfId="0" applyAlignment="1" applyBorder="1" applyFont="1">
      <alignment shrinkToFit="0" vertical="bottom" wrapText="0"/>
    </xf>
    <xf borderId="19" fillId="12" fontId="19" numFmtId="0" xfId="0" applyAlignment="1" applyBorder="1" applyFill="1" applyFont="1">
      <alignment horizontal="right" vertical="bottom"/>
    </xf>
    <xf borderId="32" fillId="12" fontId="19" numFmtId="0" xfId="0" applyAlignment="1" applyBorder="1" applyFill="1" applyFont="1">
      <alignment horizontal="right" vertical="bottom"/>
    </xf>
    <xf borderId="106" fillId="0" fontId="18" numFmtId="0" xfId="0" applyAlignment="1" applyBorder="1" applyFont="1">
      <alignment shrinkToFit="0" vertical="bottom" wrapText="0"/>
    </xf>
    <xf borderId="106" fillId="0" fontId="2" numFmtId="0" xfId="0" applyAlignment="1" applyBorder="1" applyFont="1">
      <alignment readingOrder="0" vertical="bottom"/>
    </xf>
    <xf borderId="106" fillId="10" fontId="29" numFmtId="0" xfId="0" applyAlignment="1" applyBorder="1" applyFill="1" applyFont="1">
      <alignment horizontal="right" vertical="bottom"/>
    </xf>
    <xf borderId="108" fillId="0" fontId="2" numFmtId="0" xfId="0" applyAlignment="1" applyBorder="1" applyFont="1">
      <alignment vertical="bottom"/>
    </xf>
    <xf borderId="32" fillId="0" fontId="79" numFmtId="0" xfId="0" applyAlignment="1" applyBorder="1" applyFont="1">
      <alignment readingOrder="0" vertical="bottom"/>
    </xf>
    <xf borderId="19" fillId="0" fontId="71" numFmtId="0" xfId="0" applyAlignment="1" applyBorder="1" applyFont="1">
      <alignment vertical="bottom"/>
    </xf>
    <xf borderId="19" fillId="10" fontId="72" numFmtId="0" xfId="0" applyAlignment="1" applyBorder="1" applyFill="1" applyFont="1">
      <alignment horizontal="right" vertical="bottom"/>
    </xf>
    <xf borderId="56" fillId="0" fontId="2" numFmtId="0" xfId="0" applyAlignment="1" applyBorder="1" applyFont="1">
      <alignment readingOrder="0" vertical="bottom"/>
    </xf>
    <xf borderId="19" fillId="0" fontId="79" numFmtId="0" xfId="0" applyAlignment="1" applyBorder="1" applyFont="1">
      <alignment readingOrder="0" vertical="bottom"/>
    </xf>
    <xf borderId="56" fillId="3" fontId="29" numFmtId="0" xfId="0" applyAlignment="1" applyBorder="1" applyFill="1" applyFont="1">
      <alignment horizontal="right" vertical="bottom"/>
    </xf>
    <xf borderId="56" fillId="3" fontId="2" numFmtId="0" xfId="0" applyAlignment="1" applyBorder="1" applyFill="1" applyFont="1">
      <alignment vertical="bottom"/>
    </xf>
    <xf borderId="0" fillId="3" fontId="57" numFmtId="0" xfId="0" applyAlignment="1" applyFill="1" applyFont="1">
      <alignment vertical="bottom"/>
    </xf>
    <xf borderId="0" fillId="3" fontId="71" numFmtId="0" xfId="0" applyAlignment="1" applyFill="1" applyFont="1">
      <alignment readingOrder="0" vertical="bottom"/>
    </xf>
    <xf borderId="0" fillId="3" fontId="18" numFmtId="0" xfId="0" applyAlignment="1" applyFill="1" applyFont="1">
      <alignment vertical="bottom"/>
    </xf>
    <xf borderId="0" fillId="3" fontId="18" numFmtId="0" xfId="0" applyAlignment="1" applyFill="1" applyFont="1">
      <alignment shrinkToFit="0" vertical="bottom" wrapText="0"/>
    </xf>
    <xf borderId="56" fillId="3" fontId="18" numFmtId="0" xfId="0" applyAlignment="1" applyBorder="1" applyFill="1" applyFont="1">
      <alignment readingOrder="0" vertical="bottom"/>
    </xf>
    <xf borderId="56" fillId="3" fontId="25" numFmtId="0" xfId="0" applyAlignment="1" applyBorder="1" applyFill="1" applyFont="1">
      <alignment horizontal="right" vertical="bottom"/>
    </xf>
    <xf borderId="56" fillId="3" fontId="72" numFmtId="0" xfId="0" applyAlignment="1" applyBorder="1" applyFill="1" applyFont="1">
      <alignment horizontal="right" vertical="bottom"/>
    </xf>
    <xf borderId="0" fillId="3" fontId="2" numFmtId="0" xfId="0" applyAlignment="1" applyFill="1" applyFont="1">
      <alignment horizontal="right" vertical="bottom"/>
    </xf>
    <xf borderId="61" fillId="3" fontId="72" numFmtId="0" xfId="0" applyAlignment="1" applyBorder="1" applyFill="1" applyFont="1">
      <alignment horizontal="right" vertical="bottom"/>
    </xf>
    <xf borderId="60" fillId="3" fontId="2" numFmtId="0" xfId="0" applyAlignment="1" applyBorder="1" applyFill="1" applyFont="1">
      <alignment vertical="bottom"/>
    </xf>
    <xf borderId="0" fillId="3" fontId="72" numFmtId="0" xfId="0" applyAlignment="1" applyFill="1" applyFont="1">
      <alignment horizontal="right" vertical="bottom"/>
    </xf>
    <xf borderId="56" fillId="3" fontId="57" numFmtId="0" xfId="0" applyAlignment="1" applyBorder="1" applyFill="1" applyFont="1">
      <alignment vertical="bottom"/>
    </xf>
    <xf borderId="56" fillId="3" fontId="2" numFmtId="0" xfId="0" applyAlignment="1" applyBorder="1" applyFill="1" applyFont="1">
      <alignment horizontal="right" vertical="bottom"/>
    </xf>
    <xf borderId="0" fillId="3" fontId="22" numFmtId="0" xfId="0" applyAlignment="1" applyFill="1" applyFont="1">
      <alignment vertical="bottom"/>
    </xf>
    <xf borderId="82" fillId="3" fontId="29" numFmtId="0" xfId="0" applyAlignment="1" applyBorder="1" applyFill="1" applyFont="1">
      <alignment horizontal="right" vertical="bottom"/>
    </xf>
    <xf borderId="82" fillId="3" fontId="2" numFmtId="0" xfId="0" applyAlignment="1" applyBorder="1" applyFill="1" applyFont="1">
      <alignment vertical="bottom"/>
    </xf>
    <xf borderId="32" fillId="3" fontId="57" numFmtId="0" xfId="0" applyAlignment="1" applyBorder="1" applyFill="1" applyFont="1">
      <alignment vertical="bottom"/>
    </xf>
    <xf borderId="32" fillId="3" fontId="71" numFmtId="0" xfId="0" applyAlignment="1" applyBorder="1" applyFill="1" applyFont="1">
      <alignment readingOrder="0" vertical="bottom"/>
    </xf>
    <xf borderId="32" fillId="3" fontId="18" numFmtId="0" xfId="0" applyAlignment="1" applyBorder="1" applyFill="1" applyFont="1">
      <alignment vertical="bottom"/>
    </xf>
    <xf borderId="32" fillId="3" fontId="18" numFmtId="0" xfId="0" applyAlignment="1" applyBorder="1" applyFill="1" applyFont="1">
      <alignment shrinkToFit="0" vertical="bottom" wrapText="0"/>
    </xf>
    <xf borderId="82" fillId="3" fontId="18" numFmtId="0" xfId="0" applyAlignment="1" applyBorder="1" applyFill="1" applyFont="1">
      <alignment readingOrder="0" vertical="bottom"/>
    </xf>
    <xf borderId="82" fillId="3" fontId="25" numFmtId="0" xfId="0" applyAlignment="1" applyBorder="1" applyFill="1" applyFont="1">
      <alignment horizontal="right" vertical="bottom"/>
    </xf>
    <xf borderId="82" fillId="3" fontId="72" numFmtId="0" xfId="0" applyAlignment="1" applyBorder="1" applyFill="1" applyFont="1">
      <alignment horizontal="right" vertical="bottom"/>
    </xf>
    <xf borderId="32" fillId="3" fontId="2" numFmtId="0" xfId="0" applyAlignment="1" applyBorder="1" applyFill="1" applyFont="1">
      <alignment horizontal="right" vertical="bottom"/>
    </xf>
    <xf borderId="83" fillId="3" fontId="72" numFmtId="0" xfId="0" applyAlignment="1" applyBorder="1" applyFill="1" applyFont="1">
      <alignment horizontal="right" vertical="bottom"/>
    </xf>
    <xf borderId="84" fillId="3" fontId="2" numFmtId="0" xfId="0" applyAlignment="1" applyBorder="1" applyFill="1" applyFont="1">
      <alignment vertical="bottom"/>
    </xf>
    <xf borderId="32" fillId="3" fontId="72" numFmtId="0" xfId="0" applyAlignment="1" applyBorder="1" applyFill="1" applyFont="1">
      <alignment horizontal="right" vertical="bottom"/>
    </xf>
    <xf borderId="82" fillId="3" fontId="57" numFmtId="0" xfId="0" applyAlignment="1" applyBorder="1" applyFill="1" applyFont="1">
      <alignment vertical="bottom"/>
    </xf>
    <xf borderId="82" fillId="3" fontId="2" numFmtId="0" xfId="0" applyAlignment="1" applyBorder="1" applyFill="1" applyFont="1">
      <alignment horizontal="right" vertical="bottom"/>
    </xf>
    <xf borderId="32" fillId="3" fontId="22" numFmtId="0" xfId="0" applyAlignment="1" applyBorder="1" applyFill="1" applyFont="1">
      <alignment vertical="bottom"/>
    </xf>
    <xf borderId="0" fillId="3" fontId="57" numFmtId="0" xfId="0" applyAlignment="1" applyFill="1" applyFont="1">
      <alignment readingOrder="0" vertical="bottom"/>
    </xf>
    <xf borderId="60" fillId="3" fontId="25" numFmtId="0" xfId="0" applyAlignment="1" applyBorder="1" applyFill="1" applyFont="1">
      <alignment horizontal="right" vertical="bottom"/>
    </xf>
    <xf borderId="84" fillId="3" fontId="25" numFmtId="0" xfId="0" applyAlignment="1" applyBorder="1" applyFill="1" applyFont="1">
      <alignment horizontal="right" vertical="bottom"/>
    </xf>
    <xf borderId="0" fillId="3" fontId="71" numFmtId="0" xfId="0" applyAlignment="1" applyFill="1" applyFont="1">
      <alignment vertical="bottom"/>
    </xf>
    <xf borderId="0" fillId="3" fontId="79" numFmtId="0" xfId="0" applyAlignment="1" applyFill="1" applyFont="1">
      <alignment readingOrder="0" vertical="bottom"/>
    </xf>
    <xf borderId="0" fillId="3" fontId="2" numFmtId="0" xfId="0" applyAlignment="1" applyFill="1" applyFont="1">
      <alignment readingOrder="0" vertical="bottom"/>
    </xf>
    <xf borderId="105" fillId="3" fontId="29" numFmtId="0" xfId="0" applyAlignment="1" applyBorder="1" applyFill="1" applyFont="1">
      <alignment horizontal="right" vertical="bottom"/>
    </xf>
    <xf borderId="106" fillId="3" fontId="29" numFmtId="0" xfId="0" applyAlignment="1" applyBorder="1" applyFill="1" applyFont="1">
      <alignment horizontal="right" vertical="bottom"/>
    </xf>
    <xf borderId="106" fillId="3" fontId="19" numFmtId="0" xfId="0" applyAlignment="1" applyBorder="1" applyFill="1" applyFont="1">
      <alignment horizontal="right" vertical="bottom"/>
    </xf>
    <xf borderId="106" fillId="3" fontId="2" numFmtId="0" xfId="0" applyAlignment="1" applyBorder="1" applyFill="1" applyFont="1">
      <alignment vertical="bottom"/>
    </xf>
    <xf borderId="106" fillId="3" fontId="19" numFmtId="0" xfId="0" applyAlignment="1" applyBorder="1" applyFill="1" applyFont="1">
      <alignment vertical="bottom"/>
    </xf>
    <xf borderId="105" fillId="3" fontId="2" numFmtId="0" xfId="0" applyAlignment="1" applyBorder="1" applyFill="1" applyFont="1">
      <alignment vertical="bottom"/>
    </xf>
    <xf borderId="106" fillId="3" fontId="57" numFmtId="0" xfId="0" applyAlignment="1" applyBorder="1" applyFill="1" applyFont="1">
      <alignment vertical="bottom"/>
    </xf>
    <xf borderId="106" fillId="3" fontId="71" numFmtId="0" xfId="0" applyAlignment="1" applyBorder="1" applyFill="1" applyFont="1">
      <alignment readingOrder="0" vertical="bottom"/>
    </xf>
    <xf borderId="106" fillId="3" fontId="79" numFmtId="0" xfId="0" applyAlignment="1" applyBorder="1" applyFill="1" applyFont="1">
      <alignment readingOrder="0" vertical="bottom"/>
    </xf>
    <xf borderId="106" fillId="3" fontId="18" numFmtId="0" xfId="0" applyAlignment="1" applyBorder="1" applyFill="1" applyFont="1">
      <alignment vertical="bottom"/>
    </xf>
    <xf borderId="106" fillId="3" fontId="18" numFmtId="0" xfId="0" applyAlignment="1" applyBorder="1" applyFill="1" applyFont="1">
      <alignment shrinkToFit="0" vertical="bottom" wrapText="0"/>
    </xf>
    <xf borderId="105" fillId="3" fontId="18" numFmtId="0" xfId="0" applyAlignment="1" applyBorder="1" applyFill="1" applyFont="1">
      <alignment readingOrder="0" vertical="bottom"/>
    </xf>
    <xf borderId="105" fillId="3" fontId="25" numFmtId="0" xfId="0" applyAlignment="1" applyBorder="1" applyFill="1" applyFont="1">
      <alignment horizontal="right" vertical="bottom"/>
    </xf>
    <xf borderId="106" fillId="3" fontId="2" numFmtId="0" xfId="0" applyAlignment="1" applyBorder="1" applyFill="1" applyFont="1">
      <alignment readingOrder="0" vertical="bottom"/>
    </xf>
    <xf borderId="105" fillId="3" fontId="72" numFmtId="0" xfId="0" applyAlignment="1" applyBorder="1" applyFill="1" applyFont="1">
      <alignment horizontal="right" vertical="bottom"/>
    </xf>
    <xf borderId="106" fillId="3" fontId="2" numFmtId="0" xfId="0" applyAlignment="1" applyBorder="1" applyFill="1" applyFont="1">
      <alignment horizontal="right" vertical="bottom"/>
    </xf>
    <xf borderId="106" fillId="3" fontId="25" numFmtId="0" xfId="0" applyAlignment="1" applyBorder="1" applyFill="1" applyFont="1">
      <alignment horizontal="right" vertical="bottom"/>
    </xf>
    <xf borderId="107" fillId="3" fontId="72" numFmtId="0" xfId="0" applyAlignment="1" applyBorder="1" applyFill="1" applyFont="1">
      <alignment horizontal="right" vertical="bottom"/>
    </xf>
    <xf borderId="108" fillId="3" fontId="25" numFmtId="0" xfId="0" applyAlignment="1" applyBorder="1" applyFill="1" applyFont="1">
      <alignment horizontal="right" vertical="bottom"/>
    </xf>
    <xf borderId="106" fillId="3" fontId="72" numFmtId="0" xfId="0" applyAlignment="1" applyBorder="1" applyFill="1" applyFont="1">
      <alignment horizontal="right" vertical="bottom"/>
    </xf>
    <xf borderId="105" fillId="3" fontId="57" numFmtId="0" xfId="0" applyAlignment="1" applyBorder="1" applyFill="1" applyFont="1">
      <alignment vertical="bottom"/>
    </xf>
    <xf borderId="105" fillId="3" fontId="2" numFmtId="0" xfId="0" applyAlignment="1" applyBorder="1" applyFill="1" applyFont="1">
      <alignment horizontal="right" vertical="bottom"/>
    </xf>
    <xf borderId="106" fillId="3" fontId="22" numFmtId="0" xfId="0" applyAlignment="1" applyBorder="1" applyFill="1" applyFont="1">
      <alignment vertical="bottom"/>
    </xf>
    <xf borderId="0" fillId="15" fontId="2" numFmtId="0" xfId="0" applyAlignment="1" applyFill="1" applyFont="1">
      <alignment horizontal="right" vertical="bottom"/>
    </xf>
    <xf borderId="32" fillId="15" fontId="2" numFmtId="0" xfId="0" applyAlignment="1" applyBorder="1" applyFill="1" applyFont="1">
      <alignment horizontal="right" vertical="bottom"/>
    </xf>
    <xf borderId="32" fillId="0" fontId="22" numFmtId="0" xfId="0" applyAlignment="1" applyBorder="1" applyFont="1">
      <alignment readingOrder="0" vertical="bottom"/>
    </xf>
    <xf borderId="106" fillId="15" fontId="2" numFmtId="0" xfId="0" applyAlignment="1" applyBorder="1" applyFill="1" applyFont="1">
      <alignment horizontal="right" vertical="bottom"/>
    </xf>
    <xf borderId="106" fillId="0" fontId="22" numFmtId="0" xfId="0" applyAlignment="1" applyBorder="1" applyFont="1">
      <alignment readingOrder="0" vertical="bottom"/>
    </xf>
    <xf borderId="0" fillId="12" fontId="19" numFmtId="0" xfId="0" applyAlignment="1" applyFill="1" applyFont="1">
      <alignment horizontal="right" readingOrder="0" vertical="bottom"/>
    </xf>
    <xf borderId="32" fillId="0" fontId="71" numFmtId="0" xfId="0" applyAlignment="1" applyBorder="1" applyFont="1">
      <alignment vertical="bottom"/>
    </xf>
    <xf borderId="60" fillId="10" fontId="2" numFmtId="0" xfId="0" applyAlignment="1" applyBorder="1" applyFill="1" applyFont="1">
      <alignment vertical="bottom"/>
    </xf>
    <xf borderId="56" fillId="10" fontId="2" numFmtId="0" xfId="0" applyAlignment="1" applyBorder="1" applyFill="1" applyFont="1">
      <alignment horizontal="right" vertical="bottom"/>
    </xf>
    <xf borderId="65" fillId="10" fontId="2" numFmtId="0" xfId="0" applyAlignment="1" applyBorder="1" applyFill="1" applyFont="1">
      <alignment vertical="bottom"/>
    </xf>
    <xf borderId="52" fillId="10" fontId="2" numFmtId="0" xfId="0" applyAlignment="1" applyBorder="1" applyFill="1" applyFont="1">
      <alignment horizontal="right" vertical="bottom"/>
    </xf>
    <xf borderId="65" fillId="0" fontId="25" numFmtId="0" xfId="0" applyAlignment="1" applyBorder="1" applyFont="1">
      <alignment horizontal="right" vertical="bottom"/>
    </xf>
    <xf borderId="19" fillId="11" fontId="25" numFmtId="0" xfId="0" applyAlignment="1" applyBorder="1" applyFill="1" applyFont="1">
      <alignment horizontal="right" vertical="bottom"/>
    </xf>
    <xf borderId="19" fillId="0" fontId="22" numFmtId="0" xfId="0" applyAlignment="1" applyBorder="1" applyFont="1">
      <alignment readingOrder="0" vertical="bottom"/>
    </xf>
    <xf borderId="56" fillId="3" fontId="19" numFmtId="0" xfId="0" applyAlignment="1" applyBorder="1" applyFill="1" applyFont="1">
      <alignment vertical="bottom"/>
    </xf>
    <xf borderId="0" fillId="3" fontId="22" numFmtId="0" xfId="0" applyAlignment="1" applyFill="1" applyFont="1">
      <alignment readingOrder="0" vertical="bottom"/>
    </xf>
    <xf borderId="0" fillId="3" fontId="19" numFmtId="0" xfId="0" applyAlignment="1" applyFill="1" applyFont="1">
      <alignment horizontal="right" readingOrder="0" vertical="bottom"/>
    </xf>
    <xf borderId="82" fillId="3" fontId="19" numFmtId="0" xfId="0" applyAlignment="1" applyBorder="1" applyFill="1" applyFont="1">
      <alignment vertical="bottom"/>
    </xf>
    <xf borderId="32" fillId="3" fontId="71" numFmtId="0" xfId="0" applyAlignment="1" applyBorder="1" applyFill="1" applyFont="1">
      <alignment vertical="bottom"/>
    </xf>
    <xf borderId="32" fillId="3" fontId="22" numFmtId="0" xfId="0" applyAlignment="1" applyBorder="1" applyFill="1" applyFont="1">
      <alignment readingOrder="0" vertical="bottom"/>
    </xf>
    <xf borderId="105" fillId="3" fontId="19" numFmtId="0" xfId="0" applyAlignment="1" applyBorder="1" applyFill="1" applyFont="1">
      <alignment vertical="bottom"/>
    </xf>
    <xf borderId="108" fillId="3" fontId="2" numFmtId="0" xfId="0" applyAlignment="1" applyBorder="1" applyFill="1" applyFont="1">
      <alignment vertical="bottom"/>
    </xf>
    <xf borderId="106" fillId="3" fontId="22" numFmtId="0" xfId="0" applyAlignment="1" applyBorder="1" applyFill="1" applyFont="1">
      <alignment readingOrder="0" vertical="bottom"/>
    </xf>
    <xf borderId="108" fillId="10" fontId="2" numFmtId="0" xfId="0" applyAlignment="1" applyBorder="1" applyFill="1" applyFont="1">
      <alignment vertical="bottom"/>
    </xf>
    <xf borderId="105" fillId="10" fontId="2" numFmtId="0" xfId="0" applyAlignment="1" applyBorder="1" applyFill="1" applyFont="1">
      <alignment horizontal="right" vertical="bottom"/>
    </xf>
    <xf borderId="109" fillId="3" fontId="2" numFmtId="0" xfId="0" applyAlignment="1" applyBorder="1" applyFill="1" applyFont="1">
      <alignment vertical="bottom"/>
    </xf>
    <xf borderId="110" fillId="3" fontId="2" numFmtId="0" xfId="0" applyAlignment="1" applyBorder="1" applyFill="1" applyFont="1">
      <alignment vertical="bottom"/>
    </xf>
    <xf borderId="0" fillId="0" fontId="68" numFmtId="0" xfId="0" applyAlignment="1" applyFont="1">
      <alignment vertical="bottom"/>
    </xf>
    <xf borderId="0" fillId="0" fontId="42" numFmtId="0" xfId="0" applyAlignment="1" applyFont="1">
      <alignment readingOrder="0" shrinkToFit="0" vertical="bottom" wrapText="0"/>
    </xf>
    <xf borderId="111" fillId="0" fontId="2" numFmtId="0" xfId="0" applyAlignment="1" applyBorder="1" applyFont="1">
      <alignment vertical="bottom"/>
    </xf>
    <xf borderId="112" fillId="0" fontId="2" numFmtId="0" xfId="0" applyAlignment="1" applyBorder="1" applyFont="1">
      <alignment vertical="bottom"/>
    </xf>
    <xf quotePrefix="1" borderId="32" fillId="0" fontId="22" numFmtId="0" xfId="0" applyAlignment="1" applyBorder="1" applyFont="1">
      <alignment readingOrder="0" vertical="bottom"/>
    </xf>
    <xf quotePrefix="1" borderId="19" fillId="0" fontId="22" numFmtId="0" xfId="0" applyAlignment="1" applyBorder="1" applyFont="1">
      <alignment readingOrder="0" vertical="bottom"/>
    </xf>
    <xf borderId="32" fillId="11" fontId="25" numFmtId="0" xfId="0" applyAlignment="1" applyBorder="1" applyFill="1" applyFont="1">
      <alignment horizontal="right" vertical="bottom"/>
    </xf>
    <xf quotePrefix="1" borderId="32" fillId="3" fontId="22" numFmtId="0" xfId="0" applyAlignment="1" applyBorder="1" applyFill="1" applyFont="1">
      <alignment readingOrder="0" vertical="bottom"/>
    </xf>
    <xf quotePrefix="1" borderId="106" fillId="3" fontId="22" numFmtId="0" xfId="0" applyAlignment="1" applyBorder="1" applyFill="1" applyFont="1">
      <alignment readingOrder="0" vertical="bottom"/>
    </xf>
    <xf quotePrefix="1" borderId="0" fillId="0" fontId="22" numFmtId="0" xfId="0" applyAlignment="1" applyFont="1">
      <alignment readingOrder="0" vertical="bottom"/>
    </xf>
    <xf borderId="32" fillId="6" fontId="19" numFmtId="0" xfId="0" applyAlignment="1" applyBorder="1" applyFill="1" applyFont="1">
      <alignment horizontal="right" vertical="bottom"/>
    </xf>
    <xf quotePrefix="1" borderId="106" fillId="0" fontId="22" numFmtId="0" xfId="0" applyAlignment="1" applyBorder="1" applyFont="1">
      <alignment readingOrder="0" vertical="bottom"/>
    </xf>
    <xf borderId="0" fillId="12" fontId="2" numFmtId="0" xfId="0" applyAlignment="1" applyFill="1" applyFont="1">
      <alignment horizontal="right" vertical="bottom"/>
    </xf>
    <xf borderId="32" fillId="12" fontId="2" numFmtId="0" xfId="0" applyAlignment="1" applyBorder="1" applyFill="1" applyFont="1">
      <alignment horizontal="right" vertical="bottom"/>
    </xf>
    <xf borderId="0" fillId="0" fontId="2" numFmtId="9" xfId="0" applyAlignment="1" applyFont="1" applyNumberFormat="1">
      <alignment readingOrder="0" vertical="bottom"/>
    </xf>
    <xf borderId="106" fillId="0" fontId="19" numFmtId="0" xfId="0" applyAlignment="1" applyBorder="1" applyFont="1">
      <alignment horizontal="right" readingOrder="0" vertical="bottom"/>
    </xf>
    <xf borderId="106" fillId="12" fontId="2" numFmtId="0" xfId="0" applyAlignment="1" applyBorder="1" applyFill="1" applyFont="1">
      <alignment horizontal="right" readingOrder="0" vertical="bottom"/>
    </xf>
    <xf borderId="106" fillId="12" fontId="2" numFmtId="0" xfId="0" applyAlignment="1" applyBorder="1" applyFill="1" applyFont="1">
      <alignment horizontal="right" vertical="bottom"/>
    </xf>
    <xf borderId="105" fillId="0" fontId="2" numFmtId="0" xfId="0" applyAlignment="1" applyBorder="1" applyFont="1">
      <alignment readingOrder="0" vertical="bottom"/>
    </xf>
    <xf borderId="109" fillId="0" fontId="25" numFmtId="0" xfId="0" applyAlignment="1" applyBorder="1" applyFont="1">
      <alignment horizontal="right" vertical="bottom"/>
    </xf>
    <xf borderId="110" fillId="11" fontId="25" numFmtId="0" xfId="0" applyAlignment="1" applyBorder="1" applyFill="1" applyFont="1">
      <alignment horizontal="right" vertical="bottom"/>
    </xf>
    <xf borderId="32" fillId="4" fontId="19" numFmtId="0" xfId="0" applyAlignment="1" applyBorder="1" applyFill="1" applyFont="1">
      <alignment horizontal="right" vertical="bottom"/>
    </xf>
    <xf borderId="106" fillId="0" fontId="79" numFmtId="0" xfId="0" applyAlignment="1" applyBorder="1" applyFont="1">
      <alignment readingOrder="0" vertical="bottom"/>
    </xf>
    <xf borderId="106" fillId="4" fontId="19" numFmtId="0" xfId="0" applyAlignment="1" applyBorder="1" applyFill="1" applyFont="1">
      <alignment horizontal="right" vertical="bottom"/>
    </xf>
    <xf borderId="106" fillId="11" fontId="2" numFmtId="0" xfId="0" applyAlignment="1" applyBorder="1" applyFill="1" applyFont="1">
      <alignment horizontal="right" vertical="bottom"/>
    </xf>
    <xf borderId="56" fillId="16" fontId="29" numFmtId="0" xfId="0" applyAlignment="1" applyBorder="1" applyFill="1" applyFont="1">
      <alignment horizontal="right" vertical="bottom"/>
    </xf>
    <xf borderId="0" fillId="16" fontId="29" numFmtId="0" xfId="0" applyAlignment="1" applyFill="1" applyFont="1">
      <alignment horizontal="right" vertical="bottom"/>
    </xf>
    <xf borderId="0" fillId="16" fontId="19" numFmtId="0" xfId="0" applyAlignment="1" applyFill="1" applyFont="1">
      <alignment horizontal="right" vertical="bottom"/>
    </xf>
    <xf borderId="0" fillId="16" fontId="2" numFmtId="0" xfId="0" applyAlignment="1" applyFill="1" applyFont="1">
      <alignment vertical="bottom"/>
    </xf>
    <xf borderId="0" fillId="16" fontId="19" numFmtId="0" xfId="0" applyAlignment="1" applyFill="1" applyFont="1">
      <alignment vertical="bottom"/>
    </xf>
    <xf borderId="56" fillId="16" fontId="19" numFmtId="0" xfId="0" applyAlignment="1" applyBorder="1" applyFill="1" applyFont="1">
      <alignment vertical="bottom"/>
    </xf>
    <xf borderId="0" fillId="16" fontId="71" numFmtId="0" xfId="0" applyAlignment="1" applyFill="1" applyFont="1">
      <alignment readingOrder="0" vertical="bottom"/>
    </xf>
    <xf borderId="0" fillId="16" fontId="18" numFmtId="0" xfId="0" applyAlignment="1" applyFill="1" applyFont="1">
      <alignment vertical="bottom"/>
    </xf>
    <xf borderId="0" fillId="16" fontId="18" numFmtId="0" xfId="0" applyAlignment="1" applyFill="1" applyFont="1">
      <alignment shrinkToFit="0" vertical="bottom" wrapText="0"/>
    </xf>
    <xf borderId="56" fillId="16" fontId="18" numFmtId="0" xfId="0" applyAlignment="1" applyBorder="1" applyFill="1" applyFont="1">
      <alignment readingOrder="0" vertical="bottom"/>
    </xf>
    <xf borderId="56" fillId="16" fontId="25" numFmtId="0" xfId="0" applyAlignment="1" applyBorder="1" applyFill="1" applyFont="1">
      <alignment horizontal="right" vertical="bottom"/>
    </xf>
    <xf borderId="56" fillId="16" fontId="2" numFmtId="0" xfId="0" applyAlignment="1" applyBorder="1" applyFill="1" applyFont="1">
      <alignment vertical="bottom"/>
    </xf>
    <xf borderId="56" fillId="16" fontId="72" numFmtId="0" xfId="0" applyAlignment="1" applyBorder="1" applyFill="1" applyFont="1">
      <alignment horizontal="right" vertical="bottom"/>
    </xf>
    <xf borderId="0" fillId="16" fontId="2" numFmtId="0" xfId="0" applyAlignment="1" applyFill="1" applyFont="1">
      <alignment horizontal="right" vertical="bottom"/>
    </xf>
    <xf borderId="0" fillId="16" fontId="25" numFmtId="0" xfId="0" applyAlignment="1" applyFill="1" applyFont="1">
      <alignment horizontal="right" vertical="bottom"/>
    </xf>
    <xf borderId="61" fillId="16" fontId="72" numFmtId="0" xfId="0" applyAlignment="1" applyBorder="1" applyFill="1" applyFont="1">
      <alignment horizontal="right" vertical="bottom"/>
    </xf>
    <xf borderId="60" fillId="16" fontId="2" numFmtId="0" xfId="0" applyAlignment="1" applyBorder="1" applyFill="1" applyFont="1">
      <alignment vertical="bottom"/>
    </xf>
    <xf borderId="56" fillId="16" fontId="2" numFmtId="0" xfId="0" applyAlignment="1" applyBorder="1" applyFill="1" applyFont="1">
      <alignment horizontal="right" vertical="bottom"/>
    </xf>
    <xf borderId="109" fillId="16" fontId="2" numFmtId="0" xfId="0" applyAlignment="1" applyBorder="1" applyFill="1" applyFont="1">
      <alignment vertical="bottom"/>
    </xf>
    <xf borderId="110" fillId="16" fontId="2" numFmtId="0" xfId="0" applyAlignment="1" applyBorder="1" applyFill="1" applyFont="1">
      <alignment vertical="bottom"/>
    </xf>
    <xf borderId="0" fillId="16" fontId="22" numFmtId="0" xfId="0" applyAlignment="1" applyFill="1" applyFont="1">
      <alignment readingOrder="0" vertical="bottom"/>
    </xf>
    <xf borderId="0" fillId="16" fontId="79" numFmtId="0" xfId="0" applyAlignment="1" applyFill="1" applyFont="1">
      <alignment readingOrder="0" vertical="bottom"/>
    </xf>
    <xf borderId="82" fillId="16" fontId="29" numFmtId="0" xfId="0" applyAlignment="1" applyBorder="1" applyFill="1" applyFont="1">
      <alignment horizontal="right" vertical="bottom"/>
    </xf>
    <xf borderId="32" fillId="16" fontId="29" numFmtId="0" xfId="0" applyAlignment="1" applyBorder="1" applyFill="1" applyFont="1">
      <alignment horizontal="right" vertical="bottom"/>
    </xf>
    <xf borderId="32" fillId="16" fontId="19" numFmtId="0" xfId="0" applyAlignment="1" applyBorder="1" applyFill="1" applyFont="1">
      <alignment horizontal="right" vertical="bottom"/>
    </xf>
    <xf borderId="32" fillId="16" fontId="2" numFmtId="0" xfId="0" applyAlignment="1" applyBorder="1" applyFill="1" applyFont="1">
      <alignment vertical="bottom"/>
    </xf>
    <xf borderId="32" fillId="16" fontId="19" numFmtId="0" xfId="0" applyAlignment="1" applyBorder="1" applyFill="1" applyFont="1">
      <alignment vertical="bottom"/>
    </xf>
    <xf borderId="82" fillId="16" fontId="19" numFmtId="0" xfId="0" applyAlignment="1" applyBorder="1" applyFill="1" applyFont="1">
      <alignment vertical="bottom"/>
    </xf>
    <xf borderId="32" fillId="16" fontId="71" numFmtId="0" xfId="0" applyAlignment="1" applyBorder="1" applyFill="1" applyFont="1">
      <alignment readingOrder="0" vertical="bottom"/>
    </xf>
    <xf borderId="32" fillId="16" fontId="18" numFmtId="0" xfId="0" applyAlignment="1" applyBorder="1" applyFill="1" applyFont="1">
      <alignment vertical="bottom"/>
    </xf>
    <xf borderId="32" fillId="16" fontId="18" numFmtId="0" xfId="0" applyAlignment="1" applyBorder="1" applyFill="1" applyFont="1">
      <alignment shrinkToFit="0" vertical="bottom" wrapText="0"/>
    </xf>
    <xf borderId="82" fillId="16" fontId="18" numFmtId="0" xfId="0" applyAlignment="1" applyBorder="1" applyFill="1" applyFont="1">
      <alignment readingOrder="0" vertical="bottom"/>
    </xf>
    <xf borderId="82" fillId="16" fontId="25" numFmtId="0" xfId="0" applyAlignment="1" applyBorder="1" applyFill="1" applyFont="1">
      <alignment horizontal="right" vertical="bottom"/>
    </xf>
    <xf borderId="82" fillId="16" fontId="2" numFmtId="0" xfId="0" applyAlignment="1" applyBorder="1" applyFill="1" applyFont="1">
      <alignment vertical="bottom"/>
    </xf>
    <xf borderId="82" fillId="16" fontId="72" numFmtId="0" xfId="0" applyAlignment="1" applyBorder="1" applyFill="1" applyFont="1">
      <alignment horizontal="right" vertical="bottom"/>
    </xf>
    <xf borderId="32" fillId="16" fontId="2" numFmtId="0" xfId="0" applyAlignment="1" applyBorder="1" applyFill="1" applyFont="1">
      <alignment horizontal="right" vertical="bottom"/>
    </xf>
    <xf borderId="32" fillId="16" fontId="25" numFmtId="0" xfId="0" applyAlignment="1" applyBorder="1" applyFill="1" applyFont="1">
      <alignment horizontal="right" vertical="bottom"/>
    </xf>
    <xf borderId="83" fillId="16" fontId="72" numFmtId="0" xfId="0" applyAlignment="1" applyBorder="1" applyFill="1" applyFont="1">
      <alignment horizontal="right" vertical="bottom"/>
    </xf>
    <xf borderId="84" fillId="16" fontId="2" numFmtId="0" xfId="0" applyAlignment="1" applyBorder="1" applyFill="1" applyFont="1">
      <alignment vertical="bottom"/>
    </xf>
    <xf borderId="82" fillId="16" fontId="2" numFmtId="0" xfId="0" applyAlignment="1" applyBorder="1" applyFill="1" applyFont="1">
      <alignment horizontal="right" vertical="bottom"/>
    </xf>
    <xf borderId="32" fillId="16" fontId="22" numFmtId="0" xfId="0" applyAlignment="1" applyBorder="1" applyFill="1" applyFont="1">
      <alignment readingOrder="0" vertical="bottom"/>
    </xf>
    <xf borderId="0" fillId="16" fontId="71" numFmtId="0" xfId="0" applyAlignment="1" applyFill="1" applyFont="1">
      <alignment vertical="bottom"/>
    </xf>
    <xf borderId="105" fillId="16" fontId="29" numFmtId="0" xfId="0" applyAlignment="1" applyBorder="1" applyFill="1" applyFont="1">
      <alignment horizontal="right" vertical="bottom"/>
    </xf>
    <xf borderId="106" fillId="16" fontId="29" numFmtId="0" xfId="0" applyAlignment="1" applyBorder="1" applyFill="1" applyFont="1">
      <alignment horizontal="right" vertical="bottom"/>
    </xf>
    <xf borderId="106" fillId="16" fontId="19" numFmtId="0" xfId="0" applyAlignment="1" applyBorder="1" applyFill="1" applyFont="1">
      <alignment horizontal="right" vertical="bottom"/>
    </xf>
    <xf borderId="106" fillId="16" fontId="2" numFmtId="0" xfId="0" applyAlignment="1" applyBorder="1" applyFill="1" applyFont="1">
      <alignment vertical="bottom"/>
    </xf>
    <xf borderId="106" fillId="16" fontId="19" numFmtId="0" xfId="0" applyAlignment="1" applyBorder="1" applyFill="1" applyFont="1">
      <alignment vertical="bottom"/>
    </xf>
    <xf borderId="105" fillId="16" fontId="19" numFmtId="0" xfId="0" applyAlignment="1" applyBorder="1" applyFill="1" applyFont="1">
      <alignment vertical="bottom"/>
    </xf>
    <xf borderId="106" fillId="16" fontId="71" numFmtId="0" xfId="0" applyAlignment="1" applyBorder="1" applyFill="1" applyFont="1">
      <alignment readingOrder="0" vertical="bottom"/>
    </xf>
    <xf borderId="106" fillId="16" fontId="18" numFmtId="0" xfId="0" applyAlignment="1" applyBorder="1" applyFill="1" applyFont="1">
      <alignment vertical="bottom"/>
    </xf>
    <xf borderId="106" fillId="16" fontId="18" numFmtId="0" xfId="0" applyAlignment="1" applyBorder="1" applyFill="1" applyFont="1">
      <alignment shrinkToFit="0" vertical="bottom" wrapText="0"/>
    </xf>
    <xf borderId="105" fillId="16" fontId="18" numFmtId="0" xfId="0" applyAlignment="1" applyBorder="1" applyFill="1" applyFont="1">
      <alignment readingOrder="0" vertical="bottom"/>
    </xf>
    <xf borderId="105" fillId="16" fontId="25" numFmtId="0" xfId="0" applyAlignment="1" applyBorder="1" applyFill="1" applyFont="1">
      <alignment horizontal="right" vertical="bottom"/>
    </xf>
    <xf borderId="105" fillId="16" fontId="2" numFmtId="0" xfId="0" applyAlignment="1" applyBorder="1" applyFill="1" applyFont="1">
      <alignment vertical="bottom"/>
    </xf>
    <xf borderId="105" fillId="16" fontId="72" numFmtId="0" xfId="0" applyAlignment="1" applyBorder="1" applyFill="1" applyFont="1">
      <alignment horizontal="right" vertical="bottom"/>
    </xf>
    <xf borderId="106" fillId="16" fontId="2" numFmtId="0" xfId="0" applyAlignment="1" applyBorder="1" applyFill="1" applyFont="1">
      <alignment horizontal="right" vertical="bottom"/>
    </xf>
    <xf borderId="106" fillId="16" fontId="25" numFmtId="0" xfId="0" applyAlignment="1" applyBorder="1" applyFill="1" applyFont="1">
      <alignment horizontal="right" vertical="bottom"/>
    </xf>
    <xf borderId="107" fillId="16" fontId="72" numFmtId="0" xfId="0" applyAlignment="1" applyBorder="1" applyFill="1" applyFont="1">
      <alignment horizontal="right" vertical="bottom"/>
    </xf>
    <xf borderId="108" fillId="16" fontId="2" numFmtId="0" xfId="0" applyAlignment="1" applyBorder="1" applyFill="1" applyFont="1">
      <alignment vertical="bottom"/>
    </xf>
    <xf borderId="105" fillId="16" fontId="2" numFmtId="0" xfId="0" applyAlignment="1" applyBorder="1" applyFill="1" applyFont="1">
      <alignment horizontal="right" vertical="bottom"/>
    </xf>
    <xf borderId="106" fillId="16" fontId="22" numFmtId="0" xfId="0" applyAlignment="1" applyBorder="1" applyFill="1" applyFont="1">
      <alignment readingOrder="0" vertical="bottom"/>
    </xf>
    <xf borderId="32" fillId="16" fontId="2" numFmtId="0" xfId="0" applyAlignment="1" applyBorder="1" applyFill="1" applyFont="1">
      <alignment readingOrder="0" vertical="bottom"/>
    </xf>
    <xf borderId="32" fillId="16" fontId="71" numFmtId="0" xfId="0" applyAlignment="1" applyBorder="1" applyFill="1" applyFont="1">
      <alignment vertical="bottom"/>
    </xf>
    <xf borderId="32" fillId="16" fontId="79" numFmtId="0" xfId="0" applyAlignment="1" applyBorder="1" applyFill="1" applyFont="1">
      <alignment readingOrder="0" vertical="bottom"/>
    </xf>
    <xf borderId="0" fillId="3" fontId="29" numFmtId="0" xfId="0" applyAlignment="1" applyFill="1" applyFont="1">
      <alignment vertical="bottom"/>
    </xf>
    <xf borderId="0" fillId="3" fontId="44" numFmtId="0" xfId="0" applyAlignment="1" applyFill="1" applyFont="1">
      <alignment vertical="bottom"/>
    </xf>
    <xf borderId="56" fillId="3" fontId="18" numFmtId="0" xfId="0" applyAlignment="1" applyBorder="1" applyFill="1" applyFont="1">
      <alignment vertical="bottom"/>
    </xf>
    <xf borderId="61" fillId="3" fontId="2" numFmtId="0" xfId="0" applyAlignment="1" applyBorder="1" applyFill="1" applyFont="1">
      <alignment vertical="bottom"/>
    </xf>
    <xf borderId="56" fillId="3" fontId="29" numFmtId="0" xfId="0" applyAlignment="1" applyBorder="1" applyFill="1" applyFont="1">
      <alignment vertical="bottom"/>
    </xf>
    <xf borderId="0" fillId="3" fontId="29" numFmtId="0" xfId="0" applyAlignment="1" applyFill="1" applyFont="1">
      <alignment shrinkToFit="0" vertical="bottom" wrapText="0"/>
    </xf>
    <xf borderId="0" fillId="0" fontId="44" numFmtId="0" xfId="0" applyAlignment="1" applyFont="1">
      <alignment vertical="bottom"/>
    </xf>
    <xf borderId="56" fillId="0" fontId="18" numFmtId="0" xfId="0" applyAlignment="1" applyBorder="1" applyFont="1">
      <alignment vertical="bottom"/>
    </xf>
    <xf borderId="61" fillId="10" fontId="2" numFmtId="0" xfId="0" applyAlignment="1" applyBorder="1" applyFill="1" applyFont="1">
      <alignment vertical="bottom"/>
    </xf>
    <xf borderId="56" fillId="10" fontId="2" numFmtId="0" xfId="0" applyAlignment="1" applyBorder="1" applyFill="1" applyFont="1">
      <alignment vertical="bottom"/>
    </xf>
  </cellXfs>
  <cellStyles count="1">
    <cellStyle xfId="0" name="Normal" builtinId="0"/>
  </cellStyles>
  <dxfs count="3">
    <dxf>
      <font>
        <color rgb="FFB7B7B7"/>
      </font>
      <fill>
        <patternFill patternType="none"/>
      </fill>
      <border/>
    </dxf>
    <dxf>
      <font>
        <color rgb="FFFFFFFF"/>
      </font>
      <fill>
        <patternFill patternType="none"/>
      </fill>
      <border/>
    </dxf>
    <dxf>
      <font>
        <color rgb="FF1155CC"/>
      </font>
      <fill>
        <patternFill patternType="none"/>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projectdiablo2.com/market" TargetMode="External"/><Relationship Id="rId2" Type="http://schemas.openxmlformats.org/officeDocument/2006/relationships/hyperlink" Target="https://projectdiablo2.com/market" TargetMode="External"/><Relationship Id="rId3" Type="http://schemas.openxmlformats.org/officeDocument/2006/relationships/hyperlink" Target="https://tinyurl.com/d2runevalues"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tinyurl.com/d2runewordgrid" TargetMode="External"/><Relationship Id="rId2" Type="http://schemas.openxmlformats.org/officeDocument/2006/relationships/hyperlink" Target="https://projectdiablo2.miraheze.org/wiki/RWWeapons"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s://tinyurl.com/d2filterhighlighting" TargetMode="External"/><Relationship Id="rId2"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2" width="16.0"/>
    <col customWidth="1" min="3" max="3" width="59.13"/>
  </cols>
  <sheetData>
    <row r="1">
      <c r="A1" s="1" t="s">
        <v>0</v>
      </c>
      <c r="B1" s="2"/>
      <c r="C1" s="2"/>
      <c r="D1" s="2"/>
      <c r="E1" s="2"/>
      <c r="F1" s="2"/>
      <c r="G1" s="2"/>
      <c r="H1" s="2"/>
      <c r="I1" s="2"/>
    </row>
    <row r="2">
      <c r="A2" s="3" t="s">
        <v>1</v>
      </c>
      <c r="B2" s="2"/>
      <c r="C2" s="2"/>
      <c r="D2" s="2"/>
      <c r="E2" s="2"/>
      <c r="F2" s="2"/>
      <c r="G2" s="2"/>
      <c r="H2" s="2"/>
      <c r="I2" s="2"/>
    </row>
    <row r="3">
      <c r="A3" s="2"/>
      <c r="B3" s="3"/>
      <c r="C3" s="2"/>
      <c r="D3" s="2"/>
      <c r="E3" s="2"/>
      <c r="F3" s="2"/>
      <c r="G3" s="2"/>
      <c r="H3" s="2"/>
      <c r="I3" s="2"/>
    </row>
    <row r="4">
      <c r="B4" s="8" t="s">
        <v>2</v>
      </c>
      <c r="C4" s="9" t="s">
        <v>3</v>
      </c>
      <c r="D4" s="2"/>
      <c r="E4" s="2"/>
      <c r="F4" s="2"/>
      <c r="G4" s="2"/>
      <c r="H4" s="2"/>
      <c r="I4" s="2"/>
    </row>
    <row r="5">
      <c r="B5" s="11" t="s">
        <v>4</v>
      </c>
      <c r="C5" s="14" t="s">
        <v>5</v>
      </c>
      <c r="D5" s="2"/>
      <c r="E5" s="2"/>
      <c r="F5" s="2"/>
      <c r="G5" s="2"/>
      <c r="H5" s="2"/>
      <c r="I5" s="2"/>
    </row>
    <row r="6">
      <c r="B6" s="11" t="s">
        <v>6</v>
      </c>
      <c r="C6" s="14" t="s">
        <v>7</v>
      </c>
      <c r="D6" s="2"/>
      <c r="E6" s="2"/>
      <c r="F6" s="2"/>
      <c r="G6" s="2"/>
      <c r="H6" s="2"/>
      <c r="I6" s="2"/>
    </row>
    <row r="7">
      <c r="B7" s="11" t="s">
        <v>8</v>
      </c>
      <c r="C7" s="14" t="s">
        <v>9</v>
      </c>
      <c r="D7" s="2"/>
      <c r="E7" s="2"/>
      <c r="F7" s="2"/>
      <c r="G7" s="2"/>
      <c r="H7" s="2"/>
      <c r="I7" s="2"/>
    </row>
    <row r="8">
      <c r="B8" s="11" t="s">
        <v>10</v>
      </c>
      <c r="C8" s="14" t="s">
        <v>11</v>
      </c>
      <c r="D8" s="2"/>
      <c r="E8" s="2"/>
      <c r="F8" s="2"/>
      <c r="G8" s="2"/>
      <c r="H8" s="2"/>
      <c r="I8" s="2"/>
    </row>
    <row r="9">
      <c r="B9" s="11" t="s">
        <v>12</v>
      </c>
      <c r="C9" s="14" t="s">
        <v>13</v>
      </c>
      <c r="D9" s="2"/>
      <c r="E9" s="2"/>
      <c r="F9" s="2"/>
      <c r="G9" s="2"/>
      <c r="H9" s="2"/>
      <c r="I9" s="2"/>
    </row>
    <row r="10">
      <c r="B10" s="16" t="s">
        <v>14</v>
      </c>
      <c r="C10" s="17" t="s">
        <v>15</v>
      </c>
      <c r="D10" s="2"/>
      <c r="E10" s="2"/>
      <c r="F10" s="2"/>
      <c r="G10" s="2"/>
      <c r="H10" s="2"/>
      <c r="I10" s="2"/>
    </row>
    <row r="11" hidden="1">
      <c r="B11" s="16" t="s">
        <v>16</v>
      </c>
      <c r="C11" s="17" t="s">
        <v>17</v>
      </c>
      <c r="D11" s="2"/>
      <c r="E11" s="2"/>
      <c r="F11" s="2"/>
      <c r="G11" s="2"/>
      <c r="H11" s="2"/>
      <c r="I11" s="2"/>
    </row>
    <row r="12">
      <c r="B12" s="3"/>
      <c r="C12" s="3"/>
      <c r="D12" s="2"/>
      <c r="E12" s="2"/>
      <c r="F12" s="2"/>
      <c r="G12" s="2"/>
      <c r="H12" s="2"/>
      <c r="I12" s="2"/>
    </row>
    <row r="13">
      <c r="A13" s="3" t="s">
        <v>18</v>
      </c>
      <c r="B13" s="2"/>
      <c r="C13" s="2"/>
      <c r="D13" s="2"/>
      <c r="E13" s="2"/>
      <c r="F13" s="2"/>
      <c r="G13" s="2"/>
      <c r="H13" s="2"/>
      <c r="I13" s="2"/>
    </row>
    <row r="14">
      <c r="A14" s="3">
        <v>1.0</v>
      </c>
      <c r="B14" s="3" t="s">
        <v>20</v>
      </c>
      <c r="C14" s="2"/>
      <c r="D14" s="2"/>
      <c r="E14" s="2"/>
      <c r="F14" s="2"/>
      <c r="G14" s="2"/>
      <c r="H14" s="2"/>
      <c r="I14" s="2"/>
    </row>
    <row r="15">
      <c r="A15" s="3">
        <v>2.0</v>
      </c>
      <c r="B15" s="3" t="s">
        <v>24</v>
      </c>
      <c r="C15" s="2"/>
      <c r="D15" s="2"/>
      <c r="E15" s="2"/>
      <c r="F15" s="2"/>
      <c r="G15" s="2"/>
      <c r="H15" s="2"/>
      <c r="I15" s="2"/>
    </row>
    <row r="16">
      <c r="A16" s="2"/>
      <c r="B16" s="2"/>
      <c r="C16" s="2"/>
      <c r="D16" s="2"/>
      <c r="E16" s="2"/>
      <c r="F16" s="2"/>
      <c r="G16" s="2"/>
      <c r="H16" s="2"/>
      <c r="I16" s="2"/>
    </row>
    <row r="17">
      <c r="A17" s="2"/>
      <c r="B17" s="2"/>
      <c r="C17" s="2"/>
      <c r="D17" s="2"/>
      <c r="E17" s="2"/>
      <c r="F17" s="2"/>
      <c r="G17" s="2"/>
      <c r="H17" s="2"/>
      <c r="I17" s="2"/>
    </row>
    <row r="18">
      <c r="A18" s="2"/>
      <c r="B18" s="2"/>
      <c r="C18" s="2"/>
      <c r="D18" s="2"/>
      <c r="E18" s="2"/>
      <c r="F18" s="2"/>
      <c r="G18" s="2"/>
      <c r="H18" s="2"/>
      <c r="I18"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0"/>
    <col customWidth="1" min="2" max="2" width="7.63"/>
    <col customWidth="1" min="3" max="3" width="5.75"/>
    <col customWidth="1" min="4" max="9" width="4.88"/>
    <col customWidth="1" min="10" max="10" width="18.88"/>
    <col customWidth="1" min="11" max="11" width="2.63"/>
    <col customWidth="1" min="12" max="27" width="6.38"/>
  </cols>
  <sheetData>
    <row r="1">
      <c r="A1" s="32" t="s">
        <v>57</v>
      </c>
      <c r="K1" s="2"/>
      <c r="L1" s="35" t="s">
        <v>59</v>
      </c>
      <c r="W1" s="2"/>
      <c r="X1" s="2"/>
      <c r="Y1" s="2"/>
      <c r="Z1" s="2"/>
      <c r="AA1" s="2"/>
    </row>
    <row r="2">
      <c r="A2" s="2"/>
      <c r="B2" s="36" t="s">
        <v>63</v>
      </c>
      <c r="C2" s="36" t="s">
        <v>65</v>
      </c>
      <c r="D2" s="40" t="s">
        <v>68</v>
      </c>
      <c r="E2" s="41"/>
      <c r="F2" s="44" t="s">
        <v>73</v>
      </c>
      <c r="G2" s="41"/>
      <c r="H2" s="47" t="s">
        <v>74</v>
      </c>
      <c r="I2" s="41"/>
      <c r="J2" s="51" t="s">
        <v>75</v>
      </c>
      <c r="K2" s="2"/>
      <c r="L2" s="53" t="s">
        <v>76</v>
      </c>
      <c r="Y2" s="2"/>
      <c r="Z2" s="2"/>
      <c r="AA2" s="2"/>
    </row>
    <row r="3" hidden="1">
      <c r="A3" s="3"/>
      <c r="B3" s="58" t="s">
        <v>79</v>
      </c>
      <c r="C3" s="59" t="s">
        <v>80</v>
      </c>
      <c r="D3" s="62"/>
      <c r="E3" s="64"/>
      <c r="F3" s="62"/>
      <c r="G3" s="64"/>
      <c r="H3" s="62"/>
      <c r="I3" s="64"/>
      <c r="J3" s="67"/>
      <c r="K3" s="3" t="s">
        <v>44</v>
      </c>
      <c r="L3" s="3"/>
      <c r="M3" s="3"/>
      <c r="N3" s="3"/>
      <c r="O3" s="3"/>
      <c r="P3" s="3"/>
      <c r="Q3" s="3"/>
      <c r="R3" s="3"/>
      <c r="S3" s="3"/>
      <c r="T3" s="3"/>
      <c r="U3" s="3"/>
      <c r="V3" s="3"/>
      <c r="W3" s="3"/>
      <c r="X3" s="3"/>
      <c r="Y3" s="3"/>
      <c r="Z3" s="3"/>
      <c r="AA3" s="3"/>
    </row>
    <row r="4" hidden="1">
      <c r="A4" s="3"/>
      <c r="B4" s="73" t="s">
        <v>91</v>
      </c>
      <c r="C4" s="59" t="s">
        <v>92</v>
      </c>
      <c r="D4" s="62"/>
      <c r="E4" s="64"/>
      <c r="F4" s="62"/>
      <c r="G4" s="64"/>
      <c r="H4" s="62"/>
      <c r="I4" s="64"/>
      <c r="J4" s="67"/>
      <c r="K4" s="3" t="s">
        <v>44</v>
      </c>
      <c r="L4" s="3"/>
      <c r="M4" s="3"/>
      <c r="N4" s="3"/>
      <c r="O4" s="3"/>
      <c r="P4" s="3"/>
      <c r="Q4" s="3"/>
      <c r="R4" s="3"/>
      <c r="S4" s="3"/>
      <c r="T4" s="3"/>
      <c r="U4" s="3"/>
      <c r="V4" s="3"/>
      <c r="W4" s="3"/>
      <c r="X4" s="3"/>
      <c r="Y4" s="3"/>
      <c r="Z4" s="3"/>
      <c r="AA4" s="3"/>
    </row>
    <row r="5" hidden="1">
      <c r="A5" s="3"/>
      <c r="B5" s="73" t="s">
        <v>97</v>
      </c>
      <c r="C5" s="59" t="s">
        <v>98</v>
      </c>
      <c r="D5" s="62"/>
      <c r="E5" s="64"/>
      <c r="F5" s="62"/>
      <c r="G5" s="64"/>
      <c r="H5" s="62"/>
      <c r="I5" s="64"/>
      <c r="J5" s="67"/>
      <c r="K5" s="3" t="s">
        <v>44</v>
      </c>
      <c r="L5" s="3"/>
      <c r="M5" s="3"/>
      <c r="N5" s="3"/>
      <c r="O5" s="3"/>
      <c r="P5" s="3"/>
      <c r="Q5" s="3"/>
      <c r="R5" s="3"/>
      <c r="S5" s="3"/>
      <c r="T5" s="3"/>
      <c r="U5" s="3"/>
      <c r="V5" s="3"/>
      <c r="W5" s="3"/>
      <c r="X5" s="3"/>
      <c r="Y5" s="3"/>
      <c r="Z5" s="3"/>
      <c r="AA5" s="3"/>
    </row>
    <row r="6" hidden="1">
      <c r="A6" s="3"/>
      <c r="B6" s="73" t="s">
        <v>100</v>
      </c>
      <c r="C6" s="59" t="s">
        <v>101</v>
      </c>
      <c r="D6" s="62"/>
      <c r="E6" s="64"/>
      <c r="F6" s="62"/>
      <c r="G6" s="64"/>
      <c r="H6" s="62"/>
      <c r="I6" s="64"/>
      <c r="J6" s="67"/>
      <c r="K6" s="3" t="s">
        <v>44</v>
      </c>
      <c r="L6" s="3"/>
      <c r="M6" s="3"/>
      <c r="N6" s="3"/>
      <c r="O6" s="3"/>
      <c r="P6" s="3"/>
      <c r="Q6" s="3"/>
      <c r="R6" s="3"/>
      <c r="S6" s="3"/>
      <c r="T6" s="3"/>
      <c r="U6" s="3"/>
      <c r="V6" s="3"/>
      <c r="W6" s="3"/>
      <c r="X6" s="3"/>
      <c r="Y6" s="3"/>
      <c r="Z6" s="3"/>
      <c r="AA6" s="3"/>
    </row>
    <row r="7" hidden="1">
      <c r="A7" s="3"/>
      <c r="B7" s="73" t="s">
        <v>104</v>
      </c>
      <c r="C7" s="59" t="s">
        <v>105</v>
      </c>
      <c r="D7" s="62"/>
      <c r="E7" s="64"/>
      <c r="F7" s="62"/>
      <c r="G7" s="64"/>
      <c r="H7" s="62"/>
      <c r="I7" s="64"/>
      <c r="J7" s="67"/>
      <c r="K7" s="3" t="s">
        <v>44</v>
      </c>
      <c r="L7" s="3"/>
      <c r="M7" s="3"/>
      <c r="N7" s="3"/>
      <c r="O7" s="3"/>
      <c r="P7" s="3"/>
      <c r="Q7" s="3"/>
      <c r="R7" s="3"/>
      <c r="S7" s="3"/>
      <c r="T7" s="3"/>
      <c r="U7" s="3"/>
      <c r="V7" s="3"/>
      <c r="W7" s="3"/>
      <c r="X7" s="3"/>
      <c r="Y7" s="3"/>
      <c r="Z7" s="3"/>
      <c r="AA7" s="3"/>
    </row>
    <row r="8" hidden="1">
      <c r="A8" s="3"/>
      <c r="B8" s="73" t="s">
        <v>106</v>
      </c>
      <c r="C8" s="59" t="s">
        <v>107</v>
      </c>
      <c r="D8" s="62"/>
      <c r="E8" s="64"/>
      <c r="F8" s="62"/>
      <c r="G8" s="64"/>
      <c r="H8" s="62"/>
      <c r="I8" s="64"/>
      <c r="J8" s="67"/>
      <c r="K8" s="3" t="s">
        <v>44</v>
      </c>
      <c r="L8" s="3"/>
      <c r="M8" s="3"/>
      <c r="N8" s="3"/>
      <c r="O8" s="3"/>
      <c r="P8" s="3"/>
      <c r="Q8" s="3"/>
      <c r="R8" s="3"/>
      <c r="S8" s="3"/>
      <c r="T8" s="3"/>
      <c r="U8" s="3"/>
      <c r="V8" s="3"/>
      <c r="W8" s="3"/>
      <c r="X8" s="3"/>
      <c r="Y8" s="3"/>
      <c r="Z8" s="3"/>
      <c r="AA8" s="3"/>
    </row>
    <row r="9" hidden="1">
      <c r="A9" s="3"/>
      <c r="B9" s="73" t="s">
        <v>110</v>
      </c>
      <c r="C9" s="59" t="s">
        <v>111</v>
      </c>
      <c r="D9" s="62"/>
      <c r="E9" s="64"/>
      <c r="F9" s="62"/>
      <c r="G9" s="64"/>
      <c r="H9" s="62"/>
      <c r="I9" s="64"/>
      <c r="J9" s="67"/>
      <c r="K9" s="3" t="s">
        <v>44</v>
      </c>
      <c r="L9" s="3"/>
      <c r="M9" s="3"/>
      <c r="N9" s="3"/>
      <c r="O9" s="3"/>
      <c r="P9" s="3"/>
      <c r="Q9" s="3"/>
      <c r="R9" s="3"/>
      <c r="S9" s="3"/>
      <c r="T9" s="3"/>
      <c r="U9" s="3"/>
      <c r="V9" s="3"/>
      <c r="W9" s="3"/>
      <c r="X9" s="3"/>
      <c r="Y9" s="3"/>
      <c r="Z9" s="3"/>
      <c r="AA9" s="3"/>
    </row>
    <row r="10" hidden="1">
      <c r="A10" s="3"/>
      <c r="B10" s="73" t="s">
        <v>114</v>
      </c>
      <c r="C10" s="59" t="s">
        <v>116</v>
      </c>
      <c r="D10" s="62"/>
      <c r="E10" s="64"/>
      <c r="F10" s="62"/>
      <c r="G10" s="64"/>
      <c r="H10" s="62"/>
      <c r="I10" s="64"/>
      <c r="J10" s="89"/>
      <c r="K10" s="3" t="s">
        <v>44</v>
      </c>
      <c r="L10" s="3"/>
      <c r="M10" s="3"/>
      <c r="N10" s="3"/>
      <c r="O10" s="3"/>
      <c r="P10" s="3"/>
      <c r="Q10" s="3"/>
      <c r="R10" s="3"/>
      <c r="S10" s="3"/>
      <c r="T10" s="3"/>
      <c r="U10" s="3"/>
      <c r="V10" s="3"/>
      <c r="W10" s="3"/>
      <c r="X10" s="3"/>
      <c r="Y10" s="3"/>
      <c r="Z10" s="3"/>
      <c r="AA10" s="3"/>
    </row>
    <row r="11" hidden="1">
      <c r="A11" s="3"/>
      <c r="B11" s="73" t="s">
        <v>125</v>
      </c>
      <c r="C11" s="59" t="s">
        <v>126</v>
      </c>
      <c r="D11" s="62"/>
      <c r="E11" s="64"/>
      <c r="F11" s="62"/>
      <c r="G11" s="64"/>
      <c r="H11" s="62"/>
      <c r="I11" s="64"/>
      <c r="J11" s="89"/>
      <c r="K11" s="3" t="s">
        <v>44</v>
      </c>
      <c r="L11" s="3"/>
      <c r="M11" s="3"/>
      <c r="N11" s="3"/>
      <c r="O11" s="3"/>
      <c r="P11" s="3"/>
      <c r="Q11" s="3"/>
      <c r="R11" s="3"/>
      <c r="S11" s="3"/>
      <c r="T11" s="3"/>
      <c r="U11" s="3"/>
      <c r="V11" s="3"/>
      <c r="W11" s="3"/>
      <c r="X11" s="3"/>
      <c r="Y11" s="3"/>
      <c r="Z11" s="3"/>
      <c r="AA11" s="3"/>
    </row>
    <row r="12" hidden="1">
      <c r="A12" s="3"/>
      <c r="B12" s="73" t="s">
        <v>129</v>
      </c>
      <c r="C12" s="59" t="s">
        <v>130</v>
      </c>
      <c r="D12" s="62"/>
      <c r="E12" s="64"/>
      <c r="F12" s="62"/>
      <c r="G12" s="64"/>
      <c r="H12" s="62"/>
      <c r="I12" s="64"/>
      <c r="J12" s="67"/>
      <c r="K12" s="3" t="s">
        <v>44</v>
      </c>
      <c r="L12" s="3"/>
      <c r="M12" s="3"/>
      <c r="N12" s="3"/>
      <c r="O12" s="3"/>
      <c r="P12" s="3"/>
      <c r="Q12" s="3"/>
      <c r="R12" s="3"/>
      <c r="S12" s="3"/>
      <c r="T12" s="3"/>
      <c r="U12" s="3"/>
      <c r="V12" s="3"/>
      <c r="W12" s="3"/>
      <c r="X12" s="3"/>
      <c r="Y12" s="3"/>
      <c r="Z12" s="3"/>
      <c r="AA12" s="3"/>
    </row>
    <row r="13" hidden="1">
      <c r="A13" s="3"/>
      <c r="B13" s="73" t="s">
        <v>136</v>
      </c>
      <c r="C13" s="59" t="s">
        <v>138</v>
      </c>
      <c r="D13" s="62"/>
      <c r="E13" s="64"/>
      <c r="F13" s="62"/>
      <c r="G13" s="64"/>
      <c r="H13" s="62"/>
      <c r="I13" s="64"/>
      <c r="J13" s="89"/>
      <c r="K13" s="3" t="s">
        <v>44</v>
      </c>
      <c r="L13" s="3"/>
      <c r="M13" s="3"/>
      <c r="N13" s="3"/>
      <c r="O13" s="3"/>
      <c r="P13" s="3"/>
      <c r="Q13" s="3"/>
      <c r="R13" s="3"/>
      <c r="S13" s="3"/>
      <c r="T13" s="3"/>
      <c r="U13" s="3"/>
      <c r="V13" s="3"/>
      <c r="W13" s="3"/>
      <c r="X13" s="3"/>
      <c r="Y13" s="3"/>
      <c r="Z13" s="3"/>
      <c r="AA13" s="3"/>
    </row>
    <row r="14" hidden="1">
      <c r="A14" s="3"/>
      <c r="B14" s="73" t="s">
        <v>147</v>
      </c>
      <c r="C14" s="59" t="s">
        <v>148</v>
      </c>
      <c r="D14" s="62"/>
      <c r="E14" s="64"/>
      <c r="F14" s="62"/>
      <c r="G14" s="64"/>
      <c r="H14" s="62"/>
      <c r="I14" s="64"/>
      <c r="J14" s="89"/>
      <c r="K14" s="3" t="s">
        <v>44</v>
      </c>
      <c r="L14" s="3"/>
      <c r="M14" s="3"/>
      <c r="N14" s="3"/>
      <c r="O14" s="3"/>
      <c r="P14" s="3"/>
      <c r="Q14" s="3"/>
      <c r="R14" s="3"/>
      <c r="S14" s="3"/>
      <c r="T14" s="3"/>
      <c r="U14" s="3"/>
      <c r="V14" s="3"/>
      <c r="W14" s="3"/>
      <c r="X14" s="3"/>
      <c r="Y14" s="3"/>
      <c r="Z14" s="3"/>
      <c r="AA14" s="3"/>
    </row>
    <row r="15" hidden="1">
      <c r="A15" s="3"/>
      <c r="B15" s="73" t="s">
        <v>155</v>
      </c>
      <c r="C15" s="59" t="s">
        <v>156</v>
      </c>
      <c r="D15" s="62"/>
      <c r="E15" s="64"/>
      <c r="F15" s="62"/>
      <c r="G15" s="64"/>
      <c r="H15" s="62"/>
      <c r="I15" s="64"/>
      <c r="J15" s="67"/>
      <c r="K15" s="3" t="s">
        <v>44</v>
      </c>
      <c r="L15" s="3"/>
      <c r="M15" s="3"/>
      <c r="N15" s="3"/>
      <c r="O15" s="3"/>
      <c r="P15" s="3"/>
      <c r="Q15" s="3"/>
      <c r="R15" s="3"/>
      <c r="S15" s="3"/>
      <c r="T15" s="3"/>
      <c r="U15" s="3"/>
      <c r="V15" s="3"/>
      <c r="W15" s="3"/>
      <c r="X15" s="3"/>
      <c r="Y15" s="3"/>
      <c r="Z15" s="3"/>
      <c r="AA15" s="3"/>
    </row>
    <row r="16" hidden="1">
      <c r="A16" s="3"/>
      <c r="B16" s="73" t="s">
        <v>167</v>
      </c>
      <c r="C16" s="59" t="s">
        <v>168</v>
      </c>
      <c r="D16" s="62"/>
      <c r="E16" s="64"/>
      <c r="F16" s="62"/>
      <c r="G16" s="64"/>
      <c r="H16" s="62"/>
      <c r="I16" s="64"/>
      <c r="J16" s="67"/>
      <c r="K16" s="3" t="s">
        <v>44</v>
      </c>
      <c r="L16" s="3"/>
      <c r="M16" s="3"/>
      <c r="N16" s="3"/>
      <c r="O16" s="3"/>
      <c r="P16" s="3"/>
      <c r="Q16" s="3"/>
      <c r="R16" s="3"/>
      <c r="S16" s="3"/>
      <c r="T16" s="3"/>
      <c r="U16" s="3"/>
      <c r="V16" s="3"/>
      <c r="W16" s="3"/>
      <c r="X16" s="3"/>
      <c r="Y16" s="3"/>
      <c r="Z16" s="3"/>
      <c r="AA16" s="3"/>
    </row>
    <row r="17" hidden="1">
      <c r="A17" s="3"/>
      <c r="B17" s="73" t="s">
        <v>176</v>
      </c>
      <c r="C17" s="59" t="s">
        <v>179</v>
      </c>
      <c r="D17" s="62"/>
      <c r="E17" s="64"/>
      <c r="F17" s="62"/>
      <c r="G17" s="64"/>
      <c r="H17" s="62"/>
      <c r="I17" s="64"/>
      <c r="J17" s="67"/>
      <c r="K17" s="3" t="s">
        <v>44</v>
      </c>
      <c r="L17" s="3"/>
      <c r="M17" s="3"/>
      <c r="N17" s="3"/>
      <c r="O17" s="3"/>
      <c r="P17" s="3"/>
      <c r="Q17" s="3"/>
      <c r="R17" s="3"/>
      <c r="S17" s="3"/>
      <c r="T17" s="3"/>
      <c r="U17" s="3"/>
      <c r="V17" s="3"/>
      <c r="W17" s="3"/>
      <c r="X17" s="3"/>
      <c r="Y17" s="3"/>
      <c r="Z17" s="3"/>
      <c r="AA17" s="3"/>
    </row>
    <row r="18" hidden="1">
      <c r="A18" s="3"/>
      <c r="B18" s="73" t="s">
        <v>188</v>
      </c>
      <c r="C18" s="59" t="s">
        <v>189</v>
      </c>
      <c r="D18" s="109"/>
      <c r="E18" s="64"/>
      <c r="F18" s="109"/>
      <c r="G18" s="64"/>
      <c r="H18" s="109"/>
      <c r="I18" s="64"/>
      <c r="J18" s="67"/>
      <c r="K18" s="3" t="s">
        <v>44</v>
      </c>
      <c r="L18" s="3"/>
      <c r="M18" s="3"/>
      <c r="N18" s="3"/>
      <c r="O18" s="3"/>
      <c r="P18" s="3"/>
      <c r="Q18" s="3"/>
      <c r="R18" s="3"/>
      <c r="S18" s="3"/>
      <c r="T18" s="3"/>
      <c r="U18" s="3"/>
      <c r="V18" s="3"/>
      <c r="W18" s="3"/>
      <c r="X18" s="3"/>
      <c r="Y18" s="3"/>
      <c r="Z18" s="3"/>
      <c r="AA18" s="3"/>
    </row>
    <row r="19">
      <c r="A19" s="3"/>
      <c r="B19" s="73" t="s">
        <v>206</v>
      </c>
      <c r="C19" s="59" t="s">
        <v>207</v>
      </c>
      <c r="D19" s="113" t="s">
        <v>208</v>
      </c>
      <c r="E19" s="64"/>
      <c r="F19" s="114"/>
      <c r="G19" s="64"/>
      <c r="H19" s="109" t="s">
        <v>97</v>
      </c>
      <c r="I19" s="64"/>
      <c r="K19" s="3" t="s">
        <v>44</v>
      </c>
      <c r="L19" s="115"/>
      <c r="W19" s="53"/>
      <c r="X19" s="3"/>
      <c r="Y19" s="2"/>
      <c r="Z19" s="2"/>
      <c r="AA19" s="2"/>
    </row>
    <row r="20">
      <c r="A20" s="3"/>
      <c r="B20" s="73" t="s">
        <v>223</v>
      </c>
      <c r="C20" s="59" t="s">
        <v>224</v>
      </c>
      <c r="D20" s="113" t="s">
        <v>225</v>
      </c>
      <c r="E20" s="64"/>
      <c r="F20" s="114">
        <f t="shared" ref="F20:F21" si="1">SWITCH(EQ(F104,G104),true,F104,false,CONCATENATE(F104,"-",G104))</f>
        <v>0.01111111111</v>
      </c>
      <c r="G20" s="64"/>
      <c r="H20" s="109">
        <f t="shared" ref="H20:H35" si="2">SWITCH(EQ(H104,I104),true,ROUND(H104,0),false,CONCATENATE(ROUND(H104,0),"-",ROUND(I104,0)))</f>
        <v>0</v>
      </c>
      <c r="I20" s="64"/>
      <c r="J20" s="133" t="s">
        <v>241</v>
      </c>
      <c r="K20" s="3" t="s">
        <v>44</v>
      </c>
      <c r="L20" s="136" t="s">
        <v>243</v>
      </c>
      <c r="Y20" s="3"/>
      <c r="Z20" s="3"/>
      <c r="AA20" s="3"/>
    </row>
    <row r="21">
      <c r="A21" s="3"/>
      <c r="B21" s="73" t="s">
        <v>246</v>
      </c>
      <c r="C21" s="59" t="s">
        <v>247</v>
      </c>
      <c r="D21" s="113" t="s">
        <v>248</v>
      </c>
      <c r="E21" s="64"/>
      <c r="F21" s="114">
        <f t="shared" si="1"/>
        <v>0.002777777778</v>
      </c>
      <c r="G21" s="64"/>
      <c r="H21" s="109">
        <f t="shared" si="2"/>
        <v>0</v>
      </c>
      <c r="I21" s="64"/>
      <c r="J21" s="149" t="s">
        <v>257</v>
      </c>
      <c r="K21" s="3" t="s">
        <v>44</v>
      </c>
      <c r="L21" s="53" t="s">
        <v>258</v>
      </c>
      <c r="W21" s="53"/>
      <c r="X21" s="3"/>
      <c r="Y21" s="3"/>
      <c r="Z21" s="3"/>
      <c r="AA21" s="3"/>
    </row>
    <row r="22">
      <c r="A22" s="3"/>
      <c r="B22" s="73" t="s">
        <v>261</v>
      </c>
      <c r="C22" s="59" t="s">
        <v>262</v>
      </c>
      <c r="D22" s="113" t="s">
        <v>263</v>
      </c>
      <c r="E22" s="64"/>
      <c r="F22" s="114" t="s">
        <v>265</v>
      </c>
      <c r="G22" s="64"/>
      <c r="H22" s="109">
        <f t="shared" si="2"/>
        <v>0</v>
      </c>
      <c r="I22" s="64"/>
      <c r="J22" s="171"/>
      <c r="K22" s="3" t="s">
        <v>44</v>
      </c>
      <c r="L22" s="2"/>
      <c r="M22" s="2"/>
      <c r="N22" s="2"/>
      <c r="O22" s="2"/>
      <c r="P22" s="2"/>
      <c r="Q22" s="2"/>
      <c r="R22" s="2"/>
      <c r="S22" s="2"/>
      <c r="T22" s="2"/>
      <c r="U22" s="2"/>
      <c r="V22" s="3"/>
      <c r="W22" s="3"/>
      <c r="X22" s="3"/>
      <c r="Y22" s="3"/>
      <c r="Z22" s="3"/>
      <c r="AA22" s="3"/>
    </row>
    <row r="23">
      <c r="A23" s="3"/>
      <c r="B23" s="73" t="s">
        <v>319</v>
      </c>
      <c r="C23" s="59" t="s">
        <v>321</v>
      </c>
      <c r="D23" s="113" t="s">
        <v>208</v>
      </c>
      <c r="E23" s="64"/>
      <c r="F23" s="114" t="s">
        <v>329</v>
      </c>
      <c r="G23" s="64"/>
      <c r="H23" s="109">
        <f t="shared" si="2"/>
        <v>0</v>
      </c>
      <c r="I23" s="64"/>
      <c r="J23" s="89"/>
      <c r="K23" s="3" t="s">
        <v>44</v>
      </c>
      <c r="L23" s="174" t="s">
        <v>346</v>
      </c>
      <c r="M23" s="124"/>
      <c r="N23" s="124"/>
      <c r="O23" s="124"/>
      <c r="P23" s="124"/>
      <c r="Q23" s="124"/>
      <c r="R23" s="124"/>
      <c r="S23" s="124"/>
      <c r="T23" s="124"/>
      <c r="U23" s="124"/>
      <c r="V23" s="3"/>
      <c r="W23" s="3"/>
      <c r="X23" s="3"/>
      <c r="Y23" s="3"/>
      <c r="Z23" s="3"/>
      <c r="AA23" s="3"/>
    </row>
    <row r="24">
      <c r="A24" s="3"/>
      <c r="B24" s="73" t="s">
        <v>355</v>
      </c>
      <c r="C24" s="59" t="s">
        <v>356</v>
      </c>
      <c r="D24" s="113" t="s">
        <v>358</v>
      </c>
      <c r="E24" s="64"/>
      <c r="F24" s="114" t="s">
        <v>365</v>
      </c>
      <c r="G24" s="64"/>
      <c r="H24" s="109">
        <f t="shared" si="2"/>
        <v>0</v>
      </c>
      <c r="I24" s="64"/>
      <c r="J24" s="89"/>
      <c r="K24" s="3" t="s">
        <v>44</v>
      </c>
      <c r="L24" s="176" t="s">
        <v>371</v>
      </c>
      <c r="M24" s="177"/>
      <c r="N24" s="177"/>
      <c r="O24" s="177"/>
      <c r="P24" s="177"/>
      <c r="Q24" s="177"/>
      <c r="R24" s="177"/>
      <c r="S24" s="177"/>
      <c r="T24" s="177"/>
      <c r="U24" s="177"/>
      <c r="V24" s="3"/>
      <c r="W24" s="3"/>
      <c r="X24" s="3"/>
      <c r="Y24" s="3"/>
      <c r="Z24" s="3"/>
      <c r="AA24" s="3"/>
    </row>
    <row r="25">
      <c r="A25" s="3"/>
      <c r="B25" s="73" t="s">
        <v>375</v>
      </c>
      <c r="C25" s="59" t="s">
        <v>376</v>
      </c>
      <c r="D25" s="113" t="s">
        <v>377</v>
      </c>
      <c r="E25" s="64"/>
      <c r="F25" s="114" t="s">
        <v>379</v>
      </c>
      <c r="G25" s="64"/>
      <c r="H25" s="109" t="str">
        <f t="shared" si="2"/>
        <v>#VALUE!</v>
      </c>
      <c r="I25" s="64"/>
      <c r="J25" s="89"/>
      <c r="K25" s="3" t="s">
        <v>44</v>
      </c>
      <c r="L25" s="201" t="s">
        <v>393</v>
      </c>
      <c r="M25" s="202"/>
      <c r="N25" s="202"/>
      <c r="O25" s="202"/>
      <c r="P25" s="202"/>
      <c r="Q25" s="202"/>
      <c r="R25" s="202"/>
      <c r="S25" s="202"/>
      <c r="T25" s="202"/>
      <c r="U25" s="202"/>
      <c r="V25" s="3"/>
      <c r="W25" s="3"/>
      <c r="X25" s="3"/>
      <c r="Y25" s="3"/>
      <c r="Z25" s="3"/>
      <c r="AA25" s="3"/>
    </row>
    <row r="26">
      <c r="A26" s="3"/>
      <c r="B26" s="73" t="s">
        <v>406</v>
      </c>
      <c r="C26" s="59" t="s">
        <v>407</v>
      </c>
      <c r="D26" s="113" t="s">
        <v>408</v>
      </c>
      <c r="E26" s="64"/>
      <c r="F26" s="114" t="s">
        <v>411</v>
      </c>
      <c r="G26" s="64"/>
      <c r="H26" s="109">
        <f t="shared" si="2"/>
        <v>1</v>
      </c>
      <c r="I26" s="64"/>
      <c r="J26" s="89"/>
      <c r="K26" s="3" t="s">
        <v>44</v>
      </c>
      <c r="L26" s="226" t="s">
        <v>421</v>
      </c>
      <c r="M26" s="202"/>
      <c r="N26" s="202"/>
      <c r="O26" s="202"/>
      <c r="P26" s="202"/>
      <c r="Q26" s="202"/>
      <c r="R26" s="202"/>
      <c r="S26" s="202"/>
      <c r="T26" s="202"/>
      <c r="U26" s="202"/>
      <c r="V26" s="3"/>
      <c r="W26" s="3"/>
      <c r="X26" s="3"/>
      <c r="Y26" s="3"/>
      <c r="Z26" s="3"/>
      <c r="AA26" s="3"/>
    </row>
    <row r="27">
      <c r="A27" s="3"/>
      <c r="B27" s="73" t="s">
        <v>427</v>
      </c>
      <c r="C27" s="59" t="s">
        <v>429</v>
      </c>
      <c r="D27" s="241">
        <v>0.25</v>
      </c>
      <c r="E27" s="64"/>
      <c r="F27" s="114">
        <f t="shared" ref="F27:F35" si="3">SWITCH(EQ(F111,G111),true,F111,false,CONCATENATE(F111,"-",G111))</f>
        <v>1</v>
      </c>
      <c r="G27" s="64"/>
      <c r="H27" s="109">
        <f t="shared" si="2"/>
        <v>25</v>
      </c>
      <c r="I27" s="64"/>
      <c r="J27" s="89"/>
      <c r="K27" s="3" t="s">
        <v>44</v>
      </c>
      <c r="L27" s="226" t="s">
        <v>482</v>
      </c>
      <c r="M27" s="202"/>
      <c r="N27" s="202"/>
      <c r="O27" s="202"/>
      <c r="P27" s="202"/>
      <c r="Q27" s="202"/>
      <c r="R27" s="202"/>
      <c r="S27" s="202"/>
      <c r="T27" s="202"/>
      <c r="U27" s="202"/>
      <c r="V27" s="3"/>
      <c r="W27" s="3"/>
      <c r="X27" s="3"/>
      <c r="Y27" s="3"/>
      <c r="Z27" s="3"/>
      <c r="AA27" s="3"/>
    </row>
    <row r="28">
      <c r="A28" s="3"/>
      <c r="B28" s="73" t="s">
        <v>492</v>
      </c>
      <c r="C28" s="59" t="s">
        <v>493</v>
      </c>
      <c r="D28" s="266">
        <v>0.5</v>
      </c>
      <c r="E28" s="64"/>
      <c r="F28" s="114">
        <f t="shared" si="3"/>
        <v>2</v>
      </c>
      <c r="G28" s="64"/>
      <c r="H28" s="109">
        <f t="shared" si="2"/>
        <v>50</v>
      </c>
      <c r="I28" s="64"/>
      <c r="J28" s="89"/>
      <c r="K28" s="3" t="s">
        <v>44</v>
      </c>
      <c r="L28" s="2"/>
      <c r="M28" s="2"/>
      <c r="N28" s="2"/>
      <c r="O28" s="2"/>
      <c r="P28" s="2"/>
      <c r="Q28" s="2"/>
      <c r="R28" s="2"/>
      <c r="S28" s="2"/>
      <c r="T28" s="2"/>
      <c r="U28" s="2"/>
      <c r="V28" s="2"/>
      <c r="W28" s="2"/>
      <c r="X28" s="3"/>
      <c r="Y28" s="3"/>
      <c r="Z28" s="3"/>
      <c r="AA28" s="3"/>
    </row>
    <row r="29">
      <c r="A29" s="3"/>
      <c r="B29" s="73" t="s">
        <v>516</v>
      </c>
      <c r="C29" s="59" t="s">
        <v>518</v>
      </c>
      <c r="D29" s="113" t="s">
        <v>523</v>
      </c>
      <c r="E29" s="64"/>
      <c r="F29" s="114">
        <f t="shared" si="3"/>
        <v>3</v>
      </c>
      <c r="G29" s="64"/>
      <c r="H29" s="109">
        <f t="shared" si="2"/>
        <v>75</v>
      </c>
      <c r="I29" s="64"/>
      <c r="J29" s="276" t="s">
        <v>534</v>
      </c>
      <c r="K29" s="3" t="s">
        <v>44</v>
      </c>
      <c r="L29" s="277" t="s">
        <v>538</v>
      </c>
      <c r="P29" s="281" t="s">
        <v>543</v>
      </c>
      <c r="U29" s="2"/>
      <c r="V29" s="2"/>
      <c r="W29" s="3"/>
      <c r="X29" s="3"/>
      <c r="Y29" s="3"/>
      <c r="Z29" s="3"/>
      <c r="AA29" s="3"/>
    </row>
    <row r="30">
      <c r="A30" s="3"/>
      <c r="B30" s="73" t="s">
        <v>580</v>
      </c>
      <c r="C30" s="59" t="s">
        <v>581</v>
      </c>
      <c r="D30" s="113" t="s">
        <v>79</v>
      </c>
      <c r="E30" s="64"/>
      <c r="F30" s="114">
        <f t="shared" si="3"/>
        <v>4</v>
      </c>
      <c r="G30" s="64"/>
      <c r="H30" s="109">
        <f t="shared" si="2"/>
        <v>100</v>
      </c>
      <c r="I30" s="64"/>
      <c r="J30" s="282"/>
      <c r="K30" s="3" t="s">
        <v>44</v>
      </c>
      <c r="L30" s="277" t="s">
        <v>599</v>
      </c>
      <c r="P30" s="281" t="s">
        <v>602</v>
      </c>
      <c r="U30" s="2"/>
      <c r="V30" s="2"/>
      <c r="W30" s="3"/>
      <c r="X30" s="3"/>
      <c r="Y30" s="3"/>
      <c r="Z30" s="3"/>
      <c r="AA30" s="3"/>
    </row>
    <row r="31">
      <c r="A31" s="3"/>
      <c r="B31" s="73" t="s">
        <v>605</v>
      </c>
      <c r="C31" s="59" t="s">
        <v>606</v>
      </c>
      <c r="D31" s="266">
        <v>1.5</v>
      </c>
      <c r="E31" s="64"/>
      <c r="F31" s="114">
        <f t="shared" si="3"/>
        <v>6</v>
      </c>
      <c r="G31" s="64"/>
      <c r="H31" s="109">
        <f t="shared" si="2"/>
        <v>150</v>
      </c>
      <c r="I31" s="64"/>
      <c r="J31" s="276" t="s">
        <v>617</v>
      </c>
      <c r="K31" s="3" t="s">
        <v>44</v>
      </c>
      <c r="L31" s="290"/>
      <c r="P31" s="281"/>
      <c r="U31" s="2"/>
      <c r="V31" s="3"/>
      <c r="W31" s="3"/>
      <c r="X31" s="3"/>
      <c r="Y31" s="3"/>
      <c r="Z31" s="3"/>
      <c r="AA31" s="3"/>
    </row>
    <row r="32">
      <c r="A32" s="3"/>
      <c r="B32" s="73" t="s">
        <v>624</v>
      </c>
      <c r="C32" s="59" t="s">
        <v>626</v>
      </c>
      <c r="D32" s="113" t="s">
        <v>97</v>
      </c>
      <c r="E32" s="64"/>
      <c r="F32" s="114">
        <f t="shared" si="3"/>
        <v>12</v>
      </c>
      <c r="G32" s="64"/>
      <c r="H32" s="109">
        <f t="shared" si="2"/>
        <v>300</v>
      </c>
      <c r="I32" s="64"/>
      <c r="J32" s="276"/>
      <c r="K32" s="3" t="s">
        <v>44</v>
      </c>
      <c r="L32" s="290" t="s">
        <v>638</v>
      </c>
      <c r="P32" s="281" t="s">
        <v>642</v>
      </c>
      <c r="U32" s="3"/>
      <c r="V32" s="3"/>
      <c r="W32" s="3"/>
      <c r="X32" s="3"/>
      <c r="Y32" s="3"/>
      <c r="Z32" s="3"/>
      <c r="AA32" s="3"/>
    </row>
    <row r="33">
      <c r="A33" s="3"/>
      <c r="B33" s="73" t="s">
        <v>648</v>
      </c>
      <c r="C33" s="59" t="s">
        <v>649</v>
      </c>
      <c r="D33" s="113" t="s">
        <v>91</v>
      </c>
      <c r="E33" s="64"/>
      <c r="F33" s="114">
        <f t="shared" si="3"/>
        <v>8</v>
      </c>
      <c r="G33" s="64"/>
      <c r="H33" s="109">
        <f t="shared" si="2"/>
        <v>200</v>
      </c>
      <c r="I33" s="64"/>
      <c r="J33" s="276"/>
      <c r="K33" s="3" t="s">
        <v>44</v>
      </c>
      <c r="L33" s="290"/>
      <c r="P33" s="281"/>
      <c r="U33" s="3"/>
      <c r="V33" s="3"/>
      <c r="W33" s="3"/>
      <c r="X33" s="3"/>
      <c r="Y33" s="3"/>
      <c r="Z33" s="3"/>
      <c r="AA33" s="3"/>
    </row>
    <row r="34">
      <c r="A34" s="3"/>
      <c r="B34" s="73" t="s">
        <v>664</v>
      </c>
      <c r="C34" s="59" t="s">
        <v>666</v>
      </c>
      <c r="D34" s="266">
        <v>3.5</v>
      </c>
      <c r="E34" s="64"/>
      <c r="F34" s="114">
        <f t="shared" si="3"/>
        <v>14</v>
      </c>
      <c r="G34" s="64"/>
      <c r="H34" s="109">
        <f t="shared" si="2"/>
        <v>350</v>
      </c>
      <c r="I34" s="64"/>
      <c r="J34" s="276"/>
      <c r="K34" s="3" t="s">
        <v>44</v>
      </c>
      <c r="L34" s="3"/>
      <c r="M34" s="3"/>
      <c r="N34" s="3"/>
      <c r="O34" s="3"/>
      <c r="P34" s="3"/>
      <c r="Q34" s="3"/>
      <c r="R34" s="3"/>
      <c r="S34" s="3"/>
      <c r="T34" s="3"/>
      <c r="U34" s="3"/>
      <c r="V34" s="3"/>
      <c r="W34" s="2"/>
      <c r="X34" s="3"/>
      <c r="Y34" s="3"/>
      <c r="Z34" s="3"/>
      <c r="AA34" s="3"/>
    </row>
    <row r="35">
      <c r="A35" s="3"/>
      <c r="B35" s="73" t="s">
        <v>680</v>
      </c>
      <c r="C35" s="59" t="s">
        <v>682</v>
      </c>
      <c r="D35" s="113" t="s">
        <v>110</v>
      </c>
      <c r="E35" s="64"/>
      <c r="F35" s="114">
        <f t="shared" si="3"/>
        <v>28</v>
      </c>
      <c r="G35" s="64"/>
      <c r="H35" s="109">
        <f t="shared" si="2"/>
        <v>700</v>
      </c>
      <c r="I35" s="64"/>
      <c r="J35" s="276" t="s">
        <v>687</v>
      </c>
      <c r="K35" s="305" t="s">
        <v>690</v>
      </c>
      <c r="L35" s="41"/>
      <c r="M35" s="47" t="s">
        <v>693</v>
      </c>
      <c r="N35" s="306"/>
      <c r="O35" s="306"/>
      <c r="P35" s="306"/>
      <c r="Q35" s="306"/>
      <c r="R35" s="41"/>
      <c r="S35" s="3"/>
      <c r="T35" s="3"/>
      <c r="U35" s="3"/>
      <c r="V35" s="3"/>
      <c r="W35" s="3"/>
      <c r="X35" s="3"/>
      <c r="Y35" s="3"/>
      <c r="Z35" s="3"/>
      <c r="AA35" s="3"/>
    </row>
    <row r="36" ht="2.25" customHeight="1">
      <c r="A36" s="3"/>
      <c r="B36" s="307"/>
      <c r="C36" s="307"/>
      <c r="D36" s="309"/>
      <c r="E36" s="64"/>
      <c r="F36" s="311"/>
      <c r="G36" s="64"/>
      <c r="H36" s="313"/>
      <c r="I36" s="64"/>
      <c r="J36" s="314"/>
      <c r="K36" s="315"/>
      <c r="L36" s="64"/>
      <c r="M36" s="315"/>
      <c r="N36" s="202"/>
      <c r="O36" s="202"/>
      <c r="P36" s="202"/>
      <c r="Q36" s="202"/>
      <c r="R36" s="64"/>
      <c r="S36" s="3"/>
      <c r="T36" s="3"/>
      <c r="U36" s="3"/>
      <c r="V36" s="3"/>
      <c r="W36" s="3"/>
      <c r="X36" s="3"/>
      <c r="Y36" s="3"/>
      <c r="Z36" s="3"/>
      <c r="AA36" s="3"/>
    </row>
    <row r="37">
      <c r="A37" s="3"/>
      <c r="B37" s="317" t="s">
        <v>734</v>
      </c>
      <c r="C37" s="64"/>
      <c r="D37" s="113" t="s">
        <v>740</v>
      </c>
      <c r="E37" s="64"/>
      <c r="F37" s="321" t="str">
        <f>IFERROR(__xludf.DUMMYFUNCTION("LET(
src,SUBSTITUTE(TRIM(TO_TEXT(D37)),"" "",""""),
conv,LAMBDA(t,LET(
z,SUBSTITUTE(TRIM(t),""."","",""),
VALUE(IF(LEFT(z,1)="","",""0""&amp;z,z))
)),
fmt,LAMBDA(n,LET(
z,SUBSTITUTE(TO_TEXT(ROUND(n,8)),"","","".""),
REGEXREPLACE(z,""^0\."",""\."")
)),
lefttxt"&amp;",IF(REGEXMATCH(src,""-""),REGEXREPLACE(src,""-.*$"",""""),src),
righttxt,IF(REGEXMATCH(src,""-""),REGEXREPLACE(src,""^.*-"",""""),src),
IF(
REGEXMATCH(src,""-""),
fmt(conv(lefttxt)*4)&amp;""-""&amp;fmt(conv(righttxt)*4),
fmt(conv(lefttxt)*4)
)
)"),".04")</f>
        <v>.04</v>
      </c>
      <c r="G37" s="64"/>
      <c r="H37" s="109">
        <f t="shared" ref="H37:H41" si="4">SWITCH(EQ(H121,I121),true,ROUND(H121,0),false,CONCATENATE(ROUND(H121,0),"-",ROUND(I121,0)))</f>
        <v>1</v>
      </c>
      <c r="I37" s="64"/>
      <c r="J37" s="324" t="s">
        <v>769</v>
      </c>
      <c r="K37" s="325" t="s">
        <v>771</v>
      </c>
      <c r="L37" s="64"/>
      <c r="M37" s="325" t="s">
        <v>774</v>
      </c>
      <c r="N37" s="202"/>
      <c r="O37" s="202"/>
      <c r="P37" s="202"/>
      <c r="Q37" s="202"/>
      <c r="R37" s="202"/>
      <c r="S37" s="202"/>
      <c r="T37" s="202"/>
      <c r="U37" s="64"/>
      <c r="V37" s="3"/>
      <c r="W37" s="3"/>
      <c r="X37" s="3"/>
      <c r="Y37" s="3"/>
      <c r="Z37" s="3"/>
      <c r="AA37" s="3"/>
    </row>
    <row r="38">
      <c r="A38" s="2"/>
      <c r="B38" s="317" t="s">
        <v>780</v>
      </c>
      <c r="C38" s="64"/>
      <c r="D38" s="327" t="s">
        <v>79</v>
      </c>
      <c r="E38" s="64"/>
      <c r="F38" s="114">
        <f t="shared" ref="F38:F41" si="5">SWITCH(EQ(F122,G122),true,F122,false,CONCATENATE(F122,"-",G122))</f>
        <v>4</v>
      </c>
      <c r="G38" s="64"/>
      <c r="H38" s="109">
        <f t="shared" si="4"/>
        <v>100</v>
      </c>
      <c r="I38" s="64"/>
      <c r="J38" s="328" t="s">
        <v>808</v>
      </c>
      <c r="K38" s="325" t="s">
        <v>811</v>
      </c>
      <c r="L38" s="64"/>
      <c r="M38" s="325" t="s">
        <v>814</v>
      </c>
      <c r="N38" s="202"/>
      <c r="O38" s="202"/>
      <c r="P38" s="202"/>
      <c r="Q38" s="202"/>
      <c r="R38" s="202"/>
      <c r="S38" s="202"/>
      <c r="T38" s="202"/>
      <c r="U38" s="64"/>
      <c r="V38" s="3"/>
      <c r="W38" s="3"/>
      <c r="X38" s="3"/>
      <c r="Y38" s="3"/>
      <c r="Z38" s="3"/>
      <c r="AA38" s="3"/>
    </row>
    <row r="39">
      <c r="A39" s="3"/>
      <c r="B39" s="317" t="s">
        <v>824</v>
      </c>
      <c r="C39" s="64"/>
      <c r="D39" s="329">
        <v>0.25</v>
      </c>
      <c r="E39" s="64"/>
      <c r="F39" s="114">
        <f t="shared" si="5"/>
        <v>1</v>
      </c>
      <c r="G39" s="64"/>
      <c r="H39" s="109">
        <f t="shared" si="4"/>
        <v>25</v>
      </c>
      <c r="I39" s="64"/>
      <c r="J39" s="328" t="s">
        <v>808</v>
      </c>
      <c r="K39" s="325" t="s">
        <v>847</v>
      </c>
      <c r="L39" s="64"/>
      <c r="M39" s="325" t="s">
        <v>850</v>
      </c>
      <c r="N39" s="202"/>
      <c r="O39" s="202"/>
      <c r="P39" s="202"/>
      <c r="Q39" s="202"/>
      <c r="R39" s="202"/>
      <c r="S39" s="202"/>
      <c r="T39" s="202"/>
      <c r="U39" s="64"/>
      <c r="V39" s="3"/>
      <c r="W39" s="3"/>
      <c r="X39" s="3"/>
      <c r="Y39" s="3"/>
      <c r="Z39" s="3"/>
      <c r="AA39" s="3"/>
    </row>
    <row r="40">
      <c r="A40" s="3"/>
      <c r="B40" s="317" t="s">
        <v>857</v>
      </c>
      <c r="C40" s="64"/>
      <c r="D40" s="331">
        <v>0.5</v>
      </c>
      <c r="E40" s="64"/>
      <c r="F40" s="332">
        <f t="shared" si="5"/>
        <v>2</v>
      </c>
      <c r="G40" s="64"/>
      <c r="H40" s="109">
        <f t="shared" si="4"/>
        <v>50</v>
      </c>
      <c r="I40" s="64"/>
      <c r="J40" s="328" t="s">
        <v>808</v>
      </c>
      <c r="K40" s="325" t="s">
        <v>870</v>
      </c>
      <c r="L40" s="64"/>
      <c r="M40" s="325"/>
      <c r="N40" s="202"/>
      <c r="O40" s="202"/>
      <c r="P40" s="202"/>
      <c r="Q40" s="202"/>
      <c r="R40" s="202"/>
      <c r="S40" s="202"/>
      <c r="T40" s="202"/>
      <c r="U40" s="64"/>
      <c r="V40" s="3"/>
      <c r="W40" s="3"/>
      <c r="X40" s="3"/>
      <c r="Y40" s="3"/>
      <c r="Z40" s="3"/>
      <c r="AA40" s="3"/>
    </row>
    <row r="41">
      <c r="A41" s="3"/>
      <c r="B41" s="317" t="s">
        <v>882</v>
      </c>
      <c r="C41" s="64"/>
      <c r="D41" s="331">
        <v>0.25</v>
      </c>
      <c r="E41" s="64"/>
      <c r="F41" s="332">
        <f t="shared" si="5"/>
        <v>1</v>
      </c>
      <c r="G41" s="64"/>
      <c r="H41" s="109">
        <f t="shared" si="4"/>
        <v>25</v>
      </c>
      <c r="I41" s="64"/>
      <c r="J41" s="328" t="s">
        <v>893</v>
      </c>
      <c r="K41" s="325" t="s">
        <v>894</v>
      </c>
      <c r="L41" s="64"/>
      <c r="M41" s="325"/>
      <c r="N41" s="202"/>
      <c r="O41" s="202"/>
      <c r="P41" s="202"/>
      <c r="Q41" s="202"/>
      <c r="R41" s="202"/>
      <c r="S41" s="202"/>
      <c r="T41" s="202"/>
      <c r="U41" s="64"/>
      <c r="V41" s="3"/>
      <c r="W41" s="3"/>
      <c r="X41" s="3"/>
      <c r="Y41" s="3"/>
      <c r="Z41" s="3"/>
      <c r="AA41" s="3"/>
    </row>
    <row r="42">
      <c r="A42" s="3"/>
      <c r="B42" s="317" t="s">
        <v>901</v>
      </c>
      <c r="C42" s="64"/>
      <c r="D42" s="329" t="s">
        <v>902</v>
      </c>
      <c r="E42" s="64"/>
      <c r="F42" s="342" t="str">
        <f>IFERROR(__xludf.DUMMYFUNCTION("LET(
num,LAMBDA(v,LET(
s,SUBSTITUTE(TRIM(TO_TEXT(v)),"","","".""),
IF(
REGEXMATCH(s,""\.""),
IFERROR(VALUE(REGEXEXTRACT(s,""^\d+"")),0)+VALUE(REGEXEXTRACT(s,""\.(\d+)$""))/10^LEN(REGEXEXTRACT(s,""\.(\d+)$"")),
VALUE(s)
)
)),
fmt,LAMBDA(n,REGEXREPLACE(SUBS"&amp;"TITUTE(TO_TEXT(ROUND(n,8)),"","","".""),""^0\."",""."")), 
TEXTJOIN(""-"",TRUE,MAP(SPLIT(TO_TEXT(D42),""-""),LAMBDA(x,fmt(num(x)*4))))
)"),".4-1")</f>
        <v>.4-1</v>
      </c>
      <c r="G42" s="64"/>
      <c r="H42" s="345" t="str">
        <f>IFERROR(__xludf.DUMMYFUNCTION("LET(
num,LAMBDA(v,LET(
s,SUBSTITUTE(TRIM(TO_TEXT(v)),"","","".""),
IF(
REGEXMATCH(s,""\.""),
IFERROR(VALUE(REGEXEXTRACT(s,""^\d+"")),0)+VALUE(REGEXEXTRACT(s,""\.(\d+)$""))/10^LEN(REGEXEXTRACT(s,""\.(\d+)$"")),
VALUE(s)
)
)),
TEXTJOIN(""-"",TRUE,MAP(SPLIT("&amp;"TO_TEXT(D42),""-""),LAMBDA(x,ROUND(num(x)/num($D$37),0))))
)"),"10-25")</f>
        <v>10-25</v>
      </c>
      <c r="I42" s="64"/>
      <c r="J42" s="328" t="s">
        <v>918</v>
      </c>
      <c r="K42" s="325"/>
      <c r="L42" s="64"/>
      <c r="M42" s="325"/>
      <c r="N42" s="202"/>
      <c r="O42" s="202"/>
      <c r="P42" s="202"/>
      <c r="Q42" s="202"/>
      <c r="R42" s="202"/>
      <c r="S42" s="202"/>
      <c r="T42" s="202"/>
      <c r="U42" s="64"/>
      <c r="V42" s="3"/>
      <c r="W42" s="3"/>
      <c r="X42" s="3"/>
      <c r="Y42" s="3"/>
      <c r="Z42" s="3"/>
      <c r="AA42" s="3"/>
    </row>
    <row r="43">
      <c r="A43" s="3"/>
      <c r="B43" s="317" t="s">
        <v>924</v>
      </c>
      <c r="C43" s="64"/>
      <c r="D43" s="329" t="s">
        <v>926</v>
      </c>
      <c r="E43" s="64"/>
      <c r="F43" s="342" t="str">
        <f>IFERROR(__xludf.DUMMYFUNCTION("LET(
num,LAMBDA(v,LET(
s,SUBSTITUTE(TRIM(TO_TEXT(v)),"","","".""),
IF(
REGEXMATCH(s,""\.""),
IFERROR(VALUE(REGEXEXTRACT(s,""^\d+"")),0)+VALUE(REGEXEXTRACT(s,""\.(\d+)$""))/10^LEN(REGEXEXTRACT(s,""\.(\d+)$"")),
VALUE(s)
)
)),
fmt,LAMBDA(n,REGEXREPLACE(SUBS"&amp;"TITUTE(TO_TEXT(ROUND(n,8)),"","","".""),""^0\."",""."")), 
TEXTJOIN(""-"",TRUE,MAP(SPLIT(TO_TEXT(D43),""-""),LAMBDA(x,fmt(num(x)*4))))
)"),"1-2")</f>
        <v>1-2</v>
      </c>
      <c r="G43" s="64"/>
      <c r="H43" s="345" t="str">
        <f>IFERROR(__xludf.DUMMYFUNCTION("LET(
num,LAMBDA(v,LET(
s,SUBSTITUTE(TRIM(TO_TEXT(v)),"","","".""),
IF(
REGEXMATCH(s,""\.""),
IFERROR(VALUE(REGEXEXTRACT(s,""^\d+"")),0)+VALUE(REGEXEXTRACT(s,""\.(\d+)$""))/10^LEN(REGEXEXTRACT(s,""\.(\d+)$"")),
VALUE(s)
)
)),
TEXTJOIN(""-"",TRUE,MAP(SPLIT("&amp;"TO_TEXT(D43),""-""),LAMBDA(x,ROUND(num(x)/num($D$37),0))))
)"),"25-50")</f>
        <v>25-50</v>
      </c>
      <c r="I43" s="64"/>
      <c r="J43" s="328" t="s">
        <v>934</v>
      </c>
      <c r="K43" s="325"/>
      <c r="L43" s="64"/>
      <c r="M43" s="325"/>
      <c r="N43" s="202"/>
      <c r="O43" s="202"/>
      <c r="P43" s="202"/>
      <c r="Q43" s="202"/>
      <c r="R43" s="202"/>
      <c r="S43" s="202"/>
      <c r="T43" s="202"/>
      <c r="U43" s="64"/>
      <c r="V43" s="3"/>
      <c r="W43" s="3"/>
      <c r="X43" s="3"/>
      <c r="Y43" s="3"/>
      <c r="Z43" s="3"/>
      <c r="AA43" s="3"/>
    </row>
    <row r="44">
      <c r="A44" s="2"/>
      <c r="B44" s="317" t="s">
        <v>937</v>
      </c>
      <c r="C44" s="64"/>
      <c r="D44" s="329" t="s">
        <v>940</v>
      </c>
      <c r="E44" s="64"/>
      <c r="F44" s="342" t="str">
        <f>IFERROR(__xludf.DUMMYFUNCTION("LET(
num,LAMBDA(v,LET(
s,SUBSTITUTE(TRIM(TO_TEXT(v)),"","","".""),
IF(
REGEXMATCH(s,""\.""),
IFERROR(VALUE(REGEXEXTRACT(s,""^\d+"")),0)+VALUE(REGEXEXTRACT(s,""\.(\d+)$""))/10^LEN(REGEXEXTRACT(s,""\.(\d+)$"")),
VALUE(s)
)
)),
fmt,LAMBDA(n,REGEXREPLACE(SUBS"&amp;"TITUTE(TO_TEXT(ROUND(n,8)),"","","".""),""^0\."",""."")), 
TEXTJOIN(""-"",TRUE,MAP(SPLIT(TO_TEXT(D44),""-""),LAMBDA(x,fmt(num(x)*4))))
)"),".2-.4")</f>
        <v>.2-.4</v>
      </c>
      <c r="G44" s="64"/>
      <c r="H44" s="345" t="str">
        <f>IFERROR(__xludf.DUMMYFUNCTION("LET(
num,LAMBDA(v,LET(
s,SUBSTITUTE(TRIM(TO_TEXT(v)),"","","".""),
IF(
REGEXMATCH(s,""\.""),
IFERROR(VALUE(REGEXEXTRACT(s,""^\d+"")),0)+VALUE(REGEXEXTRACT(s,""\.(\d+)$""))/10^LEN(REGEXEXTRACT(s,""\.(\d+)$"")),
VALUE(s)
)
)),
TEXTJOIN(""-"",TRUE,MAP(SPLIT("&amp;"TO_TEXT(D44),""-""),LAMBDA(x,ROUND(num(x)/num($D$37),0))))
)"),"5-10")</f>
        <v>5-10</v>
      </c>
      <c r="I44" s="64"/>
      <c r="J44" s="328" t="s">
        <v>945</v>
      </c>
      <c r="K44" s="325"/>
      <c r="L44" s="64"/>
      <c r="M44" s="325"/>
      <c r="N44" s="202"/>
      <c r="O44" s="202"/>
      <c r="P44" s="202"/>
      <c r="Q44" s="202"/>
      <c r="R44" s="202"/>
      <c r="S44" s="202"/>
      <c r="T44" s="202"/>
      <c r="U44" s="64"/>
      <c r="V44" s="3"/>
      <c r="W44" s="3"/>
      <c r="X44" s="3"/>
      <c r="Y44" s="3"/>
      <c r="Z44" s="3"/>
      <c r="AA44" s="3"/>
    </row>
    <row r="45">
      <c r="A45" s="2"/>
      <c r="B45" s="372" t="s">
        <v>949</v>
      </c>
      <c r="C45" s="64"/>
      <c r="D45" s="374" t="s">
        <v>951</v>
      </c>
      <c r="E45" s="64"/>
      <c r="F45" s="342" t="str">
        <f>IFERROR(__xludf.DUMMYFUNCTION("LET(
num,LAMBDA(v,LET(
s,SUBSTITUTE(TRIM(TO_TEXT(v)),"","","".""),
IF(
REGEXMATCH(s,""\.""),
IFERROR(VALUE(REGEXEXTRACT(s,""^\d+"")),0)+VALUE(REGEXEXTRACT(s,""\.(\d+)$""))/10^LEN(REGEXEXTRACT(s,""\.(\d+)$"")),
VALUE(s)
)
)),
fmt,LAMBDA(n,REGEXREPLACE(SUBS"&amp;"TITUTE(TO_TEXT(ROUND(n,8)),"","","".""),""^0\."",""."")), 
TEXTJOIN(""-"",TRUE,MAP(SPLIT(TO_TEXT(D45),""-""),LAMBDA(x,fmt(num(x)*4))))
)"),".8-2")</f>
        <v>.8-2</v>
      </c>
      <c r="G45" s="64"/>
      <c r="H45" s="345" t="str">
        <f>IFERROR(__xludf.DUMMYFUNCTION("LET(
num,LAMBDA(v,LET(
s,SUBSTITUTE(TRIM(TO_TEXT(v)),"","","".""),
IF(
REGEXMATCH(s,""\.""),
IFERROR(VALUE(REGEXEXTRACT(s,""^\d+"")),0)+VALUE(REGEXEXTRACT(s,""\.(\d+)$""))/10^LEN(REGEXEXTRACT(s,""\.(\d+)$"")),
VALUE(s)
)
)),
TEXTJOIN(""-"",TRUE,MAP(SPLIT("&amp;"TO_TEXT(D45),""-""),LAMBDA(x,ROUND(num(x)/num($D$37),0))))
)"),"20-50")</f>
        <v>20-50</v>
      </c>
      <c r="I45" s="64"/>
      <c r="J45" s="328" t="s">
        <v>934</v>
      </c>
      <c r="K45" s="325"/>
      <c r="L45" s="64"/>
      <c r="M45" s="325"/>
      <c r="N45" s="202"/>
      <c r="O45" s="202"/>
      <c r="P45" s="202"/>
      <c r="Q45" s="202"/>
      <c r="R45" s="202"/>
      <c r="S45" s="202"/>
      <c r="T45" s="202"/>
      <c r="U45" s="64"/>
      <c r="V45" s="3"/>
      <c r="W45" s="3"/>
      <c r="X45" s="3"/>
      <c r="Y45" s="385"/>
      <c r="Z45" s="385"/>
      <c r="AA45" s="385"/>
    </row>
    <row r="46">
      <c r="A46" s="2"/>
      <c r="B46" s="317" t="s">
        <v>962</v>
      </c>
      <c r="C46" s="64"/>
      <c r="D46" s="331">
        <v>0.25</v>
      </c>
      <c r="E46" s="64"/>
      <c r="F46" s="332">
        <f t="shared" ref="F46:F60" si="6">SWITCH(EQ(F130,G130),true,F130,false,CONCATENATE(F130,"-",G130))</f>
        <v>1</v>
      </c>
      <c r="G46" s="64"/>
      <c r="H46" s="109">
        <f t="shared" ref="H46:H60" si="7">SWITCH(EQ(H130,I130),true,ROUND(H130,0),false,CONCATENATE(ROUND(H130,0),"-",ROUND(I130,0)))</f>
        <v>25</v>
      </c>
      <c r="I46" s="64"/>
      <c r="J46" s="328" t="s">
        <v>1000</v>
      </c>
      <c r="K46" s="325"/>
      <c r="L46" s="64"/>
      <c r="M46" s="325" t="s">
        <v>1006</v>
      </c>
      <c r="N46" s="202"/>
      <c r="O46" s="202"/>
      <c r="P46" s="202"/>
      <c r="Q46" s="202"/>
      <c r="R46" s="202"/>
      <c r="S46" s="202"/>
      <c r="T46" s="202"/>
      <c r="U46" s="64"/>
      <c r="V46" s="3"/>
      <c r="W46" s="3"/>
      <c r="X46" s="3"/>
      <c r="Y46" s="3"/>
      <c r="Z46" s="3"/>
      <c r="AA46" s="3"/>
    </row>
    <row r="47">
      <c r="A47" s="3"/>
      <c r="B47" s="317" t="s">
        <v>1017</v>
      </c>
      <c r="C47" s="64"/>
      <c r="D47" s="401">
        <v>0.05</v>
      </c>
      <c r="E47" s="64"/>
      <c r="F47" s="332">
        <f t="shared" si="6"/>
        <v>0.2</v>
      </c>
      <c r="G47" s="64"/>
      <c r="H47" s="109">
        <f t="shared" si="7"/>
        <v>5</v>
      </c>
      <c r="I47" s="64"/>
      <c r="J47" s="328" t="s">
        <v>1035</v>
      </c>
      <c r="K47" s="325"/>
      <c r="L47" s="64"/>
      <c r="M47" s="325" t="s">
        <v>1041</v>
      </c>
      <c r="N47" s="202"/>
      <c r="O47" s="202"/>
      <c r="P47" s="202"/>
      <c r="Q47" s="202"/>
      <c r="R47" s="202"/>
      <c r="S47" s="202"/>
      <c r="T47" s="202"/>
      <c r="U47" s="64"/>
      <c r="V47" s="3"/>
      <c r="W47" s="3"/>
      <c r="X47" s="3"/>
      <c r="Y47" s="3"/>
      <c r="Z47" s="3"/>
      <c r="AA47" s="3"/>
    </row>
    <row r="48">
      <c r="A48" s="3"/>
      <c r="B48" s="317" t="s">
        <v>1050</v>
      </c>
      <c r="C48" s="64"/>
      <c r="D48" s="401">
        <v>0.05</v>
      </c>
      <c r="E48" s="64"/>
      <c r="F48" s="332">
        <f t="shared" si="6"/>
        <v>0.2</v>
      </c>
      <c r="G48" s="64"/>
      <c r="H48" s="109">
        <f t="shared" si="7"/>
        <v>5</v>
      </c>
      <c r="I48" s="64"/>
      <c r="J48" s="328" t="s">
        <v>1055</v>
      </c>
      <c r="K48" s="325" t="s">
        <v>1056</v>
      </c>
      <c r="L48" s="64"/>
      <c r="M48" s="325" t="s">
        <v>1058</v>
      </c>
      <c r="N48" s="202"/>
      <c r="O48" s="202"/>
      <c r="P48" s="202"/>
      <c r="Q48" s="202"/>
      <c r="R48" s="202"/>
      <c r="S48" s="202"/>
      <c r="T48" s="202"/>
      <c r="U48" s="64"/>
      <c r="V48" s="3"/>
      <c r="W48" s="3"/>
      <c r="X48" s="3"/>
      <c r="Y48" s="3"/>
      <c r="Z48" s="3"/>
      <c r="AA48" s="3"/>
    </row>
    <row r="49">
      <c r="A49" s="419"/>
      <c r="B49" s="421" t="s">
        <v>1062</v>
      </c>
      <c r="C49" s="64"/>
      <c r="D49" s="424">
        <v>1.0</v>
      </c>
      <c r="E49" s="64"/>
      <c r="F49" s="332">
        <f t="shared" si="6"/>
        <v>4</v>
      </c>
      <c r="G49" s="64"/>
      <c r="H49" s="109">
        <f t="shared" si="7"/>
        <v>100</v>
      </c>
      <c r="I49" s="64"/>
      <c r="J49" s="328" t="s">
        <v>1074</v>
      </c>
      <c r="K49" s="325" t="s">
        <v>1075</v>
      </c>
      <c r="L49" s="64"/>
      <c r="M49" s="325" t="s">
        <v>1076</v>
      </c>
      <c r="N49" s="202"/>
      <c r="O49" s="202"/>
      <c r="P49" s="202"/>
      <c r="Q49" s="202"/>
      <c r="R49" s="202"/>
      <c r="S49" s="202"/>
      <c r="T49" s="202"/>
      <c r="U49" s="64"/>
      <c r="V49" s="3"/>
      <c r="W49" s="3"/>
      <c r="X49" s="3"/>
      <c r="Y49" s="3"/>
      <c r="Z49" s="3"/>
      <c r="AA49" s="3"/>
    </row>
    <row r="50">
      <c r="A50" s="419"/>
      <c r="B50" s="317" t="s">
        <v>1078</v>
      </c>
      <c r="C50" s="64"/>
      <c r="D50" s="241">
        <v>20.0</v>
      </c>
      <c r="E50" s="64"/>
      <c r="F50" s="332">
        <f t="shared" si="6"/>
        <v>80</v>
      </c>
      <c r="G50" s="64"/>
      <c r="H50" s="109">
        <f t="shared" si="7"/>
        <v>2000</v>
      </c>
      <c r="I50" s="64"/>
      <c r="J50" s="460" t="s">
        <v>1080</v>
      </c>
      <c r="K50" s="325"/>
      <c r="L50" s="64"/>
      <c r="M50" s="325" t="s">
        <v>1082</v>
      </c>
      <c r="N50" s="202"/>
      <c r="O50" s="202"/>
      <c r="P50" s="202"/>
      <c r="Q50" s="202"/>
      <c r="R50" s="202"/>
      <c r="S50" s="202"/>
      <c r="T50" s="202"/>
      <c r="U50" s="64"/>
      <c r="V50" s="3"/>
      <c r="W50" s="3"/>
      <c r="X50" s="3"/>
      <c r="Y50" s="3"/>
      <c r="Z50" s="3"/>
      <c r="AA50" s="3"/>
    </row>
    <row r="51">
      <c r="A51" s="2"/>
      <c r="B51" s="317" t="s">
        <v>1084</v>
      </c>
      <c r="C51" s="64"/>
      <c r="D51" s="241">
        <v>110.0</v>
      </c>
      <c r="E51" s="64"/>
      <c r="F51" s="332">
        <f t="shared" si="6"/>
        <v>440</v>
      </c>
      <c r="G51" s="64"/>
      <c r="H51" s="109">
        <f t="shared" si="7"/>
        <v>11000</v>
      </c>
      <c r="I51" s="64"/>
      <c r="J51" s="460" t="s">
        <v>1080</v>
      </c>
      <c r="K51" s="325"/>
      <c r="L51" s="64"/>
      <c r="M51" s="325" t="s">
        <v>1087</v>
      </c>
      <c r="N51" s="202"/>
      <c r="O51" s="202"/>
      <c r="P51" s="202"/>
      <c r="Q51" s="202"/>
      <c r="R51" s="202"/>
      <c r="S51" s="202"/>
      <c r="T51" s="202"/>
      <c r="U51" s="64"/>
      <c r="V51" s="3"/>
      <c r="W51" s="3"/>
      <c r="X51" s="3"/>
      <c r="Y51" s="3"/>
      <c r="Z51" s="3"/>
      <c r="AA51" s="3"/>
    </row>
    <row r="52" hidden="1">
      <c r="A52" s="480"/>
      <c r="B52" s="317"/>
      <c r="C52" s="64"/>
      <c r="D52" s="241"/>
      <c r="E52" s="64"/>
      <c r="F52" s="332" t="str">
        <f t="shared" si="6"/>
        <v>#VALUE!</v>
      </c>
      <c r="G52" s="64"/>
      <c r="H52" s="109" t="str">
        <f t="shared" si="7"/>
        <v>#VALUE!</v>
      </c>
      <c r="I52" s="64"/>
      <c r="J52" s="89"/>
      <c r="K52" s="325"/>
      <c r="L52" s="64"/>
      <c r="M52" s="325"/>
      <c r="N52" s="202"/>
      <c r="O52" s="202"/>
      <c r="P52" s="202"/>
      <c r="Q52" s="202"/>
      <c r="R52" s="64"/>
      <c r="S52" s="3"/>
      <c r="T52" s="3"/>
      <c r="U52" s="3"/>
      <c r="V52" s="3"/>
      <c r="W52" s="3"/>
      <c r="X52" s="3"/>
      <c r="Y52" s="3"/>
      <c r="Z52" s="3"/>
      <c r="AA52" s="3"/>
    </row>
    <row r="53" hidden="1">
      <c r="A53" s="480"/>
      <c r="B53" s="421"/>
      <c r="C53" s="64"/>
      <c r="D53" s="241"/>
      <c r="E53" s="64"/>
      <c r="F53" s="332" t="str">
        <f t="shared" si="6"/>
        <v>#VALUE!</v>
      </c>
      <c r="G53" s="64"/>
      <c r="H53" s="109" t="str">
        <f t="shared" si="7"/>
        <v>#VALUE!</v>
      </c>
      <c r="I53" s="64"/>
      <c r="J53" s="89"/>
      <c r="K53" s="325"/>
      <c r="L53" s="64"/>
      <c r="M53" s="325"/>
      <c r="N53" s="202"/>
      <c r="O53" s="202"/>
      <c r="P53" s="202"/>
      <c r="Q53" s="202"/>
      <c r="R53" s="64"/>
      <c r="S53" s="3"/>
      <c r="T53" s="3"/>
      <c r="U53" s="3"/>
      <c r="V53" s="3"/>
      <c r="W53" s="3"/>
      <c r="X53" s="3"/>
      <c r="Y53" s="3"/>
      <c r="Z53" s="3"/>
      <c r="AA53" s="3"/>
    </row>
    <row r="54" hidden="1">
      <c r="A54" s="480"/>
      <c r="B54" s="317"/>
      <c r="C54" s="64"/>
      <c r="D54" s="241"/>
      <c r="E54" s="64"/>
      <c r="F54" s="332" t="str">
        <f t="shared" si="6"/>
        <v>#VALUE!</v>
      </c>
      <c r="G54" s="64"/>
      <c r="H54" s="109" t="str">
        <f t="shared" si="7"/>
        <v>#VALUE!</v>
      </c>
      <c r="I54" s="64"/>
      <c r="J54" s="89"/>
      <c r="K54" s="325"/>
      <c r="L54" s="64"/>
      <c r="M54" s="325"/>
      <c r="N54" s="202"/>
      <c r="O54" s="202"/>
      <c r="P54" s="202"/>
      <c r="Q54" s="202"/>
      <c r="R54" s="64"/>
      <c r="S54" s="3"/>
      <c r="T54" s="3"/>
      <c r="U54" s="3"/>
      <c r="V54" s="3"/>
      <c r="W54" s="3"/>
      <c r="X54" s="3"/>
      <c r="Y54" s="3"/>
      <c r="Z54" s="3"/>
      <c r="AA54" s="3"/>
    </row>
    <row r="55" hidden="1">
      <c r="A55" s="480"/>
      <c r="B55" s="317"/>
      <c r="C55" s="64"/>
      <c r="D55" s="241"/>
      <c r="E55" s="64"/>
      <c r="F55" s="332" t="str">
        <f t="shared" si="6"/>
        <v>#VALUE!</v>
      </c>
      <c r="G55" s="64"/>
      <c r="H55" s="109" t="str">
        <f t="shared" si="7"/>
        <v>#VALUE!</v>
      </c>
      <c r="I55" s="64"/>
      <c r="J55" s="89"/>
      <c r="K55" s="325"/>
      <c r="L55" s="64"/>
      <c r="M55" s="325"/>
      <c r="N55" s="202"/>
      <c r="O55" s="202"/>
      <c r="P55" s="202"/>
      <c r="Q55" s="202"/>
      <c r="R55" s="64"/>
      <c r="S55" s="3"/>
      <c r="T55" s="3"/>
      <c r="U55" s="3"/>
      <c r="V55" s="3"/>
      <c r="W55" s="3"/>
      <c r="X55" s="3"/>
      <c r="Y55" s="3"/>
      <c r="Z55" s="3"/>
      <c r="AA55" s="3"/>
    </row>
    <row r="56">
      <c r="A56" s="480"/>
      <c r="B56" s="509" t="s">
        <v>1148</v>
      </c>
      <c r="C56" s="64"/>
      <c r="D56" s="512">
        <v>0.75</v>
      </c>
      <c r="E56" s="64"/>
      <c r="F56" s="516">
        <f t="shared" si="6"/>
        <v>3</v>
      </c>
      <c r="G56" s="64"/>
      <c r="H56" s="520">
        <f t="shared" si="7"/>
        <v>75</v>
      </c>
      <c r="I56" s="64"/>
      <c r="J56" s="522"/>
      <c r="K56" s="524" t="s">
        <v>1187</v>
      </c>
      <c r="L56" s="64"/>
      <c r="M56" s="524" t="s">
        <v>1193</v>
      </c>
      <c r="N56" s="202"/>
      <c r="O56" s="202"/>
      <c r="P56" s="202"/>
      <c r="Q56" s="202"/>
      <c r="R56" s="202"/>
      <c r="S56" s="202"/>
      <c r="T56" s="202"/>
      <c r="U56" s="64"/>
      <c r="V56" s="3"/>
      <c r="W56" s="3"/>
      <c r="X56" s="3"/>
      <c r="Y56" s="3"/>
      <c r="Z56" s="3"/>
      <c r="AA56" s="3"/>
    </row>
    <row r="57">
      <c r="A57" s="480"/>
      <c r="B57" s="317" t="s">
        <v>1198</v>
      </c>
      <c r="C57" s="64"/>
      <c r="D57" s="241">
        <v>0.05</v>
      </c>
      <c r="E57" s="64"/>
      <c r="F57" s="332">
        <f t="shared" si="6"/>
        <v>0.2</v>
      </c>
      <c r="G57" s="64"/>
      <c r="H57" s="109">
        <f t="shared" si="7"/>
        <v>5</v>
      </c>
      <c r="I57" s="64"/>
      <c r="J57" s="537"/>
      <c r="K57" s="325" t="s">
        <v>1213</v>
      </c>
      <c r="L57" s="64"/>
      <c r="M57" s="325" t="s">
        <v>1216</v>
      </c>
      <c r="N57" s="202"/>
      <c r="O57" s="202"/>
      <c r="P57" s="202"/>
      <c r="Q57" s="202"/>
      <c r="R57" s="202"/>
      <c r="S57" s="202"/>
      <c r="T57" s="202"/>
      <c r="U57" s="64"/>
      <c r="V57" s="3"/>
      <c r="W57" s="3"/>
      <c r="X57" s="3"/>
      <c r="Y57" s="3"/>
      <c r="Z57" s="3"/>
      <c r="AA57" s="3"/>
    </row>
    <row r="58">
      <c r="A58" s="480"/>
      <c r="B58" s="317" t="s">
        <v>1223</v>
      </c>
      <c r="C58" s="64"/>
      <c r="D58" s="241">
        <v>0.05</v>
      </c>
      <c r="E58" s="64"/>
      <c r="F58" s="332">
        <f t="shared" si="6"/>
        <v>0.2</v>
      </c>
      <c r="G58" s="64"/>
      <c r="H58" s="109">
        <f t="shared" si="7"/>
        <v>5</v>
      </c>
      <c r="I58" s="64"/>
      <c r="J58" s="89"/>
      <c r="K58" s="325" t="s">
        <v>1230</v>
      </c>
      <c r="L58" s="64"/>
      <c r="M58" s="325" t="s">
        <v>1231</v>
      </c>
      <c r="N58" s="202"/>
      <c r="O58" s="202"/>
      <c r="P58" s="202"/>
      <c r="Q58" s="202"/>
      <c r="R58" s="202"/>
      <c r="S58" s="202"/>
      <c r="T58" s="202"/>
      <c r="U58" s="64"/>
      <c r="V58" s="3"/>
      <c r="W58" s="3"/>
      <c r="X58" s="3"/>
      <c r="Y58" s="3"/>
      <c r="Z58" s="3"/>
      <c r="AA58" s="3"/>
    </row>
    <row r="59">
      <c r="A59" s="480"/>
      <c r="B59" s="317" t="s">
        <v>1234</v>
      </c>
      <c r="C59" s="64"/>
      <c r="D59" s="241">
        <v>0.1</v>
      </c>
      <c r="E59" s="64"/>
      <c r="F59" s="332">
        <f t="shared" si="6"/>
        <v>0.4</v>
      </c>
      <c r="G59" s="64"/>
      <c r="H59" s="109">
        <f t="shared" si="7"/>
        <v>10</v>
      </c>
      <c r="I59" s="64"/>
      <c r="J59" s="89"/>
      <c r="K59" s="325" t="s">
        <v>1238</v>
      </c>
      <c r="L59" s="64"/>
      <c r="M59" s="325" t="s">
        <v>1240</v>
      </c>
      <c r="N59" s="202"/>
      <c r="O59" s="202"/>
      <c r="P59" s="202"/>
      <c r="Q59" s="202"/>
      <c r="R59" s="202"/>
      <c r="S59" s="202"/>
      <c r="T59" s="202"/>
      <c r="U59" s="64"/>
      <c r="V59" s="3"/>
      <c r="W59" s="3"/>
      <c r="X59" s="3"/>
      <c r="Y59" s="3"/>
      <c r="Z59" s="3"/>
      <c r="AA59" s="3"/>
    </row>
    <row r="60">
      <c r="A60" s="480"/>
      <c r="B60" s="372" t="s">
        <v>1244</v>
      </c>
      <c r="C60" s="64"/>
      <c r="D60" s="241">
        <v>0.25</v>
      </c>
      <c r="E60" s="64"/>
      <c r="F60" s="332">
        <f t="shared" si="6"/>
        <v>1</v>
      </c>
      <c r="G60" s="64"/>
      <c r="H60" s="109">
        <f t="shared" si="7"/>
        <v>25</v>
      </c>
      <c r="I60" s="64"/>
      <c r="J60" s="89"/>
      <c r="K60" s="325" t="s">
        <v>1250</v>
      </c>
      <c r="L60" s="64"/>
      <c r="M60" s="325" t="s">
        <v>1251</v>
      </c>
      <c r="N60" s="202"/>
      <c r="O60" s="202"/>
      <c r="P60" s="202"/>
      <c r="Q60" s="202"/>
      <c r="R60" s="202"/>
      <c r="S60" s="202"/>
      <c r="T60" s="202"/>
      <c r="U60" s="64"/>
      <c r="V60" s="3"/>
      <c r="W60" s="3"/>
      <c r="X60" s="3"/>
      <c r="Y60" s="3"/>
      <c r="Z60" s="3"/>
      <c r="AA60" s="3"/>
    </row>
    <row r="61">
      <c r="A61" s="480"/>
      <c r="B61" s="509" t="s">
        <v>1253</v>
      </c>
      <c r="C61" s="64"/>
      <c r="D61" s="554" t="s">
        <v>1255</v>
      </c>
      <c r="E61" s="64"/>
      <c r="F61" s="342" t="str">
        <f>IFERROR(__xludf.DUMMYFUNCTION("LET(
num,LAMBDA(v,LET(
s,SUBSTITUTE(TRIM(TO_TEXT(v)),"","","".""),
IF(
REGEXMATCH(s,""\.""),
IFERROR(VALUE(REGEXEXTRACT(s,""^\d+"")),0)+VALUE(REGEXEXTRACT(s,""\.(\d+)$""))/10^LEN(REGEXEXTRACT(s,""\.(\d+)$"")),
VALUE(s)
)
)),
fmt,LAMBDA(n,REGEXREPLACE(SUBS"&amp;"TITUTE(TO_TEXT(ROUND(n,8)),"","","".""),""^0\."",""."")), 
TEXTJOIN(""-"",TRUE,MAP(SPLIT(TO_TEXT(D61),""-""),LAMBDA(x,fmt(num(x)*4))))
)"),".6-1")</f>
        <v>.6-1</v>
      </c>
      <c r="G61" s="64"/>
      <c r="H61" s="345" t="str">
        <f>IFERROR(__xludf.DUMMYFUNCTION("LET(
num,LAMBDA(v,LET(
s,SUBSTITUTE(TRIM(TO_TEXT(v)),"","","".""),
IF(
REGEXMATCH(s,""\.""),
IFERROR(VALUE(REGEXEXTRACT(s,""^\d+"")),0)+VALUE(REGEXEXTRACT(s,""\.(\d+)$""))/10^LEN(REGEXEXTRACT(s,""\.(\d+)$"")),
VALUE(s)
)
)),
TEXTJOIN(""-"",TRUE,MAP(SPLIT("&amp;"TO_TEXT(D61),""-""),LAMBDA(x,ROUND(num(x)/num($D$37),0))))
)"),"15-25")</f>
        <v>15-25</v>
      </c>
      <c r="I61" s="64"/>
      <c r="J61" s="522" t="s">
        <v>1263</v>
      </c>
      <c r="K61" s="524"/>
      <c r="L61" s="64"/>
      <c r="M61" s="561" t="s">
        <v>1264</v>
      </c>
      <c r="N61" s="202"/>
      <c r="O61" s="202"/>
      <c r="P61" s="202"/>
      <c r="Q61" s="202"/>
      <c r="R61" s="202"/>
      <c r="S61" s="202"/>
      <c r="T61" s="202"/>
      <c r="U61" s="64"/>
      <c r="V61" s="3"/>
      <c r="W61" s="3"/>
      <c r="X61" s="3"/>
      <c r="Y61" s="3"/>
      <c r="Z61" s="3"/>
      <c r="AA61" s="3"/>
    </row>
    <row r="62">
      <c r="A62" s="480"/>
      <c r="B62" s="317" t="s">
        <v>1267</v>
      </c>
      <c r="C62" s="64"/>
      <c r="D62" s="331" t="s">
        <v>1269</v>
      </c>
      <c r="E62" s="64"/>
      <c r="F62" s="342" t="str">
        <f>IFERROR(__xludf.DUMMYFUNCTION("LET(
num,LAMBDA(v,LET(
s,SUBSTITUTE(TRIM(TO_TEXT(v)),"","","".""),
IF(
REGEXMATCH(s,""\.""),
IFERROR(VALUE(REGEXEXTRACT(s,""^\d+"")),0)+VALUE(REGEXEXTRACT(s,""\.(\d+)$""))/10^LEN(REGEXEXTRACT(s,""\.(\d+)$"")),
VALUE(s)
)
)),
fmt,LAMBDA(n,REGEXREPLACE(SUBS"&amp;"TITUTE(TO_TEXT(ROUND(n,8)),"","","".""),""^0\."",""."")), 
TEXTJOIN(""-"",TRUE,MAP(SPLIT(TO_TEXT(D62),""-""),LAMBDA(x,fmt(num(x)*4))))
)"),".2-.32")</f>
        <v>.2-.32</v>
      </c>
      <c r="G62" s="64"/>
      <c r="H62" s="345" t="str">
        <f>IFERROR(__xludf.DUMMYFUNCTION("LET(
num,LAMBDA(v,LET(
s,SUBSTITUTE(TRIM(TO_TEXT(v)),"","","".""),
IF(
REGEXMATCH(s,""\.""),
IFERROR(VALUE(REGEXEXTRACT(s,""^\d+"")),0)+VALUE(REGEXEXTRACT(s,""\.(\d+)$""))/10^LEN(REGEXEXTRACT(s,""\.(\d+)$"")),
VALUE(s)
)
)),
TEXTJOIN(""-"",TRUE,MAP(SPLIT("&amp;"TO_TEXT(D62),""-""),LAMBDA(x,ROUND(num(x)/num($D$37),0))))
)"),"5-8")</f>
        <v>5-8</v>
      </c>
      <c r="I62" s="64"/>
      <c r="J62" s="89"/>
      <c r="K62" s="325"/>
      <c r="L62" s="64"/>
      <c r="M62" s="325" t="s">
        <v>1274</v>
      </c>
      <c r="N62" s="202"/>
      <c r="O62" s="202"/>
      <c r="P62" s="202"/>
      <c r="Q62" s="202"/>
      <c r="R62" s="202"/>
      <c r="S62" s="202"/>
      <c r="T62" s="202"/>
      <c r="U62" s="64"/>
      <c r="V62" s="3"/>
      <c r="W62" s="3"/>
      <c r="X62" s="2"/>
      <c r="Y62" s="2"/>
      <c r="Z62" s="2"/>
      <c r="AA62" s="2"/>
    </row>
    <row r="63">
      <c r="A63" s="480"/>
      <c r="B63" s="317" t="s">
        <v>1277</v>
      </c>
      <c r="C63" s="64"/>
      <c r="D63" s="401">
        <v>0.1</v>
      </c>
      <c r="E63" s="64"/>
      <c r="F63" s="332">
        <f>SWITCH(EQ(F147,G147),true,F147,false,CONCATENATE(F147,"-",G147))</f>
        <v>0.4</v>
      </c>
      <c r="G63" s="64"/>
      <c r="H63" s="109">
        <f>SWITCH(EQ(H147,I147),true,ROUND(H147,0),false,CONCATENATE(ROUND(H147,0),"-",ROUND(I147,0)))</f>
        <v>10</v>
      </c>
      <c r="I63" s="64"/>
      <c r="J63" s="89"/>
      <c r="K63" s="325"/>
      <c r="L63" s="64"/>
      <c r="M63" s="325" t="s">
        <v>1290</v>
      </c>
      <c r="N63" s="202"/>
      <c r="O63" s="202"/>
      <c r="P63" s="202"/>
      <c r="Q63" s="202"/>
      <c r="R63" s="202"/>
      <c r="S63" s="202"/>
      <c r="T63" s="202"/>
      <c r="U63" s="64"/>
      <c r="V63" s="3"/>
      <c r="W63" s="3"/>
      <c r="X63" s="3"/>
      <c r="Y63" s="3"/>
      <c r="Z63" s="3"/>
      <c r="AA63" s="3"/>
    </row>
    <row r="64">
      <c r="A64" s="480"/>
      <c r="B64" s="317" t="s">
        <v>1304</v>
      </c>
      <c r="C64" s="64"/>
      <c r="D64" s="331" t="s">
        <v>1305</v>
      </c>
      <c r="E64" s="64"/>
      <c r="F64" s="342" t="str">
        <f>IFERROR(__xludf.DUMMYFUNCTION("LET(
num,LAMBDA(v,LET(
s,SUBSTITUTE(TRIM(TO_TEXT(v)),"","","".""),
IF(
REGEXMATCH(s,""\.""),
IFERROR(VALUE(REGEXEXTRACT(s,""^\d+"")),0)+VALUE(REGEXEXTRACT(s,""\.(\d+)$""))/10^LEN(REGEXEXTRACT(s,""\.(\d+)$"")),
VALUE(s)
)
)),
fmt,LAMBDA(n,REGEXREPLACE(SUBS"&amp;"TITUTE(TO_TEXT(ROUND(n,8)),"","","".""),""^0\."",""."")), 
TEXTJOIN(""-"",TRUE,MAP(SPLIT(TO_TEXT(D64),""-""),LAMBDA(x,fmt(num(x)*4))))
)"),".12-.2")</f>
        <v>.12-.2</v>
      </c>
      <c r="G64" s="64"/>
      <c r="H64" s="345" t="str">
        <f>IFERROR(__xludf.DUMMYFUNCTION("LET(
num,LAMBDA(v,LET(
s,SUBSTITUTE(TRIM(TO_TEXT(v)),"","","".""),
IF(
REGEXMATCH(s,""\.""),
IFERROR(VALUE(REGEXEXTRACT(s,""^\d+"")),0)+VALUE(REGEXEXTRACT(s,""\.(\d+)$""))/10^LEN(REGEXEXTRACT(s,""\.(\d+)$"")),
VALUE(s)
)
)),
TEXTJOIN(""-"",TRUE,MAP(SPLIT("&amp;"TO_TEXT(D64),""-""),LAMBDA(x,ROUND(num(x)/num($D$37),0))))
)"),"3-5")</f>
        <v>3-5</v>
      </c>
      <c r="I64" s="64"/>
      <c r="J64" s="89"/>
      <c r="K64" s="325"/>
      <c r="L64" s="64"/>
      <c r="M64" s="325" t="s">
        <v>1319</v>
      </c>
      <c r="N64" s="202"/>
      <c r="O64" s="202"/>
      <c r="P64" s="202"/>
      <c r="Q64" s="202"/>
      <c r="R64" s="202"/>
      <c r="S64" s="202"/>
      <c r="T64" s="202"/>
      <c r="U64" s="64"/>
      <c r="V64" s="2"/>
      <c r="W64" s="2"/>
      <c r="X64" s="2"/>
      <c r="Y64" s="2"/>
      <c r="Z64" s="2"/>
      <c r="AA64" s="2"/>
    </row>
    <row r="65">
      <c r="A65" s="480"/>
      <c r="B65" s="509" t="s">
        <v>1324</v>
      </c>
      <c r="C65" s="64"/>
      <c r="D65" s="554">
        <v>0.75</v>
      </c>
      <c r="E65" s="64"/>
      <c r="F65" s="516">
        <f t="shared" ref="F65:F68" si="8">SWITCH(EQ(F149,G149),true,F149,false,CONCATENATE(F149,"-",G149))</f>
        <v>3</v>
      </c>
      <c r="G65" s="64"/>
      <c r="H65" s="520">
        <f t="shared" ref="H65:H68" si="9">SWITCH(EQ(H149,I149),true,ROUND(H149,0),false,CONCATENATE(ROUND(H149,0),"-",ROUND(I149,0)))</f>
        <v>75</v>
      </c>
      <c r="I65" s="64"/>
      <c r="J65" s="522"/>
      <c r="K65" s="524" t="s">
        <v>1341</v>
      </c>
      <c r="L65" s="64"/>
      <c r="M65" s="561" t="s">
        <v>1344</v>
      </c>
      <c r="N65" s="202"/>
      <c r="O65" s="202"/>
      <c r="P65" s="202"/>
      <c r="Q65" s="202"/>
      <c r="R65" s="202"/>
      <c r="S65" s="202"/>
      <c r="T65" s="202"/>
      <c r="U65" s="64"/>
      <c r="V65" s="3"/>
      <c r="W65" s="3"/>
      <c r="X65" s="3"/>
      <c r="Y65" s="3"/>
      <c r="Z65" s="3"/>
      <c r="AA65" s="3"/>
    </row>
    <row r="66">
      <c r="A66" s="480"/>
      <c r="B66" s="317" t="s">
        <v>1350</v>
      </c>
      <c r="C66" s="64"/>
      <c r="D66" s="241">
        <v>0.06</v>
      </c>
      <c r="E66" s="64"/>
      <c r="F66" s="332">
        <f t="shared" si="8"/>
        <v>0.24</v>
      </c>
      <c r="G66" s="64"/>
      <c r="H66" s="109">
        <f t="shared" si="9"/>
        <v>6</v>
      </c>
      <c r="I66" s="64"/>
      <c r="J66" s="578"/>
      <c r="K66" s="325" t="s">
        <v>1360</v>
      </c>
      <c r="L66" s="64"/>
      <c r="M66" s="325" t="s">
        <v>1362</v>
      </c>
      <c r="N66" s="202"/>
      <c r="O66" s="202"/>
      <c r="P66" s="202"/>
      <c r="Q66" s="202"/>
      <c r="R66" s="202"/>
      <c r="S66" s="202"/>
      <c r="T66" s="202"/>
      <c r="U66" s="64"/>
      <c r="V66" s="3"/>
      <c r="W66" s="3"/>
      <c r="X66" s="3"/>
      <c r="Y66" s="3"/>
      <c r="Z66" s="3"/>
      <c r="AA66" s="3"/>
    </row>
    <row r="67">
      <c r="A67" s="480"/>
      <c r="B67" s="317" t="s">
        <v>1366</v>
      </c>
      <c r="C67" s="64"/>
      <c r="D67" s="241">
        <v>0.05</v>
      </c>
      <c r="E67" s="64"/>
      <c r="F67" s="332">
        <f t="shared" si="8"/>
        <v>0.2</v>
      </c>
      <c r="G67" s="64"/>
      <c r="H67" s="109">
        <f t="shared" si="9"/>
        <v>5</v>
      </c>
      <c r="I67" s="64"/>
      <c r="J67" s="578"/>
      <c r="K67" s="325" t="s">
        <v>1374</v>
      </c>
      <c r="L67" s="64"/>
      <c r="M67" s="325" t="s">
        <v>1375</v>
      </c>
      <c r="N67" s="202"/>
      <c r="O67" s="202"/>
      <c r="P67" s="202"/>
      <c r="Q67" s="202"/>
      <c r="R67" s="202"/>
      <c r="S67" s="202"/>
      <c r="T67" s="202"/>
      <c r="U67" s="64"/>
      <c r="V67" s="3"/>
      <c r="W67" s="3"/>
      <c r="X67" s="3"/>
      <c r="Y67" s="3"/>
      <c r="Z67" s="3"/>
      <c r="AA67" s="3"/>
    </row>
    <row r="68">
      <c r="A68" s="480"/>
      <c r="B68" s="317" t="s">
        <v>1379</v>
      </c>
      <c r="C68" s="64"/>
      <c r="D68" s="241">
        <v>0.08</v>
      </c>
      <c r="E68" s="64"/>
      <c r="F68" s="332">
        <f t="shared" si="8"/>
        <v>0.32</v>
      </c>
      <c r="G68" s="64"/>
      <c r="H68" s="109">
        <f t="shared" si="9"/>
        <v>8</v>
      </c>
      <c r="I68" s="64"/>
      <c r="J68" s="578"/>
      <c r="K68" s="325" t="s">
        <v>1387</v>
      </c>
      <c r="L68" s="64"/>
      <c r="M68" s="325" t="s">
        <v>1390</v>
      </c>
      <c r="N68" s="202"/>
      <c r="O68" s="202"/>
      <c r="P68" s="202"/>
      <c r="Q68" s="202"/>
      <c r="R68" s="202"/>
      <c r="S68" s="202"/>
      <c r="T68" s="202"/>
      <c r="U68" s="64"/>
      <c r="V68" s="3"/>
      <c r="W68" s="3"/>
      <c r="X68" s="3"/>
      <c r="Y68" s="3"/>
      <c r="Z68" s="3"/>
      <c r="AA68" s="3"/>
    </row>
    <row r="69">
      <c r="A69" s="480"/>
      <c r="B69" s="509" t="s">
        <v>1393</v>
      </c>
      <c r="C69" s="64"/>
      <c r="D69" s="554" t="s">
        <v>1396</v>
      </c>
      <c r="E69" s="64"/>
      <c r="F69" s="342" t="str">
        <f>IFERROR(__xludf.DUMMYFUNCTION("LET(
num,LAMBDA(v,LET(
s,SUBSTITUTE(TRIM(TO_TEXT(v)),"","","".""),
IF(
REGEXMATCH(s,""\.""),
IFERROR(VALUE(REGEXEXTRACT(s,""^\d+"")),0)+VALUE(REGEXEXTRACT(s,""\.(\d+)$""))/10^LEN(REGEXEXTRACT(s,""\.(\d+)$"")),
VALUE(s)
)
)),
fmt,LAMBDA(n,LET(
r,ROUND(n,8)"&amp;",
IF(
r=INT(r),
INT(r)&amp;"""",
REGEXREPLACE(SUBSTITUTE(r&amp;"""","","","".""),""^0\."",""\."")
)
)),
TEXTJOIN(""-"",TRUE,MAP(SPLIT(TO_TEXT(D42),""-""),LAMBDA(x,fmt(num(x)*4))))
)"),".4-1")</f>
        <v>.4-1</v>
      </c>
      <c r="G69" s="64"/>
      <c r="H69" s="345" t="str">
        <f>IFERROR(__xludf.DUMMYFUNCTION("LET(
num,LAMBDA(v,LET(
s,SUBSTITUTE(TRIM(TO_TEXT(v)),"","","".""),
IF(
REGEXMATCH(s,""\.""),
IFERROR(VALUE(REGEXEXTRACT(s,""^\d+"")),0)+VALUE(REGEXEXTRACT(s,""\.(\d+)$""))/10^LEN(REGEXEXTRACT(s,""\.(\d+)$"")),
VALUE(s)
)
)),
TEXTJOIN(""-"",TRUE,MAP(SPLIT("&amp;"TO_TEXT(D69),""-""),LAMBDA(x,ROUND(num(x)/num($D$37),0))))
)"),"5-100")</f>
        <v>5-100</v>
      </c>
      <c r="I69" s="64"/>
      <c r="J69" s="522"/>
      <c r="K69" s="524" t="s">
        <v>1409</v>
      </c>
      <c r="L69" s="64"/>
      <c r="M69" s="561" t="s">
        <v>1412</v>
      </c>
      <c r="N69" s="202"/>
      <c r="O69" s="202"/>
      <c r="P69" s="202"/>
      <c r="Q69" s="202"/>
      <c r="R69" s="202"/>
      <c r="S69" s="202"/>
      <c r="T69" s="202"/>
      <c r="U69" s="64"/>
      <c r="V69" s="3"/>
      <c r="W69" s="3"/>
      <c r="X69" s="3"/>
      <c r="Y69" s="3"/>
      <c r="Z69" s="3"/>
      <c r="AA69" s="3"/>
    </row>
    <row r="70">
      <c r="A70" s="480"/>
      <c r="B70" s="372" t="s">
        <v>1417</v>
      </c>
      <c r="C70" s="64"/>
      <c r="D70" s="241">
        <v>0.05</v>
      </c>
      <c r="E70" s="64"/>
      <c r="F70" s="332">
        <f t="shared" ref="F70:F72" si="10">SWITCH(EQ(F154,G154),true,F154,false,CONCATENATE(F154,"-",G154))</f>
        <v>0.2</v>
      </c>
      <c r="G70" s="64"/>
      <c r="H70" s="109">
        <f t="shared" ref="H70:H72" si="11">SWITCH(EQ(H154,I154),true,ROUND(H154,0),false,CONCATENATE(ROUND(H154,0),"-",ROUND(I154,0)))</f>
        <v>5</v>
      </c>
      <c r="I70" s="64"/>
      <c r="J70" s="89"/>
      <c r="K70" s="325" t="s">
        <v>1434</v>
      </c>
      <c r="L70" s="64"/>
      <c r="M70" s="325" t="s">
        <v>1436</v>
      </c>
      <c r="N70" s="202"/>
      <c r="O70" s="202"/>
      <c r="P70" s="202"/>
      <c r="Q70" s="202"/>
      <c r="R70" s="202"/>
      <c r="S70" s="202"/>
      <c r="T70" s="202"/>
      <c r="U70" s="64"/>
      <c r="V70" s="3"/>
      <c r="W70" s="3"/>
      <c r="X70" s="3"/>
      <c r="Y70" s="3"/>
      <c r="Z70" s="3"/>
      <c r="AA70" s="3"/>
    </row>
    <row r="71">
      <c r="A71" s="480"/>
      <c r="B71" s="317" t="s">
        <v>1442</v>
      </c>
      <c r="C71" s="64"/>
      <c r="D71" s="241">
        <v>0.3</v>
      </c>
      <c r="E71" s="64"/>
      <c r="F71" s="332">
        <f t="shared" si="10"/>
        <v>1.2</v>
      </c>
      <c r="G71" s="64"/>
      <c r="H71" s="109">
        <f t="shared" si="11"/>
        <v>30</v>
      </c>
      <c r="I71" s="64"/>
      <c r="J71" s="89"/>
      <c r="K71" s="325" t="s">
        <v>1447</v>
      </c>
      <c r="L71" s="64"/>
      <c r="M71" s="325" t="s">
        <v>1450</v>
      </c>
      <c r="N71" s="202"/>
      <c r="O71" s="202"/>
      <c r="P71" s="202"/>
      <c r="Q71" s="202"/>
      <c r="R71" s="202"/>
      <c r="S71" s="202"/>
      <c r="T71" s="202"/>
      <c r="U71" s="64"/>
      <c r="V71" s="3"/>
      <c r="W71" s="3"/>
      <c r="X71" s="3"/>
      <c r="Y71" s="3"/>
      <c r="Z71" s="3"/>
      <c r="AA71" s="3"/>
    </row>
    <row r="72">
      <c r="A72" s="480"/>
      <c r="B72" s="317" t="s">
        <v>1455</v>
      </c>
      <c r="C72" s="64"/>
      <c r="D72" s="241">
        <v>0.5</v>
      </c>
      <c r="E72" s="64"/>
      <c r="F72" s="332">
        <f t="shared" si="10"/>
        <v>2</v>
      </c>
      <c r="G72" s="64"/>
      <c r="H72" s="109">
        <f t="shared" si="11"/>
        <v>50</v>
      </c>
      <c r="I72" s="64"/>
      <c r="J72" s="89"/>
      <c r="K72" s="325" t="s">
        <v>1463</v>
      </c>
      <c r="L72" s="64"/>
      <c r="M72" s="325" t="s">
        <v>1464</v>
      </c>
      <c r="N72" s="202"/>
      <c r="O72" s="202"/>
      <c r="P72" s="202"/>
      <c r="Q72" s="202"/>
      <c r="R72" s="202"/>
      <c r="S72" s="202"/>
      <c r="T72" s="202"/>
      <c r="U72" s="64"/>
      <c r="V72" s="3"/>
      <c r="W72" s="3"/>
      <c r="X72" s="3"/>
      <c r="Y72" s="3"/>
      <c r="Z72" s="3"/>
      <c r="AA72" s="3"/>
    </row>
    <row r="73">
      <c r="A73" s="480"/>
      <c r="B73" s="509" t="s">
        <v>1469</v>
      </c>
      <c r="C73" s="64"/>
      <c r="D73" s="554" t="s">
        <v>1472</v>
      </c>
      <c r="E73" s="64"/>
      <c r="F73" s="342" t="str">
        <f>IFERROR(__xludf.DUMMYFUNCTION("LET(
num,LAMBDA(v,LET(
s,SUBSTITUTE(TRIM(TO_TEXT(v)),"","","".""),
IF(
REGEXMATCH(s,""\.""),
IFERROR(VALUE(REGEXEXTRACT(s,""^\d+"")),0)+VALUE(REGEXEXTRACT(s,""\.(\d+)$""))/10^LEN(REGEXEXTRACT(s,""\.(\d+)$"")),
VALUE(s)
)
)),
fmt,LAMBDA(n,REGEXREPLACE(SUBS"&amp;"TITUTE(TO_TEXT(ROUND(n,8)),"","","".""),""^0\."",""."")), 
TEXTJOIN(""-"",TRUE,MAP(SPLIT(TO_TEXT(D73),""-""),LAMBDA(x,fmt(num(x)*4))))
)"),"3-4")</f>
        <v>3-4</v>
      </c>
      <c r="G73" s="64"/>
      <c r="H73" s="345" t="str">
        <f>IFERROR(__xludf.DUMMYFUNCTION("LET(
num,LAMBDA(v,LET(
s,SUBSTITUTE(TRIM(TO_TEXT(v)),"","","".""),
IF(
REGEXMATCH(s,""\.""),
IFERROR(VALUE(REGEXEXTRACT(s,""^\d+"")),0)+VALUE(REGEXEXTRACT(s,""\.(\d+)$""))/10^LEN(REGEXEXTRACT(s,""\.(\d+)$"")),
VALUE(s)
)
)),
TEXTJOIN(""-"",TRUE,MAP(SPLIT("&amp;"TO_TEXT(D73),""-""),LAMBDA(x,ROUND(num(x)/num($D$37),0))))
)"),"75-100")</f>
        <v>75-100</v>
      </c>
      <c r="I73" s="64"/>
      <c r="J73" s="522"/>
      <c r="K73" s="524"/>
      <c r="L73" s="64"/>
      <c r="M73" s="561" t="s">
        <v>1479</v>
      </c>
      <c r="N73" s="202"/>
      <c r="O73" s="202"/>
      <c r="P73" s="202"/>
      <c r="Q73" s="202"/>
      <c r="R73" s="202"/>
      <c r="S73" s="202"/>
      <c r="T73" s="202"/>
      <c r="U73" s="64"/>
      <c r="V73" s="3"/>
      <c r="W73" s="3"/>
      <c r="X73" s="3"/>
      <c r="Y73" s="3"/>
      <c r="Z73" s="3"/>
      <c r="AA73" s="3"/>
    </row>
    <row r="74">
      <c r="A74" s="480"/>
      <c r="B74" s="317" t="s">
        <v>1481</v>
      </c>
      <c r="C74" s="64"/>
      <c r="D74" s="331">
        <v>0.25</v>
      </c>
      <c r="E74" s="64"/>
      <c r="F74" s="332">
        <f t="shared" ref="F74:F80" si="12">SWITCH(EQ(F158,G158),true,F158,false,CONCATENATE(F158,"-",G158))</f>
        <v>1</v>
      </c>
      <c r="G74" s="64"/>
      <c r="H74" s="109">
        <f t="shared" ref="H74:H80" si="13">SWITCH(EQ(H158,I158),true,ROUND(H158,0),false,CONCATENATE(ROUND(H158,0),"-",ROUND(I158,0)))</f>
        <v>25</v>
      </c>
      <c r="I74" s="64"/>
      <c r="J74" s="89"/>
      <c r="K74" s="325" t="s">
        <v>1496</v>
      </c>
      <c r="L74" s="64"/>
      <c r="M74" s="325" t="s">
        <v>1499</v>
      </c>
      <c r="N74" s="202"/>
      <c r="O74" s="202"/>
      <c r="P74" s="202"/>
      <c r="Q74" s="202"/>
      <c r="R74" s="202"/>
      <c r="S74" s="202"/>
      <c r="T74" s="202"/>
      <c r="U74" s="64"/>
      <c r="V74" s="3"/>
      <c r="W74" s="3"/>
      <c r="X74" s="3"/>
      <c r="Y74" s="3"/>
      <c r="Z74" s="3"/>
      <c r="AA74" s="3"/>
    </row>
    <row r="75">
      <c r="A75" s="480"/>
      <c r="B75" s="317" t="s">
        <v>1502</v>
      </c>
      <c r="C75" s="64"/>
      <c r="D75" s="401">
        <v>0.05</v>
      </c>
      <c r="E75" s="64"/>
      <c r="F75" s="332">
        <f t="shared" si="12"/>
        <v>0.2</v>
      </c>
      <c r="G75" s="64"/>
      <c r="H75" s="109">
        <f t="shared" si="13"/>
        <v>5</v>
      </c>
      <c r="I75" s="64"/>
      <c r="J75" s="89"/>
      <c r="K75" s="325" t="s">
        <v>1512</v>
      </c>
      <c r="L75" s="64"/>
      <c r="M75" s="325" t="s">
        <v>1513</v>
      </c>
      <c r="N75" s="202"/>
      <c r="O75" s="202"/>
      <c r="P75" s="202"/>
      <c r="Q75" s="202"/>
      <c r="R75" s="202"/>
      <c r="S75" s="202"/>
      <c r="T75" s="202"/>
      <c r="U75" s="64"/>
      <c r="V75" s="3"/>
      <c r="W75" s="3"/>
      <c r="X75" s="3"/>
      <c r="Y75" s="3"/>
      <c r="Z75" s="3"/>
      <c r="AA75" s="3"/>
    </row>
    <row r="76">
      <c r="A76" s="480"/>
      <c r="B76" s="317" t="s">
        <v>1518</v>
      </c>
      <c r="C76" s="64"/>
      <c r="D76" s="401">
        <v>0.4</v>
      </c>
      <c r="E76" s="64"/>
      <c r="F76" s="332">
        <f t="shared" si="12"/>
        <v>1.6</v>
      </c>
      <c r="G76" s="64"/>
      <c r="H76" s="109">
        <f t="shared" si="13"/>
        <v>40</v>
      </c>
      <c r="I76" s="64"/>
      <c r="J76" s="89"/>
      <c r="K76" s="325" t="s">
        <v>1526</v>
      </c>
      <c r="L76" s="64"/>
      <c r="M76" s="325" t="s">
        <v>1528</v>
      </c>
      <c r="N76" s="202"/>
      <c r="O76" s="202"/>
      <c r="P76" s="202"/>
      <c r="Q76" s="202"/>
      <c r="R76" s="202"/>
      <c r="S76" s="202"/>
      <c r="T76" s="202"/>
      <c r="U76" s="64"/>
      <c r="V76" s="3"/>
      <c r="W76" s="3"/>
      <c r="X76" s="589"/>
      <c r="Y76" s="589"/>
      <c r="Z76" s="589"/>
      <c r="AA76" s="589"/>
    </row>
    <row r="77">
      <c r="A77" s="591"/>
      <c r="B77" s="592" t="s">
        <v>1533</v>
      </c>
      <c r="D77" s="593">
        <v>0.5</v>
      </c>
      <c r="E77" s="64"/>
      <c r="F77" s="594">
        <f t="shared" si="12"/>
        <v>2</v>
      </c>
      <c r="G77" s="64"/>
      <c r="H77" s="595">
        <f t="shared" si="13"/>
        <v>50</v>
      </c>
      <c r="I77" s="64"/>
      <c r="J77" s="596"/>
      <c r="K77" s="596"/>
      <c r="M77" s="597" t="s">
        <v>1541</v>
      </c>
      <c r="V77" s="598"/>
      <c r="W77" s="598"/>
      <c r="X77" s="598"/>
      <c r="Y77" s="598"/>
      <c r="Z77" s="598"/>
      <c r="AA77" s="598"/>
    </row>
    <row r="78">
      <c r="A78" s="599"/>
      <c r="B78" s="600" t="s">
        <v>1550</v>
      </c>
      <c r="D78" s="424">
        <v>0.25</v>
      </c>
      <c r="E78" s="64"/>
      <c r="F78" s="601">
        <f t="shared" si="12"/>
        <v>1</v>
      </c>
      <c r="G78" s="64"/>
      <c r="H78" s="603">
        <f t="shared" si="13"/>
        <v>25</v>
      </c>
      <c r="I78" s="64"/>
      <c r="J78" s="604"/>
      <c r="K78" s="605" t="s">
        <v>1559</v>
      </c>
      <c r="M78" s="606" t="s">
        <v>1560</v>
      </c>
      <c r="N78" s="202"/>
      <c r="O78" s="202"/>
      <c r="P78" s="202"/>
      <c r="Q78" s="202"/>
      <c r="R78" s="202"/>
      <c r="S78" s="202"/>
      <c r="T78" s="202"/>
      <c r="U78" s="64"/>
      <c r="V78" s="598"/>
      <c r="W78" s="598"/>
      <c r="X78" s="598"/>
      <c r="Y78" s="598"/>
      <c r="Z78" s="598"/>
      <c r="AA78" s="598"/>
    </row>
    <row r="79">
      <c r="A79" s="599"/>
      <c r="B79" s="607" t="s">
        <v>1563</v>
      </c>
      <c r="D79" s="424">
        <v>0.03</v>
      </c>
      <c r="E79" s="64"/>
      <c r="F79" s="601">
        <f t="shared" si="12"/>
        <v>0.12</v>
      </c>
      <c r="G79" s="64"/>
      <c r="H79" s="603">
        <f t="shared" si="13"/>
        <v>3</v>
      </c>
      <c r="I79" s="64"/>
      <c r="J79" s="604"/>
      <c r="K79" s="609"/>
      <c r="M79" s="610" t="s">
        <v>1570</v>
      </c>
      <c r="N79" s="202"/>
      <c r="O79" s="202"/>
      <c r="P79" s="202"/>
      <c r="Q79" s="202"/>
      <c r="R79" s="202"/>
      <c r="S79" s="202"/>
      <c r="T79" s="202"/>
      <c r="U79" s="64"/>
      <c r="V79" s="598"/>
      <c r="W79" s="598"/>
      <c r="X79" s="598"/>
      <c r="Y79" s="598"/>
      <c r="Z79" s="598"/>
      <c r="AA79" s="598"/>
    </row>
    <row r="80">
      <c r="A80" s="480"/>
      <c r="B80" s="611" t="s">
        <v>1573</v>
      </c>
      <c r="D80" s="424">
        <v>0.25</v>
      </c>
      <c r="E80" s="64"/>
      <c r="F80" s="601">
        <f t="shared" si="12"/>
        <v>1</v>
      </c>
      <c r="G80" s="64"/>
      <c r="H80" s="603">
        <f t="shared" si="13"/>
        <v>25</v>
      </c>
      <c r="I80" s="64"/>
      <c r="J80" s="604"/>
      <c r="K80" s="605" t="s">
        <v>1577</v>
      </c>
      <c r="M80" s="606" t="s">
        <v>1579</v>
      </c>
      <c r="N80" s="202"/>
      <c r="O80" s="202"/>
      <c r="P80" s="202"/>
      <c r="Q80" s="202"/>
      <c r="R80" s="202"/>
      <c r="S80" s="202"/>
      <c r="T80" s="202"/>
      <c r="U80" s="64"/>
      <c r="V80" s="3"/>
      <c r="W80" s="3"/>
      <c r="X80" s="589"/>
      <c r="Y80" s="589"/>
      <c r="Z80" s="589"/>
      <c r="AA80" s="589"/>
    </row>
    <row r="81">
      <c r="A81" s="480"/>
      <c r="B81" s="612"/>
      <c r="C81" s="612"/>
      <c r="D81" s="613"/>
      <c r="E81" s="613"/>
      <c r="F81" s="614"/>
      <c r="G81" s="614"/>
      <c r="H81" s="615"/>
      <c r="I81" s="615"/>
      <c r="J81" s="616"/>
      <c r="K81" s="616"/>
      <c r="L81" s="616"/>
      <c r="M81" s="616"/>
      <c r="N81" s="616"/>
      <c r="O81" s="616"/>
      <c r="P81" s="616"/>
      <c r="Q81" s="616"/>
      <c r="R81" s="616"/>
      <c r="S81" s="3"/>
      <c r="T81" s="3"/>
      <c r="U81" s="3"/>
      <c r="V81" s="3"/>
      <c r="W81" s="3"/>
      <c r="X81" s="589"/>
      <c r="Y81" s="589"/>
      <c r="Z81" s="589"/>
      <c r="AA81" s="589"/>
    </row>
    <row r="82" hidden="1">
      <c r="A82" s="2"/>
      <c r="B82" s="2"/>
      <c r="C82" s="2"/>
      <c r="D82" s="2"/>
      <c r="E82" s="2"/>
      <c r="F82" s="2"/>
      <c r="G82" s="2"/>
      <c r="H82" s="2"/>
      <c r="I82" s="2"/>
      <c r="J82" s="2"/>
      <c r="K82" s="2"/>
      <c r="L82" s="2"/>
      <c r="M82" s="2"/>
      <c r="N82" s="2"/>
      <c r="O82" s="2"/>
      <c r="P82" s="2"/>
      <c r="Q82" s="2"/>
      <c r="R82" s="2"/>
      <c r="S82" s="2"/>
      <c r="T82" s="2"/>
      <c r="U82" s="2"/>
      <c r="V82" s="2"/>
      <c r="W82" s="2"/>
      <c r="X82" s="617" t="s">
        <v>1584</v>
      </c>
      <c r="Y82" s="617"/>
      <c r="Z82" s="617"/>
      <c r="AA82" s="617"/>
    </row>
    <row r="83" hidden="1">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hidden="1">
      <c r="A84" s="2"/>
      <c r="B84" s="618" t="s">
        <v>1589</v>
      </c>
      <c r="I84" s="618"/>
      <c r="J84" s="2"/>
      <c r="K84" s="2"/>
      <c r="L84" s="2"/>
      <c r="M84" s="2"/>
      <c r="N84" s="2"/>
      <c r="O84" s="2"/>
      <c r="P84" s="2"/>
      <c r="Q84" s="2"/>
      <c r="R84" s="2"/>
      <c r="S84" s="2"/>
      <c r="T84" s="2"/>
      <c r="U84" s="2"/>
      <c r="V84" s="2"/>
      <c r="W84" s="2"/>
      <c r="X84" s="2"/>
      <c r="Y84" s="2"/>
      <c r="Z84" s="2"/>
      <c r="AA84" s="2"/>
    </row>
    <row r="85" hidden="1">
      <c r="A85" s="2"/>
      <c r="B85" s="619" t="s">
        <v>63</v>
      </c>
      <c r="C85" s="619" t="s">
        <v>65</v>
      </c>
      <c r="D85" s="619" t="s">
        <v>1596</v>
      </c>
      <c r="E85" s="619" t="s">
        <v>1597</v>
      </c>
      <c r="F85" s="619" t="s">
        <v>1598</v>
      </c>
      <c r="G85" s="619" t="s">
        <v>1600</v>
      </c>
      <c r="H85" s="619" t="s">
        <v>1602</v>
      </c>
      <c r="I85" s="619" t="s">
        <v>1603</v>
      </c>
      <c r="J85" s="2"/>
      <c r="K85" s="2"/>
      <c r="L85" s="2"/>
      <c r="M85" s="2"/>
      <c r="N85" s="2"/>
      <c r="O85" s="2"/>
      <c r="P85" s="2"/>
      <c r="Q85" s="2"/>
      <c r="R85" s="2"/>
      <c r="S85" s="2"/>
      <c r="T85" s="2"/>
      <c r="U85" s="2"/>
      <c r="V85" s="2"/>
      <c r="W85" s="2"/>
      <c r="X85" s="2"/>
      <c r="Y85" s="2"/>
      <c r="Z85" s="2"/>
      <c r="AA85" s="2"/>
    </row>
    <row r="86" hidden="1">
      <c r="A86" s="2"/>
      <c r="B86" s="622"/>
      <c r="C86" s="622"/>
      <c r="D86" s="622"/>
      <c r="E86" s="622"/>
      <c r="F86" s="622"/>
      <c r="G86" s="622"/>
      <c r="H86" s="622"/>
      <c r="I86" s="622"/>
      <c r="J86" s="2"/>
      <c r="K86" s="2"/>
      <c r="L86" s="2"/>
      <c r="M86" s="2"/>
      <c r="N86" s="2"/>
      <c r="O86" s="2"/>
      <c r="P86" s="2"/>
      <c r="Q86" s="2"/>
      <c r="R86" s="2"/>
      <c r="S86" s="2"/>
      <c r="T86" s="2"/>
      <c r="U86" s="2"/>
      <c r="V86" s="2"/>
      <c r="W86" s="2"/>
      <c r="X86" s="2"/>
      <c r="Y86" s="2"/>
      <c r="Z86" s="2"/>
      <c r="AA86" s="2"/>
    </row>
    <row r="87" hidden="1">
      <c r="A87" s="2"/>
      <c r="B87" s="624">
        <v>1.0</v>
      </c>
      <c r="C87" s="625" t="s">
        <v>80</v>
      </c>
      <c r="D87" s="626"/>
      <c r="E87" s="626"/>
      <c r="F87" s="626"/>
      <c r="G87" s="626"/>
      <c r="H87" s="626"/>
      <c r="I87" s="626"/>
      <c r="J87" s="2"/>
      <c r="K87" s="2"/>
      <c r="L87" s="2"/>
      <c r="M87" s="2"/>
      <c r="N87" s="2"/>
      <c r="O87" s="2"/>
      <c r="P87" s="2"/>
      <c r="Q87" s="2"/>
      <c r="R87" s="2"/>
      <c r="S87" s="2"/>
      <c r="T87" s="2"/>
      <c r="U87" s="2"/>
      <c r="V87" s="2"/>
      <c r="W87" s="2"/>
      <c r="X87" s="2"/>
      <c r="Y87" s="2"/>
      <c r="Z87" s="2"/>
      <c r="AA87" s="2"/>
    </row>
    <row r="88" hidden="1">
      <c r="A88" s="2"/>
      <c r="B88" s="627">
        <v>2.0</v>
      </c>
      <c r="C88" s="628" t="s">
        <v>92</v>
      </c>
      <c r="D88" s="629"/>
      <c r="E88" s="629"/>
      <c r="F88" s="629"/>
      <c r="G88" s="629"/>
      <c r="H88" s="629"/>
      <c r="I88" s="629"/>
      <c r="J88" s="2"/>
      <c r="K88" s="2"/>
      <c r="L88" s="2"/>
      <c r="M88" s="2"/>
      <c r="N88" s="2"/>
      <c r="O88" s="2"/>
      <c r="P88" s="2"/>
      <c r="Q88" s="2"/>
      <c r="R88" s="2"/>
      <c r="S88" s="2"/>
      <c r="T88" s="2"/>
      <c r="U88" s="2"/>
      <c r="V88" s="2"/>
      <c r="W88" s="2"/>
      <c r="X88" s="2"/>
      <c r="Y88" s="2"/>
      <c r="Z88" s="2"/>
      <c r="AA88" s="2"/>
    </row>
    <row r="89" hidden="1">
      <c r="A89" s="2"/>
      <c r="B89" s="627">
        <v>3.0</v>
      </c>
      <c r="C89" s="628" t="s">
        <v>98</v>
      </c>
      <c r="D89" s="629"/>
      <c r="E89" s="629"/>
      <c r="F89" s="629"/>
      <c r="G89" s="629"/>
      <c r="H89" s="629"/>
      <c r="I89" s="629"/>
      <c r="J89" s="2"/>
      <c r="K89" s="2"/>
      <c r="L89" s="2"/>
      <c r="M89" s="2"/>
      <c r="N89" s="2"/>
      <c r="O89" s="2"/>
      <c r="P89" s="2"/>
      <c r="Q89" s="2"/>
      <c r="R89" s="2"/>
      <c r="S89" s="2"/>
      <c r="T89" s="2"/>
      <c r="U89" s="2"/>
      <c r="V89" s="2"/>
      <c r="W89" s="2"/>
      <c r="X89" s="2"/>
      <c r="Y89" s="2"/>
      <c r="Z89" s="2"/>
      <c r="AA89" s="2"/>
    </row>
    <row r="90" hidden="1">
      <c r="A90" s="2"/>
      <c r="B90" s="627">
        <v>4.0</v>
      </c>
      <c r="C90" s="628" t="s">
        <v>101</v>
      </c>
      <c r="D90" s="629"/>
      <c r="E90" s="629"/>
      <c r="F90" s="629"/>
      <c r="G90" s="629"/>
      <c r="H90" s="629"/>
      <c r="I90" s="629"/>
      <c r="J90" s="2"/>
      <c r="K90" s="2"/>
      <c r="L90" s="2"/>
      <c r="M90" s="2"/>
      <c r="N90" s="2"/>
      <c r="O90" s="2"/>
      <c r="P90" s="2"/>
      <c r="Q90" s="2"/>
      <c r="R90" s="2"/>
      <c r="S90" s="2"/>
      <c r="T90" s="2"/>
      <c r="U90" s="2"/>
      <c r="V90" s="2"/>
      <c r="W90" s="2"/>
      <c r="X90" s="2"/>
      <c r="Y90" s="2"/>
      <c r="Z90" s="2"/>
      <c r="AA90" s="2"/>
    </row>
    <row r="91" hidden="1">
      <c r="A91" s="2"/>
      <c r="B91" s="627">
        <v>5.0</v>
      </c>
      <c r="C91" s="628" t="s">
        <v>105</v>
      </c>
      <c r="D91" s="629"/>
      <c r="E91" s="629"/>
      <c r="F91" s="629"/>
      <c r="G91" s="629"/>
      <c r="H91" s="629"/>
      <c r="I91" s="629"/>
      <c r="J91" s="2"/>
      <c r="K91" s="2"/>
      <c r="L91" s="2"/>
      <c r="M91" s="2"/>
      <c r="N91" s="2"/>
      <c r="O91" s="2"/>
      <c r="P91" s="2"/>
      <c r="Q91" s="2"/>
      <c r="R91" s="2"/>
      <c r="S91" s="2"/>
      <c r="T91" s="2"/>
      <c r="U91" s="2"/>
      <c r="V91" s="2"/>
      <c r="W91" s="2"/>
      <c r="X91" s="2"/>
      <c r="Y91" s="2"/>
      <c r="Z91" s="2"/>
      <c r="AA91" s="2"/>
    </row>
    <row r="92" hidden="1">
      <c r="A92" s="2"/>
      <c r="B92" s="627">
        <v>6.0</v>
      </c>
      <c r="C92" s="628" t="s">
        <v>107</v>
      </c>
      <c r="D92" s="629"/>
      <c r="E92" s="629"/>
      <c r="F92" s="629"/>
      <c r="G92" s="629"/>
      <c r="H92" s="629"/>
      <c r="I92" s="629"/>
      <c r="J92" s="2"/>
      <c r="K92" s="2"/>
      <c r="L92" s="2"/>
      <c r="M92" s="2"/>
      <c r="N92" s="2"/>
      <c r="O92" s="2"/>
      <c r="P92" s="2"/>
      <c r="Q92" s="2"/>
      <c r="R92" s="2"/>
      <c r="S92" s="2"/>
      <c r="T92" s="2"/>
      <c r="U92" s="2"/>
      <c r="V92" s="2"/>
      <c r="W92" s="2"/>
      <c r="X92" s="2"/>
      <c r="Y92" s="2"/>
      <c r="Z92" s="2"/>
      <c r="AA92" s="2"/>
    </row>
    <row r="93" hidden="1">
      <c r="A93" s="2"/>
      <c r="B93" s="627">
        <v>7.0</v>
      </c>
      <c r="C93" s="628" t="s">
        <v>111</v>
      </c>
      <c r="D93" s="629"/>
      <c r="E93" s="629"/>
      <c r="F93" s="629"/>
      <c r="G93" s="629"/>
      <c r="H93" s="629"/>
      <c r="I93" s="629"/>
      <c r="J93" s="2"/>
      <c r="K93" s="2"/>
      <c r="L93" s="2"/>
      <c r="M93" s="2"/>
      <c r="N93" s="2"/>
      <c r="O93" s="2"/>
      <c r="P93" s="2"/>
      <c r="Q93" s="2"/>
      <c r="R93" s="2"/>
      <c r="S93" s="2"/>
      <c r="T93" s="2"/>
      <c r="U93" s="2"/>
      <c r="V93" s="2"/>
      <c r="W93" s="2"/>
      <c r="X93" s="2"/>
      <c r="Y93" s="2"/>
      <c r="Z93" s="2"/>
      <c r="AA93" s="2"/>
    </row>
    <row r="94" hidden="1">
      <c r="A94" s="2"/>
      <c r="B94" s="627">
        <v>8.0</v>
      </c>
      <c r="C94" s="628" t="s">
        <v>116</v>
      </c>
      <c r="D94" s="629"/>
      <c r="E94" s="629"/>
      <c r="F94" s="629"/>
      <c r="G94" s="629"/>
      <c r="H94" s="629"/>
      <c r="I94" s="629"/>
      <c r="J94" s="2"/>
      <c r="K94" s="2"/>
      <c r="L94" s="2"/>
      <c r="M94" s="2"/>
      <c r="N94" s="2"/>
      <c r="O94" s="2"/>
      <c r="P94" s="2"/>
      <c r="Q94" s="2"/>
      <c r="R94" s="2"/>
      <c r="S94" s="2"/>
      <c r="T94" s="2"/>
      <c r="U94" s="2"/>
      <c r="V94" s="2"/>
      <c r="W94" s="2"/>
      <c r="X94" s="2"/>
      <c r="Y94" s="2"/>
      <c r="Z94" s="2"/>
      <c r="AA94" s="2"/>
    </row>
    <row r="95" hidden="1">
      <c r="A95" s="2"/>
      <c r="B95" s="627">
        <v>9.0</v>
      </c>
      <c r="C95" s="628" t="s">
        <v>126</v>
      </c>
      <c r="D95" s="629"/>
      <c r="E95" s="629"/>
      <c r="F95" s="629"/>
      <c r="G95" s="629"/>
      <c r="H95" s="629"/>
      <c r="I95" s="629"/>
      <c r="J95" s="2"/>
      <c r="K95" s="2"/>
      <c r="L95" s="2"/>
      <c r="M95" s="2"/>
      <c r="N95" s="2"/>
      <c r="O95" s="2"/>
      <c r="P95" s="2"/>
      <c r="Q95" s="2"/>
      <c r="R95" s="2"/>
      <c r="S95" s="2"/>
      <c r="T95" s="2"/>
      <c r="U95" s="2"/>
      <c r="V95" s="2"/>
      <c r="W95" s="2"/>
      <c r="X95" s="2"/>
      <c r="Y95" s="2"/>
      <c r="Z95" s="2"/>
      <c r="AA95" s="2"/>
    </row>
    <row r="96" hidden="1">
      <c r="A96" s="2"/>
      <c r="B96" s="627">
        <v>10.0</v>
      </c>
      <c r="C96" s="628" t="s">
        <v>130</v>
      </c>
      <c r="D96" s="629"/>
      <c r="E96" s="629"/>
      <c r="F96" s="629"/>
      <c r="G96" s="629"/>
      <c r="H96" s="629"/>
      <c r="I96" s="629"/>
      <c r="J96" s="2"/>
      <c r="K96" s="2"/>
      <c r="L96" s="2"/>
      <c r="M96" s="2"/>
      <c r="N96" s="2"/>
      <c r="O96" s="2"/>
      <c r="P96" s="2"/>
      <c r="Q96" s="2"/>
      <c r="R96" s="2"/>
      <c r="S96" s="2"/>
      <c r="T96" s="2"/>
      <c r="U96" s="2"/>
      <c r="V96" s="2"/>
      <c r="W96" s="2"/>
      <c r="X96" s="2"/>
      <c r="Y96" s="2"/>
      <c r="Z96" s="2"/>
      <c r="AA96" s="2"/>
    </row>
    <row r="97" hidden="1">
      <c r="A97" s="2"/>
      <c r="B97" s="627">
        <v>11.0</v>
      </c>
      <c r="C97" s="628" t="s">
        <v>138</v>
      </c>
      <c r="D97" s="629"/>
      <c r="E97" s="629"/>
      <c r="F97" s="629"/>
      <c r="G97" s="629"/>
      <c r="H97" s="629"/>
      <c r="I97" s="629"/>
      <c r="J97" s="2"/>
      <c r="K97" s="2"/>
      <c r="L97" s="2"/>
      <c r="M97" s="2"/>
      <c r="N97" s="2"/>
      <c r="O97" s="2"/>
      <c r="P97" s="2"/>
      <c r="Q97" s="2"/>
      <c r="R97" s="2"/>
      <c r="S97" s="2"/>
      <c r="T97" s="2"/>
      <c r="U97" s="2"/>
      <c r="V97" s="2"/>
      <c r="W97" s="2"/>
      <c r="X97" s="2"/>
      <c r="Y97" s="2"/>
      <c r="Z97" s="2"/>
      <c r="AA97" s="2"/>
    </row>
    <row r="98" hidden="1">
      <c r="A98" s="2"/>
      <c r="B98" s="627">
        <v>12.0</v>
      </c>
      <c r="C98" s="628" t="s">
        <v>148</v>
      </c>
      <c r="D98" s="629"/>
      <c r="E98" s="629"/>
      <c r="F98" s="629"/>
      <c r="G98" s="629"/>
      <c r="H98" s="629"/>
      <c r="I98" s="629"/>
      <c r="J98" s="2"/>
      <c r="K98" s="2"/>
      <c r="L98" s="2"/>
      <c r="M98" s="2"/>
      <c r="N98" s="2"/>
      <c r="O98" s="2"/>
      <c r="P98" s="2"/>
      <c r="Q98" s="2"/>
      <c r="R98" s="2"/>
      <c r="S98" s="2"/>
      <c r="T98" s="2"/>
      <c r="U98" s="2"/>
      <c r="V98" s="2"/>
      <c r="W98" s="2"/>
      <c r="X98" s="2"/>
      <c r="Y98" s="2"/>
      <c r="Z98" s="2"/>
      <c r="AA98" s="2"/>
    </row>
    <row r="99" hidden="1">
      <c r="A99" s="2"/>
      <c r="B99" s="627">
        <v>13.0</v>
      </c>
      <c r="C99" s="628" t="s">
        <v>156</v>
      </c>
      <c r="D99" s="629"/>
      <c r="E99" s="629"/>
      <c r="F99" s="629"/>
      <c r="G99" s="629"/>
      <c r="H99" s="629"/>
      <c r="I99" s="629"/>
      <c r="J99" s="2"/>
      <c r="K99" s="2"/>
      <c r="L99" s="2"/>
      <c r="M99" s="2"/>
      <c r="N99" s="2"/>
      <c r="O99" s="2"/>
      <c r="P99" s="2"/>
      <c r="Q99" s="2"/>
      <c r="R99" s="2"/>
      <c r="S99" s="2"/>
      <c r="T99" s="2"/>
      <c r="U99" s="2"/>
      <c r="V99" s="2"/>
      <c r="W99" s="2"/>
      <c r="X99" s="2"/>
      <c r="Y99" s="2"/>
      <c r="Z99" s="2"/>
      <c r="AA99" s="2"/>
    </row>
    <row r="100" hidden="1">
      <c r="A100" s="2"/>
      <c r="B100" s="627">
        <v>14.0</v>
      </c>
      <c r="C100" s="628" t="s">
        <v>168</v>
      </c>
      <c r="D100" s="629"/>
      <c r="E100" s="629"/>
      <c r="F100" s="629"/>
      <c r="G100" s="629"/>
      <c r="H100" s="629"/>
      <c r="I100" s="629"/>
      <c r="J100" s="2"/>
      <c r="K100" s="2"/>
      <c r="L100" s="2"/>
      <c r="M100" s="2"/>
      <c r="N100" s="2"/>
      <c r="O100" s="2"/>
      <c r="P100" s="2"/>
      <c r="Q100" s="2"/>
      <c r="R100" s="2"/>
      <c r="S100" s="2"/>
      <c r="T100" s="2"/>
      <c r="U100" s="2"/>
      <c r="V100" s="2"/>
      <c r="W100" s="2"/>
      <c r="X100" s="2"/>
      <c r="Y100" s="2"/>
      <c r="Z100" s="2"/>
      <c r="AA100" s="2"/>
    </row>
    <row r="101" hidden="1">
      <c r="A101" s="2"/>
      <c r="B101" s="627">
        <v>15.0</v>
      </c>
      <c r="C101" s="628" t="s">
        <v>179</v>
      </c>
      <c r="D101" s="629"/>
      <c r="E101" s="629"/>
      <c r="F101" s="629"/>
      <c r="G101" s="629"/>
      <c r="H101" s="629"/>
      <c r="I101" s="629"/>
      <c r="J101" s="2"/>
      <c r="K101" s="2"/>
      <c r="L101" s="2"/>
      <c r="M101" s="2"/>
      <c r="N101" s="2"/>
      <c r="O101" s="2"/>
      <c r="P101" s="2"/>
      <c r="Q101" s="2"/>
      <c r="R101" s="2"/>
      <c r="S101" s="2"/>
      <c r="T101" s="2"/>
      <c r="U101" s="2"/>
      <c r="V101" s="2"/>
      <c r="W101" s="2"/>
      <c r="X101" s="2"/>
      <c r="Y101" s="2"/>
      <c r="Z101" s="2"/>
      <c r="AA101" s="2"/>
    </row>
    <row r="102" hidden="1">
      <c r="A102" s="2"/>
      <c r="B102" s="627">
        <v>16.0</v>
      </c>
      <c r="C102" s="628" t="s">
        <v>189</v>
      </c>
      <c r="D102" s="631"/>
      <c r="E102" s="631"/>
      <c r="F102" s="631"/>
      <c r="G102" s="631"/>
      <c r="H102" s="631"/>
      <c r="I102" s="631"/>
      <c r="J102" s="2"/>
      <c r="K102" s="2"/>
      <c r="L102" s="2"/>
      <c r="M102" s="2"/>
      <c r="N102" s="2"/>
      <c r="O102" s="2"/>
      <c r="P102" s="2"/>
      <c r="Q102" s="2"/>
      <c r="R102" s="2"/>
      <c r="S102" s="2"/>
      <c r="T102" s="2"/>
      <c r="U102" s="2"/>
      <c r="V102" s="2"/>
      <c r="W102" s="2"/>
      <c r="X102" s="2"/>
      <c r="Y102" s="2"/>
      <c r="Z102" s="2"/>
      <c r="AA102" s="2"/>
    </row>
    <row r="103" hidden="1">
      <c r="A103" s="2"/>
      <c r="B103" s="627">
        <v>17.0</v>
      </c>
      <c r="C103" s="628" t="s">
        <v>207</v>
      </c>
      <c r="D103" s="631"/>
      <c r="E103" s="631"/>
      <c r="F103" s="631"/>
      <c r="G103" s="631"/>
      <c r="H103" s="631"/>
      <c r="I103" s="631"/>
      <c r="J103" s="2"/>
      <c r="K103" s="2"/>
      <c r="L103" s="2"/>
      <c r="M103" s="2"/>
      <c r="N103" s="2"/>
      <c r="O103" s="2"/>
      <c r="P103" s="2"/>
      <c r="Q103" s="2"/>
      <c r="R103" s="2"/>
      <c r="S103" s="2"/>
      <c r="T103" s="2"/>
      <c r="U103" s="2"/>
      <c r="V103" s="2"/>
      <c r="W103" s="2"/>
      <c r="X103" s="2"/>
      <c r="Y103" s="2"/>
      <c r="Z103" s="2"/>
      <c r="AA103" s="2"/>
    </row>
    <row r="104" hidden="1">
      <c r="A104" s="2"/>
      <c r="B104" s="627">
        <v>18.0</v>
      </c>
      <c r="C104" s="628" t="s">
        <v>224</v>
      </c>
      <c r="D104" s="635">
        <f>IFERROR(__xludf.DUMMYFUNCTION("SPLIT(D20,""-"")*1"),0.002777777777777778)</f>
        <v>0.002777777778</v>
      </c>
      <c r="E104" s="635">
        <f>IFERROR(__xludf.DUMMYFUNCTION("SPLIT(D20,CONCATENATE(TO_TEXT(SPLIT(D20,""-"")),""-""),FALSE)"),0.002777777777777778)</f>
        <v>0.002777777778</v>
      </c>
      <c r="F104" s="635">
        <f t="shared" ref="F104:G104" si="14">D104*4</f>
        <v>0.01111111111</v>
      </c>
      <c r="G104" s="635">
        <f t="shared" si="14"/>
        <v>0.01111111111</v>
      </c>
      <c r="H104" s="631">
        <f t="shared" ref="H104:H119" si="16">IF(LT(10,SWITCH(LT(E104/$D$121,D104/$E$121),true,E104/$D$121,false,D104/$E$121)), ROUND(SWITCH(LT(E104/$D$121,D104/$E$121),true,E104/$D$121,false,D104/$E$121),0), ROUND(SWITCH(LT(E104/$D$121,D104/$E$121),true,E104/$D$121,false,D104/$E$121),1))</f>
        <v>0.3</v>
      </c>
      <c r="I104" s="631">
        <f t="shared" ref="I104:I119" si="17">IF(LT(10,SWITCH(LT(E104/$D$121,D104/$E$121),true,D104/$E$121,false,E104/$D$121)), ROUND(SWITCH(LT(E104/$D$121,D104/$E$121),true,D104/$E$121,false,E104/$D$121),0), ROUND(SWITCH(LT(E104/$D$121,D104/$E$121),true,D104/$E$121,false,E104/$D$121),1))</f>
        <v>0.3</v>
      </c>
      <c r="J104" s="2"/>
      <c r="K104" s="2"/>
      <c r="L104" s="2"/>
      <c r="M104" s="2"/>
      <c r="N104" s="2"/>
      <c r="O104" s="2"/>
      <c r="P104" s="2"/>
      <c r="Q104" s="2"/>
      <c r="R104" s="2"/>
      <c r="S104" s="2"/>
      <c r="T104" s="2"/>
      <c r="U104" s="2"/>
      <c r="V104" s="2"/>
      <c r="W104" s="2"/>
      <c r="X104" s="2"/>
      <c r="Y104" s="2"/>
      <c r="Z104" s="2"/>
      <c r="AA104" s="2"/>
    </row>
    <row r="105" hidden="1">
      <c r="A105" s="2"/>
      <c r="B105" s="627">
        <v>19.0</v>
      </c>
      <c r="C105" s="628" t="s">
        <v>247</v>
      </c>
      <c r="D105" s="635">
        <f>IFERROR(__xludf.DUMMYFUNCTION("SPLIT(D21,""-"")*1"),6.944444444444445E-4)</f>
        <v>0.0006944444444</v>
      </c>
      <c r="E105" s="635">
        <f>IFERROR(__xludf.DUMMYFUNCTION("SPLIT(D21,CONCATENATE(TO_TEXT(SPLIT(D21,""-"")),""-""),FALSE)"),6.944444444444445E-4)</f>
        <v>0.0006944444444</v>
      </c>
      <c r="F105" s="635">
        <f t="shared" ref="F105:G105" si="15">D105*4</f>
        <v>0.002777777778</v>
      </c>
      <c r="G105" s="635">
        <f t="shared" si="15"/>
        <v>0.002777777778</v>
      </c>
      <c r="H105" s="631">
        <f t="shared" si="16"/>
        <v>0.1</v>
      </c>
      <c r="I105" s="631">
        <f t="shared" si="17"/>
        <v>0.1</v>
      </c>
      <c r="J105" s="2"/>
      <c r="K105" s="2"/>
      <c r="L105" s="2"/>
      <c r="M105" s="2"/>
      <c r="N105" s="2"/>
      <c r="O105" s="2"/>
      <c r="P105" s="2"/>
      <c r="Q105" s="2"/>
      <c r="R105" s="2"/>
      <c r="S105" s="2"/>
      <c r="T105" s="2"/>
      <c r="U105" s="2"/>
      <c r="V105" s="2"/>
      <c r="W105" s="2"/>
      <c r="X105" s="2"/>
      <c r="Y105" s="2"/>
      <c r="Z105" s="2"/>
      <c r="AA105" s="2"/>
    </row>
    <row r="106" hidden="1">
      <c r="A106" s="2"/>
      <c r="B106" s="627">
        <v>20.0</v>
      </c>
      <c r="C106" s="628" t="s">
        <v>262</v>
      </c>
      <c r="D106" s="635">
        <f>IFERROR(__xludf.DUMMYFUNCTION("SPLIT(D22,""-"")*1"),0.001388888888888889)</f>
        <v>0.001388888889</v>
      </c>
      <c r="E106" s="635">
        <f>IFERROR(__xludf.DUMMYFUNCTION("SPLIT(D22,CONCATENATE(TO_TEXT(SPLIT(D22,""-"")),""-""),FALSE)"),0.001388888888888889)</f>
        <v>0.001388888889</v>
      </c>
      <c r="F106" s="635">
        <f t="shared" ref="F106:G106" si="18">D106*4</f>
        <v>0.005555555556</v>
      </c>
      <c r="G106" s="635">
        <f t="shared" si="18"/>
        <v>0.005555555556</v>
      </c>
      <c r="H106" s="631">
        <f t="shared" si="16"/>
        <v>0.1</v>
      </c>
      <c r="I106" s="631">
        <f t="shared" si="17"/>
        <v>0.1</v>
      </c>
      <c r="J106" s="2"/>
      <c r="K106" s="2"/>
      <c r="L106" s="2"/>
      <c r="M106" s="2"/>
      <c r="N106" s="2"/>
      <c r="O106" s="2"/>
      <c r="P106" s="2"/>
      <c r="Q106" s="2"/>
      <c r="R106" s="2"/>
      <c r="S106" s="2"/>
      <c r="T106" s="2"/>
      <c r="U106" s="2"/>
      <c r="V106" s="2"/>
      <c r="W106" s="2"/>
      <c r="X106" s="2"/>
      <c r="Y106" s="2"/>
      <c r="Z106" s="2"/>
      <c r="AA106" s="2"/>
    </row>
    <row r="107" hidden="1">
      <c r="A107" s="2"/>
      <c r="B107" s="627">
        <v>21.0</v>
      </c>
      <c r="C107" s="628" t="s">
        <v>321</v>
      </c>
      <c r="D107" s="635">
        <f>IFERROR(__xludf.DUMMYFUNCTION("SPLIT(D23,""-"")*1"),0.0020833333333333333)</f>
        <v>0.002083333333</v>
      </c>
      <c r="E107" s="635">
        <f>IFERROR(__xludf.DUMMYFUNCTION("SPLIT(D23,CONCATENATE(TO_TEXT(SPLIT(D23,""-"")),""-""),FALSE)"),0.0020833333333333333)</f>
        <v>0.002083333333</v>
      </c>
      <c r="F107" s="635">
        <f t="shared" ref="F107:G107" si="19">D107*4</f>
        <v>0.008333333333</v>
      </c>
      <c r="G107" s="635">
        <f t="shared" si="19"/>
        <v>0.008333333333</v>
      </c>
      <c r="H107" s="631">
        <f t="shared" si="16"/>
        <v>0.2</v>
      </c>
      <c r="I107" s="631">
        <f t="shared" si="17"/>
        <v>0.2</v>
      </c>
      <c r="J107" s="2"/>
      <c r="K107" s="2"/>
      <c r="L107" s="2"/>
      <c r="M107" s="2"/>
      <c r="N107" s="2"/>
      <c r="O107" s="2"/>
      <c r="P107" s="2"/>
      <c r="Q107" s="2"/>
      <c r="R107" s="2"/>
      <c r="S107" s="2"/>
      <c r="T107" s="2"/>
      <c r="U107" s="2"/>
      <c r="V107" s="2"/>
      <c r="W107" s="2"/>
      <c r="X107" s="2"/>
      <c r="Y107" s="2"/>
      <c r="Z107" s="2"/>
      <c r="AA107" s="2"/>
    </row>
    <row r="108" hidden="1">
      <c r="A108" s="2"/>
      <c r="B108" s="627">
        <v>22.0</v>
      </c>
      <c r="C108" s="628" t="s">
        <v>356</v>
      </c>
      <c r="D108" s="635">
        <f>IFERROR(__xludf.DUMMYFUNCTION("SPLIT(D24,""-"")*1"),0.003472222222222222)</f>
        <v>0.003472222222</v>
      </c>
      <c r="E108" s="635">
        <f>IFERROR(__xludf.DUMMYFUNCTION("SPLIT(D24,CONCATENATE(TO_TEXT(SPLIT(D24,""-"")),""-""),FALSE)"),0.003472222222222222)</f>
        <v>0.003472222222</v>
      </c>
      <c r="F108" s="635">
        <f t="shared" ref="F108:G108" si="20">D108*4</f>
        <v>0.01388888889</v>
      </c>
      <c r="G108" s="635">
        <f t="shared" si="20"/>
        <v>0.01388888889</v>
      </c>
      <c r="H108" s="631">
        <f t="shared" si="16"/>
        <v>0.3</v>
      </c>
      <c r="I108" s="631">
        <f t="shared" si="17"/>
        <v>0.3</v>
      </c>
      <c r="J108" s="2"/>
      <c r="K108" s="2"/>
      <c r="L108" s="2"/>
      <c r="M108" s="2"/>
      <c r="N108" s="2"/>
      <c r="O108" s="2"/>
      <c r="P108" s="2"/>
      <c r="Q108" s="2"/>
      <c r="R108" s="2"/>
      <c r="S108" s="2"/>
      <c r="T108" s="2"/>
      <c r="U108" s="2"/>
      <c r="V108" s="2"/>
      <c r="W108" s="2"/>
      <c r="X108" s="2"/>
      <c r="Y108" s="2"/>
      <c r="Z108" s="2"/>
      <c r="AA108" s="2"/>
    </row>
    <row r="109" hidden="1">
      <c r="A109" s="2"/>
      <c r="B109" s="627">
        <v>23.0</v>
      </c>
      <c r="C109" s="628" t="s">
        <v>376</v>
      </c>
      <c r="D109" s="631" t="str">
        <f>IFERROR(__xludf.DUMMYFUNCTION("SPLIT(D25,""-"")*1"),"#VALUE!")</f>
        <v>#VALUE!</v>
      </c>
      <c r="E109" s="631" t="str">
        <f>IFERROR(__xludf.DUMMYFUNCTION("SPLIT(D25,CONCATENATE(TO_TEXT(SPLIT(D25,""-"")),""-""),FALSE)"),".10")</f>
        <v>.10</v>
      </c>
      <c r="F109" s="631" t="str">
        <f t="shared" ref="F109:G109" si="21">D109*4</f>
        <v>#VALUE!</v>
      </c>
      <c r="G109" s="631" t="str">
        <f t="shared" si="21"/>
        <v>#VALUE!</v>
      </c>
      <c r="H109" s="631" t="str">
        <f t="shared" si="16"/>
        <v>#VALUE!</v>
      </c>
      <c r="I109" s="631" t="str">
        <f t="shared" si="17"/>
        <v>#VALUE!</v>
      </c>
      <c r="J109" s="2"/>
      <c r="K109" s="2"/>
      <c r="L109" s="2"/>
      <c r="M109" s="2"/>
      <c r="N109" s="2"/>
      <c r="O109" s="2"/>
      <c r="P109" s="2"/>
      <c r="Q109" s="2"/>
      <c r="R109" s="2"/>
      <c r="S109" s="2"/>
      <c r="T109" s="2"/>
      <c r="U109" s="2"/>
      <c r="V109" s="2"/>
      <c r="W109" s="2"/>
      <c r="X109" s="2"/>
      <c r="Y109" s="2"/>
      <c r="Z109" s="2"/>
      <c r="AA109" s="2"/>
    </row>
    <row r="110" hidden="1">
      <c r="A110" s="2"/>
      <c r="B110" s="627">
        <v>24.0</v>
      </c>
      <c r="C110" s="628" t="s">
        <v>407</v>
      </c>
      <c r="D110" s="635">
        <f>IFERROR(__xludf.DUMMYFUNCTION("SPLIT(D26,""-"")*1"),0.010416666666666666)</f>
        <v>0.01041666667</v>
      </c>
      <c r="E110" s="635">
        <f>IFERROR(__xludf.DUMMYFUNCTION("SPLIT(D26,CONCATENATE(TO_TEXT(SPLIT(D26,""-"")),""-""),FALSE)"),0.010416666666666666)</f>
        <v>0.01041666667</v>
      </c>
      <c r="F110" s="635">
        <f t="shared" ref="F110:G110" si="22">D110*4</f>
        <v>0.04166666667</v>
      </c>
      <c r="G110" s="635">
        <f t="shared" si="22"/>
        <v>0.04166666667</v>
      </c>
      <c r="H110" s="631">
        <f t="shared" si="16"/>
        <v>1</v>
      </c>
      <c r="I110" s="631">
        <f t="shared" si="17"/>
        <v>1</v>
      </c>
      <c r="J110" s="2"/>
      <c r="K110" s="2"/>
      <c r="L110" s="2"/>
      <c r="M110" s="2"/>
      <c r="N110" s="2"/>
      <c r="O110" s="2"/>
      <c r="P110" s="2"/>
      <c r="Q110" s="2"/>
      <c r="R110" s="2"/>
      <c r="S110" s="2"/>
      <c r="T110" s="2"/>
      <c r="U110" s="2"/>
      <c r="V110" s="2"/>
      <c r="W110" s="2"/>
      <c r="X110" s="2"/>
      <c r="Y110" s="2"/>
      <c r="Z110" s="2"/>
      <c r="AA110" s="2"/>
    </row>
    <row r="111" hidden="1">
      <c r="A111" s="2"/>
      <c r="B111" s="627">
        <v>25.0</v>
      </c>
      <c r="C111" s="628" t="s">
        <v>429</v>
      </c>
      <c r="D111" s="631">
        <f>IFERROR(__xludf.DUMMYFUNCTION("SPLIT(D27,""-"")*1"),0.25)</f>
        <v>0.25</v>
      </c>
      <c r="E111" s="631">
        <f>IFERROR(__xludf.DUMMYFUNCTION("SPLIT(D27,CONCATENATE(TO_TEXT(SPLIT(D27,""-"")),""-""),FALSE)"),0.25)</f>
        <v>0.25</v>
      </c>
      <c r="F111" s="631">
        <f t="shared" ref="F111:G111" si="23">D111*4</f>
        <v>1</v>
      </c>
      <c r="G111" s="631">
        <f t="shared" si="23"/>
        <v>1</v>
      </c>
      <c r="H111" s="631">
        <f t="shared" si="16"/>
        <v>25</v>
      </c>
      <c r="I111" s="631">
        <f t="shared" si="17"/>
        <v>25</v>
      </c>
      <c r="J111" s="2"/>
      <c r="K111" s="2"/>
      <c r="L111" s="2"/>
      <c r="M111" s="2"/>
      <c r="N111" s="2"/>
      <c r="O111" s="2"/>
      <c r="P111" s="2"/>
      <c r="Q111" s="2"/>
      <c r="R111" s="2"/>
      <c r="S111" s="2"/>
      <c r="T111" s="2"/>
      <c r="U111" s="2"/>
      <c r="V111" s="2"/>
      <c r="W111" s="2"/>
      <c r="X111" s="2"/>
      <c r="Y111" s="2"/>
      <c r="Z111" s="2"/>
      <c r="AA111" s="2"/>
    </row>
    <row r="112" hidden="1">
      <c r="A112" s="2"/>
      <c r="B112" s="627">
        <v>26.0</v>
      </c>
      <c r="C112" s="628" t="s">
        <v>493</v>
      </c>
      <c r="D112" s="631">
        <f>IFERROR(__xludf.DUMMYFUNCTION("SPLIT(D28,""-"")*1"),0.5)</f>
        <v>0.5</v>
      </c>
      <c r="E112" s="631">
        <f>IFERROR(__xludf.DUMMYFUNCTION("SPLIT(D28,CONCATENATE(TO_TEXT(SPLIT(D28,""-"")),""-""),FALSE)"),0.5)</f>
        <v>0.5</v>
      </c>
      <c r="F112" s="631">
        <f t="shared" ref="F112:G112" si="24">D112*4</f>
        <v>2</v>
      </c>
      <c r="G112" s="631">
        <f t="shared" si="24"/>
        <v>2</v>
      </c>
      <c r="H112" s="631">
        <f t="shared" si="16"/>
        <v>50</v>
      </c>
      <c r="I112" s="631">
        <f t="shared" si="17"/>
        <v>50</v>
      </c>
      <c r="J112" s="2"/>
      <c r="K112" s="2"/>
      <c r="L112" s="2"/>
      <c r="M112" s="2"/>
      <c r="N112" s="2"/>
      <c r="O112" s="2"/>
      <c r="P112" s="2"/>
      <c r="Q112" s="2"/>
      <c r="R112" s="2"/>
      <c r="S112" s="2"/>
      <c r="T112" s="2"/>
      <c r="U112" s="2"/>
      <c r="V112" s="2"/>
      <c r="W112" s="2"/>
      <c r="X112" s="2"/>
      <c r="Y112" s="2"/>
      <c r="Z112" s="2"/>
      <c r="AA112" s="2"/>
    </row>
    <row r="113" hidden="1">
      <c r="A113" s="2"/>
      <c r="B113" s="627">
        <v>27.0</v>
      </c>
      <c r="C113" s="628" t="s">
        <v>518</v>
      </c>
      <c r="D113" s="631">
        <f>IFERROR(__xludf.DUMMYFUNCTION("SPLIT(D29,""-"")*1"),0.75)</f>
        <v>0.75</v>
      </c>
      <c r="E113" s="631">
        <f>IFERROR(__xludf.DUMMYFUNCTION("SPLIT(D29,CONCATENATE(TO_TEXT(SPLIT(D29,""-"")),""-""),FALSE)"),0.75)</f>
        <v>0.75</v>
      </c>
      <c r="F113" s="631">
        <f t="shared" ref="F113:G113" si="25">D113*4</f>
        <v>3</v>
      </c>
      <c r="G113" s="631">
        <f t="shared" si="25"/>
        <v>3</v>
      </c>
      <c r="H113" s="631">
        <f t="shared" si="16"/>
        <v>75</v>
      </c>
      <c r="I113" s="631">
        <f t="shared" si="17"/>
        <v>75</v>
      </c>
      <c r="J113" s="2"/>
      <c r="K113" s="2"/>
      <c r="L113" s="2"/>
      <c r="M113" s="2"/>
      <c r="N113" s="2"/>
      <c r="O113" s="2"/>
      <c r="P113" s="2"/>
      <c r="Q113" s="2"/>
      <c r="R113" s="2"/>
      <c r="S113" s="2"/>
      <c r="T113" s="2"/>
      <c r="U113" s="2"/>
      <c r="V113" s="2"/>
      <c r="W113" s="2"/>
      <c r="X113" s="2"/>
      <c r="Y113" s="2"/>
      <c r="Z113" s="2"/>
      <c r="AA113" s="2"/>
    </row>
    <row r="114" hidden="1">
      <c r="A114" s="2"/>
      <c r="B114" s="627">
        <v>28.0</v>
      </c>
      <c r="C114" s="628" t="s">
        <v>581</v>
      </c>
      <c r="D114" s="631">
        <f>IFERROR(__xludf.DUMMYFUNCTION("SPLIT(D30,""-"")*1"),1.0)</f>
        <v>1</v>
      </c>
      <c r="E114" s="631">
        <f>IFERROR(__xludf.DUMMYFUNCTION("SPLIT(D30,CONCATENATE(TO_TEXT(SPLIT(D30,""-"")),""-""),FALSE)"),1.0)</f>
        <v>1</v>
      </c>
      <c r="F114" s="631">
        <f t="shared" ref="F114:G114" si="26">D114*4</f>
        <v>4</v>
      </c>
      <c r="G114" s="631">
        <f t="shared" si="26"/>
        <v>4</v>
      </c>
      <c r="H114" s="631">
        <f t="shared" si="16"/>
        <v>100</v>
      </c>
      <c r="I114" s="631">
        <f t="shared" si="17"/>
        <v>100</v>
      </c>
      <c r="J114" s="2"/>
      <c r="K114" s="2"/>
      <c r="L114" s="2"/>
      <c r="M114" s="2"/>
      <c r="N114" s="2"/>
      <c r="O114" s="2"/>
      <c r="P114" s="2"/>
      <c r="Q114" s="2"/>
      <c r="R114" s="2"/>
      <c r="S114" s="2"/>
      <c r="T114" s="2"/>
      <c r="U114" s="2"/>
      <c r="V114" s="2"/>
      <c r="W114" s="2"/>
      <c r="X114" s="2"/>
      <c r="Y114" s="2"/>
      <c r="Z114" s="2"/>
      <c r="AA114" s="2"/>
    </row>
    <row r="115" hidden="1">
      <c r="A115" s="2"/>
      <c r="B115" s="627">
        <v>29.0</v>
      </c>
      <c r="C115" s="628" t="s">
        <v>606</v>
      </c>
      <c r="D115" s="631">
        <f>IFERROR(__xludf.DUMMYFUNCTION("SPLIT(D31,""-"")*1"),1.5)</f>
        <v>1.5</v>
      </c>
      <c r="E115" s="631">
        <f>IFERROR(__xludf.DUMMYFUNCTION("SPLIT(D31,CONCATENATE(TO_TEXT(SPLIT(D31,""-"")),""-""),FALSE)"),1.5)</f>
        <v>1.5</v>
      </c>
      <c r="F115" s="631">
        <f t="shared" ref="F115:G115" si="27">D115*4</f>
        <v>6</v>
      </c>
      <c r="G115" s="631">
        <f t="shared" si="27"/>
        <v>6</v>
      </c>
      <c r="H115" s="631">
        <f t="shared" si="16"/>
        <v>150</v>
      </c>
      <c r="I115" s="631">
        <f t="shared" si="17"/>
        <v>150</v>
      </c>
      <c r="J115" s="2"/>
      <c r="K115" s="2"/>
      <c r="L115" s="2"/>
      <c r="M115" s="2"/>
      <c r="N115" s="2"/>
      <c r="O115" s="2"/>
      <c r="P115" s="2"/>
      <c r="Q115" s="2"/>
      <c r="R115" s="2"/>
      <c r="S115" s="2"/>
      <c r="T115" s="2"/>
      <c r="U115" s="2"/>
      <c r="V115" s="2"/>
      <c r="W115" s="2"/>
      <c r="X115" s="2"/>
      <c r="Y115" s="2"/>
      <c r="Z115" s="2"/>
      <c r="AA115" s="2"/>
    </row>
    <row r="116" hidden="1">
      <c r="A116" s="2"/>
      <c r="B116" s="627">
        <v>30.0</v>
      </c>
      <c r="C116" s="628" t="s">
        <v>626</v>
      </c>
      <c r="D116" s="631">
        <f>IFERROR(__xludf.DUMMYFUNCTION("SPLIT(D32,""-"")*1"),3.0)</f>
        <v>3</v>
      </c>
      <c r="E116" s="631">
        <f>IFERROR(__xludf.DUMMYFUNCTION("SPLIT(D32,CONCATENATE(TO_TEXT(SPLIT(D32,""-"")),""-""),FALSE)"),3.0)</f>
        <v>3</v>
      </c>
      <c r="F116" s="631">
        <f t="shared" ref="F116:G116" si="28">D116*4</f>
        <v>12</v>
      </c>
      <c r="G116" s="631">
        <f t="shared" si="28"/>
        <v>12</v>
      </c>
      <c r="H116" s="631">
        <f t="shared" si="16"/>
        <v>300</v>
      </c>
      <c r="I116" s="631">
        <f t="shared" si="17"/>
        <v>300</v>
      </c>
      <c r="J116" s="2"/>
      <c r="K116" s="2"/>
      <c r="L116" s="2"/>
      <c r="M116" s="2"/>
      <c r="N116" s="2"/>
      <c r="O116" s="2"/>
      <c r="P116" s="2"/>
      <c r="Q116" s="2"/>
      <c r="R116" s="2"/>
      <c r="S116" s="2"/>
      <c r="T116" s="2"/>
      <c r="U116" s="2"/>
      <c r="V116" s="2"/>
      <c r="W116" s="2"/>
      <c r="X116" s="2"/>
      <c r="Y116" s="2"/>
      <c r="Z116" s="2"/>
      <c r="AA116" s="2"/>
    </row>
    <row r="117" hidden="1">
      <c r="A117" s="2"/>
      <c r="B117" s="627">
        <v>31.0</v>
      </c>
      <c r="C117" s="628" t="s">
        <v>649</v>
      </c>
      <c r="D117" s="631">
        <f>IFERROR(__xludf.DUMMYFUNCTION("SPLIT(D33,""-"")*1"),2.0)</f>
        <v>2</v>
      </c>
      <c r="E117" s="631">
        <f>IFERROR(__xludf.DUMMYFUNCTION("SPLIT(D33,CONCATENATE(TO_TEXT(SPLIT(D33,""-"")),""-""),FALSE)"),2.0)</f>
        <v>2</v>
      </c>
      <c r="F117" s="631">
        <f t="shared" ref="F117:G117" si="29">D117*4</f>
        <v>8</v>
      </c>
      <c r="G117" s="631">
        <f t="shared" si="29"/>
        <v>8</v>
      </c>
      <c r="H117" s="631">
        <f t="shared" si="16"/>
        <v>200</v>
      </c>
      <c r="I117" s="631">
        <f t="shared" si="17"/>
        <v>200</v>
      </c>
      <c r="J117" s="2"/>
      <c r="K117" s="2"/>
      <c r="L117" s="2"/>
      <c r="M117" s="2"/>
      <c r="N117" s="2"/>
      <c r="O117" s="2"/>
      <c r="P117" s="2"/>
      <c r="Q117" s="2"/>
      <c r="R117" s="2"/>
      <c r="S117" s="2"/>
      <c r="T117" s="2"/>
      <c r="U117" s="2"/>
      <c r="V117" s="2"/>
      <c r="W117" s="2"/>
      <c r="X117" s="2"/>
      <c r="Y117" s="2"/>
      <c r="Z117" s="2"/>
      <c r="AA117" s="2"/>
    </row>
    <row r="118" hidden="1">
      <c r="A118" s="2"/>
      <c r="B118" s="627">
        <v>32.0</v>
      </c>
      <c r="C118" s="628" t="s">
        <v>666</v>
      </c>
      <c r="D118" s="631">
        <f>IFERROR(__xludf.DUMMYFUNCTION("SPLIT(D34,""-"")*1"),3.5)</f>
        <v>3.5</v>
      </c>
      <c r="E118" s="631">
        <f>IFERROR(__xludf.DUMMYFUNCTION("SPLIT(D34,CONCATENATE(TO_TEXT(SPLIT(D34,""-"")),""-""),FALSE)"),3.5)</f>
        <v>3.5</v>
      </c>
      <c r="F118" s="631">
        <f t="shared" ref="F118:G118" si="30">D118*4</f>
        <v>14</v>
      </c>
      <c r="G118" s="631">
        <f t="shared" si="30"/>
        <v>14</v>
      </c>
      <c r="H118" s="631">
        <f t="shared" si="16"/>
        <v>350</v>
      </c>
      <c r="I118" s="631">
        <f t="shared" si="17"/>
        <v>350</v>
      </c>
      <c r="J118" s="2"/>
      <c r="K118" s="2"/>
      <c r="L118" s="2"/>
      <c r="M118" s="2"/>
      <c r="N118" s="2"/>
      <c r="O118" s="2"/>
      <c r="P118" s="2"/>
      <c r="Q118" s="2"/>
      <c r="R118" s="2"/>
      <c r="S118" s="2"/>
      <c r="T118" s="2"/>
      <c r="U118" s="2"/>
      <c r="V118" s="2"/>
      <c r="W118" s="2"/>
      <c r="X118" s="2"/>
      <c r="Y118" s="2"/>
      <c r="Z118" s="2"/>
      <c r="AA118" s="2"/>
    </row>
    <row r="119" hidden="1">
      <c r="A119" s="2"/>
      <c r="B119" s="627">
        <v>33.0</v>
      </c>
      <c r="C119" s="628" t="s">
        <v>682</v>
      </c>
      <c r="D119" s="631">
        <f>IFERROR(__xludf.DUMMYFUNCTION("SPLIT(D35,""-"")*1"),7.0)</f>
        <v>7</v>
      </c>
      <c r="E119" s="631">
        <f>IFERROR(__xludf.DUMMYFUNCTION("SPLIT(D35,CONCATENATE(TO_TEXT(SPLIT(D35,""-"")),""-""),FALSE)"),7.0)</f>
        <v>7</v>
      </c>
      <c r="F119" s="631">
        <f t="shared" ref="F119:G119" si="31">D119*4</f>
        <v>28</v>
      </c>
      <c r="G119" s="631">
        <f t="shared" si="31"/>
        <v>28</v>
      </c>
      <c r="H119" s="631">
        <f t="shared" si="16"/>
        <v>700</v>
      </c>
      <c r="I119" s="631">
        <f t="shared" si="17"/>
        <v>700</v>
      </c>
      <c r="J119" s="2"/>
      <c r="K119" s="2"/>
      <c r="L119" s="2"/>
      <c r="M119" s="2"/>
      <c r="N119" s="2"/>
      <c r="O119" s="2"/>
      <c r="P119" s="2"/>
      <c r="Q119" s="2"/>
      <c r="R119" s="2"/>
      <c r="S119" s="2"/>
      <c r="T119" s="2"/>
      <c r="U119" s="2"/>
      <c r="V119" s="2"/>
      <c r="W119" s="2"/>
      <c r="X119" s="2"/>
      <c r="Y119" s="2"/>
      <c r="Z119" s="2"/>
      <c r="AA119" s="2"/>
    </row>
    <row r="120" ht="2.25" hidden="1" customHeight="1">
      <c r="A120" s="2"/>
      <c r="B120" s="644"/>
      <c r="C120" s="644"/>
      <c r="D120" s="645"/>
      <c r="E120" s="645"/>
      <c r="F120" s="645"/>
      <c r="G120" s="645"/>
      <c r="H120" s="645"/>
      <c r="I120" s="645"/>
      <c r="J120" s="2"/>
      <c r="K120" s="2"/>
      <c r="L120" s="2"/>
      <c r="M120" s="2"/>
      <c r="N120" s="2"/>
      <c r="O120" s="2"/>
      <c r="P120" s="2"/>
      <c r="Q120" s="2"/>
      <c r="R120" s="2"/>
      <c r="S120" s="2"/>
      <c r="T120" s="2"/>
      <c r="U120" s="2"/>
      <c r="V120" s="2"/>
      <c r="W120" s="2"/>
      <c r="X120" s="2"/>
      <c r="Y120" s="2"/>
      <c r="Z120" s="2"/>
      <c r="AA120" s="2"/>
    </row>
    <row r="121" hidden="1">
      <c r="A121" s="2"/>
      <c r="B121" s="646" t="str">
        <f t="shared" ref="B121:B164" si="33">B37</f>
        <v>Worldstone Shard              (corrupts items)</v>
      </c>
      <c r="C121" s="64"/>
      <c r="D121" s="631">
        <f>IFERROR(__xludf.DUMMYFUNCTION("SPLIT(D37,""-"")*1"),0.01)</f>
        <v>0.01</v>
      </c>
      <c r="E121" s="631">
        <f>IFERROR(__xludf.DUMMYFUNCTION("SPLIT(D37,CONCATENATE(TO_TEXT(SPLIT(D37,""-"")),""-""),FALSE)"),0.01)</f>
        <v>0.01</v>
      </c>
      <c r="F121" s="631">
        <f t="shared" ref="F121:G121" si="32">D121*4</f>
        <v>0.04</v>
      </c>
      <c r="G121" s="631">
        <f t="shared" si="32"/>
        <v>0.04</v>
      </c>
      <c r="H121" s="631">
        <v>1.0</v>
      </c>
      <c r="I121" s="631">
        <v>1.0</v>
      </c>
      <c r="J121" s="2"/>
      <c r="K121" s="2"/>
      <c r="L121" s="2"/>
      <c r="M121" s="2"/>
      <c r="N121" s="2"/>
      <c r="O121" s="2"/>
      <c r="P121" s="2"/>
      <c r="Q121" s="2"/>
      <c r="R121" s="2"/>
      <c r="S121" s="2"/>
      <c r="T121" s="2"/>
      <c r="U121" s="2"/>
      <c r="V121" s="2"/>
      <c r="W121" s="2"/>
      <c r="X121" s="2"/>
      <c r="Y121" s="2"/>
      <c r="Z121" s="2"/>
      <c r="AA121" s="2"/>
    </row>
    <row r="122" hidden="1">
      <c r="A122" s="2"/>
      <c r="B122" s="646" t="str">
        <f t="shared" si="33"/>
        <v>Larzuk's Puzzlebox            (adds 2-4 sockets to two-handed weapons and 1-2 sockets to other items)</v>
      </c>
      <c r="C122" s="64"/>
      <c r="D122" s="631">
        <f>IFERROR(__xludf.DUMMYFUNCTION("SPLIT(D38,""-"")*1"),1.0)</f>
        <v>1</v>
      </c>
      <c r="E122" s="631">
        <f>IFERROR(__xludf.DUMMYFUNCTION("SPLIT(D38,CONCATENATE(TO_TEXT(SPLIT(D38,""-"")),""-""),FALSE)"),1.0)</f>
        <v>1</v>
      </c>
      <c r="F122" s="631">
        <f t="shared" ref="F122:G122" si="34">D122*4</f>
        <v>4</v>
      </c>
      <c r="G122" s="631">
        <f t="shared" si="34"/>
        <v>4</v>
      </c>
      <c r="H122" s="631">
        <f t="shared" ref="H122:H164" si="36">IF(LT(10,SWITCH(LT(E122/$D$121,D122/$E$121),true,E122/$D$121,false,D122/$E$121)), ROUND(SWITCH(LT(E122/$D$121,D122/$E$121),true,E122/$D$121,false,D122/$E$121),0), ROUND(SWITCH(LT(E122/$D$121,D122/$E$121),true,E122/$D$121,false,D122/$E$121),1))</f>
        <v>100</v>
      </c>
      <c r="I122" s="631">
        <f t="shared" ref="I122:I164" si="37">IF(LT(10,SWITCH(LT(E122/$D$121,D122/$E$121),true,D122/$E$121,false,E122/$D$121)), ROUND(SWITCH(LT(E122/$D$121,D122/$E$121),true,D122/$E$121,false,E122/$D$121),0), ROUND(SWITCH(LT(E122/$D$121,D122/$E$121),true,D122/$E$121,false,E122/$D$121),1))</f>
        <v>100</v>
      </c>
      <c r="J122" s="2"/>
      <c r="K122" s="2"/>
      <c r="L122" s="2"/>
      <c r="M122" s="2"/>
      <c r="N122" s="2"/>
      <c r="O122" s="2"/>
      <c r="P122" s="2"/>
      <c r="Q122" s="2"/>
      <c r="R122" s="2"/>
      <c r="S122" s="2"/>
      <c r="T122" s="2"/>
      <c r="U122" s="2"/>
      <c r="V122" s="2"/>
      <c r="W122" s="2"/>
      <c r="X122" s="2"/>
      <c r="Y122" s="2"/>
      <c r="Z122" s="2"/>
      <c r="AA122" s="2"/>
    </row>
    <row r="123" hidden="1">
      <c r="A123" s="480"/>
      <c r="B123" s="646" t="str">
        <f t="shared" si="33"/>
        <v>Larzuk's Puzzlepiece</v>
      </c>
      <c r="C123" s="64"/>
      <c r="D123" s="631">
        <f>IFERROR(__xludf.DUMMYFUNCTION("SPLIT(D39,""-"")*1"),0.25)</f>
        <v>0.25</v>
      </c>
      <c r="E123" s="631">
        <f>IFERROR(__xludf.DUMMYFUNCTION("SPLIT(D39,CONCATENATE(TO_TEXT(SPLIT(D39,""-"")),""-""),FALSE)"),0.25)</f>
        <v>0.25</v>
      </c>
      <c r="F123" s="631">
        <f t="shared" ref="F123:G123" si="35">D123*4</f>
        <v>1</v>
      </c>
      <c r="G123" s="631">
        <f t="shared" si="35"/>
        <v>1</v>
      </c>
      <c r="H123" s="631">
        <f t="shared" si="36"/>
        <v>25</v>
      </c>
      <c r="I123" s="631">
        <f t="shared" si="37"/>
        <v>25</v>
      </c>
      <c r="J123" s="2"/>
      <c r="K123" s="2"/>
      <c r="L123" s="2"/>
      <c r="M123" s="2"/>
      <c r="N123" s="2"/>
      <c r="O123" s="2"/>
      <c r="P123" s="2"/>
      <c r="Q123" s="2"/>
      <c r="R123" s="2"/>
      <c r="S123" s="2"/>
      <c r="T123" s="2"/>
      <c r="U123" s="2"/>
      <c r="V123" s="2"/>
      <c r="W123" s="2"/>
      <c r="X123" s="2"/>
      <c r="Y123" s="2"/>
      <c r="Z123" s="2"/>
      <c r="AA123" s="2"/>
    </row>
    <row r="124" hidden="1">
      <c r="A124" s="480"/>
      <c r="B124" s="646" t="str">
        <f t="shared" si="33"/>
        <v>50 Perfect Gems               (variety of uses in different recipes)</v>
      </c>
      <c r="C124" s="64"/>
      <c r="D124" s="631">
        <f>IFERROR(__xludf.DUMMYFUNCTION("SPLIT(D40,""-"")*1"),0.5)</f>
        <v>0.5</v>
      </c>
      <c r="E124" s="631">
        <f>IFERROR(__xludf.DUMMYFUNCTION("SPLIT(D40,CONCATENATE(TO_TEXT(SPLIT(D40,""-"")),""-""),FALSE)"),0.5)</f>
        <v>0.5</v>
      </c>
      <c r="F124" s="631">
        <f t="shared" ref="F124:G124" si="38">D124*4</f>
        <v>2</v>
      </c>
      <c r="G124" s="631">
        <f t="shared" si="38"/>
        <v>2</v>
      </c>
      <c r="H124" s="631">
        <f t="shared" si="36"/>
        <v>50</v>
      </c>
      <c r="I124" s="631">
        <f t="shared" si="37"/>
        <v>50</v>
      </c>
      <c r="J124" s="2"/>
      <c r="K124" s="2"/>
      <c r="L124" s="2"/>
      <c r="M124" s="2"/>
      <c r="N124" s="2"/>
      <c r="O124" s="2"/>
      <c r="P124" s="2"/>
      <c r="Q124" s="2"/>
      <c r="R124" s="2"/>
      <c r="S124" s="2"/>
      <c r="T124" s="2"/>
      <c r="U124" s="2"/>
      <c r="V124" s="2"/>
      <c r="W124" s="2"/>
      <c r="X124" s="2"/>
      <c r="Y124" s="2"/>
      <c r="Z124" s="2"/>
      <c r="AA124" s="2"/>
    </row>
    <row r="125" hidden="1">
      <c r="A125" s="2"/>
      <c r="B125" s="646" t="str">
        <f t="shared" si="33"/>
        <v>50 Jewel Fragments            (variety of uses in different recipes)</v>
      </c>
      <c r="C125" s="64"/>
      <c r="D125" s="631">
        <f>IFERROR(__xludf.DUMMYFUNCTION("SPLIT(D41,""-"")*1"),0.25)</f>
        <v>0.25</v>
      </c>
      <c r="E125" s="631">
        <f>IFERROR(__xludf.DUMMYFUNCTION("SPLIT(D41,CONCATENATE(TO_TEXT(SPLIT(D41,""-"")),""-""),FALSE)"),0.25)</f>
        <v>0.25</v>
      </c>
      <c r="F125" s="631">
        <f t="shared" ref="F125:G125" si="39">D125*4</f>
        <v>1</v>
      </c>
      <c r="G125" s="631">
        <f t="shared" si="39"/>
        <v>1</v>
      </c>
      <c r="H125" s="631">
        <f t="shared" si="36"/>
        <v>25</v>
      </c>
      <c r="I125" s="631">
        <f t="shared" si="37"/>
        <v>25</v>
      </c>
      <c r="J125" s="2"/>
      <c r="K125" s="2"/>
      <c r="L125" s="2"/>
      <c r="M125" s="2"/>
      <c r="N125" s="2"/>
      <c r="O125" s="2"/>
      <c r="P125" s="2"/>
      <c r="Q125" s="2"/>
      <c r="R125" s="2"/>
      <c r="S125" s="2"/>
      <c r="T125" s="2"/>
      <c r="U125" s="2"/>
      <c r="V125" s="2"/>
      <c r="W125" s="2"/>
      <c r="X125" s="2"/>
      <c r="Y125" s="2"/>
      <c r="Z125" s="2"/>
      <c r="AA125" s="2"/>
    </row>
    <row r="126" hidden="1">
      <c r="A126" s="2"/>
      <c r="B126" s="646" t="str">
        <f t="shared" si="33"/>
        <v>50 Runes (#1-#15)</v>
      </c>
      <c r="C126" s="64"/>
      <c r="D126" s="631" t="str">
        <f>IFERROR(__xludf.DUMMYFUNCTION("SPLIT(D42,""-"")*1"),"#VALUE!")</f>
        <v>#VALUE!</v>
      </c>
      <c r="E126" s="631" t="str">
        <f>IFERROR(__xludf.DUMMYFUNCTION("SPLIT(D42,CONCATENATE(TO_TEXT(SPLIT(D42,""-"")),""-""),FALSE)"),".25")</f>
        <v>.25</v>
      </c>
      <c r="F126" s="631" t="str">
        <f t="shared" ref="F126:G126" si="40">D126*4</f>
        <v>#VALUE!</v>
      </c>
      <c r="G126" s="631" t="str">
        <f t="shared" si="40"/>
        <v>#VALUE!</v>
      </c>
      <c r="H126" s="631" t="str">
        <f t="shared" si="36"/>
        <v>#VALUE!</v>
      </c>
      <c r="I126" s="631" t="str">
        <f t="shared" si="37"/>
        <v>#VALUE!</v>
      </c>
      <c r="J126" s="2"/>
      <c r="K126" s="2"/>
      <c r="L126" s="2"/>
      <c r="M126" s="2"/>
      <c r="N126" s="2"/>
      <c r="O126" s="2"/>
      <c r="P126" s="2"/>
      <c r="Q126" s="2"/>
      <c r="R126" s="2"/>
      <c r="S126" s="2"/>
      <c r="T126" s="2"/>
      <c r="U126" s="2"/>
      <c r="V126" s="2"/>
      <c r="W126" s="2"/>
      <c r="X126" s="2"/>
      <c r="Y126" s="2"/>
      <c r="Z126" s="2"/>
      <c r="AA126" s="2"/>
    </row>
    <row r="127" hidden="1">
      <c r="A127" s="2"/>
      <c r="B127" s="646" t="str">
        <f t="shared" si="33"/>
        <v>50 Craft Infusions</v>
      </c>
      <c r="C127" s="64"/>
      <c r="D127" s="631" t="str">
        <f>IFERROR(__xludf.DUMMYFUNCTION("SPLIT(D43,""-"")*1"),"#VALUE!")</f>
        <v>#VALUE!</v>
      </c>
      <c r="E127" s="631" t="str">
        <f>IFERROR(__xludf.DUMMYFUNCTION("SPLIT(D43,CONCATENATE(TO_TEXT(SPLIT(D43,""-"")),""-""),FALSE)"),".5")</f>
        <v>.5</v>
      </c>
      <c r="F127" s="631" t="str">
        <f t="shared" ref="F127:G127" si="41">D127*4</f>
        <v>#VALUE!</v>
      </c>
      <c r="G127" s="631" t="str">
        <f t="shared" si="41"/>
        <v>#VALUE!</v>
      </c>
      <c r="H127" s="631" t="str">
        <f t="shared" si="36"/>
        <v>#VALUE!</v>
      </c>
      <c r="I127" s="631" t="str">
        <f t="shared" si="37"/>
        <v>#VALUE!</v>
      </c>
      <c r="J127" s="2"/>
      <c r="K127" s="2"/>
      <c r="L127" s="2"/>
      <c r="M127" s="2"/>
      <c r="N127" s="2"/>
      <c r="O127" s="2"/>
      <c r="P127" s="2"/>
      <c r="Q127" s="2"/>
      <c r="R127" s="2"/>
      <c r="S127" s="2"/>
      <c r="T127" s="2"/>
      <c r="U127" s="2"/>
      <c r="V127" s="2"/>
      <c r="W127" s="2"/>
      <c r="X127" s="2"/>
      <c r="Y127" s="2"/>
      <c r="Z127" s="2"/>
      <c r="AA127" s="2"/>
    </row>
    <row r="128" hidden="1">
      <c r="A128" s="2"/>
      <c r="B128" s="646" t="str">
        <f t="shared" si="33"/>
        <v>50 "Map" Orbs                  (Horadrim, Angelic, Zakarum, etc)</v>
      </c>
      <c r="C128" s="64"/>
      <c r="D128" s="631" t="str">
        <f>IFERROR(__xludf.DUMMYFUNCTION("SPLIT(D44,""-"")*1"),"#VALUE!")</f>
        <v>#VALUE!</v>
      </c>
      <c r="E128" s="631" t="str">
        <f>IFERROR(__xludf.DUMMYFUNCTION("SPLIT(D44,CONCATENATE(TO_TEXT(SPLIT(D44,""-"")),""-""),FALSE)"),".1")</f>
        <v>.1</v>
      </c>
      <c r="F128" s="631" t="str">
        <f t="shared" ref="F128:G128" si="42">D128*4</f>
        <v>#VALUE!</v>
      </c>
      <c r="G128" s="631" t="str">
        <f t="shared" si="42"/>
        <v>#VALUE!</v>
      </c>
      <c r="H128" s="631" t="str">
        <f t="shared" si="36"/>
        <v>#VALUE!</v>
      </c>
      <c r="I128" s="631" t="str">
        <f t="shared" si="37"/>
        <v>#VALUE!</v>
      </c>
      <c r="J128" s="2"/>
      <c r="K128" s="2"/>
      <c r="L128" s="2"/>
      <c r="M128" s="2"/>
      <c r="N128" s="2"/>
      <c r="O128" s="2"/>
      <c r="P128" s="2"/>
      <c r="Q128" s="2"/>
      <c r="R128" s="2"/>
      <c r="S128" s="2"/>
      <c r="T128" s="2"/>
      <c r="U128" s="2"/>
      <c r="V128" s="2"/>
      <c r="W128" s="2"/>
      <c r="X128" s="2"/>
      <c r="Y128" s="2"/>
      <c r="Z128" s="2"/>
      <c r="AA128" s="2"/>
    </row>
    <row r="129" hidden="1">
      <c r="A129" s="2"/>
      <c r="B129" s="646" t="str">
        <f t="shared" si="33"/>
        <v>50 Infused "Map" Orbs</v>
      </c>
      <c r="C129" s="64"/>
      <c r="D129" s="631" t="str">
        <f>IFERROR(__xludf.DUMMYFUNCTION("SPLIT(D45,""-"")*1"),"#VALUE!")</f>
        <v>#VALUE!</v>
      </c>
      <c r="E129" s="631" t="str">
        <f>IFERROR(__xludf.DUMMYFUNCTION("SPLIT(D45,CONCATENATE(TO_TEXT(SPLIT(D45,""-"")),""-""),FALSE)"),"0.5")</f>
        <v>0.5</v>
      </c>
      <c r="F129" s="631" t="str">
        <f t="shared" ref="F129:G129" si="43">D129*4</f>
        <v>#VALUE!</v>
      </c>
      <c r="G129" s="631" t="str">
        <f t="shared" si="43"/>
        <v>#VALUE!</v>
      </c>
      <c r="H129" s="631" t="str">
        <f t="shared" si="36"/>
        <v>#VALUE!</v>
      </c>
      <c r="I129" s="631" t="str">
        <f t="shared" si="37"/>
        <v>#VALUE!</v>
      </c>
      <c r="J129" s="2"/>
      <c r="K129" s="2"/>
      <c r="L129" s="2"/>
      <c r="M129" s="2"/>
      <c r="N129" s="2"/>
      <c r="O129" s="2"/>
      <c r="P129" s="2"/>
      <c r="Q129" s="2"/>
      <c r="R129" s="2"/>
      <c r="S129" s="2"/>
      <c r="T129" s="2"/>
      <c r="U129" s="2"/>
      <c r="V129" s="2"/>
      <c r="W129" s="2"/>
      <c r="X129" s="2"/>
      <c r="Y129" s="2"/>
      <c r="Z129" s="2"/>
      <c r="AA129" s="2"/>
    </row>
    <row r="130" hidden="1">
      <c r="A130" s="2"/>
      <c r="B130" s="646" t="str">
        <f t="shared" si="33"/>
        <v>Catalyst Shard</v>
      </c>
      <c r="C130" s="64"/>
      <c r="D130" s="631">
        <f>IFERROR(__xludf.DUMMYFUNCTION("SPLIT(D46,""-"")*1"),0.25)</f>
        <v>0.25</v>
      </c>
      <c r="E130" s="631">
        <f>IFERROR(__xludf.DUMMYFUNCTION("SPLIT(D46,CONCATENATE(TO_TEXT(SPLIT(D46,""-"")),""-""),FALSE)"),0.25)</f>
        <v>0.25</v>
      </c>
      <c r="F130" s="631">
        <f t="shared" ref="F130:G130" si="44">D130*4</f>
        <v>1</v>
      </c>
      <c r="G130" s="631">
        <f t="shared" si="44"/>
        <v>1</v>
      </c>
      <c r="H130" s="631">
        <f t="shared" si="36"/>
        <v>25</v>
      </c>
      <c r="I130" s="631">
        <f t="shared" si="37"/>
        <v>25</v>
      </c>
      <c r="J130" s="2"/>
      <c r="K130" s="2"/>
      <c r="L130" s="2"/>
      <c r="M130" s="2"/>
      <c r="N130" s="2"/>
      <c r="O130" s="2"/>
      <c r="P130" s="2"/>
      <c r="Q130" s="2"/>
      <c r="R130" s="2"/>
      <c r="S130" s="2"/>
      <c r="T130" s="2"/>
      <c r="U130" s="2"/>
      <c r="V130" s="2"/>
      <c r="W130" s="2"/>
      <c r="X130" s="2"/>
      <c r="Y130" s="2"/>
      <c r="Z130" s="2"/>
      <c r="AA130" s="2"/>
    </row>
    <row r="131" hidden="1">
      <c r="A131" s="2"/>
      <c r="B131" s="646" t="str">
        <f t="shared" si="33"/>
        <v>Horadrim Scarab               (turns a T3 map into a dungeon)</v>
      </c>
      <c r="C131" s="64"/>
      <c r="D131" s="631">
        <f>IFERROR(__xludf.DUMMYFUNCTION("SPLIT(D47,""-"")*1"),0.05)</f>
        <v>0.05</v>
      </c>
      <c r="E131" s="631">
        <f>IFERROR(__xludf.DUMMYFUNCTION("SPLIT(D47,CONCATENATE(TO_TEXT(SPLIT(D47,""-"")),""-""),FALSE)"),0.05)</f>
        <v>0.05</v>
      </c>
      <c r="F131" s="631">
        <f t="shared" ref="F131:G131" si="45">D131*4</f>
        <v>0.2</v>
      </c>
      <c r="G131" s="631">
        <f t="shared" si="45"/>
        <v>0.2</v>
      </c>
      <c r="H131" s="631">
        <f t="shared" si="36"/>
        <v>5</v>
      </c>
      <c r="I131" s="631">
        <f t="shared" si="37"/>
        <v>5</v>
      </c>
      <c r="J131" s="2"/>
      <c r="K131" s="2"/>
      <c r="L131" s="2"/>
      <c r="M131" s="2"/>
      <c r="N131" s="2"/>
      <c r="O131" s="2"/>
      <c r="P131" s="2"/>
      <c r="Q131" s="2"/>
      <c r="R131" s="2"/>
      <c r="S131" s="2"/>
      <c r="T131" s="2"/>
      <c r="U131" s="2"/>
      <c r="V131" s="2"/>
      <c r="W131" s="2"/>
      <c r="X131" s="2"/>
      <c r="Y131" s="2"/>
      <c r="Z131" s="2"/>
      <c r="AA131" s="2"/>
    </row>
    <row r="132" hidden="1">
      <c r="A132" s="2"/>
      <c r="B132" s="646" t="str">
        <f t="shared" si="33"/>
        <v>Standard of Heroes            (adds 10% exp, 20% density, 20% mf/gf to maps)</v>
      </c>
      <c r="C132" s="64"/>
      <c r="D132" s="631">
        <f>IFERROR(__xludf.DUMMYFUNCTION("SPLIT(D48,""-"")*1"),0.05)</f>
        <v>0.05</v>
      </c>
      <c r="E132" s="631">
        <f>IFERROR(__xludf.DUMMYFUNCTION("SPLIT(D48,CONCATENATE(TO_TEXT(SPLIT(D48,""-"")),""-""),FALSE)"),0.05)</f>
        <v>0.05</v>
      </c>
      <c r="F132" s="631">
        <f t="shared" ref="F132:G132" si="46">D132*4</f>
        <v>0.2</v>
      </c>
      <c r="G132" s="631">
        <f t="shared" si="46"/>
        <v>0.2</v>
      </c>
      <c r="H132" s="631">
        <f t="shared" si="36"/>
        <v>5</v>
      </c>
      <c r="I132" s="631">
        <f t="shared" si="37"/>
        <v>5</v>
      </c>
      <c r="J132" s="2"/>
      <c r="K132" s="2"/>
      <c r="L132" s="2"/>
      <c r="M132" s="2"/>
      <c r="N132" s="2"/>
      <c r="O132" s="2"/>
      <c r="P132" s="2"/>
      <c r="Q132" s="2"/>
      <c r="R132" s="2"/>
      <c r="S132" s="2"/>
      <c r="T132" s="2"/>
      <c r="U132" s="2"/>
      <c r="V132" s="2"/>
      <c r="W132" s="2"/>
      <c r="X132" s="2"/>
      <c r="Y132" s="2"/>
      <c r="Z132" s="2"/>
      <c r="AA132" s="2"/>
    </row>
    <row r="133" hidden="1">
      <c r="A133" s="2"/>
      <c r="B133" s="646" t="str">
        <f t="shared" si="33"/>
        <v>Tainted Worldstone Shard      (corrupts Annihilus)</v>
      </c>
      <c r="C133" s="64"/>
      <c r="D133" s="631">
        <f>IFERROR(__xludf.DUMMYFUNCTION("SPLIT(D49,""-"")*1"),1.0)</f>
        <v>1</v>
      </c>
      <c r="E133" s="631">
        <f>IFERROR(__xludf.DUMMYFUNCTION("SPLIT(D49,CONCATENATE(TO_TEXT(SPLIT(D49,""-"")),""-""),FALSE)"),1.0)</f>
        <v>1</v>
      </c>
      <c r="F133" s="631">
        <f t="shared" ref="F133:G133" si="47">D133*4</f>
        <v>4</v>
      </c>
      <c r="G133" s="631">
        <f t="shared" si="47"/>
        <v>4</v>
      </c>
      <c r="H133" s="631">
        <f t="shared" si="36"/>
        <v>100</v>
      </c>
      <c r="I133" s="631">
        <f t="shared" si="37"/>
        <v>100</v>
      </c>
      <c r="J133" s="2"/>
      <c r="K133" s="2"/>
      <c r="L133" s="2"/>
      <c r="M133" s="2"/>
      <c r="N133" s="2"/>
      <c r="O133" s="2"/>
      <c r="P133" s="2"/>
      <c r="Q133" s="2"/>
      <c r="R133" s="2"/>
      <c r="S133" s="2"/>
      <c r="T133" s="2"/>
      <c r="U133" s="2"/>
      <c r="V133" s="2"/>
      <c r="W133" s="2"/>
      <c r="X133" s="2"/>
      <c r="Y133" s="2"/>
      <c r="Z133" s="2"/>
      <c r="AA133" s="2"/>
    </row>
    <row r="134" hidden="1">
      <c r="A134" s="2"/>
      <c r="B134" s="646" t="str">
        <f t="shared" si="33"/>
        <v>Vial of Lightsong</v>
      </c>
      <c r="C134" s="64"/>
      <c r="D134" s="631">
        <f>IFERROR(__xludf.DUMMYFUNCTION("SPLIT(D50,""-"")*1"),20.0)</f>
        <v>20</v>
      </c>
      <c r="E134" s="631">
        <f>IFERROR(__xludf.DUMMYFUNCTION("SPLIT(D50,CONCATENATE(TO_TEXT(SPLIT(D50,""-"")),""-""),FALSE)"),20.0)</f>
        <v>20</v>
      </c>
      <c r="F134" s="631">
        <f t="shared" ref="F134:G134" si="48">D134*4</f>
        <v>80</v>
      </c>
      <c r="G134" s="631">
        <f t="shared" si="48"/>
        <v>80</v>
      </c>
      <c r="H134" s="631">
        <f t="shared" si="36"/>
        <v>2000</v>
      </c>
      <c r="I134" s="631">
        <f t="shared" si="37"/>
        <v>2000</v>
      </c>
      <c r="J134" s="2"/>
      <c r="K134" s="2"/>
      <c r="L134" s="2"/>
      <c r="M134" s="2"/>
      <c r="N134" s="2"/>
      <c r="O134" s="2"/>
      <c r="P134" s="2"/>
      <c r="Q134" s="2"/>
      <c r="R134" s="2"/>
      <c r="S134" s="2"/>
      <c r="T134" s="2"/>
      <c r="U134" s="2"/>
      <c r="V134" s="2"/>
      <c r="W134" s="2"/>
      <c r="X134" s="2"/>
      <c r="Y134" s="2"/>
      <c r="Z134" s="2"/>
      <c r="AA134" s="2"/>
    </row>
    <row r="135" hidden="1">
      <c r="A135" s="2"/>
      <c r="B135" s="646" t="str">
        <f t="shared" si="33"/>
        <v>Lilith's Mirror</v>
      </c>
      <c r="C135" s="64"/>
      <c r="D135" s="631">
        <f>IFERROR(__xludf.DUMMYFUNCTION("SPLIT(D51,""-"")*1"),110.0)</f>
        <v>110</v>
      </c>
      <c r="E135" s="631">
        <f>IFERROR(__xludf.DUMMYFUNCTION("SPLIT(D51,CONCATENATE(TO_TEXT(SPLIT(D51,""-"")),""-""),FALSE)"),110.0)</f>
        <v>110</v>
      </c>
      <c r="F135" s="631">
        <f t="shared" ref="F135:G135" si="49">D135*4</f>
        <v>440</v>
      </c>
      <c r="G135" s="631">
        <f t="shared" si="49"/>
        <v>440</v>
      </c>
      <c r="H135" s="631">
        <f t="shared" si="36"/>
        <v>11000</v>
      </c>
      <c r="I135" s="631">
        <f t="shared" si="37"/>
        <v>11000</v>
      </c>
      <c r="J135" s="2"/>
      <c r="K135" s="2"/>
      <c r="L135" s="2"/>
      <c r="M135" s="2"/>
      <c r="N135" s="2"/>
      <c r="O135" s="2"/>
      <c r="P135" s="2"/>
      <c r="Q135" s="2"/>
      <c r="R135" s="2"/>
      <c r="S135" s="2"/>
      <c r="T135" s="2"/>
      <c r="U135" s="2"/>
      <c r="V135" s="2"/>
      <c r="W135" s="2"/>
      <c r="X135" s="2"/>
      <c r="Y135" s="2"/>
      <c r="Z135" s="2"/>
      <c r="AA135" s="2"/>
    </row>
    <row r="136" hidden="1">
      <c r="A136" s="2"/>
      <c r="B136" s="646" t="str">
        <f t="shared" si="33"/>
        <v/>
      </c>
      <c r="C136" s="64"/>
      <c r="D136" s="631" t="str">
        <f>IFERROR(__xludf.DUMMYFUNCTION("SPLIT(D52,""-"")*1"),"#VALUE!")</f>
        <v>#VALUE!</v>
      </c>
      <c r="E136" s="631" t="str">
        <f>IFERROR(__xludf.DUMMYFUNCTION("SPLIT(D52,CONCATENATE(TO_TEXT(SPLIT(D52,""-"")),""-""),FALSE)"),"#VALUE!")</f>
        <v>#VALUE!</v>
      </c>
      <c r="F136" s="631" t="str">
        <f t="shared" ref="F136:G136" si="50">D136*4</f>
        <v>#VALUE!</v>
      </c>
      <c r="G136" s="631" t="str">
        <f t="shared" si="50"/>
        <v>#VALUE!</v>
      </c>
      <c r="H136" s="631" t="str">
        <f t="shared" si="36"/>
        <v>#VALUE!</v>
      </c>
      <c r="I136" s="631" t="str">
        <f t="shared" si="37"/>
        <v>#VALUE!</v>
      </c>
      <c r="J136" s="2"/>
      <c r="K136" s="2"/>
      <c r="L136" s="2"/>
      <c r="M136" s="2"/>
      <c r="N136" s="2"/>
      <c r="O136" s="2"/>
      <c r="P136" s="2"/>
      <c r="Q136" s="2"/>
      <c r="R136" s="2"/>
      <c r="S136" s="2"/>
      <c r="T136" s="2"/>
      <c r="U136" s="2"/>
      <c r="V136" s="2"/>
      <c r="W136" s="2"/>
      <c r="X136" s="2"/>
      <c r="Y136" s="2"/>
      <c r="Z136" s="2"/>
      <c r="AA136" s="2"/>
    </row>
    <row r="137" hidden="1">
      <c r="A137" s="2"/>
      <c r="B137" s="646" t="str">
        <f t="shared" si="33"/>
        <v/>
      </c>
      <c r="C137" s="64"/>
      <c r="D137" s="631" t="str">
        <f>IFERROR(__xludf.DUMMYFUNCTION("SPLIT(D53,""-"")*1"),"#VALUE!")</f>
        <v>#VALUE!</v>
      </c>
      <c r="E137" s="631" t="str">
        <f>IFERROR(__xludf.DUMMYFUNCTION("SPLIT(D53,CONCATENATE(TO_TEXT(SPLIT(D53,""-"")),""-""),FALSE)"),"#VALUE!")</f>
        <v>#VALUE!</v>
      </c>
      <c r="F137" s="631" t="str">
        <f t="shared" ref="F137:G137" si="51">D137*4</f>
        <v>#VALUE!</v>
      </c>
      <c r="G137" s="631" t="str">
        <f t="shared" si="51"/>
        <v>#VALUE!</v>
      </c>
      <c r="H137" s="631" t="str">
        <f t="shared" si="36"/>
        <v>#VALUE!</v>
      </c>
      <c r="I137" s="631" t="str">
        <f t="shared" si="37"/>
        <v>#VALUE!</v>
      </c>
      <c r="J137" s="2"/>
      <c r="K137" s="2"/>
      <c r="L137" s="2"/>
      <c r="M137" s="2"/>
      <c r="N137" s="2"/>
      <c r="O137" s="2"/>
      <c r="P137" s="2"/>
      <c r="Q137" s="2"/>
      <c r="R137" s="2"/>
      <c r="S137" s="2"/>
      <c r="T137" s="2"/>
      <c r="U137" s="2"/>
      <c r="V137" s="2"/>
      <c r="W137" s="2"/>
      <c r="X137" s="2"/>
      <c r="Y137" s="2"/>
      <c r="Z137" s="2"/>
      <c r="AA137" s="2"/>
    </row>
    <row r="138" hidden="1">
      <c r="A138" s="2"/>
      <c r="B138" s="646" t="str">
        <f t="shared" si="33"/>
        <v/>
      </c>
      <c r="C138" s="64"/>
      <c r="D138" s="631" t="str">
        <f>IFERROR(__xludf.DUMMYFUNCTION("SPLIT(D54,""-"")*1"),"#VALUE!")</f>
        <v>#VALUE!</v>
      </c>
      <c r="E138" s="631" t="str">
        <f>IFERROR(__xludf.DUMMYFUNCTION("SPLIT(D54,CONCATENATE(TO_TEXT(SPLIT(D54,""-"")),""-""),FALSE)"),"#VALUE!")</f>
        <v>#VALUE!</v>
      </c>
      <c r="F138" s="631" t="str">
        <f t="shared" ref="F138:G138" si="52">D138*4</f>
        <v>#VALUE!</v>
      </c>
      <c r="G138" s="631" t="str">
        <f t="shared" si="52"/>
        <v>#VALUE!</v>
      </c>
      <c r="H138" s="631" t="str">
        <f t="shared" si="36"/>
        <v>#VALUE!</v>
      </c>
      <c r="I138" s="631" t="str">
        <f t="shared" si="37"/>
        <v>#VALUE!</v>
      </c>
      <c r="J138" s="2"/>
      <c r="K138" s="2"/>
      <c r="L138" s="2"/>
      <c r="M138" s="2"/>
      <c r="N138" s="2"/>
      <c r="O138" s="2"/>
      <c r="P138" s="2"/>
      <c r="Q138" s="2"/>
      <c r="R138" s="2"/>
      <c r="S138" s="2"/>
      <c r="T138" s="2"/>
      <c r="U138" s="2"/>
      <c r="V138" s="2"/>
      <c r="W138" s="2"/>
      <c r="X138" s="2"/>
      <c r="Y138" s="2"/>
      <c r="Z138" s="2"/>
      <c r="AA138" s="2"/>
    </row>
    <row r="139" hidden="1">
      <c r="A139" s="2"/>
      <c r="B139" s="646" t="str">
        <f t="shared" si="33"/>
        <v/>
      </c>
      <c r="C139" s="64"/>
      <c r="D139" s="631" t="str">
        <f>IFERROR(__xludf.DUMMYFUNCTION("SPLIT(D55,""-"")*1"),"#VALUE!")</f>
        <v>#VALUE!</v>
      </c>
      <c r="E139" s="631" t="str">
        <f>IFERROR(__xludf.DUMMYFUNCTION("SPLIT(D55,CONCATENATE(TO_TEXT(SPLIT(D55,""-"")),""-""),FALSE)"),"#VALUE!")</f>
        <v>#VALUE!</v>
      </c>
      <c r="F139" s="631" t="str">
        <f t="shared" ref="F139:G139" si="53">D139*4</f>
        <v>#VALUE!</v>
      </c>
      <c r="G139" s="631" t="str">
        <f t="shared" si="53"/>
        <v>#VALUE!</v>
      </c>
      <c r="H139" s="631" t="str">
        <f t="shared" si="36"/>
        <v>#VALUE!</v>
      </c>
      <c r="I139" s="631" t="str">
        <f t="shared" si="37"/>
        <v>#VALUE!</v>
      </c>
      <c r="J139" s="2"/>
      <c r="K139" s="2"/>
      <c r="L139" s="2"/>
      <c r="M139" s="2"/>
      <c r="N139" s="2"/>
      <c r="O139" s="2"/>
      <c r="P139" s="2"/>
      <c r="Q139" s="2"/>
      <c r="R139" s="2"/>
      <c r="S139" s="2"/>
      <c r="T139" s="2"/>
      <c r="U139" s="2"/>
      <c r="V139" s="2"/>
      <c r="W139" s="2"/>
      <c r="X139" s="2"/>
      <c r="Y139" s="2"/>
      <c r="Z139" s="2"/>
      <c r="AA139" s="2"/>
    </row>
    <row r="140" hidden="1">
      <c r="A140" s="2"/>
      <c r="B140" s="646" t="str">
        <f t="shared" si="33"/>
        <v>Token of Absolution           (resets stats/skills)</v>
      </c>
      <c r="C140" s="64"/>
      <c r="D140" s="631">
        <f>IFERROR(__xludf.DUMMYFUNCTION("SPLIT(D56,""-"")*1"),0.75)</f>
        <v>0.75</v>
      </c>
      <c r="E140" s="631">
        <f>IFERROR(__xludf.DUMMYFUNCTION("SPLIT(D56,CONCATENATE(TO_TEXT(SPLIT(D56,""-"")),""-""),FALSE)"),0.75)</f>
        <v>0.75</v>
      </c>
      <c r="F140" s="631">
        <f t="shared" ref="F140:G140" si="54">D140*4</f>
        <v>3</v>
      </c>
      <c r="G140" s="631">
        <f t="shared" si="54"/>
        <v>3</v>
      </c>
      <c r="H140" s="631">
        <f t="shared" si="36"/>
        <v>75</v>
      </c>
      <c r="I140" s="631">
        <f t="shared" si="37"/>
        <v>75</v>
      </c>
      <c r="J140" s="2"/>
      <c r="K140" s="2"/>
      <c r="L140" s="2"/>
      <c r="M140" s="2"/>
      <c r="N140" s="2"/>
      <c r="O140" s="2"/>
      <c r="P140" s="2"/>
      <c r="Q140" s="2"/>
      <c r="R140" s="2"/>
      <c r="S140" s="2"/>
      <c r="T140" s="2"/>
      <c r="U140" s="2"/>
      <c r="V140" s="2"/>
      <c r="W140" s="2"/>
      <c r="X140" s="2"/>
      <c r="Y140" s="2"/>
      <c r="Z140" s="2"/>
      <c r="AA140" s="2"/>
    </row>
    <row r="141" hidden="1">
      <c r="A141" s="2"/>
      <c r="B141" s="646" t="str">
        <f t="shared" si="33"/>
        <v>Essence of Suffering          ("Twisted", blue icon, from Andariel/Duriel)</v>
      </c>
      <c r="C141" s="64"/>
      <c r="D141" s="631">
        <f>IFERROR(__xludf.DUMMYFUNCTION("SPLIT(D57,""-"")*1"),0.05)</f>
        <v>0.05</v>
      </c>
      <c r="E141" s="631">
        <f>IFERROR(__xludf.DUMMYFUNCTION("SPLIT(D57,CONCATENATE(TO_TEXT(SPLIT(D57,""-"")),""-""),FALSE)"),0.05)</f>
        <v>0.05</v>
      </c>
      <c r="F141" s="631">
        <f t="shared" ref="F141:G141" si="55">D141*4</f>
        <v>0.2</v>
      </c>
      <c r="G141" s="631">
        <f t="shared" si="55"/>
        <v>0.2</v>
      </c>
      <c r="H141" s="631">
        <f t="shared" si="36"/>
        <v>5</v>
      </c>
      <c r="I141" s="631">
        <f t="shared" si="37"/>
        <v>5</v>
      </c>
      <c r="J141" s="2"/>
      <c r="K141" s="2"/>
      <c r="L141" s="2"/>
      <c r="M141" s="2"/>
      <c r="N141" s="2"/>
      <c r="O141" s="2"/>
      <c r="P141" s="2"/>
      <c r="Q141" s="2"/>
      <c r="R141" s="2"/>
      <c r="S141" s="2"/>
      <c r="T141" s="2"/>
      <c r="U141" s="2"/>
      <c r="V141" s="2"/>
      <c r="W141" s="2"/>
      <c r="X141" s="2"/>
      <c r="Y141" s="2"/>
      <c r="Z141" s="2"/>
      <c r="AA141" s="2"/>
    </row>
    <row r="142" hidden="1">
      <c r="A142" s="2"/>
      <c r="B142" s="646" t="str">
        <f t="shared" si="33"/>
        <v>Essence of Hatred             ("Charged", yellow icon, from Mephisto)</v>
      </c>
      <c r="C142" s="64"/>
      <c r="D142" s="631">
        <f>IFERROR(__xludf.DUMMYFUNCTION("SPLIT(D58,""-"")*1"),0.05)</f>
        <v>0.05</v>
      </c>
      <c r="E142" s="631">
        <f>IFERROR(__xludf.DUMMYFUNCTION("SPLIT(D58,CONCATENATE(TO_TEXT(SPLIT(D58,""-"")),""-""),FALSE)"),0.05)</f>
        <v>0.05</v>
      </c>
      <c r="F142" s="631">
        <f t="shared" ref="F142:G142" si="56">D142*4</f>
        <v>0.2</v>
      </c>
      <c r="G142" s="631">
        <f t="shared" si="56"/>
        <v>0.2</v>
      </c>
      <c r="H142" s="631">
        <f t="shared" si="36"/>
        <v>5</v>
      </c>
      <c r="I142" s="631">
        <f t="shared" si="37"/>
        <v>5</v>
      </c>
      <c r="J142" s="2"/>
      <c r="K142" s="2"/>
      <c r="L142" s="2"/>
      <c r="M142" s="2"/>
      <c r="N142" s="2"/>
      <c r="O142" s="2"/>
      <c r="P142" s="2"/>
      <c r="Q142" s="2"/>
      <c r="R142" s="2"/>
      <c r="S142" s="2"/>
      <c r="T142" s="2"/>
      <c r="U142" s="2"/>
      <c r="V142" s="2"/>
      <c r="W142" s="2"/>
      <c r="X142" s="2"/>
      <c r="Y142" s="2"/>
      <c r="Z142" s="2"/>
      <c r="AA142" s="2"/>
    </row>
    <row r="143" hidden="1">
      <c r="A143" s="2"/>
      <c r="B143" s="646" t="str">
        <f t="shared" si="33"/>
        <v>Essence of Terror             ("Burning", red icon, from Diablo)</v>
      </c>
      <c r="C143" s="64"/>
      <c r="D143" s="631">
        <f>IFERROR(__xludf.DUMMYFUNCTION("SPLIT(D59,""-"")*1"),0.1)</f>
        <v>0.1</v>
      </c>
      <c r="E143" s="631">
        <f>IFERROR(__xludf.DUMMYFUNCTION("SPLIT(D59,CONCATENATE(TO_TEXT(SPLIT(D59,""-"")),""-""),FALSE)"),0.1)</f>
        <v>0.1</v>
      </c>
      <c r="F143" s="631">
        <f t="shared" ref="F143:G143" si="57">D143*4</f>
        <v>0.4</v>
      </c>
      <c r="G143" s="631">
        <f t="shared" si="57"/>
        <v>0.4</v>
      </c>
      <c r="H143" s="631">
        <f t="shared" si="36"/>
        <v>10</v>
      </c>
      <c r="I143" s="631">
        <f t="shared" si="37"/>
        <v>10</v>
      </c>
      <c r="J143" s="2"/>
      <c r="K143" s="2"/>
      <c r="L143" s="2"/>
      <c r="M143" s="2"/>
      <c r="N143" s="2"/>
      <c r="O143" s="2"/>
      <c r="P143" s="2"/>
      <c r="Q143" s="2"/>
      <c r="R143" s="2"/>
      <c r="S143" s="2"/>
      <c r="T143" s="2"/>
      <c r="U143" s="2"/>
      <c r="V143" s="2"/>
      <c r="W143" s="2"/>
      <c r="X143" s="2"/>
      <c r="Y143" s="2"/>
      <c r="Z143" s="2"/>
      <c r="AA143" s="2"/>
    </row>
    <row r="144" hidden="1">
      <c r="A144" s="2"/>
      <c r="B144" s="646" t="str">
        <f t="shared" si="33"/>
        <v>Essence of Destruction        ("Festering", green icon, from Baal)</v>
      </c>
      <c r="C144" s="64"/>
      <c r="D144" s="631">
        <f>IFERROR(__xludf.DUMMYFUNCTION("SPLIT(D60,""-"")*1"),0.25)</f>
        <v>0.25</v>
      </c>
      <c r="E144" s="631">
        <f>IFERROR(__xludf.DUMMYFUNCTION("SPLIT(D60,CONCATENATE(TO_TEXT(SPLIT(D60,""-"")),""-""),FALSE)"),0.25)</f>
        <v>0.25</v>
      </c>
      <c r="F144" s="631">
        <f t="shared" ref="F144:G144" si="58">D144*4</f>
        <v>1</v>
      </c>
      <c r="G144" s="631">
        <f t="shared" si="58"/>
        <v>1</v>
      </c>
      <c r="H144" s="631">
        <f t="shared" si="36"/>
        <v>25</v>
      </c>
      <c r="I144" s="631">
        <f t="shared" si="37"/>
        <v>25</v>
      </c>
      <c r="J144" s="2"/>
      <c r="K144" s="2"/>
      <c r="L144" s="2"/>
      <c r="M144" s="2"/>
      <c r="N144" s="2"/>
      <c r="O144" s="2"/>
      <c r="P144" s="2"/>
      <c r="Q144" s="2"/>
      <c r="R144" s="2"/>
      <c r="S144" s="2"/>
      <c r="T144" s="2"/>
      <c r="U144" s="2"/>
      <c r="V144" s="2"/>
      <c r="W144" s="2"/>
      <c r="X144" s="2"/>
      <c r="Y144" s="2"/>
      <c r="Z144" s="2"/>
      <c r="AA144" s="2"/>
    </row>
    <row r="145" hidden="1">
      <c r="A145" s="2"/>
      <c r="B145" s="646" t="str">
        <f t="shared" si="33"/>
        <v>Relic of the Ancients</v>
      </c>
      <c r="C145" s="64"/>
      <c r="D145" s="631" t="str">
        <f>IFERROR(__xludf.DUMMYFUNCTION("SPLIT(D61,""-"")*1"),"#VALUE!")</f>
        <v>#VALUE!</v>
      </c>
      <c r="E145" s="631" t="str">
        <f>IFERROR(__xludf.DUMMYFUNCTION("SPLIT(D61,CONCATENATE(TO_TEXT(SPLIT(D61,""-"")),""-""),FALSE)"),".25")</f>
        <v>.25</v>
      </c>
      <c r="F145" s="631" t="str">
        <f t="shared" ref="F145:G145" si="59">D145*4</f>
        <v>#VALUE!</v>
      </c>
      <c r="G145" s="631" t="str">
        <f t="shared" si="59"/>
        <v>#VALUE!</v>
      </c>
      <c r="H145" s="631" t="str">
        <f t="shared" si="36"/>
        <v>#VALUE!</v>
      </c>
      <c r="I145" s="631" t="str">
        <f t="shared" si="37"/>
        <v>#VALUE!</v>
      </c>
      <c r="J145" s="2"/>
      <c r="K145" s="2"/>
      <c r="L145" s="2"/>
      <c r="M145" s="2"/>
      <c r="N145" s="2"/>
      <c r="O145" s="2"/>
      <c r="P145" s="2"/>
      <c r="Q145" s="2"/>
      <c r="R145" s="2"/>
      <c r="S145" s="2"/>
      <c r="T145" s="2"/>
      <c r="U145" s="2"/>
      <c r="V145" s="2"/>
      <c r="W145" s="2"/>
      <c r="X145" s="2"/>
      <c r="Y145" s="2"/>
      <c r="Z145" s="2"/>
      <c r="AA145" s="2"/>
    </row>
    <row r="146" hidden="1">
      <c r="A146" s="2"/>
      <c r="B146" s="646" t="str">
        <f t="shared" si="33"/>
        <v>Sigil of Madawc</v>
      </c>
      <c r="C146" s="64"/>
      <c r="D146" s="631" t="str">
        <f>IFERROR(__xludf.DUMMYFUNCTION("SPLIT(D62,""-"")*1"),"#VALUE!")</f>
        <v>#VALUE!</v>
      </c>
      <c r="E146" s="631" t="str">
        <f>IFERROR(__xludf.DUMMYFUNCTION("SPLIT(D62,CONCATENATE(TO_TEXT(SPLIT(D62,""-"")),""-""),FALSE)"),".08")</f>
        <v>.08</v>
      </c>
      <c r="F146" s="631" t="str">
        <f t="shared" ref="F146:G146" si="60">D146*4</f>
        <v>#VALUE!</v>
      </c>
      <c r="G146" s="631" t="str">
        <f t="shared" si="60"/>
        <v>#VALUE!</v>
      </c>
      <c r="H146" s="631" t="str">
        <f t="shared" si="36"/>
        <v>#VALUE!</v>
      </c>
      <c r="I146" s="631" t="str">
        <f t="shared" si="37"/>
        <v>#VALUE!</v>
      </c>
      <c r="J146" s="2"/>
      <c r="K146" s="2"/>
      <c r="L146" s="2"/>
      <c r="M146" s="2"/>
      <c r="N146" s="2"/>
      <c r="O146" s="2"/>
      <c r="P146" s="2"/>
      <c r="Q146" s="2"/>
      <c r="R146" s="2"/>
      <c r="S146" s="2"/>
      <c r="T146" s="2"/>
      <c r="U146" s="2"/>
      <c r="V146" s="2"/>
      <c r="W146" s="2"/>
      <c r="X146" s="2"/>
      <c r="Y146" s="2"/>
      <c r="Z146" s="2"/>
      <c r="AA146" s="2"/>
    </row>
    <row r="147" hidden="1">
      <c r="A147" s="2"/>
      <c r="B147" s="646" t="str">
        <f t="shared" si="33"/>
        <v>Sigil of Talic</v>
      </c>
      <c r="C147" s="64"/>
      <c r="D147" s="631">
        <f>IFERROR(__xludf.DUMMYFUNCTION("SPLIT(D63,""-"")*1"),0.1)</f>
        <v>0.1</v>
      </c>
      <c r="E147" s="631">
        <f>IFERROR(__xludf.DUMMYFUNCTION("SPLIT(D63,CONCATENATE(TO_TEXT(SPLIT(D63,""-"")),""-""),FALSE)"),0.1)</f>
        <v>0.1</v>
      </c>
      <c r="F147" s="631">
        <f t="shared" ref="F147:G147" si="61">D147*4</f>
        <v>0.4</v>
      </c>
      <c r="G147" s="631">
        <f t="shared" si="61"/>
        <v>0.4</v>
      </c>
      <c r="H147" s="631">
        <f t="shared" si="36"/>
        <v>10</v>
      </c>
      <c r="I147" s="631">
        <f t="shared" si="37"/>
        <v>10</v>
      </c>
      <c r="J147" s="2"/>
      <c r="K147" s="2"/>
      <c r="L147" s="2"/>
      <c r="M147" s="2"/>
      <c r="N147" s="2"/>
      <c r="O147" s="2"/>
      <c r="P147" s="2"/>
      <c r="Q147" s="2"/>
      <c r="R147" s="2"/>
      <c r="S147" s="2"/>
      <c r="T147" s="2"/>
      <c r="U147" s="2"/>
      <c r="V147" s="2"/>
      <c r="W147" s="2"/>
      <c r="X147" s="2"/>
      <c r="Y147" s="2"/>
      <c r="Z147" s="2"/>
      <c r="AA147" s="2"/>
    </row>
    <row r="148" hidden="1">
      <c r="A148" s="2"/>
      <c r="B148" s="646" t="str">
        <f t="shared" si="33"/>
        <v>Sigil of Korlic</v>
      </c>
      <c r="C148" s="64"/>
      <c r="D148" s="631" t="str">
        <f>IFERROR(__xludf.DUMMYFUNCTION("SPLIT(D64,""-"")*1"),"#VALUE!")</f>
        <v>#VALUE!</v>
      </c>
      <c r="E148" s="631" t="str">
        <f>IFERROR(__xludf.DUMMYFUNCTION("SPLIT(D64,CONCATENATE(TO_TEXT(SPLIT(D64,""-"")),""-""),FALSE)"),".05")</f>
        <v>.05</v>
      </c>
      <c r="F148" s="631" t="str">
        <f t="shared" ref="F148:G148" si="62">D148*4</f>
        <v>#VALUE!</v>
      </c>
      <c r="G148" s="631" t="str">
        <f t="shared" si="62"/>
        <v>#VALUE!</v>
      </c>
      <c r="H148" s="631" t="str">
        <f t="shared" si="36"/>
        <v>#VALUE!</v>
      </c>
      <c r="I148" s="631" t="str">
        <f t="shared" si="37"/>
        <v>#VALUE!</v>
      </c>
      <c r="J148" s="2"/>
      <c r="K148" s="2"/>
      <c r="L148" s="2"/>
      <c r="M148" s="2"/>
      <c r="N148" s="2"/>
      <c r="O148" s="2"/>
      <c r="P148" s="2"/>
      <c r="Q148" s="2"/>
      <c r="R148" s="2"/>
      <c r="S148" s="2"/>
      <c r="T148" s="2"/>
      <c r="U148" s="2"/>
      <c r="V148" s="2"/>
      <c r="W148" s="2"/>
      <c r="X148" s="2"/>
      <c r="Y148" s="2"/>
      <c r="Z148" s="2"/>
      <c r="AA148" s="2"/>
    </row>
    <row r="149" hidden="1">
      <c r="A149" s="2"/>
      <c r="B149" s="646" t="str">
        <f t="shared" si="33"/>
        <v>3x3 Uber Keys                 (keyset - opens 3 portals, 45% organ droprate per portal)</v>
      </c>
      <c r="C149" s="64"/>
      <c r="D149" s="631">
        <f>IFERROR(__xludf.DUMMYFUNCTION("SPLIT(D65,""-"")*1"),0.75)</f>
        <v>0.75</v>
      </c>
      <c r="E149" s="631">
        <f>IFERROR(__xludf.DUMMYFUNCTION("SPLIT(D65,CONCATENATE(TO_TEXT(SPLIT(D65,""-"")),""-""),FALSE)"),0.75)</f>
        <v>0.75</v>
      </c>
      <c r="F149" s="631">
        <f t="shared" ref="F149:G149" si="63">D149*4</f>
        <v>3</v>
      </c>
      <c r="G149" s="631">
        <f t="shared" si="63"/>
        <v>3</v>
      </c>
      <c r="H149" s="631">
        <f t="shared" si="36"/>
        <v>75</v>
      </c>
      <c r="I149" s="631">
        <f t="shared" si="37"/>
        <v>75</v>
      </c>
      <c r="J149" s="2"/>
      <c r="K149" s="2"/>
      <c r="L149" s="2"/>
      <c r="M149" s="2"/>
      <c r="N149" s="2"/>
      <c r="O149" s="2"/>
      <c r="P149" s="2"/>
      <c r="Q149" s="2"/>
      <c r="R149" s="2"/>
      <c r="S149" s="2"/>
      <c r="T149" s="2"/>
      <c r="U149" s="2"/>
      <c r="V149" s="2"/>
      <c r="W149" s="2"/>
      <c r="X149" s="2"/>
      <c r="Y149" s="2"/>
      <c r="Z149" s="2"/>
      <c r="AA149" s="2"/>
    </row>
    <row r="150" hidden="1">
      <c r="A150" s="2"/>
      <c r="B150" s="646" t="str">
        <f t="shared" si="33"/>
        <v>Key of Terror</v>
      </c>
      <c r="C150" s="64"/>
      <c r="D150" s="631">
        <f>IFERROR(__xludf.DUMMYFUNCTION("SPLIT(D66,""-"")*1"),0.06)</f>
        <v>0.06</v>
      </c>
      <c r="E150" s="631">
        <f>IFERROR(__xludf.DUMMYFUNCTION("SPLIT(D66,CONCATENATE(TO_TEXT(SPLIT(D66,""-"")),""-""),FALSE)"),0.06)</f>
        <v>0.06</v>
      </c>
      <c r="F150" s="631">
        <f t="shared" ref="F150:G150" si="64">D150*4</f>
        <v>0.24</v>
      </c>
      <c r="G150" s="631">
        <f t="shared" si="64"/>
        <v>0.24</v>
      </c>
      <c r="H150" s="631">
        <f t="shared" si="36"/>
        <v>6</v>
      </c>
      <c r="I150" s="631">
        <f t="shared" si="37"/>
        <v>6</v>
      </c>
      <c r="J150" s="2"/>
      <c r="K150" s="2"/>
      <c r="L150" s="2"/>
      <c r="M150" s="2"/>
      <c r="N150" s="2"/>
      <c r="O150" s="2"/>
      <c r="P150" s="2"/>
      <c r="Q150" s="2"/>
      <c r="R150" s="2"/>
      <c r="S150" s="2"/>
      <c r="T150" s="2"/>
      <c r="U150" s="2"/>
      <c r="V150" s="2"/>
      <c r="W150" s="2"/>
      <c r="X150" s="2"/>
      <c r="Y150" s="2"/>
      <c r="Z150" s="2"/>
      <c r="AA150" s="2"/>
    </row>
    <row r="151" hidden="1">
      <c r="A151" s="2"/>
      <c r="B151" s="646" t="str">
        <f t="shared" si="33"/>
        <v>Key of Hate</v>
      </c>
      <c r="C151" s="64"/>
      <c r="D151" s="631">
        <f>IFERROR(__xludf.DUMMYFUNCTION("SPLIT(D67,""-"")*1"),0.05)</f>
        <v>0.05</v>
      </c>
      <c r="E151" s="631">
        <f>IFERROR(__xludf.DUMMYFUNCTION("SPLIT(D67,CONCATENATE(TO_TEXT(SPLIT(D67,""-"")),""-""),FALSE)"),0.05)</f>
        <v>0.05</v>
      </c>
      <c r="F151" s="631">
        <f t="shared" ref="F151:G151" si="65">D151*4</f>
        <v>0.2</v>
      </c>
      <c r="G151" s="631">
        <f t="shared" si="65"/>
        <v>0.2</v>
      </c>
      <c r="H151" s="631">
        <f t="shared" si="36"/>
        <v>5</v>
      </c>
      <c r="I151" s="631">
        <f t="shared" si="37"/>
        <v>5</v>
      </c>
      <c r="J151" s="2"/>
      <c r="K151" s="2"/>
      <c r="L151" s="2"/>
      <c r="M151" s="2"/>
      <c r="N151" s="2"/>
      <c r="O151" s="2"/>
      <c r="P151" s="2"/>
      <c r="Q151" s="2"/>
      <c r="R151" s="2"/>
      <c r="S151" s="2"/>
      <c r="T151" s="2"/>
      <c r="U151" s="2"/>
      <c r="V151" s="2"/>
      <c r="W151" s="2"/>
      <c r="X151" s="2"/>
      <c r="Y151" s="2"/>
      <c r="Z151" s="2"/>
      <c r="AA151" s="2"/>
    </row>
    <row r="152" hidden="1">
      <c r="A152" s="2"/>
      <c r="B152" s="646" t="str">
        <f t="shared" si="33"/>
        <v>Key of Destruction</v>
      </c>
      <c r="C152" s="64"/>
      <c r="D152" s="631">
        <f>IFERROR(__xludf.DUMMYFUNCTION("SPLIT(D68,""-"")*1"),0.08)</f>
        <v>0.08</v>
      </c>
      <c r="E152" s="631">
        <f>IFERROR(__xludf.DUMMYFUNCTION("SPLIT(D68,CONCATENATE(TO_TEXT(SPLIT(D68,""-"")),""-""),FALSE)"),0.08)</f>
        <v>0.08</v>
      </c>
      <c r="F152" s="631">
        <f t="shared" ref="F152:G152" si="66">D152*4</f>
        <v>0.32</v>
      </c>
      <c r="G152" s="631">
        <f t="shared" si="66"/>
        <v>0.32</v>
      </c>
      <c r="H152" s="631">
        <f t="shared" si="36"/>
        <v>8</v>
      </c>
      <c r="I152" s="631">
        <f t="shared" si="37"/>
        <v>8</v>
      </c>
      <c r="J152" s="2"/>
      <c r="K152" s="2"/>
      <c r="L152" s="2"/>
      <c r="M152" s="2"/>
      <c r="N152" s="2"/>
      <c r="O152" s="2"/>
      <c r="P152" s="2"/>
      <c r="Q152" s="2"/>
      <c r="R152" s="2"/>
      <c r="S152" s="2"/>
      <c r="T152" s="2"/>
      <c r="U152" s="2"/>
      <c r="V152" s="2"/>
      <c r="W152" s="2"/>
      <c r="X152" s="2"/>
      <c r="Y152" s="2"/>
      <c r="Z152" s="2"/>
      <c r="AA152" s="2"/>
    </row>
    <row r="153" hidden="1">
      <c r="A153" s="2"/>
      <c r="B153" s="646" t="str">
        <f t="shared" si="33"/>
        <v>Vision of Terror              (accesses DClone)</v>
      </c>
      <c r="C153" s="64"/>
      <c r="D153" s="635">
        <f>IFERROR(__xludf.DUMMYFUNCTION("SPLIT(D69,""-"")*1"),0.052083333333333336)</f>
        <v>0.05208333333</v>
      </c>
      <c r="E153" s="631" t="str">
        <f>IFERROR(__xludf.DUMMYFUNCTION("SPLIT(D69,CONCATENATE(TO_TEXT(SPLIT(D69,""-"")),""-""),FALSE)"),"0.75-1")</f>
        <v>0.75-1</v>
      </c>
      <c r="F153" s="635">
        <f t="shared" ref="F153:G153" si="67">D153*4</f>
        <v>0.2083333333</v>
      </c>
      <c r="G153" s="631" t="str">
        <f t="shared" si="67"/>
        <v>#VALUE!</v>
      </c>
      <c r="H153" s="631" t="str">
        <f t="shared" si="36"/>
        <v>#VALUE!</v>
      </c>
      <c r="I153" s="631" t="str">
        <f t="shared" si="37"/>
        <v>#VALUE!</v>
      </c>
      <c r="J153" s="2"/>
      <c r="K153" s="2"/>
      <c r="L153" s="2"/>
      <c r="M153" s="2"/>
      <c r="N153" s="2"/>
      <c r="O153" s="2"/>
      <c r="P153" s="2"/>
      <c r="Q153" s="2"/>
      <c r="R153" s="2"/>
      <c r="S153" s="2"/>
      <c r="T153" s="2"/>
      <c r="U153" s="2"/>
      <c r="V153" s="2"/>
      <c r="W153" s="2"/>
      <c r="X153" s="2"/>
      <c r="Y153" s="2"/>
      <c r="Z153" s="2"/>
      <c r="AA153" s="2"/>
    </row>
    <row r="154" hidden="1">
      <c r="A154" s="2"/>
      <c r="B154" s="646" t="str">
        <f t="shared" si="33"/>
        <v>Pure Demonic Essence          (DClone ingredient, from Map Bosses)</v>
      </c>
      <c r="C154" s="64"/>
      <c r="D154" s="631">
        <f>IFERROR(__xludf.DUMMYFUNCTION("SPLIT(D70,""-"")*1"),0.05)</f>
        <v>0.05</v>
      </c>
      <c r="E154" s="631">
        <f>IFERROR(__xludf.DUMMYFUNCTION("SPLIT(D70,CONCATENATE(TO_TEXT(SPLIT(D70,""-"")),""-""),FALSE)"),0.05)</f>
        <v>0.05</v>
      </c>
      <c r="F154" s="631">
        <f t="shared" ref="F154:G154" si="68">D154*4</f>
        <v>0.2</v>
      </c>
      <c r="G154" s="631">
        <f t="shared" si="68"/>
        <v>0.2</v>
      </c>
      <c r="H154" s="631">
        <f t="shared" si="36"/>
        <v>5</v>
      </c>
      <c r="I154" s="631">
        <f t="shared" si="37"/>
        <v>5</v>
      </c>
      <c r="J154" s="2"/>
      <c r="K154" s="2"/>
      <c r="L154" s="2"/>
      <c r="M154" s="2"/>
      <c r="N154" s="2"/>
      <c r="O154" s="2"/>
      <c r="P154" s="2"/>
      <c r="Q154" s="2"/>
      <c r="R154" s="2"/>
      <c r="S154" s="2"/>
      <c r="T154" s="2"/>
      <c r="U154" s="2"/>
      <c r="V154" s="2"/>
      <c r="W154" s="2"/>
      <c r="X154" s="2"/>
      <c r="Y154" s="2"/>
      <c r="Z154" s="2"/>
      <c r="AA154" s="2"/>
    </row>
    <row r="155" hidden="1">
      <c r="A155" s="2"/>
      <c r="B155" s="646" t="str">
        <f t="shared" si="33"/>
        <v>Black Soulstone               (DClone ingredient, from Uber Tristram)</v>
      </c>
      <c r="C155" s="64"/>
      <c r="D155" s="631">
        <f>IFERROR(__xludf.DUMMYFUNCTION("SPLIT(D71,""-"")*1"),0.3)</f>
        <v>0.3</v>
      </c>
      <c r="E155" s="631">
        <f>IFERROR(__xludf.DUMMYFUNCTION("SPLIT(D71,CONCATENATE(TO_TEXT(SPLIT(D71,""-"")),""-""),FALSE)"),0.3)</f>
        <v>0.3</v>
      </c>
      <c r="F155" s="631">
        <f t="shared" ref="F155:G155" si="69">D155*4</f>
        <v>1.2</v>
      </c>
      <c r="G155" s="631">
        <f t="shared" si="69"/>
        <v>1.2</v>
      </c>
      <c r="H155" s="631">
        <f t="shared" si="36"/>
        <v>30</v>
      </c>
      <c r="I155" s="631">
        <f t="shared" si="37"/>
        <v>30</v>
      </c>
      <c r="J155" s="2"/>
      <c r="K155" s="2"/>
      <c r="L155" s="2"/>
      <c r="M155" s="2"/>
      <c r="N155" s="2"/>
      <c r="O155" s="2"/>
      <c r="P155" s="2"/>
      <c r="Q155" s="2"/>
      <c r="R155" s="2"/>
      <c r="S155" s="2"/>
      <c r="T155" s="2"/>
      <c r="U155" s="2"/>
      <c r="V155" s="2"/>
      <c r="W155" s="2"/>
      <c r="X155" s="2"/>
      <c r="Y155" s="2"/>
      <c r="Z155" s="2"/>
      <c r="AA155" s="2"/>
    </row>
    <row r="156" hidden="1">
      <c r="A156" s="2"/>
      <c r="B156" s="646" t="str">
        <f t="shared" si="33"/>
        <v>Prime Evil Soul               (DClone/Rathma ingredient, from Hell Diablo/Baal)</v>
      </c>
      <c r="C156" s="64"/>
      <c r="D156" s="631">
        <f>IFERROR(__xludf.DUMMYFUNCTION("SPLIT(D72,""-"")*1"),0.5)</f>
        <v>0.5</v>
      </c>
      <c r="E156" s="631">
        <f>IFERROR(__xludf.DUMMYFUNCTION("SPLIT(D72,CONCATENATE(TO_TEXT(SPLIT(D72,""-"")),""-""),FALSE)"),0.5)</f>
        <v>0.5</v>
      </c>
      <c r="F156" s="631">
        <f t="shared" ref="F156:G156" si="70">D156*4</f>
        <v>2</v>
      </c>
      <c r="G156" s="631">
        <f t="shared" si="70"/>
        <v>2</v>
      </c>
      <c r="H156" s="631">
        <f t="shared" si="36"/>
        <v>50</v>
      </c>
      <c r="I156" s="631">
        <f t="shared" si="37"/>
        <v>50</v>
      </c>
      <c r="J156" s="2"/>
      <c r="K156" s="2"/>
      <c r="L156" s="2"/>
      <c r="M156" s="2"/>
      <c r="N156" s="2"/>
      <c r="O156" s="2"/>
      <c r="P156" s="2"/>
      <c r="Q156" s="2"/>
      <c r="R156" s="2"/>
      <c r="S156" s="2"/>
      <c r="T156" s="2"/>
      <c r="U156" s="2"/>
      <c r="V156" s="2"/>
      <c r="W156" s="2"/>
      <c r="X156" s="2"/>
      <c r="Y156" s="2"/>
      <c r="Z156" s="2"/>
      <c r="AA156" s="2"/>
    </row>
    <row r="157" hidden="1">
      <c r="A157" s="2"/>
      <c r="B157" s="646" t="str">
        <f t="shared" si="33"/>
        <v>Voidstone                     (accesses Rathma)</v>
      </c>
      <c r="C157" s="64"/>
      <c r="D157" s="631" t="str">
        <f>IFERROR(__xludf.DUMMYFUNCTION("SPLIT(D73,""-"")*1"),"#VALUE!")</f>
        <v>#VALUE!</v>
      </c>
      <c r="E157" s="631">
        <f>IFERROR(__xludf.DUMMYFUNCTION("SPLIT(D73,CONCATENATE(TO_TEXT(SPLIT(D73,""-"")),""-""),FALSE)"),1.0)</f>
        <v>1</v>
      </c>
      <c r="F157" s="631" t="str">
        <f t="shared" ref="F157:G157" si="71">D157*4</f>
        <v>#VALUE!</v>
      </c>
      <c r="G157" s="631">
        <f t="shared" si="71"/>
        <v>4</v>
      </c>
      <c r="H157" s="631" t="str">
        <f t="shared" si="36"/>
        <v>#VALUE!</v>
      </c>
      <c r="I157" s="631" t="str">
        <f t="shared" si="37"/>
        <v>#VALUE!</v>
      </c>
      <c r="J157" s="2"/>
      <c r="K157" s="2"/>
      <c r="L157" s="2"/>
      <c r="M157" s="2"/>
      <c r="N157" s="2"/>
      <c r="O157" s="2"/>
      <c r="P157" s="2"/>
      <c r="Q157" s="2"/>
      <c r="R157" s="2"/>
      <c r="S157" s="2"/>
      <c r="T157" s="2"/>
      <c r="U157" s="2"/>
      <c r="V157" s="2"/>
      <c r="W157" s="2"/>
      <c r="X157" s="2"/>
      <c r="Y157" s="2"/>
      <c r="Z157" s="2"/>
      <c r="AA157" s="2"/>
    </row>
    <row r="158" hidden="1">
      <c r="A158" s="2"/>
      <c r="B158" s="646" t="str">
        <f t="shared" si="33"/>
        <v>Splinter of the Void          (Rathma ingredient, from Shadow of Mendeln map event)</v>
      </c>
      <c r="C158" s="64"/>
      <c r="D158" s="631">
        <f>IFERROR(__xludf.DUMMYFUNCTION("SPLIT(D74,""-"")*1"),0.25)</f>
        <v>0.25</v>
      </c>
      <c r="E158" s="631">
        <f>IFERROR(__xludf.DUMMYFUNCTION("SPLIT(D74,CONCATENATE(TO_TEXT(SPLIT(D74,""-"")),""-""),FALSE)"),0.25)</f>
        <v>0.25</v>
      </c>
      <c r="F158" s="631">
        <f t="shared" ref="F158:G158" si="72">D158*4</f>
        <v>1</v>
      </c>
      <c r="G158" s="631">
        <f t="shared" si="72"/>
        <v>1</v>
      </c>
      <c r="H158" s="631">
        <f t="shared" si="36"/>
        <v>25</v>
      </c>
      <c r="I158" s="631">
        <f t="shared" si="37"/>
        <v>25</v>
      </c>
      <c r="J158" s="2"/>
      <c r="K158" s="2"/>
      <c r="L158" s="2"/>
      <c r="M158" s="2"/>
      <c r="N158" s="2"/>
      <c r="O158" s="2"/>
      <c r="P158" s="2"/>
      <c r="Q158" s="2"/>
      <c r="R158" s="2"/>
      <c r="S158" s="2"/>
      <c r="T158" s="2"/>
      <c r="U158" s="2"/>
      <c r="V158" s="2"/>
      <c r="W158" s="2"/>
      <c r="X158" s="2"/>
      <c r="Y158" s="2"/>
      <c r="Z158" s="2"/>
      <c r="AA158" s="2"/>
    </row>
    <row r="159" hidden="1">
      <c r="A159" s="2"/>
      <c r="B159" s="646" t="str">
        <f t="shared" si="33"/>
        <v>Trang-Oul's Jawbone           (Rathma ingredient, from undead enemies)</v>
      </c>
      <c r="C159" s="64"/>
      <c r="D159" s="631">
        <f>IFERROR(__xludf.DUMMYFUNCTION("SPLIT(D75,""-"")*1"),0.05)</f>
        <v>0.05</v>
      </c>
      <c r="E159" s="631">
        <f>IFERROR(__xludf.DUMMYFUNCTION("SPLIT(D75,CONCATENATE(TO_TEXT(SPLIT(D75,""-"")),""-""),FALSE)"),0.05)</f>
        <v>0.05</v>
      </c>
      <c r="F159" s="631">
        <f t="shared" ref="F159:G159" si="73">D159*4</f>
        <v>0.2</v>
      </c>
      <c r="G159" s="631">
        <f t="shared" si="73"/>
        <v>0.2</v>
      </c>
      <c r="H159" s="631">
        <f t="shared" si="36"/>
        <v>5</v>
      </c>
      <c r="I159" s="631">
        <f t="shared" si="37"/>
        <v>5</v>
      </c>
      <c r="J159" s="2"/>
      <c r="K159" s="2"/>
      <c r="L159" s="2"/>
      <c r="M159" s="2"/>
      <c r="N159" s="2"/>
      <c r="O159" s="2"/>
      <c r="P159" s="2"/>
      <c r="Q159" s="2"/>
      <c r="R159" s="2"/>
      <c r="S159" s="2"/>
      <c r="T159" s="2"/>
      <c r="U159" s="2"/>
      <c r="V159" s="2"/>
      <c r="W159" s="2"/>
      <c r="X159" s="2"/>
      <c r="Y159" s="2"/>
      <c r="Z159" s="2"/>
      <c r="AA159" s="2"/>
    </row>
    <row r="160" hidden="1">
      <c r="A160" s="2"/>
      <c r="B160" s="646" t="str">
        <f t="shared" si="33"/>
        <v>Hellfire Ashes</v>
      </c>
      <c r="C160" s="64"/>
      <c r="D160" s="631">
        <f>IFERROR(__xludf.DUMMYFUNCTION("SPLIT(D76,""-"")*1"),0.4)</f>
        <v>0.4</v>
      </c>
      <c r="E160" s="631">
        <f>IFERROR(__xludf.DUMMYFUNCTION("SPLIT(D76,CONCATENATE(TO_TEXT(SPLIT(D76,""-"")),""-""),FALSE)"),0.4)</f>
        <v>0.4</v>
      </c>
      <c r="F160" s="631">
        <f t="shared" ref="F160:G160" si="74">D160*4</f>
        <v>1.6</v>
      </c>
      <c r="G160" s="631">
        <f t="shared" si="74"/>
        <v>1.6</v>
      </c>
      <c r="H160" s="631">
        <f t="shared" si="36"/>
        <v>40</v>
      </c>
      <c r="I160" s="631">
        <f t="shared" si="37"/>
        <v>40</v>
      </c>
      <c r="J160" s="2"/>
      <c r="K160" s="2"/>
      <c r="L160" s="2"/>
      <c r="M160" s="2"/>
      <c r="N160" s="2"/>
      <c r="O160" s="2"/>
      <c r="P160" s="2"/>
      <c r="Q160" s="2"/>
      <c r="R160" s="2"/>
      <c r="S160" s="2"/>
      <c r="T160" s="2"/>
      <c r="U160" s="2"/>
      <c r="V160" s="2"/>
      <c r="W160" s="2"/>
      <c r="X160" s="2"/>
      <c r="Y160" s="2"/>
      <c r="Z160" s="2"/>
      <c r="AA160" s="2"/>
    </row>
    <row r="161" hidden="1">
      <c r="A161" s="2"/>
      <c r="B161" s="646" t="str">
        <f t="shared" si="33"/>
        <v>Shadow of Hatred</v>
      </c>
      <c r="C161" s="64"/>
      <c r="D161" s="631">
        <f>IFERROR(__xludf.DUMMYFUNCTION("SPLIT(D77,""-"")*1"),0.5)</f>
        <v>0.5</v>
      </c>
      <c r="E161" s="631">
        <f>IFERROR(__xludf.DUMMYFUNCTION("SPLIT(D77,CONCATENATE(TO_TEXT(SPLIT(D77,""-"")),""-""),FALSE)"),0.5)</f>
        <v>0.5</v>
      </c>
      <c r="F161" s="631">
        <f t="shared" ref="F161:G161" si="75">D161*4</f>
        <v>2</v>
      </c>
      <c r="G161" s="631">
        <f t="shared" si="75"/>
        <v>2</v>
      </c>
      <c r="H161" s="631">
        <f t="shared" si="36"/>
        <v>50</v>
      </c>
      <c r="I161" s="631">
        <f t="shared" si="37"/>
        <v>50</v>
      </c>
      <c r="J161" s="2"/>
      <c r="K161" s="2"/>
      <c r="L161" s="2"/>
      <c r="M161" s="2"/>
      <c r="N161" s="2"/>
      <c r="O161" s="2"/>
      <c r="P161" s="2"/>
      <c r="Q161" s="2"/>
      <c r="R161" s="2"/>
      <c r="S161" s="2"/>
      <c r="T161" s="2"/>
      <c r="U161" s="2"/>
      <c r="V161" s="2"/>
      <c r="W161" s="2"/>
      <c r="X161" s="2"/>
      <c r="Y161" s="2"/>
      <c r="Z161" s="2"/>
      <c r="AA161" s="2"/>
    </row>
    <row r="162" hidden="1">
      <c r="A162" s="2"/>
      <c r="B162" s="646" t="str">
        <f t="shared" si="33"/>
        <v>Demonic Insignia</v>
      </c>
      <c r="C162" s="64"/>
      <c r="D162" s="631">
        <f>IFERROR(__xludf.DUMMYFUNCTION("SPLIT(D78,""-"")*1"),0.25)</f>
        <v>0.25</v>
      </c>
      <c r="E162" s="631">
        <f>IFERROR(__xludf.DUMMYFUNCTION("SPLIT(D78,CONCATENATE(TO_TEXT(SPLIT(D78,""-"")),""-""),FALSE)"),0.25)</f>
        <v>0.25</v>
      </c>
      <c r="F162" s="631">
        <f t="shared" ref="F162:G162" si="76">D162*4</f>
        <v>1</v>
      </c>
      <c r="G162" s="631">
        <f t="shared" si="76"/>
        <v>1</v>
      </c>
      <c r="H162" s="631">
        <f t="shared" si="36"/>
        <v>25</v>
      </c>
      <c r="I162" s="631">
        <f t="shared" si="37"/>
        <v>25</v>
      </c>
      <c r="J162" s="2"/>
      <c r="K162" s="2"/>
      <c r="L162" s="2"/>
      <c r="M162" s="2"/>
      <c r="N162" s="2"/>
      <c r="O162" s="2"/>
      <c r="P162" s="2"/>
      <c r="Q162" s="2"/>
      <c r="R162" s="2"/>
      <c r="S162" s="2"/>
      <c r="T162" s="2"/>
      <c r="U162" s="2"/>
      <c r="V162" s="2"/>
      <c r="W162" s="2"/>
      <c r="X162" s="2"/>
      <c r="Y162" s="2"/>
      <c r="Z162" s="2"/>
      <c r="AA162" s="2"/>
    </row>
    <row r="163" hidden="1">
      <c r="A163" s="2"/>
      <c r="B163" s="646" t="str">
        <f t="shared" si="33"/>
        <v>Talisman of Transgression</v>
      </c>
      <c r="C163" s="64"/>
      <c r="D163" s="631">
        <f>IFERROR(__xludf.DUMMYFUNCTION("SPLIT(D79,""-"")*1"),0.03)</f>
        <v>0.03</v>
      </c>
      <c r="E163" s="631">
        <f>IFERROR(__xludf.DUMMYFUNCTION("SPLIT(D79,CONCATENATE(TO_TEXT(SPLIT(D79,""-"")),""-""),FALSE)"),0.03)</f>
        <v>0.03</v>
      </c>
      <c r="F163" s="631">
        <f t="shared" ref="F163:G163" si="77">D163*4</f>
        <v>0.12</v>
      </c>
      <c r="G163" s="631">
        <f t="shared" si="77"/>
        <v>0.12</v>
      </c>
      <c r="H163" s="631">
        <f t="shared" si="36"/>
        <v>3</v>
      </c>
      <c r="I163" s="631">
        <f t="shared" si="37"/>
        <v>3</v>
      </c>
      <c r="J163" s="2"/>
      <c r="K163" s="2"/>
      <c r="L163" s="2"/>
      <c r="M163" s="2"/>
      <c r="N163" s="2"/>
      <c r="O163" s="2"/>
      <c r="P163" s="2"/>
      <c r="Q163" s="2"/>
      <c r="R163" s="2"/>
      <c r="S163" s="2"/>
      <c r="T163" s="2"/>
      <c r="U163" s="2"/>
      <c r="V163" s="2"/>
      <c r="W163" s="2"/>
      <c r="X163" s="2"/>
      <c r="Y163" s="2"/>
      <c r="Z163" s="2"/>
      <c r="AA163" s="2"/>
    </row>
    <row r="164" hidden="1">
      <c r="A164" s="2"/>
      <c r="B164" s="646" t="str">
        <f t="shared" si="33"/>
        <v>Flesh of Malic</v>
      </c>
      <c r="C164" s="64"/>
      <c r="D164" s="631">
        <f>IFERROR(__xludf.DUMMYFUNCTION("SPLIT(D80,""-"")*1"),0.25)</f>
        <v>0.25</v>
      </c>
      <c r="E164" s="631">
        <f>IFERROR(__xludf.DUMMYFUNCTION("SPLIT(D80,CONCATENATE(TO_TEXT(SPLIT(D80,""-"")),""-""),FALSE)"),0.25)</f>
        <v>0.25</v>
      </c>
      <c r="F164" s="631">
        <f t="shared" ref="F164:G164" si="78">D164*4</f>
        <v>1</v>
      </c>
      <c r="G164" s="631">
        <f t="shared" si="78"/>
        <v>1</v>
      </c>
      <c r="H164" s="631">
        <f t="shared" si="36"/>
        <v>25</v>
      </c>
      <c r="I164" s="631">
        <f t="shared" si="37"/>
        <v>25</v>
      </c>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sheetData>
  <mergeCells count="447">
    <mergeCell ref="A1:J1"/>
    <mergeCell ref="L1:V1"/>
    <mergeCell ref="D2:E2"/>
    <mergeCell ref="F2:G2"/>
    <mergeCell ref="H2:I2"/>
    <mergeCell ref="L2:X2"/>
    <mergeCell ref="D3:E3"/>
    <mergeCell ref="F3:G3"/>
    <mergeCell ref="H3:I3"/>
    <mergeCell ref="D4:E4"/>
    <mergeCell ref="F4:G4"/>
    <mergeCell ref="H4:I4"/>
    <mergeCell ref="F5:G5"/>
    <mergeCell ref="H5:I5"/>
    <mergeCell ref="D5:E5"/>
    <mergeCell ref="D6:E6"/>
    <mergeCell ref="F6:G6"/>
    <mergeCell ref="H6:I6"/>
    <mergeCell ref="D7:E7"/>
    <mergeCell ref="F7:G7"/>
    <mergeCell ref="H7:I7"/>
    <mergeCell ref="F10:G10"/>
    <mergeCell ref="H10:I10"/>
    <mergeCell ref="D8:E8"/>
    <mergeCell ref="F8:G8"/>
    <mergeCell ref="H8:I8"/>
    <mergeCell ref="D9:E9"/>
    <mergeCell ref="F9:G9"/>
    <mergeCell ref="H9:I9"/>
    <mergeCell ref="D10:E10"/>
    <mergeCell ref="F13:G13"/>
    <mergeCell ref="H13:I13"/>
    <mergeCell ref="D11:E11"/>
    <mergeCell ref="F11:G11"/>
    <mergeCell ref="H11:I11"/>
    <mergeCell ref="D12:E12"/>
    <mergeCell ref="F12:G12"/>
    <mergeCell ref="H12:I12"/>
    <mergeCell ref="D13:E13"/>
    <mergeCell ref="D22:E22"/>
    <mergeCell ref="F22:G22"/>
    <mergeCell ref="H22:I22"/>
    <mergeCell ref="D23:E23"/>
    <mergeCell ref="F23:G23"/>
    <mergeCell ref="H23:I23"/>
    <mergeCell ref="L23:U23"/>
    <mergeCell ref="D24:E24"/>
    <mergeCell ref="F24:G24"/>
    <mergeCell ref="H24:I24"/>
    <mergeCell ref="L24:U24"/>
    <mergeCell ref="F25:G25"/>
    <mergeCell ref="H25:I25"/>
    <mergeCell ref="L25:U25"/>
    <mergeCell ref="F16:G16"/>
    <mergeCell ref="H16:I16"/>
    <mergeCell ref="D14:E14"/>
    <mergeCell ref="F14:G14"/>
    <mergeCell ref="H14:I14"/>
    <mergeCell ref="D15:E15"/>
    <mergeCell ref="F15:G15"/>
    <mergeCell ref="H15:I15"/>
    <mergeCell ref="D16:E16"/>
    <mergeCell ref="F19:G19"/>
    <mergeCell ref="H19:I19"/>
    <mergeCell ref="L19:V19"/>
    <mergeCell ref="D20:E20"/>
    <mergeCell ref="F20:G20"/>
    <mergeCell ref="H20:I20"/>
    <mergeCell ref="L20:X20"/>
    <mergeCell ref="D21:E21"/>
    <mergeCell ref="F21:G21"/>
    <mergeCell ref="H21:I21"/>
    <mergeCell ref="L21:V21"/>
    <mergeCell ref="D17:E17"/>
    <mergeCell ref="F17:G17"/>
    <mergeCell ref="H17:I17"/>
    <mergeCell ref="D18:E18"/>
    <mergeCell ref="F18:G18"/>
    <mergeCell ref="H18:I18"/>
    <mergeCell ref="D19:E19"/>
    <mergeCell ref="L26:U26"/>
    <mergeCell ref="L27:U27"/>
    <mergeCell ref="D25:E25"/>
    <mergeCell ref="D26:E26"/>
    <mergeCell ref="F26:G26"/>
    <mergeCell ref="H26:I26"/>
    <mergeCell ref="D27:E27"/>
    <mergeCell ref="F27:G27"/>
    <mergeCell ref="H27:I27"/>
    <mergeCell ref="D28:E28"/>
    <mergeCell ref="F28:G28"/>
    <mergeCell ref="H28:I28"/>
    <mergeCell ref="F29:G29"/>
    <mergeCell ref="H29:I29"/>
    <mergeCell ref="L29:O29"/>
    <mergeCell ref="P29:T29"/>
    <mergeCell ref="L31:O31"/>
    <mergeCell ref="P31:T31"/>
    <mergeCell ref="L32:O32"/>
    <mergeCell ref="P32:T32"/>
    <mergeCell ref="L33:O33"/>
    <mergeCell ref="P33:T33"/>
    <mergeCell ref="D29:E29"/>
    <mergeCell ref="D30:E30"/>
    <mergeCell ref="F30:G30"/>
    <mergeCell ref="H30:I30"/>
    <mergeCell ref="L30:O30"/>
    <mergeCell ref="P30:T30"/>
    <mergeCell ref="D31:E31"/>
    <mergeCell ref="F31:G31"/>
    <mergeCell ref="H31:I31"/>
    <mergeCell ref="D32:E32"/>
    <mergeCell ref="F32:G32"/>
    <mergeCell ref="H32:I32"/>
    <mergeCell ref="F33:G33"/>
    <mergeCell ref="H33:I33"/>
    <mergeCell ref="K35:L35"/>
    <mergeCell ref="M35:R35"/>
    <mergeCell ref="D33:E33"/>
    <mergeCell ref="D34:E34"/>
    <mergeCell ref="F34:G34"/>
    <mergeCell ref="H34:I34"/>
    <mergeCell ref="D35:E35"/>
    <mergeCell ref="F35:G35"/>
    <mergeCell ref="H35:I35"/>
    <mergeCell ref="B46:C46"/>
    <mergeCell ref="B47:C47"/>
    <mergeCell ref="D47:E47"/>
    <mergeCell ref="F47:G47"/>
    <mergeCell ref="H47:I47"/>
    <mergeCell ref="B48:C48"/>
    <mergeCell ref="H48:I48"/>
    <mergeCell ref="B49:C49"/>
    <mergeCell ref="D49:E49"/>
    <mergeCell ref="F49:G49"/>
    <mergeCell ref="H49:I49"/>
    <mergeCell ref="D50:E50"/>
    <mergeCell ref="F50:G50"/>
    <mergeCell ref="H50:I50"/>
    <mergeCell ref="F52:G52"/>
    <mergeCell ref="H52:I52"/>
    <mergeCell ref="B50:C50"/>
    <mergeCell ref="B51:C51"/>
    <mergeCell ref="D51:E51"/>
    <mergeCell ref="F51:G51"/>
    <mergeCell ref="H51:I51"/>
    <mergeCell ref="B52:C52"/>
    <mergeCell ref="D52:E52"/>
    <mergeCell ref="K54:L54"/>
    <mergeCell ref="K55:L55"/>
    <mergeCell ref="K47:L47"/>
    <mergeCell ref="K48:L48"/>
    <mergeCell ref="K49:L49"/>
    <mergeCell ref="K50:L50"/>
    <mergeCell ref="K51:L51"/>
    <mergeCell ref="K52:L52"/>
    <mergeCell ref="K53:L53"/>
    <mergeCell ref="K73:L73"/>
    <mergeCell ref="K74:L74"/>
    <mergeCell ref="K75:L75"/>
    <mergeCell ref="K76:L76"/>
    <mergeCell ref="K77:L77"/>
    <mergeCell ref="K78:L78"/>
    <mergeCell ref="K79:L79"/>
    <mergeCell ref="K80:L80"/>
    <mergeCell ref="K66:L66"/>
    <mergeCell ref="K67:L67"/>
    <mergeCell ref="K68:L68"/>
    <mergeCell ref="K69:L69"/>
    <mergeCell ref="K70:L70"/>
    <mergeCell ref="K71:L71"/>
    <mergeCell ref="K72:L72"/>
    <mergeCell ref="D40:E40"/>
    <mergeCell ref="F40:G40"/>
    <mergeCell ref="B41:C41"/>
    <mergeCell ref="D41:E41"/>
    <mergeCell ref="F41:G41"/>
    <mergeCell ref="H41:I41"/>
    <mergeCell ref="H42:I42"/>
    <mergeCell ref="D42:E42"/>
    <mergeCell ref="F42:G42"/>
    <mergeCell ref="B44:C44"/>
    <mergeCell ref="D44:E44"/>
    <mergeCell ref="F44:G44"/>
    <mergeCell ref="H44:I44"/>
    <mergeCell ref="K44:L44"/>
    <mergeCell ref="F46:G46"/>
    <mergeCell ref="H46:I46"/>
    <mergeCell ref="B45:C45"/>
    <mergeCell ref="D45:E45"/>
    <mergeCell ref="F45:G45"/>
    <mergeCell ref="H45:I45"/>
    <mergeCell ref="K45:L45"/>
    <mergeCell ref="D46:E46"/>
    <mergeCell ref="K46:L46"/>
    <mergeCell ref="D48:E48"/>
    <mergeCell ref="F48:G48"/>
    <mergeCell ref="F56:G56"/>
    <mergeCell ref="H56:I56"/>
    <mergeCell ref="K56:L56"/>
    <mergeCell ref="K59:L59"/>
    <mergeCell ref="K60:L60"/>
    <mergeCell ref="K61:L61"/>
    <mergeCell ref="K62:L62"/>
    <mergeCell ref="K63:L63"/>
    <mergeCell ref="K64:L64"/>
    <mergeCell ref="K65:L65"/>
    <mergeCell ref="D74:E74"/>
    <mergeCell ref="F74:G74"/>
    <mergeCell ref="F72:G72"/>
    <mergeCell ref="H72:I72"/>
    <mergeCell ref="B73:C73"/>
    <mergeCell ref="D73:E73"/>
    <mergeCell ref="F73:G73"/>
    <mergeCell ref="H73:I73"/>
    <mergeCell ref="H74:I74"/>
    <mergeCell ref="F76:G76"/>
    <mergeCell ref="H76:I76"/>
    <mergeCell ref="B74:C74"/>
    <mergeCell ref="B75:C75"/>
    <mergeCell ref="D75:E75"/>
    <mergeCell ref="F75:G75"/>
    <mergeCell ref="H75:I75"/>
    <mergeCell ref="B76:C76"/>
    <mergeCell ref="D76:E76"/>
    <mergeCell ref="B77:C77"/>
    <mergeCell ref="D77:E77"/>
    <mergeCell ref="F77:G77"/>
    <mergeCell ref="H77:I77"/>
    <mergeCell ref="D78:E78"/>
    <mergeCell ref="F78:G78"/>
    <mergeCell ref="H78:I78"/>
    <mergeCell ref="B78:C78"/>
    <mergeCell ref="B79:C79"/>
    <mergeCell ref="D79:E79"/>
    <mergeCell ref="F79:G79"/>
    <mergeCell ref="H79:I79"/>
    <mergeCell ref="B80:C80"/>
    <mergeCell ref="D80:E80"/>
    <mergeCell ref="H85:H86"/>
    <mergeCell ref="I85:I86"/>
    <mergeCell ref="F80:G80"/>
    <mergeCell ref="H80:I80"/>
    <mergeCell ref="B84:H84"/>
    <mergeCell ref="B85:B86"/>
    <mergeCell ref="C85:C86"/>
    <mergeCell ref="D85:D86"/>
    <mergeCell ref="E85:E86"/>
    <mergeCell ref="B126:C126"/>
    <mergeCell ref="B127:C127"/>
    <mergeCell ref="B128:C128"/>
    <mergeCell ref="B129:C129"/>
    <mergeCell ref="B130:C130"/>
    <mergeCell ref="B131:C131"/>
    <mergeCell ref="B132:C132"/>
    <mergeCell ref="B133:C133"/>
    <mergeCell ref="B134:C134"/>
    <mergeCell ref="B135:C135"/>
    <mergeCell ref="B136:C136"/>
    <mergeCell ref="B137:C137"/>
    <mergeCell ref="B138:C138"/>
    <mergeCell ref="B139:C139"/>
    <mergeCell ref="B140:C140"/>
    <mergeCell ref="B141:C141"/>
    <mergeCell ref="B142:C142"/>
    <mergeCell ref="B143:C143"/>
    <mergeCell ref="B144:C144"/>
    <mergeCell ref="B145:C145"/>
    <mergeCell ref="B146:C146"/>
    <mergeCell ref="B147:C147"/>
    <mergeCell ref="B148:C148"/>
    <mergeCell ref="B149:C149"/>
    <mergeCell ref="B150:C150"/>
    <mergeCell ref="B151:C151"/>
    <mergeCell ref="B152:C152"/>
    <mergeCell ref="B153:C153"/>
    <mergeCell ref="B161:C161"/>
    <mergeCell ref="B162:C162"/>
    <mergeCell ref="B163:C163"/>
    <mergeCell ref="B164:C164"/>
    <mergeCell ref="B154:C154"/>
    <mergeCell ref="B155:C155"/>
    <mergeCell ref="B156:C156"/>
    <mergeCell ref="B157:C157"/>
    <mergeCell ref="B158:C158"/>
    <mergeCell ref="B159:C159"/>
    <mergeCell ref="B160:C160"/>
    <mergeCell ref="D60:E60"/>
    <mergeCell ref="F60:G60"/>
    <mergeCell ref="B58:C58"/>
    <mergeCell ref="B59:C59"/>
    <mergeCell ref="D59:E59"/>
    <mergeCell ref="F59:G59"/>
    <mergeCell ref="H59:I59"/>
    <mergeCell ref="B60:C60"/>
    <mergeCell ref="H60:I60"/>
    <mergeCell ref="B61:C61"/>
    <mergeCell ref="D61:E61"/>
    <mergeCell ref="F61:G61"/>
    <mergeCell ref="H61:I61"/>
    <mergeCell ref="D62:E62"/>
    <mergeCell ref="F62:G62"/>
    <mergeCell ref="H62:I62"/>
    <mergeCell ref="F64:G64"/>
    <mergeCell ref="H64:I64"/>
    <mergeCell ref="B62:C62"/>
    <mergeCell ref="B63:C63"/>
    <mergeCell ref="D63:E63"/>
    <mergeCell ref="F63:G63"/>
    <mergeCell ref="H63:I63"/>
    <mergeCell ref="B64:C64"/>
    <mergeCell ref="D64:E64"/>
    <mergeCell ref="F68:G68"/>
    <mergeCell ref="H68:I68"/>
    <mergeCell ref="F85:F86"/>
    <mergeCell ref="G85:G86"/>
    <mergeCell ref="B121:C121"/>
    <mergeCell ref="B122:C122"/>
    <mergeCell ref="B123:C123"/>
    <mergeCell ref="B124:C124"/>
    <mergeCell ref="B125:C125"/>
    <mergeCell ref="M40:U40"/>
    <mergeCell ref="M41:U41"/>
    <mergeCell ref="M42:U42"/>
    <mergeCell ref="M43:U43"/>
    <mergeCell ref="M44:U44"/>
    <mergeCell ref="M45:U45"/>
    <mergeCell ref="M46:U46"/>
    <mergeCell ref="M47:U47"/>
    <mergeCell ref="M48:U48"/>
    <mergeCell ref="M49:U49"/>
    <mergeCell ref="M50:U50"/>
    <mergeCell ref="M51:U51"/>
    <mergeCell ref="M52:R52"/>
    <mergeCell ref="M53:R53"/>
    <mergeCell ref="B53:C53"/>
    <mergeCell ref="D53:E53"/>
    <mergeCell ref="F53:G53"/>
    <mergeCell ref="H53:I53"/>
    <mergeCell ref="D54:E54"/>
    <mergeCell ref="F54:G54"/>
    <mergeCell ref="H54:I54"/>
    <mergeCell ref="B54:C54"/>
    <mergeCell ref="B55:C55"/>
    <mergeCell ref="D55:E55"/>
    <mergeCell ref="F55:G55"/>
    <mergeCell ref="H55:I55"/>
    <mergeCell ref="B56:C56"/>
    <mergeCell ref="D56:E56"/>
    <mergeCell ref="F58:G58"/>
    <mergeCell ref="H58:I58"/>
    <mergeCell ref="B57:C57"/>
    <mergeCell ref="D57:E57"/>
    <mergeCell ref="F57:G57"/>
    <mergeCell ref="H57:I57"/>
    <mergeCell ref="K57:L57"/>
    <mergeCell ref="D58:E58"/>
    <mergeCell ref="K58:L58"/>
    <mergeCell ref="B65:C65"/>
    <mergeCell ref="D65:E65"/>
    <mergeCell ref="F65:G65"/>
    <mergeCell ref="H65:I65"/>
    <mergeCell ref="D66:E66"/>
    <mergeCell ref="F66:G66"/>
    <mergeCell ref="H66:I66"/>
    <mergeCell ref="B66:C66"/>
    <mergeCell ref="B67:C67"/>
    <mergeCell ref="D67:E67"/>
    <mergeCell ref="F67:G67"/>
    <mergeCell ref="H67:I67"/>
    <mergeCell ref="B68:C68"/>
    <mergeCell ref="D68:E68"/>
    <mergeCell ref="M61:U61"/>
    <mergeCell ref="M62:U62"/>
    <mergeCell ref="M63:U63"/>
    <mergeCell ref="M64:U64"/>
    <mergeCell ref="M65:U65"/>
    <mergeCell ref="M66:U66"/>
    <mergeCell ref="M67:U67"/>
    <mergeCell ref="M75:U75"/>
    <mergeCell ref="M76:U76"/>
    <mergeCell ref="M77:U77"/>
    <mergeCell ref="M78:U78"/>
    <mergeCell ref="M79:U79"/>
    <mergeCell ref="M80:U80"/>
    <mergeCell ref="M68:U68"/>
    <mergeCell ref="M69:U69"/>
    <mergeCell ref="M70:U70"/>
    <mergeCell ref="M71:U71"/>
    <mergeCell ref="M72:U72"/>
    <mergeCell ref="M73:U73"/>
    <mergeCell ref="M74:U74"/>
    <mergeCell ref="K37:L37"/>
    <mergeCell ref="M37:U37"/>
    <mergeCell ref="M38:U38"/>
    <mergeCell ref="D36:E36"/>
    <mergeCell ref="F36:G36"/>
    <mergeCell ref="H36:I36"/>
    <mergeCell ref="K36:L36"/>
    <mergeCell ref="M36:R36"/>
    <mergeCell ref="B37:C37"/>
    <mergeCell ref="D37:E37"/>
    <mergeCell ref="F37:G37"/>
    <mergeCell ref="H37:I37"/>
    <mergeCell ref="B38:C38"/>
    <mergeCell ref="D38:E38"/>
    <mergeCell ref="F38:G38"/>
    <mergeCell ref="H38:I38"/>
    <mergeCell ref="K38:L38"/>
    <mergeCell ref="K39:L39"/>
    <mergeCell ref="K40:L40"/>
    <mergeCell ref="K41:L41"/>
    <mergeCell ref="K42:L42"/>
    <mergeCell ref="K43:L43"/>
    <mergeCell ref="B39:C39"/>
    <mergeCell ref="D39:E39"/>
    <mergeCell ref="F39:G39"/>
    <mergeCell ref="H39:I39"/>
    <mergeCell ref="M39:U39"/>
    <mergeCell ref="B40:C40"/>
    <mergeCell ref="H40:I40"/>
    <mergeCell ref="B42:C42"/>
    <mergeCell ref="B43:C43"/>
    <mergeCell ref="D43:E43"/>
    <mergeCell ref="F43:G43"/>
    <mergeCell ref="H43:I43"/>
    <mergeCell ref="M54:R54"/>
    <mergeCell ref="M55:R55"/>
    <mergeCell ref="M56:U56"/>
    <mergeCell ref="M57:U57"/>
    <mergeCell ref="M58:U58"/>
    <mergeCell ref="M59:U59"/>
    <mergeCell ref="M60:U60"/>
    <mergeCell ref="B69:C69"/>
    <mergeCell ref="D69:E69"/>
    <mergeCell ref="F69:G69"/>
    <mergeCell ref="H69:I69"/>
    <mergeCell ref="D70:E70"/>
    <mergeCell ref="F70:G70"/>
    <mergeCell ref="H70:I70"/>
    <mergeCell ref="B70:C70"/>
    <mergeCell ref="B71:C71"/>
    <mergeCell ref="D71:E71"/>
    <mergeCell ref="F71:G71"/>
    <mergeCell ref="H71:I71"/>
    <mergeCell ref="B72:C72"/>
    <mergeCell ref="D72:E72"/>
  </mergeCells>
  <hyperlinks>
    <hyperlink r:id="rId1" ref="P29"/>
    <hyperlink r:id="rId2" ref="P30"/>
    <hyperlink r:id="rId3" ref="P32"/>
  </hyperlinks>
  <printOptions gridLines="1" horizontalCentered="1"/>
  <pageMargins bottom="0.75" footer="0.0" header="0.0" left="0.7" right="0.7" top="0.75"/>
  <pageSetup orientation="portrait" pageOrder="overThenDown"/>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6.0"/>
    <col customWidth="1" min="2" max="2" width="3.38"/>
    <col customWidth="1" min="3" max="3" width="3.0"/>
    <col customWidth="1" min="4" max="4" width="2.88"/>
    <col customWidth="1" min="5" max="7" width="3.75"/>
    <col customWidth="1" min="8" max="8" width="3.0"/>
    <col customWidth="1" min="9" max="9" width="3.88"/>
    <col customWidth="1" min="10" max="10" width="3.38"/>
    <col customWidth="1" min="11" max="11" width="3.13"/>
    <col customWidth="1" hidden="1" min="12" max="12" width="3.0"/>
    <col customWidth="1" hidden="1" min="13" max="13" width="3.13"/>
    <col customWidth="1" hidden="1" min="14" max="14" width="9.75"/>
    <col customWidth="1" hidden="1" min="15" max="15" width="3.75"/>
    <col customWidth="1" hidden="1" min="16" max="16" width="3.0"/>
    <col customWidth="1" min="17" max="17" width="16.0"/>
    <col customWidth="1" min="18" max="18" width="3.38"/>
    <col customWidth="1" min="19" max="19" width="3.0"/>
    <col customWidth="1" min="20" max="20" width="2.88"/>
    <col customWidth="1" min="21" max="23" width="3.75"/>
    <col customWidth="1" min="24" max="24" width="3.0"/>
    <col customWidth="1" min="25" max="25" width="4.25"/>
    <col customWidth="1" min="26" max="26" width="3.38"/>
    <col customWidth="1" min="27" max="27" width="3.13"/>
    <col customWidth="1" hidden="1" min="28" max="28" width="3.0"/>
    <col customWidth="1" hidden="1" min="29" max="29" width="3.13"/>
    <col customWidth="1" hidden="1" min="30" max="30" width="9.75"/>
    <col customWidth="1" hidden="1" min="31" max="31" width="3.75"/>
    <col customWidth="1" hidden="1" min="32" max="32" width="3.0"/>
    <col customWidth="1" min="33" max="33" width="16.0"/>
    <col customWidth="1" min="34" max="34" width="3.38"/>
    <col customWidth="1" min="35" max="35" width="3.0"/>
    <col customWidth="1" min="36" max="36" width="2.88"/>
    <col customWidth="1" min="37" max="39" width="3.75"/>
    <col customWidth="1" min="40" max="40" width="3.0"/>
    <col customWidth="1" min="41" max="41" width="4.25"/>
    <col customWidth="1" min="42" max="43" width="3.38"/>
    <col customWidth="1" hidden="1" min="44" max="44" width="3.0"/>
    <col customWidth="1" hidden="1" min="45" max="45" width="3.75"/>
    <col customWidth="1" hidden="1" min="46" max="46" width="9.75"/>
    <col customWidth="1" hidden="1" min="47" max="47" width="3.75"/>
    <col customWidth="1" hidden="1" min="48" max="48" width="3.0"/>
    <col customWidth="1" min="49" max="49" width="13.88"/>
    <col customWidth="1" min="50" max="50" width="30.13"/>
  </cols>
  <sheetData>
    <row r="1" ht="11.25" hidden="1" customHeight="1">
      <c r="A1" s="4"/>
      <c r="B1" s="6"/>
      <c r="C1" s="7"/>
      <c r="D1" s="7"/>
      <c r="E1" s="7"/>
      <c r="F1" s="7"/>
      <c r="G1" s="7"/>
      <c r="H1" s="6"/>
      <c r="I1" s="6"/>
      <c r="J1" s="6"/>
      <c r="K1" s="6"/>
      <c r="L1" s="6"/>
      <c r="M1" s="6"/>
      <c r="N1" s="6"/>
      <c r="O1" s="6"/>
      <c r="P1" s="10"/>
      <c r="Q1" s="12"/>
      <c r="R1" s="6"/>
      <c r="S1" s="7"/>
      <c r="T1" s="7"/>
      <c r="U1" s="7"/>
      <c r="V1" s="7"/>
      <c r="W1" s="7"/>
      <c r="X1" s="6"/>
      <c r="Y1" s="6"/>
      <c r="Z1" s="6"/>
      <c r="AA1" s="6"/>
      <c r="AB1" s="6"/>
      <c r="AC1" s="6"/>
      <c r="AD1" s="6"/>
      <c r="AE1" s="6"/>
      <c r="AF1" s="10"/>
      <c r="AG1" s="12"/>
      <c r="AH1" s="6"/>
      <c r="AI1" s="7"/>
      <c r="AJ1" s="7"/>
      <c r="AK1" s="7"/>
      <c r="AL1" s="7"/>
      <c r="AM1" s="7"/>
      <c r="AN1" s="6"/>
      <c r="AO1" s="6"/>
      <c r="AP1" s="6"/>
      <c r="AQ1" s="6"/>
      <c r="AR1" s="6"/>
      <c r="AS1" s="6"/>
      <c r="AT1" s="6"/>
      <c r="AU1" s="6"/>
      <c r="AV1" s="10"/>
      <c r="AW1" s="18"/>
      <c r="AX1" s="6"/>
    </row>
    <row r="2">
      <c r="A2" s="4" t="s">
        <v>19</v>
      </c>
      <c r="B2" s="6" t="s">
        <v>21</v>
      </c>
      <c r="C2" s="7" t="s">
        <v>22</v>
      </c>
      <c r="D2" s="7" t="s">
        <v>23</v>
      </c>
      <c r="E2" s="7" t="s">
        <v>25</v>
      </c>
      <c r="F2" s="7" t="s">
        <v>26</v>
      </c>
      <c r="G2" s="7" t="s">
        <v>27</v>
      </c>
      <c r="H2" s="6" t="s">
        <v>28</v>
      </c>
      <c r="I2" s="6" t="s">
        <v>29</v>
      </c>
      <c r="J2" s="6" t="s">
        <v>30</v>
      </c>
      <c r="K2" s="6" t="s">
        <v>31</v>
      </c>
      <c r="L2" s="6" t="s">
        <v>26</v>
      </c>
      <c r="M2" s="6" t="s">
        <v>27</v>
      </c>
      <c r="N2" s="6" t="s">
        <v>32</v>
      </c>
      <c r="O2" s="6" t="s">
        <v>33</v>
      </c>
      <c r="P2" s="10"/>
      <c r="Q2" s="12" t="s">
        <v>35</v>
      </c>
      <c r="R2" s="6" t="s">
        <v>21</v>
      </c>
      <c r="S2" s="7" t="s">
        <v>22</v>
      </c>
      <c r="T2" s="7" t="s">
        <v>23</v>
      </c>
      <c r="U2" s="7" t="s">
        <v>25</v>
      </c>
      <c r="V2" s="7" t="s">
        <v>26</v>
      </c>
      <c r="W2" s="7" t="s">
        <v>27</v>
      </c>
      <c r="X2" s="6" t="s">
        <v>28</v>
      </c>
      <c r="Y2" s="6" t="s">
        <v>29</v>
      </c>
      <c r="Z2" s="6" t="s">
        <v>30</v>
      </c>
      <c r="AA2" s="6" t="s">
        <v>31</v>
      </c>
      <c r="AB2" s="6" t="s">
        <v>26</v>
      </c>
      <c r="AC2" s="6" t="s">
        <v>27</v>
      </c>
      <c r="AD2" s="6" t="s">
        <v>32</v>
      </c>
      <c r="AE2" s="6" t="s">
        <v>33</v>
      </c>
      <c r="AF2" s="10"/>
      <c r="AG2" s="12" t="s">
        <v>39</v>
      </c>
      <c r="AH2" s="6" t="s">
        <v>21</v>
      </c>
      <c r="AI2" s="7" t="s">
        <v>22</v>
      </c>
      <c r="AJ2" s="7" t="s">
        <v>23</v>
      </c>
      <c r="AK2" s="7" t="s">
        <v>25</v>
      </c>
      <c r="AL2" s="7" t="s">
        <v>26</v>
      </c>
      <c r="AM2" s="7" t="s">
        <v>27</v>
      </c>
      <c r="AN2" s="6" t="s">
        <v>28</v>
      </c>
      <c r="AO2" s="6" t="s">
        <v>29</v>
      </c>
      <c r="AP2" s="6" t="s">
        <v>30</v>
      </c>
      <c r="AQ2" s="6" t="s">
        <v>31</v>
      </c>
      <c r="AR2" s="6" t="s">
        <v>26</v>
      </c>
      <c r="AS2" s="6" t="s">
        <v>27</v>
      </c>
      <c r="AT2" s="6" t="s">
        <v>32</v>
      </c>
      <c r="AU2" s="6" t="s">
        <v>33</v>
      </c>
      <c r="AV2" s="10"/>
      <c r="AW2" s="18" t="s">
        <v>41</v>
      </c>
      <c r="AX2" s="6" t="s">
        <v>43</v>
      </c>
    </row>
    <row r="3">
      <c r="A3" s="27"/>
      <c r="B3" s="28" t="s">
        <v>45</v>
      </c>
      <c r="C3" s="29" t="s">
        <v>46</v>
      </c>
      <c r="D3" s="29" t="s">
        <v>47</v>
      </c>
      <c r="E3" s="29" t="s">
        <v>48</v>
      </c>
      <c r="F3" s="28" t="s">
        <v>49</v>
      </c>
      <c r="G3" s="28" t="s">
        <v>50</v>
      </c>
      <c r="H3" s="29" t="s">
        <v>51</v>
      </c>
      <c r="I3" s="30" t="s">
        <v>52</v>
      </c>
      <c r="J3" s="28" t="s">
        <v>53</v>
      </c>
      <c r="K3" s="28" t="s">
        <v>54</v>
      </c>
      <c r="L3" s="30" t="s">
        <v>55</v>
      </c>
      <c r="M3" s="30" t="s">
        <v>56</v>
      </c>
      <c r="N3" s="29"/>
      <c r="O3" s="29"/>
      <c r="P3" s="29"/>
      <c r="Q3" s="31"/>
      <c r="R3" s="28" t="s">
        <v>45</v>
      </c>
      <c r="S3" s="29" t="s">
        <v>46</v>
      </c>
      <c r="T3" s="29" t="s">
        <v>47</v>
      </c>
      <c r="U3" s="29" t="s">
        <v>48</v>
      </c>
      <c r="V3" s="28" t="s">
        <v>49</v>
      </c>
      <c r="W3" s="28" t="s">
        <v>50</v>
      </c>
      <c r="X3" s="29" t="s">
        <v>51</v>
      </c>
      <c r="Y3" s="30" t="s">
        <v>52</v>
      </c>
      <c r="Z3" s="28" t="s">
        <v>53</v>
      </c>
      <c r="AA3" s="28" t="s">
        <v>54</v>
      </c>
      <c r="AB3" s="30" t="s">
        <v>55</v>
      </c>
      <c r="AC3" s="30" t="s">
        <v>56</v>
      </c>
      <c r="AD3" s="29"/>
      <c r="AE3" s="29"/>
      <c r="AF3" s="29"/>
      <c r="AG3" s="31"/>
      <c r="AH3" s="28" t="s">
        <v>45</v>
      </c>
      <c r="AI3" s="29" t="s">
        <v>46</v>
      </c>
      <c r="AJ3" s="29" t="s">
        <v>47</v>
      </c>
      <c r="AK3" s="29" t="s">
        <v>48</v>
      </c>
      <c r="AL3" s="28" t="s">
        <v>49</v>
      </c>
      <c r="AM3" s="28" t="s">
        <v>50</v>
      </c>
      <c r="AN3" s="29" t="s">
        <v>51</v>
      </c>
      <c r="AO3" s="30" t="s">
        <v>52</v>
      </c>
      <c r="AP3" s="28" t="s">
        <v>53</v>
      </c>
      <c r="AQ3" s="28" t="s">
        <v>54</v>
      </c>
      <c r="AR3" s="30" t="s">
        <v>55</v>
      </c>
      <c r="AS3" s="30" t="s">
        <v>56</v>
      </c>
      <c r="AT3" s="29"/>
      <c r="AU3" s="29"/>
      <c r="AV3" s="29"/>
      <c r="AW3" s="31"/>
      <c r="AX3" s="29"/>
    </row>
    <row r="4">
      <c r="A4" s="37" t="s">
        <v>64</v>
      </c>
      <c r="B4" s="38" t="s">
        <v>66</v>
      </c>
      <c r="C4" s="39">
        <v>1.0</v>
      </c>
      <c r="D4" s="43">
        <v>0.0</v>
      </c>
      <c r="E4" s="45">
        <v>12.0</v>
      </c>
      <c r="F4" s="39">
        <v>9.0</v>
      </c>
      <c r="G4" s="46">
        <v>11.0</v>
      </c>
      <c r="H4" s="50">
        <v>2.0</v>
      </c>
      <c r="I4" s="52"/>
      <c r="J4" s="43"/>
      <c r="K4" s="39">
        <v>20.0</v>
      </c>
      <c r="L4" s="39"/>
      <c r="M4" s="39"/>
      <c r="N4" s="39">
        <v>8.0</v>
      </c>
      <c r="O4" s="39">
        <v>1.0</v>
      </c>
      <c r="P4" s="54"/>
      <c r="Q4" s="56" t="s">
        <v>77</v>
      </c>
      <c r="R4" s="38" t="s">
        <v>78</v>
      </c>
      <c r="S4" s="39">
        <v>34.0</v>
      </c>
      <c r="T4" s="43">
        <v>22.0</v>
      </c>
      <c r="U4" s="45">
        <v>38.0</v>
      </c>
      <c r="V4" s="39">
        <v>106.0</v>
      </c>
      <c r="W4" s="46">
        <v>112.0</v>
      </c>
      <c r="X4" s="50">
        <v>2.0</v>
      </c>
      <c r="Y4" s="52"/>
      <c r="Z4" s="43"/>
      <c r="AA4" s="39">
        <v>20.0</v>
      </c>
      <c r="AB4" s="39"/>
      <c r="AC4" s="39"/>
      <c r="AD4" s="39">
        <v>54.0</v>
      </c>
      <c r="AE4" s="39">
        <v>1.0</v>
      </c>
      <c r="AF4" s="54"/>
      <c r="AG4" s="56" t="s">
        <v>81</v>
      </c>
      <c r="AH4" s="38" t="s">
        <v>82</v>
      </c>
      <c r="AI4" s="60">
        <v>65.0</v>
      </c>
      <c r="AJ4" s="61">
        <v>49.0</v>
      </c>
      <c r="AK4" s="45">
        <v>77.0</v>
      </c>
      <c r="AL4" s="60">
        <v>270.0</v>
      </c>
      <c r="AM4" s="63">
        <v>302.0</v>
      </c>
      <c r="AN4" s="65">
        <v>4.0</v>
      </c>
      <c r="AO4" s="52"/>
      <c r="AP4" s="61"/>
      <c r="AQ4" s="60">
        <v>20.0</v>
      </c>
      <c r="AR4" s="60"/>
      <c r="AS4" s="60"/>
      <c r="AT4" s="60">
        <v>125.0</v>
      </c>
      <c r="AU4" s="60">
        <v>1.0</v>
      </c>
      <c r="AV4" s="68"/>
      <c r="AW4" s="70" t="s">
        <v>86</v>
      </c>
      <c r="AX4" s="71"/>
    </row>
    <row r="5">
      <c r="A5" s="37" t="s">
        <v>89</v>
      </c>
      <c r="B5" s="38" t="s">
        <v>90</v>
      </c>
      <c r="C5" s="39">
        <v>3.0</v>
      </c>
      <c r="D5" s="43">
        <v>0.0</v>
      </c>
      <c r="E5" s="45">
        <v>15.0</v>
      </c>
      <c r="F5" s="39">
        <v>15.0</v>
      </c>
      <c r="G5" s="46">
        <v>17.0</v>
      </c>
      <c r="H5" s="50">
        <v>2.0</v>
      </c>
      <c r="I5" s="52"/>
      <c r="J5" s="43"/>
      <c r="K5" s="39">
        <v>24.0</v>
      </c>
      <c r="L5" s="39"/>
      <c r="M5" s="39"/>
      <c r="N5" s="39">
        <v>9.0</v>
      </c>
      <c r="O5" s="39">
        <v>2.0</v>
      </c>
      <c r="P5" s="54"/>
      <c r="Q5" s="56" t="s">
        <v>93</v>
      </c>
      <c r="R5" s="38" t="s">
        <v>94</v>
      </c>
      <c r="S5" s="39">
        <v>36.0</v>
      </c>
      <c r="T5" s="43">
        <v>24.0</v>
      </c>
      <c r="U5" s="45">
        <v>43.0</v>
      </c>
      <c r="V5" s="39">
        <v>116.0</v>
      </c>
      <c r="W5" s="46">
        <v>122.0</v>
      </c>
      <c r="X5" s="50">
        <v>2.0</v>
      </c>
      <c r="Y5" s="52"/>
      <c r="Z5" s="43"/>
      <c r="AA5" s="39">
        <v>24.0</v>
      </c>
      <c r="AB5" s="39"/>
      <c r="AC5" s="39"/>
      <c r="AD5" s="39">
        <v>55.0</v>
      </c>
      <c r="AE5" s="39">
        <v>2.0</v>
      </c>
      <c r="AF5" s="54"/>
      <c r="AG5" s="56" t="s">
        <v>95</v>
      </c>
      <c r="AH5" s="38" t="s">
        <v>96</v>
      </c>
      <c r="AI5" s="60">
        <v>67.0</v>
      </c>
      <c r="AJ5" s="61">
        <v>50.0</v>
      </c>
      <c r="AK5" s="45">
        <v>84.0</v>
      </c>
      <c r="AL5" s="60">
        <v>287.0</v>
      </c>
      <c r="AM5" s="63">
        <v>322.0</v>
      </c>
      <c r="AN5" s="65">
        <v>4.0</v>
      </c>
      <c r="AO5" s="52"/>
      <c r="AP5" s="61"/>
      <c r="AQ5" s="60">
        <v>24.0</v>
      </c>
      <c r="AR5" s="60"/>
      <c r="AS5" s="60"/>
      <c r="AT5" s="60">
        <v>126.0</v>
      </c>
      <c r="AU5" s="60">
        <v>2.0</v>
      </c>
      <c r="AV5" s="68"/>
      <c r="AW5" s="70" t="s">
        <v>86</v>
      </c>
      <c r="AX5" s="71"/>
    </row>
    <row r="6">
      <c r="A6" s="37" t="s">
        <v>102</v>
      </c>
      <c r="B6" s="38" t="s">
        <v>103</v>
      </c>
      <c r="C6" s="39">
        <v>5.0</v>
      </c>
      <c r="D6" s="43">
        <v>0.0</v>
      </c>
      <c r="E6" s="81">
        <v>20.0</v>
      </c>
      <c r="F6" s="39">
        <v>23.0</v>
      </c>
      <c r="G6" s="46">
        <v>25.0</v>
      </c>
      <c r="H6" s="50">
        <v>2.0</v>
      </c>
      <c r="I6" s="52"/>
      <c r="J6" s="43"/>
      <c r="K6" s="39">
        <v>28.0</v>
      </c>
      <c r="L6" s="39"/>
      <c r="M6" s="39"/>
      <c r="N6" s="39">
        <v>10.0</v>
      </c>
      <c r="O6" s="39">
        <v>3.0</v>
      </c>
      <c r="P6" s="54"/>
      <c r="Q6" s="56" t="s">
        <v>108</v>
      </c>
      <c r="R6" s="38" t="s">
        <v>109</v>
      </c>
      <c r="S6" s="39">
        <v>37.0</v>
      </c>
      <c r="T6" s="43">
        <v>25.0</v>
      </c>
      <c r="U6" s="81">
        <v>50.0</v>
      </c>
      <c r="V6" s="39">
        <v>128.0</v>
      </c>
      <c r="W6" s="46">
        <v>134.0</v>
      </c>
      <c r="X6" s="50">
        <v>2.0</v>
      </c>
      <c r="Y6" s="52"/>
      <c r="Z6" s="43"/>
      <c r="AA6" s="39">
        <v>28.0</v>
      </c>
      <c r="AB6" s="39"/>
      <c r="AC6" s="39"/>
      <c r="AD6" s="39">
        <v>56.0</v>
      </c>
      <c r="AE6" s="39">
        <v>3.0</v>
      </c>
      <c r="AF6" s="54"/>
      <c r="AG6" s="56" t="s">
        <v>112</v>
      </c>
      <c r="AH6" s="38" t="s">
        <v>113</v>
      </c>
      <c r="AI6" s="60">
        <v>68.0</v>
      </c>
      <c r="AJ6" s="61">
        <v>51.0</v>
      </c>
      <c r="AK6" s="45">
        <v>95.0</v>
      </c>
      <c r="AL6" s="60">
        <v>309.0</v>
      </c>
      <c r="AM6" s="63">
        <v>349.0</v>
      </c>
      <c r="AN6" s="65">
        <v>4.0</v>
      </c>
      <c r="AO6" s="52"/>
      <c r="AP6" s="61"/>
      <c r="AQ6" s="60">
        <v>28.0</v>
      </c>
      <c r="AR6" s="60"/>
      <c r="AS6" s="60"/>
      <c r="AT6" s="60">
        <v>127.0</v>
      </c>
      <c r="AU6" s="60">
        <v>3.0</v>
      </c>
      <c r="AV6" s="68"/>
      <c r="AW6" s="70" t="s">
        <v>86</v>
      </c>
      <c r="AX6" s="71"/>
    </row>
    <row r="7">
      <c r="A7" s="37" t="s">
        <v>115</v>
      </c>
      <c r="B7" s="38" t="s">
        <v>117</v>
      </c>
      <c r="C7" s="39">
        <v>8.0</v>
      </c>
      <c r="D7" s="43">
        <v>0.0</v>
      </c>
      <c r="E7" s="81">
        <v>27.0</v>
      </c>
      <c r="F7" s="39">
        <v>35.0</v>
      </c>
      <c r="G7" s="46">
        <v>37.0</v>
      </c>
      <c r="H7" s="50">
        <v>2.0</v>
      </c>
      <c r="I7" s="52"/>
      <c r="J7" s="43"/>
      <c r="K7" s="39">
        <v>32.0</v>
      </c>
      <c r="L7" s="39"/>
      <c r="M7" s="39"/>
      <c r="N7" s="39">
        <v>11.0</v>
      </c>
      <c r="O7" s="39">
        <v>4.0</v>
      </c>
      <c r="P7" s="54"/>
      <c r="Q7" s="56" t="s">
        <v>120</v>
      </c>
      <c r="R7" s="38" t="s">
        <v>121</v>
      </c>
      <c r="S7" s="39">
        <v>40.0</v>
      </c>
      <c r="T7" s="43">
        <v>25.0</v>
      </c>
      <c r="U7" s="81">
        <v>61.0</v>
      </c>
      <c r="V7" s="39">
        <v>148.0</v>
      </c>
      <c r="W7" s="46">
        <v>156.0</v>
      </c>
      <c r="X7" s="50">
        <v>2.0</v>
      </c>
      <c r="Y7" s="52"/>
      <c r="Z7" s="43"/>
      <c r="AA7" s="39">
        <v>32.0</v>
      </c>
      <c r="AB7" s="39"/>
      <c r="AC7" s="39"/>
      <c r="AD7" s="39">
        <v>57.0</v>
      </c>
      <c r="AE7" s="39">
        <v>4.0</v>
      </c>
      <c r="AF7" s="54"/>
      <c r="AG7" s="56" t="s">
        <v>123</v>
      </c>
      <c r="AH7" s="38" t="s">
        <v>124</v>
      </c>
      <c r="AI7" s="60">
        <v>70.0</v>
      </c>
      <c r="AJ7" s="61">
        <v>53.0</v>
      </c>
      <c r="AK7" s="45">
        <v>111.0</v>
      </c>
      <c r="AL7" s="60">
        <v>343.0</v>
      </c>
      <c r="AM7" s="63">
        <v>391.0</v>
      </c>
      <c r="AN7" s="65">
        <v>4.0</v>
      </c>
      <c r="AO7" s="52"/>
      <c r="AP7" s="61"/>
      <c r="AQ7" s="60">
        <v>32.0</v>
      </c>
      <c r="AR7" s="60"/>
      <c r="AS7" s="60"/>
      <c r="AT7" s="60">
        <v>128.0</v>
      </c>
      <c r="AU7" s="60">
        <v>4.0</v>
      </c>
      <c r="AV7" s="68"/>
      <c r="AW7" s="70" t="s">
        <v>86</v>
      </c>
      <c r="AX7" s="71"/>
    </row>
    <row r="8">
      <c r="A8" s="37" t="s">
        <v>127</v>
      </c>
      <c r="B8" s="38" t="s">
        <v>128</v>
      </c>
      <c r="C8" s="39">
        <v>11.0</v>
      </c>
      <c r="D8" s="43">
        <v>0.0</v>
      </c>
      <c r="E8" s="81">
        <v>36.0</v>
      </c>
      <c r="F8" s="39">
        <v>49.0</v>
      </c>
      <c r="G8" s="46">
        <v>51.0</v>
      </c>
      <c r="H8" s="43">
        <v>3.0</v>
      </c>
      <c r="I8" s="52"/>
      <c r="J8" s="43"/>
      <c r="K8" s="39">
        <v>26.0</v>
      </c>
      <c r="L8" s="39"/>
      <c r="M8" s="39"/>
      <c r="N8" s="39">
        <v>12.0</v>
      </c>
      <c r="O8" s="39">
        <v>4.0</v>
      </c>
      <c r="P8" s="54"/>
      <c r="Q8" s="56" t="s">
        <v>131</v>
      </c>
      <c r="R8" s="38" t="s">
        <v>132</v>
      </c>
      <c r="S8" s="39">
        <v>42.0</v>
      </c>
      <c r="T8" s="43">
        <v>25.0</v>
      </c>
      <c r="U8" s="81">
        <v>74.0</v>
      </c>
      <c r="V8" s="39">
        <v>172.0</v>
      </c>
      <c r="W8" s="46">
        <v>180.0</v>
      </c>
      <c r="X8" s="43">
        <v>3.0</v>
      </c>
      <c r="Y8" s="52"/>
      <c r="Z8" s="43"/>
      <c r="AA8" s="39">
        <v>26.0</v>
      </c>
      <c r="AB8" s="39"/>
      <c r="AC8" s="39"/>
      <c r="AD8" s="39">
        <v>58.0</v>
      </c>
      <c r="AE8" s="39">
        <v>4.0</v>
      </c>
      <c r="AF8" s="54"/>
      <c r="AG8" s="56" t="s">
        <v>133</v>
      </c>
      <c r="AH8" s="38" t="s">
        <v>134</v>
      </c>
      <c r="AI8" s="60">
        <v>72.0</v>
      </c>
      <c r="AJ8" s="61">
        <v>54.0</v>
      </c>
      <c r="AK8" s="45">
        <v>131.0</v>
      </c>
      <c r="AL8" s="60">
        <v>388.0</v>
      </c>
      <c r="AM8" s="63">
        <v>445.0</v>
      </c>
      <c r="AN8" s="65">
        <v>4.0</v>
      </c>
      <c r="AO8" s="52"/>
      <c r="AP8" s="61"/>
      <c r="AQ8" s="60">
        <v>26.0</v>
      </c>
      <c r="AR8" s="60"/>
      <c r="AS8" s="60"/>
      <c r="AT8" s="60">
        <v>129.0</v>
      </c>
      <c r="AU8" s="60">
        <v>4.0</v>
      </c>
      <c r="AV8" s="68"/>
      <c r="AW8" s="70" t="s">
        <v>86</v>
      </c>
      <c r="AX8" s="71"/>
    </row>
    <row r="9">
      <c r="A9" s="37" t="s">
        <v>135</v>
      </c>
      <c r="B9" s="38" t="s">
        <v>137</v>
      </c>
      <c r="C9" s="39">
        <v>13.0</v>
      </c>
      <c r="D9" s="43">
        <v>0.0</v>
      </c>
      <c r="E9" s="81">
        <v>44.0</v>
      </c>
      <c r="F9" s="39">
        <v>61.0</v>
      </c>
      <c r="G9" s="46">
        <v>63.0</v>
      </c>
      <c r="H9" s="50">
        <v>2.0</v>
      </c>
      <c r="I9" s="52"/>
      <c r="J9" s="43"/>
      <c r="K9" s="39">
        <v>36.0</v>
      </c>
      <c r="L9" s="39"/>
      <c r="M9" s="39"/>
      <c r="N9" s="39">
        <v>13.0</v>
      </c>
      <c r="O9" s="39">
        <v>4.0</v>
      </c>
      <c r="P9" s="54"/>
      <c r="Q9" s="56" t="s">
        <v>139</v>
      </c>
      <c r="R9" s="38" t="s">
        <v>140</v>
      </c>
      <c r="S9" s="39">
        <v>43.0</v>
      </c>
      <c r="T9" s="43">
        <v>25.0</v>
      </c>
      <c r="U9" s="81">
        <v>86.0</v>
      </c>
      <c r="V9" s="39">
        <v>193.0</v>
      </c>
      <c r="W9" s="46">
        <v>202.0</v>
      </c>
      <c r="X9" s="43">
        <v>3.0</v>
      </c>
      <c r="Y9" s="52"/>
      <c r="Z9" s="43"/>
      <c r="AA9" s="39">
        <v>36.0</v>
      </c>
      <c r="AB9" s="39"/>
      <c r="AC9" s="39"/>
      <c r="AD9" s="39">
        <v>59.0</v>
      </c>
      <c r="AE9" s="39">
        <v>4.0</v>
      </c>
      <c r="AF9" s="54"/>
      <c r="AG9" s="56" t="s">
        <v>142</v>
      </c>
      <c r="AH9" s="38" t="s">
        <v>143</v>
      </c>
      <c r="AI9" s="60">
        <v>73.0</v>
      </c>
      <c r="AJ9" s="61">
        <v>55.0</v>
      </c>
      <c r="AK9" s="45">
        <v>149.0</v>
      </c>
      <c r="AL9" s="60">
        <v>428.0</v>
      </c>
      <c r="AM9" s="63">
        <v>495.0</v>
      </c>
      <c r="AN9" s="65">
        <v>4.0</v>
      </c>
      <c r="AO9" s="52"/>
      <c r="AP9" s="61"/>
      <c r="AQ9" s="60">
        <v>36.0</v>
      </c>
      <c r="AR9" s="60"/>
      <c r="AS9" s="60"/>
      <c r="AT9" s="60">
        <v>130.0</v>
      </c>
      <c r="AU9" s="60">
        <v>4.0</v>
      </c>
      <c r="AV9" s="68"/>
      <c r="AW9" s="70" t="s">
        <v>86</v>
      </c>
      <c r="AX9" s="71"/>
    </row>
    <row r="10">
      <c r="A10" s="37" t="s">
        <v>145</v>
      </c>
      <c r="B10" s="38" t="s">
        <v>146</v>
      </c>
      <c r="C10" s="39">
        <v>15.0</v>
      </c>
      <c r="D10" s="43">
        <v>0.0</v>
      </c>
      <c r="E10" s="81">
        <v>48.0</v>
      </c>
      <c r="F10" s="39">
        <v>70.0</v>
      </c>
      <c r="G10" s="46">
        <v>71.0</v>
      </c>
      <c r="H10" s="50">
        <v>2.0</v>
      </c>
      <c r="I10" s="52"/>
      <c r="J10" s="43"/>
      <c r="K10" s="39">
        <v>45.0</v>
      </c>
      <c r="L10" s="39"/>
      <c r="M10" s="39"/>
      <c r="N10" s="39">
        <v>14.0</v>
      </c>
      <c r="O10" s="39">
        <v>4.0</v>
      </c>
      <c r="P10" s="54"/>
      <c r="Q10" s="56" t="s">
        <v>149</v>
      </c>
      <c r="R10" s="38" t="s">
        <v>150</v>
      </c>
      <c r="S10" s="39">
        <v>45.0</v>
      </c>
      <c r="T10" s="43">
        <v>25.0</v>
      </c>
      <c r="U10" s="81">
        <v>92.0</v>
      </c>
      <c r="V10" s="39">
        <v>207.0</v>
      </c>
      <c r="W10" s="46">
        <v>216.0</v>
      </c>
      <c r="X10" s="43">
        <v>3.0</v>
      </c>
      <c r="Y10" s="52"/>
      <c r="Z10" s="43"/>
      <c r="AA10" s="39">
        <v>45.0</v>
      </c>
      <c r="AB10" s="39"/>
      <c r="AC10" s="39"/>
      <c r="AD10" s="39">
        <v>60.0</v>
      </c>
      <c r="AE10" s="39">
        <v>4.0</v>
      </c>
      <c r="AF10" s="54"/>
      <c r="AG10" s="56" t="s">
        <v>151</v>
      </c>
      <c r="AH10" s="38" t="s">
        <v>152</v>
      </c>
      <c r="AI10" s="60">
        <v>62.0</v>
      </c>
      <c r="AJ10" s="61">
        <v>47.0</v>
      </c>
      <c r="AK10" s="45">
        <v>158.0</v>
      </c>
      <c r="AL10" s="60">
        <v>419.0</v>
      </c>
      <c r="AM10" s="63">
        <v>489.0</v>
      </c>
      <c r="AN10" s="65">
        <v>4.0</v>
      </c>
      <c r="AO10" s="52"/>
      <c r="AP10" s="61"/>
      <c r="AQ10" s="60">
        <v>45.0</v>
      </c>
      <c r="AR10" s="60"/>
      <c r="AS10" s="60"/>
      <c r="AT10" s="60">
        <v>131.0</v>
      </c>
      <c r="AU10" s="60">
        <v>4.0</v>
      </c>
      <c r="AV10" s="68"/>
      <c r="AW10" s="70" t="s">
        <v>86</v>
      </c>
      <c r="AX10" s="71"/>
    </row>
    <row r="11">
      <c r="A11" s="37" t="s">
        <v>153</v>
      </c>
      <c r="B11" s="38" t="s">
        <v>154</v>
      </c>
      <c r="C11" s="39">
        <v>18.0</v>
      </c>
      <c r="D11" s="43">
        <v>0.0</v>
      </c>
      <c r="E11" s="81">
        <v>30.0</v>
      </c>
      <c r="F11" s="39">
        <v>56.0</v>
      </c>
      <c r="G11" s="46">
        <v>58.0</v>
      </c>
      <c r="H11" s="43">
        <v>3.0</v>
      </c>
      <c r="I11" s="52"/>
      <c r="J11" s="43"/>
      <c r="K11" s="39">
        <v>50.0</v>
      </c>
      <c r="L11" s="39"/>
      <c r="M11" s="39"/>
      <c r="N11" s="39">
        <v>15.0</v>
      </c>
      <c r="O11" s="39">
        <v>4.0</v>
      </c>
      <c r="P11" s="54"/>
      <c r="Q11" s="56" t="s">
        <v>157</v>
      </c>
      <c r="R11" s="38" t="s">
        <v>158</v>
      </c>
      <c r="S11" s="39">
        <v>47.0</v>
      </c>
      <c r="T11" s="43">
        <v>25.0</v>
      </c>
      <c r="U11" s="81">
        <v>65.0</v>
      </c>
      <c r="V11" s="39">
        <v>170.0</v>
      </c>
      <c r="W11" s="46">
        <v>176.0</v>
      </c>
      <c r="X11" s="43">
        <v>3.0</v>
      </c>
      <c r="Y11" s="52"/>
      <c r="Z11" s="43"/>
      <c r="AA11" s="39">
        <v>50.0</v>
      </c>
      <c r="AB11" s="39"/>
      <c r="AC11" s="39"/>
      <c r="AD11" s="39">
        <v>61.0</v>
      </c>
      <c r="AE11" s="39">
        <v>4.0</v>
      </c>
      <c r="AF11" s="54"/>
      <c r="AG11" s="56" t="s">
        <v>159</v>
      </c>
      <c r="AH11" s="38" t="s">
        <v>160</v>
      </c>
      <c r="AI11" s="60">
        <v>75.0</v>
      </c>
      <c r="AJ11" s="61">
        <v>56.0</v>
      </c>
      <c r="AK11" s="45">
        <v>118.0</v>
      </c>
      <c r="AL11" s="60">
        <v>371.0</v>
      </c>
      <c r="AM11" s="63">
        <v>420.0</v>
      </c>
      <c r="AN11" s="65">
        <v>4.0</v>
      </c>
      <c r="AO11" s="52"/>
      <c r="AP11" s="61"/>
      <c r="AQ11" s="60">
        <v>50.0</v>
      </c>
      <c r="AR11" s="60"/>
      <c r="AS11" s="60"/>
      <c r="AT11" s="60">
        <v>132.0</v>
      </c>
      <c r="AU11" s="60">
        <v>4.0</v>
      </c>
      <c r="AV11" s="68"/>
      <c r="AW11" s="70" t="s">
        <v>86</v>
      </c>
      <c r="AX11" s="71"/>
    </row>
    <row r="12">
      <c r="A12" s="37" t="s">
        <v>161</v>
      </c>
      <c r="B12" s="38" t="s">
        <v>162</v>
      </c>
      <c r="C12" s="39">
        <v>20.0</v>
      </c>
      <c r="D12" s="43">
        <v>0.0</v>
      </c>
      <c r="E12" s="45">
        <v>51.0</v>
      </c>
      <c r="F12" s="39">
        <v>81.0</v>
      </c>
      <c r="G12" s="46">
        <v>84.0</v>
      </c>
      <c r="H12" s="50">
        <v>2.0</v>
      </c>
      <c r="I12" s="52"/>
      <c r="J12" s="43"/>
      <c r="K12" s="39">
        <v>30.0</v>
      </c>
      <c r="L12" s="39"/>
      <c r="M12" s="39"/>
      <c r="N12" s="39">
        <v>16.0</v>
      </c>
      <c r="O12" s="39">
        <v>4.0</v>
      </c>
      <c r="P12" s="54"/>
      <c r="Q12" s="56" t="s">
        <v>163</v>
      </c>
      <c r="R12" s="38" t="s">
        <v>164</v>
      </c>
      <c r="S12" s="39">
        <v>49.0</v>
      </c>
      <c r="T12" s="43">
        <v>25.0</v>
      </c>
      <c r="U12" s="45">
        <v>97.0</v>
      </c>
      <c r="V12" s="39">
        <v>223.0</v>
      </c>
      <c r="W12" s="46">
        <v>233.0</v>
      </c>
      <c r="X12" s="43">
        <v>3.0</v>
      </c>
      <c r="Y12" s="52"/>
      <c r="Z12" s="43"/>
      <c r="AA12" s="39">
        <v>30.0</v>
      </c>
      <c r="AB12" s="39"/>
      <c r="AC12" s="39"/>
      <c r="AD12" s="39">
        <v>62.0</v>
      </c>
      <c r="AE12" s="39">
        <v>4.0</v>
      </c>
      <c r="AF12" s="54"/>
      <c r="AG12" s="56" t="s">
        <v>165</v>
      </c>
      <c r="AH12" s="38" t="s">
        <v>166</v>
      </c>
      <c r="AI12" s="60">
        <v>76.0</v>
      </c>
      <c r="AJ12" s="61">
        <v>57.0</v>
      </c>
      <c r="AK12" s="45">
        <v>165.0</v>
      </c>
      <c r="AL12" s="60">
        <v>469.0</v>
      </c>
      <c r="AM12" s="63">
        <v>541.0</v>
      </c>
      <c r="AN12" s="65">
        <v>4.0</v>
      </c>
      <c r="AO12" s="52"/>
      <c r="AP12" s="61"/>
      <c r="AQ12" s="60">
        <v>30.0</v>
      </c>
      <c r="AR12" s="60"/>
      <c r="AS12" s="60"/>
      <c r="AT12" s="60">
        <v>133.0</v>
      </c>
      <c r="AU12" s="60">
        <v>4.0</v>
      </c>
      <c r="AV12" s="68"/>
      <c r="AW12" s="70" t="s">
        <v>86</v>
      </c>
      <c r="AX12" s="71"/>
    </row>
    <row r="13">
      <c r="A13" s="37" t="s">
        <v>169</v>
      </c>
      <c r="B13" s="38" t="s">
        <v>170</v>
      </c>
      <c r="C13" s="39">
        <v>24.0</v>
      </c>
      <c r="D13" s="43">
        <v>0.0</v>
      </c>
      <c r="E13" s="45">
        <v>65.0</v>
      </c>
      <c r="F13" s="39">
        <v>103.0</v>
      </c>
      <c r="G13" s="46">
        <v>108.0</v>
      </c>
      <c r="H13" s="50">
        <v>2.0</v>
      </c>
      <c r="I13" s="52"/>
      <c r="J13" s="43"/>
      <c r="K13" s="39">
        <v>60.0</v>
      </c>
      <c r="L13" s="39"/>
      <c r="M13" s="39"/>
      <c r="N13" s="39">
        <v>17.0</v>
      </c>
      <c r="O13" s="39">
        <v>4.0</v>
      </c>
      <c r="P13" s="54"/>
      <c r="Q13" s="56" t="s">
        <v>171</v>
      </c>
      <c r="R13" s="38" t="s">
        <v>172</v>
      </c>
      <c r="S13" s="39">
        <v>52.0</v>
      </c>
      <c r="T13" s="43">
        <v>25.0</v>
      </c>
      <c r="U13" s="45">
        <v>118.0</v>
      </c>
      <c r="V13" s="39">
        <v>264.0</v>
      </c>
      <c r="W13" s="46">
        <v>278.0</v>
      </c>
      <c r="X13" s="43">
        <v>3.0</v>
      </c>
      <c r="Y13" s="52"/>
      <c r="Z13" s="43"/>
      <c r="AA13" s="39">
        <v>60.0</v>
      </c>
      <c r="AB13" s="39"/>
      <c r="AC13" s="39"/>
      <c r="AD13" s="39">
        <v>63.0</v>
      </c>
      <c r="AE13" s="39">
        <v>4.0</v>
      </c>
      <c r="AF13" s="54"/>
      <c r="AG13" s="56" t="s">
        <v>173</v>
      </c>
      <c r="AH13" s="38" t="s">
        <v>174</v>
      </c>
      <c r="AI13" s="60">
        <v>78.0</v>
      </c>
      <c r="AJ13" s="61">
        <v>59.0</v>
      </c>
      <c r="AK13" s="45">
        <v>196.0</v>
      </c>
      <c r="AL13" s="60">
        <v>536.0</v>
      </c>
      <c r="AM13" s="63">
        <v>625.0</v>
      </c>
      <c r="AN13" s="65">
        <v>4.0</v>
      </c>
      <c r="AO13" s="52"/>
      <c r="AP13" s="61"/>
      <c r="AQ13" s="60">
        <v>60.0</v>
      </c>
      <c r="AR13" s="60"/>
      <c r="AS13" s="60"/>
      <c r="AT13" s="60">
        <v>134.0</v>
      </c>
      <c r="AU13" s="60">
        <v>4.0</v>
      </c>
      <c r="AV13" s="68"/>
      <c r="AW13" s="70" t="s">
        <v>86</v>
      </c>
      <c r="AX13" s="71"/>
    </row>
    <row r="14">
      <c r="A14" s="37" t="s">
        <v>178</v>
      </c>
      <c r="B14" s="38" t="s">
        <v>180</v>
      </c>
      <c r="C14" s="39">
        <v>28.0</v>
      </c>
      <c r="D14" s="43">
        <v>0.0</v>
      </c>
      <c r="E14" s="81">
        <v>55.0</v>
      </c>
      <c r="F14" s="39">
        <v>100.0</v>
      </c>
      <c r="G14" s="46">
        <v>102.0</v>
      </c>
      <c r="H14" s="50">
        <v>2.0</v>
      </c>
      <c r="I14" s="52"/>
      <c r="J14" s="43"/>
      <c r="K14" s="39">
        <v>48.0</v>
      </c>
      <c r="L14" s="39"/>
      <c r="M14" s="39"/>
      <c r="N14" s="39">
        <v>18.0</v>
      </c>
      <c r="O14" s="39">
        <v>4.0</v>
      </c>
      <c r="P14" s="54"/>
      <c r="Q14" s="56" t="s">
        <v>182</v>
      </c>
      <c r="R14" s="38" t="s">
        <v>183</v>
      </c>
      <c r="S14" s="39">
        <v>55.0</v>
      </c>
      <c r="T14" s="43">
        <v>25.0</v>
      </c>
      <c r="U14" s="81">
        <v>103.0</v>
      </c>
      <c r="V14" s="39">
        <v>246.0</v>
      </c>
      <c r="W14" s="46">
        <v>255.0</v>
      </c>
      <c r="X14" s="43">
        <v>3.0</v>
      </c>
      <c r="Y14" s="52"/>
      <c r="Z14" s="43"/>
      <c r="AA14" s="39">
        <v>48.0</v>
      </c>
      <c r="AB14" s="39"/>
      <c r="AC14" s="39"/>
      <c r="AD14" s="39">
        <v>64.0</v>
      </c>
      <c r="AE14" s="39">
        <v>4.0</v>
      </c>
      <c r="AF14" s="54"/>
      <c r="AG14" s="56" t="s">
        <v>184</v>
      </c>
      <c r="AH14" s="38" t="s">
        <v>185</v>
      </c>
      <c r="AI14" s="60">
        <v>81.0</v>
      </c>
      <c r="AJ14" s="61">
        <v>61.0</v>
      </c>
      <c r="AK14" s="45">
        <v>174.0</v>
      </c>
      <c r="AL14" s="60">
        <v>501.0</v>
      </c>
      <c r="AM14" s="63">
        <v>576.0</v>
      </c>
      <c r="AN14" s="65">
        <v>4.0</v>
      </c>
      <c r="AO14" s="52"/>
      <c r="AP14" s="61"/>
      <c r="AQ14" s="60">
        <v>48.0</v>
      </c>
      <c r="AR14" s="60"/>
      <c r="AS14" s="60"/>
      <c r="AT14" s="60">
        <v>135.0</v>
      </c>
      <c r="AU14" s="60">
        <v>4.0</v>
      </c>
      <c r="AV14" s="68"/>
      <c r="AW14" s="70" t="s">
        <v>86</v>
      </c>
      <c r="AX14" s="71"/>
    </row>
    <row r="15">
      <c r="A15" s="37" t="s">
        <v>186</v>
      </c>
      <c r="B15" s="38" t="s">
        <v>187</v>
      </c>
      <c r="C15" s="39">
        <v>32.0</v>
      </c>
      <c r="D15" s="43">
        <v>0.0</v>
      </c>
      <c r="E15" s="81">
        <v>70.0</v>
      </c>
      <c r="F15" s="39">
        <v>124.0</v>
      </c>
      <c r="G15" s="46">
        <v>128.0</v>
      </c>
      <c r="H15" s="43">
        <v>4.0</v>
      </c>
      <c r="I15" s="52"/>
      <c r="J15" s="43"/>
      <c r="K15" s="39">
        <v>55.0</v>
      </c>
      <c r="L15" s="39"/>
      <c r="M15" s="39"/>
      <c r="N15" s="39">
        <v>19.0</v>
      </c>
      <c r="O15" s="39">
        <v>4.0</v>
      </c>
      <c r="P15" s="54"/>
      <c r="Q15" s="56" t="s">
        <v>191</v>
      </c>
      <c r="R15" s="38" t="s">
        <v>192</v>
      </c>
      <c r="S15" s="39">
        <v>58.0</v>
      </c>
      <c r="T15" s="43">
        <v>25.0</v>
      </c>
      <c r="U15" s="81">
        <v>125.0</v>
      </c>
      <c r="V15" s="39">
        <v>291.0</v>
      </c>
      <c r="W15" s="46">
        <v>304.0</v>
      </c>
      <c r="X15" s="43">
        <v>4.0</v>
      </c>
      <c r="Y15" s="52"/>
      <c r="Z15" s="43"/>
      <c r="AA15" s="39">
        <v>55.0</v>
      </c>
      <c r="AB15" s="39"/>
      <c r="AC15" s="39"/>
      <c r="AD15" s="39">
        <v>65.0</v>
      </c>
      <c r="AE15" s="39">
        <v>4.0</v>
      </c>
      <c r="AF15" s="54"/>
      <c r="AG15" s="56" t="s">
        <v>195</v>
      </c>
      <c r="AH15" s="38" t="s">
        <v>196</v>
      </c>
      <c r="AI15" s="60">
        <v>82.0</v>
      </c>
      <c r="AJ15" s="61">
        <v>62.0</v>
      </c>
      <c r="AK15" s="45">
        <v>208.0</v>
      </c>
      <c r="AL15" s="60">
        <v>573.0</v>
      </c>
      <c r="AM15" s="63">
        <v>664.0</v>
      </c>
      <c r="AN15" s="61">
        <v>4.0</v>
      </c>
      <c r="AO15" s="52"/>
      <c r="AP15" s="61"/>
      <c r="AQ15" s="60">
        <v>55.0</v>
      </c>
      <c r="AR15" s="60"/>
      <c r="AS15" s="60"/>
      <c r="AT15" s="60">
        <v>136.0</v>
      </c>
      <c r="AU15" s="60">
        <v>4.0</v>
      </c>
      <c r="AV15" s="68"/>
      <c r="AW15" s="70" t="s">
        <v>86</v>
      </c>
      <c r="AX15" s="71"/>
    </row>
    <row r="16">
      <c r="A16" s="37" t="s">
        <v>197</v>
      </c>
      <c r="B16" s="38" t="s">
        <v>198</v>
      </c>
      <c r="C16" s="39">
        <v>35.0</v>
      </c>
      <c r="D16" s="43">
        <v>0.0</v>
      </c>
      <c r="E16" s="81">
        <v>41.0</v>
      </c>
      <c r="F16" s="39">
        <v>93.0</v>
      </c>
      <c r="G16" s="46">
        <v>99.0</v>
      </c>
      <c r="H16" s="43">
        <v>3.0</v>
      </c>
      <c r="I16" s="52"/>
      <c r="J16" s="43"/>
      <c r="K16" s="39">
        <v>60.0</v>
      </c>
      <c r="L16" s="39"/>
      <c r="M16" s="39"/>
      <c r="N16" s="39">
        <v>22.0</v>
      </c>
      <c r="O16" s="39">
        <v>4.0</v>
      </c>
      <c r="P16" s="54"/>
      <c r="Q16" s="56" t="s">
        <v>199</v>
      </c>
      <c r="R16" s="38" t="s">
        <v>201</v>
      </c>
      <c r="S16" s="39">
        <v>60.0</v>
      </c>
      <c r="T16" s="43">
        <v>25.0</v>
      </c>
      <c r="U16" s="81">
        <v>55.0</v>
      </c>
      <c r="V16" s="39">
        <v>178.0</v>
      </c>
      <c r="W16" s="46">
        <v>187.0</v>
      </c>
      <c r="X16" s="43">
        <v>3.0</v>
      </c>
      <c r="Y16" s="52"/>
      <c r="Z16" s="43"/>
      <c r="AA16" s="39">
        <v>60.0</v>
      </c>
      <c r="AB16" s="39"/>
      <c r="AC16" s="39"/>
      <c r="AD16" s="39">
        <v>68.0</v>
      </c>
      <c r="AE16" s="39">
        <v>4.0</v>
      </c>
      <c r="AF16" s="54"/>
      <c r="AG16" s="56" t="s">
        <v>204</v>
      </c>
      <c r="AH16" s="38" t="s">
        <v>205</v>
      </c>
      <c r="AI16" s="60">
        <v>84.0</v>
      </c>
      <c r="AJ16" s="61">
        <v>63.0</v>
      </c>
      <c r="AK16" s="45">
        <v>103.0</v>
      </c>
      <c r="AL16" s="60">
        <v>364.0</v>
      </c>
      <c r="AM16" s="63">
        <v>407.0</v>
      </c>
      <c r="AN16" s="65">
        <v>4.0</v>
      </c>
      <c r="AO16" s="52"/>
      <c r="AP16" s="61"/>
      <c r="AQ16" s="60">
        <v>60.0</v>
      </c>
      <c r="AR16" s="60"/>
      <c r="AS16" s="60"/>
      <c r="AT16" s="60">
        <v>139.0</v>
      </c>
      <c r="AU16" s="60">
        <v>4.0</v>
      </c>
      <c r="AV16" s="68"/>
      <c r="AW16" s="70" t="s">
        <v>86</v>
      </c>
      <c r="AX16" s="71"/>
    </row>
    <row r="17">
      <c r="A17" s="37" t="s">
        <v>209</v>
      </c>
      <c r="B17" s="38" t="s">
        <v>210</v>
      </c>
      <c r="C17" s="39">
        <v>37.0</v>
      </c>
      <c r="D17" s="43">
        <v>0.0</v>
      </c>
      <c r="E17" s="81">
        <v>80.0</v>
      </c>
      <c r="F17" s="39">
        <v>145.0</v>
      </c>
      <c r="G17" s="46">
        <v>150.0</v>
      </c>
      <c r="H17" s="43">
        <v>4.0</v>
      </c>
      <c r="I17" s="52"/>
      <c r="J17" s="43"/>
      <c r="K17" s="39">
        <v>70.0</v>
      </c>
      <c r="L17" s="39"/>
      <c r="M17" s="39"/>
      <c r="N17" s="39">
        <v>20.0</v>
      </c>
      <c r="O17" s="39">
        <v>4.0</v>
      </c>
      <c r="P17" s="54"/>
      <c r="Q17" s="56" t="s">
        <v>211</v>
      </c>
      <c r="R17" s="38" t="s">
        <v>212</v>
      </c>
      <c r="S17" s="39">
        <v>61.0</v>
      </c>
      <c r="T17" s="43">
        <v>25.0</v>
      </c>
      <c r="U17" s="81">
        <v>140.0</v>
      </c>
      <c r="V17" s="39">
        <v>323.0</v>
      </c>
      <c r="W17" s="46">
        <v>340.0</v>
      </c>
      <c r="X17" s="43">
        <v>4.0</v>
      </c>
      <c r="Y17" s="52"/>
      <c r="Z17" s="43"/>
      <c r="AA17" s="39">
        <v>70.0</v>
      </c>
      <c r="AB17" s="39"/>
      <c r="AC17" s="39"/>
      <c r="AD17" s="39">
        <v>66.0</v>
      </c>
      <c r="AE17" s="39">
        <v>4.0</v>
      </c>
      <c r="AF17" s="54"/>
      <c r="AG17" s="56" t="s">
        <v>213</v>
      </c>
      <c r="AH17" s="38" t="s">
        <v>214</v>
      </c>
      <c r="AI17" s="60">
        <v>83.0</v>
      </c>
      <c r="AJ17" s="61">
        <v>64.0</v>
      </c>
      <c r="AK17" s="45">
        <v>220.0</v>
      </c>
      <c r="AL17" s="60">
        <v>599.0</v>
      </c>
      <c r="AM17" s="63">
        <v>696.0</v>
      </c>
      <c r="AN17" s="61">
        <v>4.0</v>
      </c>
      <c r="AO17" s="52"/>
      <c r="AP17" s="61"/>
      <c r="AQ17" s="60">
        <v>70.0</v>
      </c>
      <c r="AR17" s="60"/>
      <c r="AS17" s="60"/>
      <c r="AT17" s="60">
        <v>137.0</v>
      </c>
      <c r="AU17" s="60">
        <v>4.0</v>
      </c>
      <c r="AV17" s="68"/>
      <c r="AW17" s="70" t="s">
        <v>86</v>
      </c>
      <c r="AX17" s="71"/>
    </row>
    <row r="18">
      <c r="A18" s="37" t="s">
        <v>216</v>
      </c>
      <c r="B18" s="38" t="s">
        <v>217</v>
      </c>
      <c r="C18" s="39">
        <v>40.0</v>
      </c>
      <c r="D18" s="43">
        <v>0.0</v>
      </c>
      <c r="E18" s="81">
        <v>100.0</v>
      </c>
      <c r="F18" s="39">
        <v>178.0</v>
      </c>
      <c r="G18" s="46">
        <v>185.0</v>
      </c>
      <c r="H18" s="43">
        <v>4.0</v>
      </c>
      <c r="I18" s="52"/>
      <c r="J18" s="43"/>
      <c r="K18" s="39">
        <v>60.0</v>
      </c>
      <c r="L18" s="39"/>
      <c r="M18" s="39"/>
      <c r="N18" s="39">
        <v>21.0</v>
      </c>
      <c r="O18" s="39">
        <v>4.0</v>
      </c>
      <c r="P18" s="54"/>
      <c r="Q18" s="56" t="s">
        <v>219</v>
      </c>
      <c r="R18" s="38" t="s">
        <v>220</v>
      </c>
      <c r="S18" s="39">
        <v>64.0</v>
      </c>
      <c r="T18" s="43">
        <v>25.0</v>
      </c>
      <c r="U18" s="81">
        <v>170.0</v>
      </c>
      <c r="V18" s="39">
        <v>423.0</v>
      </c>
      <c r="W18" s="46">
        <v>444.0</v>
      </c>
      <c r="X18" s="43">
        <v>4.0</v>
      </c>
      <c r="Y18" s="52"/>
      <c r="Z18" s="43"/>
      <c r="AA18" s="39">
        <v>60.0</v>
      </c>
      <c r="AB18" s="39"/>
      <c r="AC18" s="39"/>
      <c r="AD18" s="39">
        <v>67.0</v>
      </c>
      <c r="AE18" s="39">
        <v>4.0</v>
      </c>
      <c r="AF18" s="54"/>
      <c r="AG18" s="56" t="s">
        <v>221</v>
      </c>
      <c r="AH18" s="38" t="s">
        <v>222</v>
      </c>
      <c r="AI18" s="60">
        <v>85.0</v>
      </c>
      <c r="AJ18" s="61">
        <v>66.0</v>
      </c>
      <c r="AK18" s="45">
        <v>232.0</v>
      </c>
      <c r="AL18" s="60">
        <v>633.0</v>
      </c>
      <c r="AM18" s="63">
        <v>730.0</v>
      </c>
      <c r="AN18" s="61">
        <v>4.0</v>
      </c>
      <c r="AO18" s="52"/>
      <c r="AP18" s="61"/>
      <c r="AQ18" s="60">
        <v>60.0</v>
      </c>
      <c r="AR18" s="60"/>
      <c r="AS18" s="60"/>
      <c r="AT18" s="60">
        <v>138.0</v>
      </c>
      <c r="AU18" s="60">
        <v>4.0</v>
      </c>
      <c r="AV18" s="68"/>
      <c r="AW18" s="70" t="s">
        <v>86</v>
      </c>
      <c r="AX18" s="71"/>
    </row>
    <row r="19">
      <c r="A19" s="116" t="s">
        <v>228</v>
      </c>
      <c r="B19" s="117" t="s">
        <v>229</v>
      </c>
      <c r="C19" s="118">
        <v>1.0</v>
      </c>
      <c r="D19" s="119">
        <v>0.0</v>
      </c>
      <c r="E19" s="120">
        <v>12.0</v>
      </c>
      <c r="F19" s="118">
        <v>4.0</v>
      </c>
      <c r="G19" s="121">
        <v>6.0</v>
      </c>
      <c r="H19" s="122">
        <v>1.0</v>
      </c>
      <c r="I19" s="131">
        <f t="shared" ref="I19:I20" si="1">ROUND((L19+M19)/2,1)</f>
        <v>2</v>
      </c>
      <c r="J19" s="119">
        <v>0.0</v>
      </c>
      <c r="K19" s="118">
        <v>12.0</v>
      </c>
      <c r="L19" s="118">
        <v>1.0</v>
      </c>
      <c r="M19" s="118">
        <v>3.0</v>
      </c>
      <c r="N19" s="118">
        <v>23.0</v>
      </c>
      <c r="O19" s="118">
        <v>2.0</v>
      </c>
      <c r="P19" s="137"/>
      <c r="Q19" s="139" t="s">
        <v>244</v>
      </c>
      <c r="R19" s="117" t="s">
        <v>245</v>
      </c>
      <c r="S19" s="118">
        <v>34.0</v>
      </c>
      <c r="T19" s="119">
        <v>22.0</v>
      </c>
      <c r="U19" s="120">
        <v>38.0</v>
      </c>
      <c r="V19" s="118">
        <v>41.0</v>
      </c>
      <c r="W19" s="121">
        <v>49.0</v>
      </c>
      <c r="X19" s="122">
        <v>1.0</v>
      </c>
      <c r="Y19" s="118">
        <v>12.5</v>
      </c>
      <c r="Z19" s="119">
        <v>10.0</v>
      </c>
      <c r="AA19" s="118">
        <v>68.0</v>
      </c>
      <c r="AB19" s="118">
        <v>8.0</v>
      </c>
      <c r="AC19" s="118">
        <v>12.0</v>
      </c>
      <c r="AD19" s="118">
        <v>69.0</v>
      </c>
      <c r="AE19" s="118">
        <v>2.0</v>
      </c>
      <c r="AF19" s="137"/>
      <c r="AG19" s="139" t="s">
        <v>252</v>
      </c>
      <c r="AH19" s="117" t="s">
        <v>253</v>
      </c>
      <c r="AI19" s="144">
        <v>58.0</v>
      </c>
      <c r="AJ19" s="145">
        <v>43.0</v>
      </c>
      <c r="AK19" s="147">
        <v>77.0</v>
      </c>
      <c r="AL19" s="144">
        <v>95.0</v>
      </c>
      <c r="AM19" s="150">
        <v>110.0</v>
      </c>
      <c r="AN19" s="145">
        <v>2.0</v>
      </c>
      <c r="AO19" s="118">
        <v>41.5</v>
      </c>
      <c r="AP19" s="145">
        <v>22.0</v>
      </c>
      <c r="AQ19" s="144">
        <v>88.0</v>
      </c>
      <c r="AR19" s="144">
        <v>16.0</v>
      </c>
      <c r="AS19" s="144">
        <v>30.0</v>
      </c>
      <c r="AT19" s="144">
        <v>140.0</v>
      </c>
      <c r="AU19" s="144">
        <v>2.0</v>
      </c>
      <c r="AV19" s="155"/>
      <c r="AW19" s="158" t="s">
        <v>266</v>
      </c>
      <c r="AX19" s="159"/>
    </row>
    <row r="20">
      <c r="A20" s="37" t="s">
        <v>273</v>
      </c>
      <c r="B20" s="38" t="s">
        <v>274</v>
      </c>
      <c r="C20" s="39">
        <v>5.0</v>
      </c>
      <c r="D20" s="43">
        <v>0.0</v>
      </c>
      <c r="E20" s="81">
        <v>22.0</v>
      </c>
      <c r="F20" s="39">
        <v>8.0</v>
      </c>
      <c r="G20" s="46">
        <v>10.0</v>
      </c>
      <c r="H20" s="43">
        <v>2.0</v>
      </c>
      <c r="I20" s="163">
        <f t="shared" si="1"/>
        <v>2.5</v>
      </c>
      <c r="J20" s="43">
        <v>5.0</v>
      </c>
      <c r="K20" s="39">
        <v>16.0</v>
      </c>
      <c r="L20" s="39">
        <v>2.0</v>
      </c>
      <c r="M20" s="39">
        <v>3.0</v>
      </c>
      <c r="N20" s="39">
        <v>24.0</v>
      </c>
      <c r="O20" s="39">
        <v>3.0</v>
      </c>
      <c r="P20" s="54"/>
      <c r="Q20" s="56" t="s">
        <v>282</v>
      </c>
      <c r="R20" s="38" t="s">
        <v>284</v>
      </c>
      <c r="S20" s="39">
        <v>37.0</v>
      </c>
      <c r="T20" s="43">
        <v>25.0</v>
      </c>
      <c r="U20" s="81">
        <v>53.0</v>
      </c>
      <c r="V20" s="39">
        <v>47.0</v>
      </c>
      <c r="W20" s="46">
        <v>55.0</v>
      </c>
      <c r="X20" s="43">
        <v>2.0</v>
      </c>
      <c r="Y20" s="39">
        <v>17.0</v>
      </c>
      <c r="Z20" s="43">
        <v>12.0</v>
      </c>
      <c r="AA20" s="39">
        <v>64.0</v>
      </c>
      <c r="AB20" s="39">
        <v>7.0</v>
      </c>
      <c r="AC20" s="39">
        <v>14.0</v>
      </c>
      <c r="AD20" s="39">
        <v>70.0</v>
      </c>
      <c r="AE20" s="39">
        <v>3.0</v>
      </c>
      <c r="AF20" s="54"/>
      <c r="AG20" s="56" t="s">
        <v>291</v>
      </c>
      <c r="AH20" s="38" t="s">
        <v>293</v>
      </c>
      <c r="AI20" s="60">
        <v>61.0</v>
      </c>
      <c r="AJ20" s="61">
        <v>45.0</v>
      </c>
      <c r="AK20" s="45">
        <v>100.0</v>
      </c>
      <c r="AL20" s="60">
        <v>108.0</v>
      </c>
      <c r="AM20" s="63">
        <v>123.0</v>
      </c>
      <c r="AN20" s="61">
        <v>2.0</v>
      </c>
      <c r="AO20" s="39">
        <v>42.0</v>
      </c>
      <c r="AP20" s="61">
        <v>20.0</v>
      </c>
      <c r="AQ20" s="60">
        <v>84.0</v>
      </c>
      <c r="AR20" s="60">
        <v>17.0</v>
      </c>
      <c r="AS20" s="60">
        <v>29.0</v>
      </c>
      <c r="AT20" s="60">
        <v>141.0</v>
      </c>
      <c r="AU20" s="60">
        <v>3.0</v>
      </c>
      <c r="AV20" s="68"/>
      <c r="AW20" s="70" t="s">
        <v>266</v>
      </c>
      <c r="AX20" s="71"/>
    </row>
    <row r="21">
      <c r="A21" s="37" t="s">
        <v>298</v>
      </c>
      <c r="B21" s="38" t="s">
        <v>299</v>
      </c>
      <c r="C21" s="39">
        <v>11.0</v>
      </c>
      <c r="D21" s="43">
        <v>0.0</v>
      </c>
      <c r="E21" s="81">
        <v>34.0</v>
      </c>
      <c r="F21" s="39">
        <v>12.0</v>
      </c>
      <c r="G21" s="46">
        <v>14.0</v>
      </c>
      <c r="H21" s="43">
        <v>3.0</v>
      </c>
      <c r="I21" s="39">
        <v>4.5</v>
      </c>
      <c r="J21" s="43">
        <v>12.0</v>
      </c>
      <c r="K21" s="39">
        <v>24.0</v>
      </c>
      <c r="L21" s="39">
        <v>2.0</v>
      </c>
      <c r="M21" s="39">
        <v>4.0</v>
      </c>
      <c r="N21" s="39">
        <v>25.0</v>
      </c>
      <c r="O21" s="39">
        <v>4.0</v>
      </c>
      <c r="P21" s="54"/>
      <c r="Q21" s="56" t="s">
        <v>303</v>
      </c>
      <c r="R21" s="38" t="s">
        <v>304</v>
      </c>
      <c r="S21" s="39">
        <v>42.0</v>
      </c>
      <c r="T21" s="43">
        <v>25.0</v>
      </c>
      <c r="U21" s="81">
        <v>71.0</v>
      </c>
      <c r="V21" s="39">
        <v>53.0</v>
      </c>
      <c r="W21" s="46">
        <v>61.0</v>
      </c>
      <c r="X21" s="43">
        <v>3.0</v>
      </c>
      <c r="Y21" s="39">
        <v>19.0</v>
      </c>
      <c r="Z21" s="43">
        <v>14.0</v>
      </c>
      <c r="AA21" s="39">
        <v>62.0</v>
      </c>
      <c r="AB21" s="39">
        <v>11.0</v>
      </c>
      <c r="AC21" s="39">
        <v>15.0</v>
      </c>
      <c r="AD21" s="39">
        <v>71.0</v>
      </c>
      <c r="AE21" s="39">
        <v>4.0</v>
      </c>
      <c r="AF21" s="54"/>
      <c r="AG21" s="56" t="s">
        <v>311</v>
      </c>
      <c r="AH21" s="38" t="s">
        <v>312</v>
      </c>
      <c r="AI21" s="60">
        <v>64.0</v>
      </c>
      <c r="AJ21" s="61">
        <v>48.0</v>
      </c>
      <c r="AK21" s="45">
        <v>127.0</v>
      </c>
      <c r="AL21" s="60">
        <v>119.0</v>
      </c>
      <c r="AM21" s="63">
        <v>135.0</v>
      </c>
      <c r="AN21" s="61">
        <v>3.0</v>
      </c>
      <c r="AO21" s="39">
        <v>42.5</v>
      </c>
      <c r="AP21" s="61">
        <v>24.0</v>
      </c>
      <c r="AQ21" s="60">
        <v>82.0</v>
      </c>
      <c r="AR21" s="60">
        <v>14.0</v>
      </c>
      <c r="AS21" s="60">
        <v>32.0</v>
      </c>
      <c r="AT21" s="60">
        <v>142.0</v>
      </c>
      <c r="AU21" s="60">
        <v>4.0</v>
      </c>
      <c r="AV21" s="68"/>
      <c r="AW21" s="70" t="s">
        <v>266</v>
      </c>
      <c r="AX21" s="71"/>
    </row>
    <row r="22">
      <c r="A22" s="37" t="s">
        <v>324</v>
      </c>
      <c r="B22" s="38" t="s">
        <v>326</v>
      </c>
      <c r="C22" s="39">
        <v>11.0</v>
      </c>
      <c r="D22" s="43">
        <v>0.0</v>
      </c>
      <c r="E22" s="81">
        <v>30.0</v>
      </c>
      <c r="F22" s="39">
        <v>15.0</v>
      </c>
      <c r="G22" s="46">
        <v>25.0</v>
      </c>
      <c r="H22" s="43">
        <v>3.0</v>
      </c>
      <c r="I22" s="39">
        <v>12.5</v>
      </c>
      <c r="J22" s="43">
        <v>8.0</v>
      </c>
      <c r="K22" s="39">
        <v>40.0</v>
      </c>
      <c r="L22" s="39">
        <v>5.0</v>
      </c>
      <c r="M22" s="39">
        <v>9.0</v>
      </c>
      <c r="N22" s="39">
        <v>46.0</v>
      </c>
      <c r="O22" s="39">
        <v>3.0</v>
      </c>
      <c r="P22" s="54"/>
      <c r="Q22" s="56" t="s">
        <v>337</v>
      </c>
      <c r="R22" s="38" t="s">
        <v>339</v>
      </c>
      <c r="S22" s="39">
        <v>42.0</v>
      </c>
      <c r="T22" s="43">
        <v>25.0</v>
      </c>
      <c r="U22" s="81">
        <v>65.0</v>
      </c>
      <c r="V22" s="39">
        <v>58.0</v>
      </c>
      <c r="W22" s="46">
        <v>78.0</v>
      </c>
      <c r="X22" s="43">
        <v>3.0</v>
      </c>
      <c r="Y22" s="163">
        <f>ROUND((AB22+AC22)/2,1)</f>
        <v>26.5</v>
      </c>
      <c r="Z22" s="43">
        <v>15.0</v>
      </c>
      <c r="AA22" s="39">
        <v>55.0</v>
      </c>
      <c r="AB22" s="39">
        <v>18.0</v>
      </c>
      <c r="AC22" s="39">
        <v>35.0</v>
      </c>
      <c r="AD22" s="39">
        <v>92.0</v>
      </c>
      <c r="AE22" s="39">
        <v>3.0</v>
      </c>
      <c r="AF22" s="54"/>
      <c r="AG22" s="56" t="s">
        <v>367</v>
      </c>
      <c r="AH22" s="38" t="s">
        <v>374</v>
      </c>
      <c r="AI22" s="60">
        <v>68.0</v>
      </c>
      <c r="AJ22" s="61">
        <v>51.0</v>
      </c>
      <c r="AK22" s="45">
        <v>118.0</v>
      </c>
      <c r="AL22" s="60">
        <v>147.0</v>
      </c>
      <c r="AM22" s="63">
        <v>163.0</v>
      </c>
      <c r="AN22" s="61">
        <v>3.0</v>
      </c>
      <c r="AO22" s="39">
        <v>50.0</v>
      </c>
      <c r="AP22" s="61">
        <v>18.0</v>
      </c>
      <c r="AQ22" s="60">
        <v>83.0</v>
      </c>
      <c r="AR22" s="60">
        <v>26.0</v>
      </c>
      <c r="AS22" s="60">
        <v>40.0</v>
      </c>
      <c r="AT22" s="60">
        <v>163.0</v>
      </c>
      <c r="AU22" s="60">
        <v>3.0</v>
      </c>
      <c r="AV22" s="68"/>
      <c r="AW22" s="70" t="s">
        <v>266</v>
      </c>
      <c r="AX22" s="181" t="s">
        <v>378</v>
      </c>
    </row>
    <row r="23">
      <c r="A23" s="37" t="s">
        <v>381</v>
      </c>
      <c r="B23" s="38" t="s">
        <v>382</v>
      </c>
      <c r="C23" s="39">
        <v>15.0</v>
      </c>
      <c r="D23" s="43">
        <v>0.0</v>
      </c>
      <c r="E23" s="81">
        <v>47.0</v>
      </c>
      <c r="F23" s="39">
        <v>16.0</v>
      </c>
      <c r="G23" s="46">
        <v>18.0</v>
      </c>
      <c r="H23" s="43">
        <v>3.0</v>
      </c>
      <c r="I23" s="39">
        <v>7.5</v>
      </c>
      <c r="J23" s="43">
        <v>8.0</v>
      </c>
      <c r="K23" s="39">
        <v>30.0</v>
      </c>
      <c r="L23" s="39">
        <v>2.0</v>
      </c>
      <c r="M23" s="39">
        <v>5.0</v>
      </c>
      <c r="N23" s="39">
        <v>26.0</v>
      </c>
      <c r="O23" s="39">
        <v>4.0</v>
      </c>
      <c r="P23" s="54"/>
      <c r="Q23" s="56" t="s">
        <v>384</v>
      </c>
      <c r="R23" s="38" t="s">
        <v>386</v>
      </c>
      <c r="S23" s="39">
        <v>45.0</v>
      </c>
      <c r="T23" s="43">
        <v>25.0</v>
      </c>
      <c r="U23" s="81">
        <v>91.0</v>
      </c>
      <c r="V23" s="39">
        <v>59.0</v>
      </c>
      <c r="W23" s="46">
        <v>67.0</v>
      </c>
      <c r="X23" s="43">
        <v>3.0</v>
      </c>
      <c r="Y23" s="39">
        <v>22.5</v>
      </c>
      <c r="Z23" s="43">
        <v>18.0</v>
      </c>
      <c r="AA23" s="39">
        <v>76.0</v>
      </c>
      <c r="AB23" s="39">
        <v>15.0</v>
      </c>
      <c r="AC23" s="39">
        <v>24.0</v>
      </c>
      <c r="AD23" s="39">
        <v>72.0</v>
      </c>
      <c r="AE23" s="39">
        <v>4.0</v>
      </c>
      <c r="AF23" s="54"/>
      <c r="AG23" s="56" t="s">
        <v>387</v>
      </c>
      <c r="AH23" s="38" t="s">
        <v>388</v>
      </c>
      <c r="AI23" s="60">
        <v>72.0</v>
      </c>
      <c r="AJ23" s="61">
        <v>54.0</v>
      </c>
      <c r="AK23" s="45">
        <v>156.0</v>
      </c>
      <c r="AL23" s="60">
        <v>133.0</v>
      </c>
      <c r="AM23" s="63">
        <v>148.0</v>
      </c>
      <c r="AN23" s="65">
        <v>4.0</v>
      </c>
      <c r="AO23" s="39">
        <v>42.5</v>
      </c>
      <c r="AP23" s="61">
        <v>22.0</v>
      </c>
      <c r="AQ23" s="60">
        <v>86.0</v>
      </c>
      <c r="AR23" s="60">
        <v>12.0</v>
      </c>
      <c r="AS23" s="60">
        <v>34.0</v>
      </c>
      <c r="AT23" s="60">
        <v>143.0</v>
      </c>
      <c r="AU23" s="60">
        <v>4.0</v>
      </c>
      <c r="AV23" s="68"/>
      <c r="AW23" s="70" t="s">
        <v>266</v>
      </c>
      <c r="AX23" s="71"/>
    </row>
    <row r="24">
      <c r="A24" s="37" t="s">
        <v>389</v>
      </c>
      <c r="B24" s="38" t="s">
        <v>390</v>
      </c>
      <c r="C24" s="39">
        <v>19.0</v>
      </c>
      <c r="D24" s="43">
        <v>0.0</v>
      </c>
      <c r="E24" s="81">
        <v>25.0</v>
      </c>
      <c r="F24" s="39">
        <v>10.0</v>
      </c>
      <c r="G24" s="46">
        <v>30.0</v>
      </c>
      <c r="H24" s="50">
        <v>2.0</v>
      </c>
      <c r="I24" s="39">
        <v>7.5</v>
      </c>
      <c r="J24" s="43">
        <v>16.0</v>
      </c>
      <c r="K24" s="39">
        <v>40.0</v>
      </c>
      <c r="L24" s="39">
        <v>3.0</v>
      </c>
      <c r="M24" s="39">
        <v>6.0</v>
      </c>
      <c r="N24" s="39">
        <v>45.0</v>
      </c>
      <c r="O24" s="39">
        <v>2.0</v>
      </c>
      <c r="P24" s="54"/>
      <c r="Q24" s="56" t="s">
        <v>391</v>
      </c>
      <c r="R24" s="38" t="s">
        <v>392</v>
      </c>
      <c r="S24" s="39">
        <v>48.0</v>
      </c>
      <c r="T24" s="43">
        <v>25.0</v>
      </c>
      <c r="U24" s="81">
        <v>58.0</v>
      </c>
      <c r="V24" s="39">
        <v>50.0</v>
      </c>
      <c r="W24" s="46">
        <v>150.0</v>
      </c>
      <c r="X24" s="43">
        <v>3.0</v>
      </c>
      <c r="Y24" s="39">
        <v>23.5</v>
      </c>
      <c r="Z24" s="43">
        <v>16.0</v>
      </c>
      <c r="AA24" s="39">
        <v>70.0</v>
      </c>
      <c r="AB24" s="39">
        <v>14.0</v>
      </c>
      <c r="AC24" s="39">
        <v>20.0</v>
      </c>
      <c r="AD24" s="39">
        <v>91.0</v>
      </c>
      <c r="AE24" s="39">
        <v>2.0</v>
      </c>
      <c r="AF24" s="54"/>
      <c r="AG24" s="56" t="s">
        <v>394</v>
      </c>
      <c r="AH24" s="38" t="s">
        <v>395</v>
      </c>
      <c r="AI24" s="60">
        <v>76.0</v>
      </c>
      <c r="AJ24" s="61">
        <v>57.0</v>
      </c>
      <c r="AK24" s="45">
        <v>106.0</v>
      </c>
      <c r="AL24" s="60">
        <v>158.0</v>
      </c>
      <c r="AM24" s="63">
        <v>173.0</v>
      </c>
      <c r="AN24" s="61">
        <v>3.0</v>
      </c>
      <c r="AO24" s="39">
        <v>45.0</v>
      </c>
      <c r="AP24" s="61">
        <v>17.0</v>
      </c>
      <c r="AQ24" s="60">
        <v>74.0</v>
      </c>
      <c r="AR24" s="60">
        <v>24.0</v>
      </c>
      <c r="AS24" s="60">
        <v>38.0</v>
      </c>
      <c r="AT24" s="60">
        <v>162.0</v>
      </c>
      <c r="AU24" s="60">
        <v>2.0</v>
      </c>
      <c r="AV24" s="68"/>
      <c r="AW24" s="70" t="s">
        <v>266</v>
      </c>
      <c r="AX24" s="181" t="s">
        <v>398</v>
      </c>
    </row>
    <row r="25">
      <c r="A25" s="37" t="s">
        <v>399</v>
      </c>
      <c r="B25" s="38" t="s">
        <v>401</v>
      </c>
      <c r="C25" s="39">
        <v>22.0</v>
      </c>
      <c r="D25" s="43">
        <v>0.0</v>
      </c>
      <c r="E25" s="81">
        <v>75.0</v>
      </c>
      <c r="F25" s="39">
        <v>22.0</v>
      </c>
      <c r="G25" s="46">
        <v>25.0</v>
      </c>
      <c r="H25" s="43">
        <v>3.0</v>
      </c>
      <c r="I25" s="39">
        <v>14.0</v>
      </c>
      <c r="J25" s="43">
        <v>24.0</v>
      </c>
      <c r="K25" s="39">
        <v>60.0</v>
      </c>
      <c r="L25" s="39">
        <v>1.0</v>
      </c>
      <c r="M25" s="39">
        <v>5.0</v>
      </c>
      <c r="N25" s="39">
        <v>27.0</v>
      </c>
      <c r="O25" s="39">
        <v>4.0</v>
      </c>
      <c r="P25" s="54"/>
      <c r="Q25" s="56" t="s">
        <v>402</v>
      </c>
      <c r="R25" s="38" t="s">
        <v>403</v>
      </c>
      <c r="S25" s="39">
        <v>50.0</v>
      </c>
      <c r="T25" s="43">
        <v>25.0</v>
      </c>
      <c r="U25" s="81">
        <v>133.0</v>
      </c>
      <c r="V25" s="39">
        <v>68.0</v>
      </c>
      <c r="W25" s="46">
        <v>78.0</v>
      </c>
      <c r="X25" s="43">
        <v>3.0</v>
      </c>
      <c r="Y25" s="39">
        <v>28.0</v>
      </c>
      <c r="Z25" s="43">
        <v>24.0</v>
      </c>
      <c r="AA25" s="39">
        <v>72.0</v>
      </c>
      <c r="AB25" s="39">
        <v>10.0</v>
      </c>
      <c r="AC25" s="39">
        <v>17.0</v>
      </c>
      <c r="AD25" s="39">
        <v>73.0</v>
      </c>
      <c r="AE25" s="39">
        <v>4.0</v>
      </c>
      <c r="AF25" s="54"/>
      <c r="AG25" s="56" t="s">
        <v>404</v>
      </c>
      <c r="AH25" s="38" t="s">
        <v>405</v>
      </c>
      <c r="AI25" s="60">
        <v>79.0</v>
      </c>
      <c r="AJ25" s="61">
        <v>59.0</v>
      </c>
      <c r="AK25" s="45">
        <v>219.0</v>
      </c>
      <c r="AL25" s="60">
        <v>215.0</v>
      </c>
      <c r="AM25" s="63">
        <v>241.0</v>
      </c>
      <c r="AN25" s="65">
        <v>4.0</v>
      </c>
      <c r="AO25" s="39">
        <v>47.0</v>
      </c>
      <c r="AP25" s="61">
        <v>46.0</v>
      </c>
      <c r="AQ25" s="60">
        <v>92.0</v>
      </c>
      <c r="AR25" s="60">
        <v>18.0</v>
      </c>
      <c r="AS25" s="60">
        <v>28.0</v>
      </c>
      <c r="AT25" s="60">
        <v>144.0</v>
      </c>
      <c r="AU25" s="60">
        <v>4.0</v>
      </c>
      <c r="AV25" s="68"/>
      <c r="AW25" s="70" t="s">
        <v>266</v>
      </c>
      <c r="AX25" s="71"/>
    </row>
    <row r="26">
      <c r="A26" s="56" t="s">
        <v>409</v>
      </c>
      <c r="B26" s="38" t="s">
        <v>410</v>
      </c>
      <c r="C26" s="39">
        <v>30.0</v>
      </c>
      <c r="D26" s="43">
        <v>0.0</v>
      </c>
      <c r="E26" s="81">
        <v>60.0</v>
      </c>
      <c r="F26" s="39">
        <v>30.0</v>
      </c>
      <c r="G26" s="46">
        <v>35.0</v>
      </c>
      <c r="H26" s="43">
        <v>3.0</v>
      </c>
      <c r="I26" s="39">
        <v>7.5</v>
      </c>
      <c r="J26" s="43">
        <v>20.0</v>
      </c>
      <c r="K26" s="39">
        <v>40.0</v>
      </c>
      <c r="L26" s="39">
        <v>2.0</v>
      </c>
      <c r="M26" s="39">
        <v>6.0</v>
      </c>
      <c r="N26" s="39">
        <v>28.0</v>
      </c>
      <c r="O26" s="39">
        <v>4.0</v>
      </c>
      <c r="P26" s="54"/>
      <c r="Q26" s="56" t="s">
        <v>412</v>
      </c>
      <c r="R26" s="38" t="s">
        <v>413</v>
      </c>
      <c r="S26" s="39">
        <v>56.0</v>
      </c>
      <c r="T26" s="43">
        <v>25.0</v>
      </c>
      <c r="U26" s="81">
        <v>110.0</v>
      </c>
      <c r="V26" s="39">
        <v>80.0</v>
      </c>
      <c r="W26" s="46">
        <v>93.0</v>
      </c>
      <c r="X26" s="43">
        <v>3.0</v>
      </c>
      <c r="Y26" s="39">
        <v>24.0</v>
      </c>
      <c r="Z26" s="43">
        <v>20.0</v>
      </c>
      <c r="AA26" s="39">
        <v>80.0</v>
      </c>
      <c r="AB26" s="39">
        <v>12.0</v>
      </c>
      <c r="AC26" s="39">
        <v>16.0</v>
      </c>
      <c r="AD26" s="39">
        <v>74.0</v>
      </c>
      <c r="AE26" s="39">
        <v>4.0</v>
      </c>
      <c r="AF26" s="54"/>
      <c r="AG26" s="56" t="s">
        <v>416</v>
      </c>
      <c r="AH26" s="38" t="s">
        <v>417</v>
      </c>
      <c r="AI26" s="60">
        <v>84.0</v>
      </c>
      <c r="AJ26" s="61">
        <v>63.0</v>
      </c>
      <c r="AK26" s="45">
        <v>185.0</v>
      </c>
      <c r="AL26" s="60">
        <v>183.0</v>
      </c>
      <c r="AM26" s="63">
        <v>207.0</v>
      </c>
      <c r="AN26" s="65">
        <v>4.0</v>
      </c>
      <c r="AO26" s="39">
        <v>44.5</v>
      </c>
      <c r="AP26" s="61">
        <v>32.0</v>
      </c>
      <c r="AQ26" s="60">
        <v>100.0</v>
      </c>
      <c r="AR26" s="60">
        <v>11.0</v>
      </c>
      <c r="AS26" s="60">
        <v>35.0</v>
      </c>
      <c r="AT26" s="60">
        <v>145.0</v>
      </c>
      <c r="AU26" s="60">
        <v>4.0</v>
      </c>
      <c r="AV26" s="68"/>
      <c r="AW26" s="70" t="s">
        <v>266</v>
      </c>
      <c r="AX26" s="71"/>
    </row>
    <row r="27">
      <c r="A27" s="116" t="s">
        <v>418</v>
      </c>
      <c r="B27" s="117" t="s">
        <v>419</v>
      </c>
      <c r="C27" s="118">
        <v>4.0</v>
      </c>
      <c r="D27" s="119">
        <v>3.0</v>
      </c>
      <c r="E27" s="147">
        <v>16.0</v>
      </c>
      <c r="F27" s="118">
        <v>8.0</v>
      </c>
      <c r="G27" s="121">
        <v>12.0</v>
      </c>
      <c r="H27" s="145">
        <v>4.0</v>
      </c>
      <c r="I27" s="131">
        <f>ROUND((L27+M27)/2,1)</f>
        <v>4</v>
      </c>
      <c r="J27" s="145">
        <v>10.0</v>
      </c>
      <c r="K27" s="144">
        <v>20.0</v>
      </c>
      <c r="L27" s="144">
        <v>2.0</v>
      </c>
      <c r="M27" s="144">
        <v>6.0</v>
      </c>
      <c r="N27" s="144">
        <v>104.0</v>
      </c>
      <c r="O27" s="144">
        <v>2.0</v>
      </c>
      <c r="P27" s="155"/>
      <c r="Q27" s="139" t="s">
        <v>424</v>
      </c>
      <c r="R27" s="117" t="s">
        <v>425</v>
      </c>
      <c r="S27" s="118">
        <v>35.0</v>
      </c>
      <c r="T27" s="119">
        <v>26.0</v>
      </c>
      <c r="U27" s="147">
        <v>44.0</v>
      </c>
      <c r="V27" s="118">
        <v>101.0</v>
      </c>
      <c r="W27" s="121">
        <v>125.0</v>
      </c>
      <c r="X27" s="145">
        <v>4.0</v>
      </c>
      <c r="Y27" s="118">
        <v>15.0</v>
      </c>
      <c r="Z27" s="145">
        <v>10.0</v>
      </c>
      <c r="AA27" s="144">
        <v>20.0</v>
      </c>
      <c r="AB27" s="144">
        <v>12.0</v>
      </c>
      <c r="AC27" s="144">
        <v>16.0</v>
      </c>
      <c r="AD27" s="144">
        <v>174.0</v>
      </c>
      <c r="AE27" s="144">
        <v>2.0</v>
      </c>
      <c r="AF27" s="155"/>
      <c r="AG27" s="139" t="s">
        <v>426</v>
      </c>
      <c r="AH27" s="117" t="s">
        <v>428</v>
      </c>
      <c r="AI27" s="144">
        <v>63.0</v>
      </c>
      <c r="AJ27" s="145">
        <v>47.0</v>
      </c>
      <c r="AK27" s="147">
        <v>86.0</v>
      </c>
      <c r="AL27" s="144">
        <v>109.0</v>
      </c>
      <c r="AM27" s="150">
        <v>136.0</v>
      </c>
      <c r="AN27" s="145">
        <v>4.0</v>
      </c>
      <c r="AO27" s="131">
        <f t="shared" ref="AO27:AO36" si="2">ROUND((AR27+AS27)/2,1)</f>
        <v>46</v>
      </c>
      <c r="AP27" s="145">
        <v>25.0</v>
      </c>
      <c r="AQ27" s="144">
        <v>45.0</v>
      </c>
      <c r="AR27" s="144">
        <v>22.0</v>
      </c>
      <c r="AS27" s="144">
        <v>70.0</v>
      </c>
      <c r="AT27" s="144">
        <v>194.0</v>
      </c>
      <c r="AU27" s="144">
        <v>2.0</v>
      </c>
      <c r="AV27" s="155"/>
      <c r="AW27" s="158" t="s">
        <v>432</v>
      </c>
      <c r="AX27" s="247" t="s">
        <v>435</v>
      </c>
    </row>
    <row r="28">
      <c r="A28" s="37" t="s">
        <v>436</v>
      </c>
      <c r="B28" s="38" t="s">
        <v>437</v>
      </c>
      <c r="C28" s="39">
        <v>8.0</v>
      </c>
      <c r="D28" s="43">
        <v>6.0</v>
      </c>
      <c r="E28" s="45">
        <v>26.0</v>
      </c>
      <c r="F28" s="39">
        <v>10.0</v>
      </c>
      <c r="G28" s="46">
        <v>18.0</v>
      </c>
      <c r="H28" s="61">
        <v>4.0</v>
      </c>
      <c r="I28" s="39">
        <v>6.0</v>
      </c>
      <c r="J28" s="61">
        <v>15.0</v>
      </c>
      <c r="K28" s="60">
        <v>30.0</v>
      </c>
      <c r="L28" s="60">
        <v>2.0</v>
      </c>
      <c r="M28" s="60">
        <v>8.0</v>
      </c>
      <c r="N28" s="60">
        <v>105.0</v>
      </c>
      <c r="O28" s="60">
        <v>2.0</v>
      </c>
      <c r="P28" s="68"/>
      <c r="Q28" s="56" t="s">
        <v>438</v>
      </c>
      <c r="R28" s="38" t="s">
        <v>440</v>
      </c>
      <c r="S28" s="39">
        <v>40.0</v>
      </c>
      <c r="T28" s="43">
        <v>30.0</v>
      </c>
      <c r="U28" s="45">
        <v>59.0</v>
      </c>
      <c r="V28" s="39">
        <v>113.0</v>
      </c>
      <c r="W28" s="46">
        <v>137.0</v>
      </c>
      <c r="X28" s="61">
        <v>4.0</v>
      </c>
      <c r="Y28" s="39">
        <v>19.5</v>
      </c>
      <c r="Z28" s="61">
        <v>15.0</v>
      </c>
      <c r="AA28" s="60">
        <v>30.0</v>
      </c>
      <c r="AB28" s="60">
        <v>15.0</v>
      </c>
      <c r="AC28" s="60">
        <v>20.0</v>
      </c>
      <c r="AD28" s="60">
        <v>175.0</v>
      </c>
      <c r="AE28" s="60">
        <v>2.0</v>
      </c>
      <c r="AF28" s="68"/>
      <c r="AG28" s="56" t="s">
        <v>444</v>
      </c>
      <c r="AH28" s="38" t="s">
        <v>445</v>
      </c>
      <c r="AI28" s="60">
        <v>70.0</v>
      </c>
      <c r="AJ28" s="61">
        <v>52.0</v>
      </c>
      <c r="AK28" s="45">
        <v>109.0</v>
      </c>
      <c r="AL28" s="60">
        <v>130.0</v>
      </c>
      <c r="AM28" s="63">
        <v>155.0</v>
      </c>
      <c r="AN28" s="61">
        <v>4.0</v>
      </c>
      <c r="AO28" s="163">
        <f t="shared" si="2"/>
        <v>46.5</v>
      </c>
      <c r="AP28" s="61">
        <v>27.0</v>
      </c>
      <c r="AQ28" s="60">
        <v>68.0</v>
      </c>
      <c r="AR28" s="60">
        <v>35.0</v>
      </c>
      <c r="AS28" s="60">
        <v>58.0</v>
      </c>
      <c r="AT28" s="60">
        <v>195.0</v>
      </c>
      <c r="AU28" s="60">
        <v>2.0</v>
      </c>
      <c r="AV28" s="68"/>
      <c r="AW28" s="70" t="s">
        <v>432</v>
      </c>
      <c r="AX28" s="257" t="s">
        <v>435</v>
      </c>
    </row>
    <row r="29">
      <c r="A29" s="37" t="s">
        <v>446</v>
      </c>
      <c r="B29" s="38" t="s">
        <v>447</v>
      </c>
      <c r="C29" s="39">
        <v>16.0</v>
      </c>
      <c r="D29" s="43">
        <v>12.0</v>
      </c>
      <c r="E29" s="81">
        <v>40.0</v>
      </c>
      <c r="F29" s="39">
        <v>16.0</v>
      </c>
      <c r="G29" s="46">
        <v>26.0</v>
      </c>
      <c r="H29" s="61">
        <v>4.0</v>
      </c>
      <c r="I29" s="39">
        <v>9.0</v>
      </c>
      <c r="J29" s="61">
        <v>20.0</v>
      </c>
      <c r="K29" s="60">
        <v>40.0</v>
      </c>
      <c r="L29" s="60">
        <v>3.0</v>
      </c>
      <c r="M29" s="60">
        <v>9.0</v>
      </c>
      <c r="N29" s="60">
        <v>106.0</v>
      </c>
      <c r="O29" s="60">
        <v>2.0</v>
      </c>
      <c r="P29" s="68"/>
      <c r="Q29" s="56" t="s">
        <v>450</v>
      </c>
      <c r="R29" s="38" t="s">
        <v>451</v>
      </c>
      <c r="S29" s="39">
        <v>46.0</v>
      </c>
      <c r="T29" s="43">
        <v>34.0</v>
      </c>
      <c r="U29" s="81">
        <v>69.0</v>
      </c>
      <c r="V29" s="39">
        <v>129.0</v>
      </c>
      <c r="W29" s="46">
        <v>153.0</v>
      </c>
      <c r="X29" s="61">
        <v>4.0</v>
      </c>
      <c r="Y29" s="39">
        <v>23.0</v>
      </c>
      <c r="Z29" s="61">
        <v>20.0</v>
      </c>
      <c r="AA29" s="60">
        <v>40.0</v>
      </c>
      <c r="AB29" s="60">
        <v>18.0</v>
      </c>
      <c r="AC29" s="60">
        <v>24.0</v>
      </c>
      <c r="AD29" s="60">
        <v>176.0</v>
      </c>
      <c r="AE29" s="60">
        <v>2.0</v>
      </c>
      <c r="AF29" s="68"/>
      <c r="AG29" s="56" t="s">
        <v>452</v>
      </c>
      <c r="AH29" s="38" t="s">
        <v>453</v>
      </c>
      <c r="AI29" s="60">
        <v>74.0</v>
      </c>
      <c r="AJ29" s="61">
        <v>55.0</v>
      </c>
      <c r="AK29" s="45">
        <v>124.0</v>
      </c>
      <c r="AL29" s="60">
        <v>166.0</v>
      </c>
      <c r="AM29" s="63">
        <v>185.0</v>
      </c>
      <c r="AN29" s="61">
        <v>4.0</v>
      </c>
      <c r="AO29" s="163">
        <f t="shared" si="2"/>
        <v>46</v>
      </c>
      <c r="AP29" s="61">
        <v>29.0</v>
      </c>
      <c r="AQ29" s="60">
        <v>55.0</v>
      </c>
      <c r="AR29" s="60">
        <v>10.0</v>
      </c>
      <c r="AS29" s="60">
        <v>82.0</v>
      </c>
      <c r="AT29" s="60">
        <v>196.0</v>
      </c>
      <c r="AU29" s="60">
        <v>2.0</v>
      </c>
      <c r="AV29" s="68"/>
      <c r="AW29" s="70" t="s">
        <v>432</v>
      </c>
      <c r="AX29" s="257" t="s">
        <v>435</v>
      </c>
    </row>
    <row r="30">
      <c r="A30" s="37" t="s">
        <v>456</v>
      </c>
      <c r="B30" s="38" t="s">
        <v>457</v>
      </c>
      <c r="C30" s="39">
        <v>20.0</v>
      </c>
      <c r="D30" s="43">
        <v>15.0</v>
      </c>
      <c r="E30" s="81">
        <v>50.0</v>
      </c>
      <c r="F30" s="39">
        <v>26.0</v>
      </c>
      <c r="G30" s="46">
        <v>36.0</v>
      </c>
      <c r="H30" s="61">
        <v>4.0</v>
      </c>
      <c r="I30" s="39">
        <v>11.5</v>
      </c>
      <c r="J30" s="61">
        <v>22.0</v>
      </c>
      <c r="K30" s="60">
        <v>50.0</v>
      </c>
      <c r="L30" s="60">
        <v>4.0</v>
      </c>
      <c r="M30" s="60">
        <v>10.0</v>
      </c>
      <c r="N30" s="60">
        <v>107.0</v>
      </c>
      <c r="O30" s="60">
        <v>2.0</v>
      </c>
      <c r="P30" s="68"/>
      <c r="Q30" s="56" t="s">
        <v>459</v>
      </c>
      <c r="R30" s="38" t="s">
        <v>460</v>
      </c>
      <c r="S30" s="39">
        <v>51.0</v>
      </c>
      <c r="T30" s="43">
        <v>38.0</v>
      </c>
      <c r="U30" s="81">
        <v>89.0</v>
      </c>
      <c r="V30" s="39">
        <v>144.0</v>
      </c>
      <c r="W30" s="46">
        <v>168.0</v>
      </c>
      <c r="X30" s="61">
        <v>4.0</v>
      </c>
      <c r="Y30" s="39">
        <v>25.5</v>
      </c>
      <c r="Z30" s="61">
        <v>22.0</v>
      </c>
      <c r="AA30" s="60">
        <v>50.0</v>
      </c>
      <c r="AB30" s="60">
        <v>20.0</v>
      </c>
      <c r="AC30" s="60">
        <v>28.0</v>
      </c>
      <c r="AD30" s="60">
        <v>177.0</v>
      </c>
      <c r="AE30" s="60">
        <v>2.0</v>
      </c>
      <c r="AF30" s="68"/>
      <c r="AG30" s="56" t="s">
        <v>463</v>
      </c>
      <c r="AH30" s="38" t="s">
        <v>464</v>
      </c>
      <c r="AI30" s="60">
        <v>82.0</v>
      </c>
      <c r="AJ30" s="61">
        <v>61.0</v>
      </c>
      <c r="AK30" s="45">
        <v>142.0</v>
      </c>
      <c r="AL30" s="60">
        <v>185.0</v>
      </c>
      <c r="AM30" s="63">
        <v>214.0</v>
      </c>
      <c r="AN30" s="61">
        <v>4.0</v>
      </c>
      <c r="AO30" s="163">
        <f t="shared" si="2"/>
        <v>46</v>
      </c>
      <c r="AP30" s="61">
        <v>31.0</v>
      </c>
      <c r="AQ30" s="60">
        <v>65.0</v>
      </c>
      <c r="AR30" s="60">
        <v>46.0</v>
      </c>
      <c r="AS30" s="60">
        <v>46.0</v>
      </c>
      <c r="AT30" s="60">
        <v>197.0</v>
      </c>
      <c r="AU30" s="60">
        <v>2.0</v>
      </c>
      <c r="AV30" s="68"/>
      <c r="AW30" s="70" t="s">
        <v>432</v>
      </c>
      <c r="AX30" s="257" t="s">
        <v>435</v>
      </c>
    </row>
    <row r="31">
      <c r="A31" s="37" t="s">
        <v>467</v>
      </c>
      <c r="B31" s="38" t="s">
        <v>468</v>
      </c>
      <c r="C31" s="39">
        <v>24.0</v>
      </c>
      <c r="D31" s="43">
        <v>18.0</v>
      </c>
      <c r="E31" s="45">
        <v>65.0</v>
      </c>
      <c r="F31" s="39">
        <v>30.0</v>
      </c>
      <c r="G31" s="46">
        <v>40.0</v>
      </c>
      <c r="H31" s="61">
        <v>4.0</v>
      </c>
      <c r="I31" s="39">
        <v>13.5</v>
      </c>
      <c r="J31" s="61">
        <v>25.0</v>
      </c>
      <c r="K31" s="60">
        <v>60.0</v>
      </c>
      <c r="L31" s="60">
        <v>4.0</v>
      </c>
      <c r="M31" s="60">
        <v>12.0</v>
      </c>
      <c r="N31" s="60">
        <v>108.0</v>
      </c>
      <c r="O31" s="60">
        <v>2.0</v>
      </c>
      <c r="P31" s="68"/>
      <c r="Q31" s="56" t="s">
        <v>471</v>
      </c>
      <c r="R31" s="38" t="s">
        <v>472</v>
      </c>
      <c r="S31" s="39">
        <v>55.0</v>
      </c>
      <c r="T31" s="43">
        <v>41.0</v>
      </c>
      <c r="U31" s="45">
        <v>114.0</v>
      </c>
      <c r="V31" s="39">
        <v>156.0</v>
      </c>
      <c r="W31" s="46">
        <v>181.0</v>
      </c>
      <c r="X31" s="61">
        <v>4.0</v>
      </c>
      <c r="Y31" s="163">
        <f t="shared" ref="Y31:Y36" si="3">ROUND((AB31+AC31)/2,1)</f>
        <v>28</v>
      </c>
      <c r="Z31" s="61">
        <v>23.0</v>
      </c>
      <c r="AA31" s="60">
        <v>60.0</v>
      </c>
      <c r="AB31" s="60">
        <v>24.0</v>
      </c>
      <c r="AC31" s="60">
        <v>32.0</v>
      </c>
      <c r="AD31" s="60">
        <v>178.0</v>
      </c>
      <c r="AE31" s="60">
        <v>2.0</v>
      </c>
      <c r="AF31" s="68"/>
      <c r="AG31" s="56" t="s">
        <v>476</v>
      </c>
      <c r="AH31" s="38" t="s">
        <v>477</v>
      </c>
      <c r="AI31" s="60">
        <v>85.0</v>
      </c>
      <c r="AJ31" s="61">
        <v>66.0</v>
      </c>
      <c r="AK31" s="45">
        <v>148.0</v>
      </c>
      <c r="AL31" s="60">
        <v>205.0</v>
      </c>
      <c r="AM31" s="63">
        <v>243.0</v>
      </c>
      <c r="AN31" s="61">
        <v>4.0</v>
      </c>
      <c r="AO31" s="163">
        <f t="shared" si="2"/>
        <v>46</v>
      </c>
      <c r="AP31" s="61">
        <v>32.0</v>
      </c>
      <c r="AQ31" s="60">
        <v>90.0</v>
      </c>
      <c r="AR31" s="60">
        <v>5.0</v>
      </c>
      <c r="AS31" s="60">
        <v>87.0</v>
      </c>
      <c r="AT31" s="60">
        <v>198.0</v>
      </c>
      <c r="AU31" s="60">
        <v>2.0</v>
      </c>
      <c r="AV31" s="68"/>
      <c r="AW31" s="70" t="s">
        <v>432</v>
      </c>
      <c r="AX31" s="257" t="s">
        <v>435</v>
      </c>
    </row>
    <row r="32">
      <c r="A32" s="116" t="s">
        <v>480</v>
      </c>
      <c r="B32" s="117" t="s">
        <v>481</v>
      </c>
      <c r="C32" s="118">
        <v>4.0</v>
      </c>
      <c r="D32" s="119">
        <v>3.0</v>
      </c>
      <c r="E32" s="147">
        <v>12.0</v>
      </c>
      <c r="F32" s="118">
        <v>2.0</v>
      </c>
      <c r="G32" s="121">
        <v>5.0</v>
      </c>
      <c r="H32" s="265">
        <v>2.0</v>
      </c>
      <c r="I32" s="131">
        <f t="shared" ref="I32:I36" si="4">ROUND((L32+M32)/2,1)</f>
        <v>0</v>
      </c>
      <c r="J32" s="145">
        <v>3.0</v>
      </c>
      <c r="K32" s="144">
        <v>20.0</v>
      </c>
      <c r="L32" s="144">
        <v>0.0</v>
      </c>
      <c r="M32" s="144">
        <v>0.0</v>
      </c>
      <c r="N32" s="144">
        <v>109.0</v>
      </c>
      <c r="O32" s="144">
        <v>1.0</v>
      </c>
      <c r="P32" s="155"/>
      <c r="Q32" s="139" t="s">
        <v>490</v>
      </c>
      <c r="R32" s="117" t="s">
        <v>491</v>
      </c>
      <c r="S32" s="118">
        <v>33.0</v>
      </c>
      <c r="T32" s="119">
        <v>24.0</v>
      </c>
      <c r="U32" s="147">
        <v>38.0</v>
      </c>
      <c r="V32" s="118">
        <v>38.0</v>
      </c>
      <c r="W32" s="121">
        <v>48.0</v>
      </c>
      <c r="X32" s="145">
        <v>3.0</v>
      </c>
      <c r="Y32" s="131">
        <f t="shared" si="3"/>
        <v>0</v>
      </c>
      <c r="Z32" s="145">
        <v>3.0</v>
      </c>
      <c r="AA32" s="144">
        <v>20.0</v>
      </c>
      <c r="AB32" s="144">
        <v>0.0</v>
      </c>
      <c r="AC32" s="144">
        <v>0.0</v>
      </c>
      <c r="AD32" s="144">
        <v>179.0</v>
      </c>
      <c r="AE32" s="144">
        <v>1.0</v>
      </c>
      <c r="AF32" s="155"/>
      <c r="AG32" s="139" t="s">
        <v>496</v>
      </c>
      <c r="AH32" s="117" t="s">
        <v>497</v>
      </c>
      <c r="AI32" s="144">
        <v>59.0</v>
      </c>
      <c r="AJ32" s="145">
        <v>44.0</v>
      </c>
      <c r="AK32" s="147">
        <v>77.0</v>
      </c>
      <c r="AL32" s="144">
        <v>95.0</v>
      </c>
      <c r="AM32" s="150">
        <v>139.0</v>
      </c>
      <c r="AN32" s="145">
        <v>3.0</v>
      </c>
      <c r="AO32" s="131">
        <f t="shared" si="2"/>
        <v>0</v>
      </c>
      <c r="AP32" s="145">
        <v>3.0</v>
      </c>
      <c r="AQ32" s="144">
        <v>20.0</v>
      </c>
      <c r="AR32" s="144">
        <v>0.0</v>
      </c>
      <c r="AS32" s="144">
        <v>0.0</v>
      </c>
      <c r="AT32" s="144">
        <v>199.0</v>
      </c>
      <c r="AU32" s="144">
        <v>1.0</v>
      </c>
      <c r="AV32" s="155"/>
      <c r="AW32" s="267" t="s">
        <v>498</v>
      </c>
      <c r="AX32" s="268" t="s">
        <v>500</v>
      </c>
    </row>
    <row r="33">
      <c r="A33" s="37" t="s">
        <v>502</v>
      </c>
      <c r="B33" s="38" t="s">
        <v>503</v>
      </c>
      <c r="C33" s="39">
        <v>8.0</v>
      </c>
      <c r="D33" s="43">
        <v>6.0</v>
      </c>
      <c r="E33" s="45">
        <v>14.0</v>
      </c>
      <c r="F33" s="39">
        <v>4.0</v>
      </c>
      <c r="G33" s="46">
        <v>8.0</v>
      </c>
      <c r="H33" s="269">
        <v>2.0</v>
      </c>
      <c r="I33" s="163">
        <f t="shared" si="4"/>
        <v>0</v>
      </c>
      <c r="J33" s="61">
        <v>5.0</v>
      </c>
      <c r="K33" s="60">
        <v>20.0</v>
      </c>
      <c r="L33" s="60">
        <v>0.0</v>
      </c>
      <c r="M33" s="60">
        <v>0.0</v>
      </c>
      <c r="N33" s="60">
        <v>110.0</v>
      </c>
      <c r="O33" s="60">
        <v>1.0</v>
      </c>
      <c r="P33" s="68"/>
      <c r="Q33" s="56" t="s">
        <v>504</v>
      </c>
      <c r="R33" s="38" t="s">
        <v>505</v>
      </c>
      <c r="S33" s="39">
        <v>39.0</v>
      </c>
      <c r="T33" s="43">
        <v>29.0</v>
      </c>
      <c r="U33" s="45">
        <v>41.0</v>
      </c>
      <c r="V33" s="39">
        <v>41.0</v>
      </c>
      <c r="W33" s="46">
        <v>52.0</v>
      </c>
      <c r="X33" s="61">
        <v>3.0</v>
      </c>
      <c r="Y33" s="163">
        <f t="shared" si="3"/>
        <v>0</v>
      </c>
      <c r="Z33" s="61">
        <v>5.0</v>
      </c>
      <c r="AA33" s="60">
        <v>20.0</v>
      </c>
      <c r="AB33" s="60">
        <v>0.0</v>
      </c>
      <c r="AC33" s="60">
        <v>0.0</v>
      </c>
      <c r="AD33" s="60">
        <v>180.0</v>
      </c>
      <c r="AE33" s="60">
        <v>1.0</v>
      </c>
      <c r="AF33" s="68"/>
      <c r="AG33" s="56" t="s">
        <v>509</v>
      </c>
      <c r="AH33" s="38" t="s">
        <v>510</v>
      </c>
      <c r="AI33" s="60">
        <v>67.0</v>
      </c>
      <c r="AJ33" s="61">
        <v>50.0</v>
      </c>
      <c r="AK33" s="45">
        <v>82.0</v>
      </c>
      <c r="AL33" s="60">
        <v>96.0</v>
      </c>
      <c r="AM33" s="63">
        <v>141.0</v>
      </c>
      <c r="AN33" s="61">
        <v>3.0</v>
      </c>
      <c r="AO33" s="163">
        <f t="shared" si="2"/>
        <v>0</v>
      </c>
      <c r="AP33" s="61">
        <v>5.0</v>
      </c>
      <c r="AQ33" s="60">
        <v>20.0</v>
      </c>
      <c r="AR33" s="60">
        <v>0.0</v>
      </c>
      <c r="AS33" s="60">
        <v>0.0</v>
      </c>
      <c r="AT33" s="60">
        <v>200.0</v>
      </c>
      <c r="AU33" s="60">
        <v>1.0</v>
      </c>
      <c r="AV33" s="68"/>
      <c r="AW33" s="274" t="s">
        <v>498</v>
      </c>
      <c r="AX33" s="181" t="s">
        <v>500</v>
      </c>
    </row>
    <row r="34">
      <c r="A34" s="37" t="s">
        <v>513</v>
      </c>
      <c r="B34" s="38" t="s">
        <v>515</v>
      </c>
      <c r="C34" s="39">
        <v>16.0</v>
      </c>
      <c r="D34" s="43">
        <v>12.0</v>
      </c>
      <c r="E34" s="45">
        <v>18.0</v>
      </c>
      <c r="F34" s="39">
        <v>6.0</v>
      </c>
      <c r="G34" s="46">
        <v>10.0</v>
      </c>
      <c r="H34" s="269">
        <v>2.0</v>
      </c>
      <c r="I34" s="163">
        <f t="shared" si="4"/>
        <v>0</v>
      </c>
      <c r="J34" s="61">
        <v>8.0</v>
      </c>
      <c r="K34" s="60">
        <v>20.0</v>
      </c>
      <c r="L34" s="60">
        <v>0.0</v>
      </c>
      <c r="M34" s="60">
        <v>0.0</v>
      </c>
      <c r="N34" s="60">
        <v>111.0</v>
      </c>
      <c r="O34" s="60">
        <v>1.0</v>
      </c>
      <c r="P34" s="68"/>
      <c r="Q34" s="56" t="s">
        <v>521</v>
      </c>
      <c r="R34" s="38" t="s">
        <v>522</v>
      </c>
      <c r="S34" s="39">
        <v>45.0</v>
      </c>
      <c r="T34" s="43">
        <v>33.0</v>
      </c>
      <c r="U34" s="45">
        <v>47.0</v>
      </c>
      <c r="V34" s="39">
        <v>44.0</v>
      </c>
      <c r="W34" s="46">
        <v>55.0</v>
      </c>
      <c r="X34" s="61">
        <v>3.0</v>
      </c>
      <c r="Y34" s="163">
        <f t="shared" si="3"/>
        <v>0</v>
      </c>
      <c r="Z34" s="61">
        <v>8.0</v>
      </c>
      <c r="AA34" s="60">
        <v>20.0</v>
      </c>
      <c r="AB34" s="60">
        <v>0.0</v>
      </c>
      <c r="AC34" s="60">
        <v>0.0</v>
      </c>
      <c r="AD34" s="60">
        <v>181.0</v>
      </c>
      <c r="AE34" s="60">
        <v>1.0</v>
      </c>
      <c r="AF34" s="68"/>
      <c r="AG34" s="56" t="s">
        <v>524</v>
      </c>
      <c r="AH34" s="38" t="s">
        <v>525</v>
      </c>
      <c r="AI34" s="60">
        <v>66.0</v>
      </c>
      <c r="AJ34" s="61">
        <v>49.0</v>
      </c>
      <c r="AK34" s="45">
        <v>91.0</v>
      </c>
      <c r="AL34" s="60">
        <v>98.0</v>
      </c>
      <c r="AM34" s="63">
        <v>142.0</v>
      </c>
      <c r="AN34" s="61">
        <v>3.0</v>
      </c>
      <c r="AO34" s="163">
        <f t="shared" si="2"/>
        <v>0</v>
      </c>
      <c r="AP34" s="61">
        <v>8.0</v>
      </c>
      <c r="AQ34" s="60">
        <v>20.0</v>
      </c>
      <c r="AR34" s="60">
        <v>0.0</v>
      </c>
      <c r="AS34" s="60">
        <v>0.0</v>
      </c>
      <c r="AT34" s="60">
        <v>201.0</v>
      </c>
      <c r="AU34" s="60">
        <v>1.0</v>
      </c>
      <c r="AV34" s="68"/>
      <c r="AW34" s="274" t="s">
        <v>498</v>
      </c>
      <c r="AX34" s="181" t="s">
        <v>500</v>
      </c>
    </row>
    <row r="35">
      <c r="A35" s="37" t="s">
        <v>528</v>
      </c>
      <c r="B35" s="38" t="s">
        <v>529</v>
      </c>
      <c r="C35" s="39">
        <v>20.0</v>
      </c>
      <c r="D35" s="43">
        <v>15.0</v>
      </c>
      <c r="E35" s="45">
        <v>20.0</v>
      </c>
      <c r="F35" s="39">
        <v>10.0</v>
      </c>
      <c r="G35" s="46">
        <v>16.0</v>
      </c>
      <c r="H35" s="269">
        <v>2.0</v>
      </c>
      <c r="I35" s="163">
        <f t="shared" si="4"/>
        <v>0</v>
      </c>
      <c r="J35" s="61">
        <v>10.0</v>
      </c>
      <c r="K35" s="60">
        <v>20.0</v>
      </c>
      <c r="L35" s="60">
        <v>0.0</v>
      </c>
      <c r="M35" s="60">
        <v>0.0</v>
      </c>
      <c r="N35" s="60">
        <v>112.0</v>
      </c>
      <c r="O35" s="60">
        <v>1.0</v>
      </c>
      <c r="P35" s="68"/>
      <c r="Q35" s="56" t="s">
        <v>532</v>
      </c>
      <c r="R35" s="38" t="s">
        <v>533</v>
      </c>
      <c r="S35" s="39">
        <v>49.0</v>
      </c>
      <c r="T35" s="43">
        <v>36.0</v>
      </c>
      <c r="U35" s="45">
        <v>50.0</v>
      </c>
      <c r="V35" s="39">
        <v>50.0</v>
      </c>
      <c r="W35" s="46">
        <v>64.0</v>
      </c>
      <c r="X35" s="61">
        <v>3.0</v>
      </c>
      <c r="Y35" s="163">
        <f t="shared" si="3"/>
        <v>0</v>
      </c>
      <c r="Z35" s="61">
        <v>10.0</v>
      </c>
      <c r="AA35" s="60">
        <v>20.0</v>
      </c>
      <c r="AB35" s="60">
        <v>0.0</v>
      </c>
      <c r="AC35" s="60">
        <v>0.0</v>
      </c>
      <c r="AD35" s="60">
        <v>182.0</v>
      </c>
      <c r="AE35" s="60">
        <v>1.0</v>
      </c>
      <c r="AF35" s="68"/>
      <c r="AG35" s="56" t="s">
        <v>536</v>
      </c>
      <c r="AH35" s="38" t="s">
        <v>537</v>
      </c>
      <c r="AI35" s="60">
        <v>81.0</v>
      </c>
      <c r="AJ35" s="61">
        <v>60.0</v>
      </c>
      <c r="AK35" s="45">
        <v>95.0</v>
      </c>
      <c r="AL35" s="60">
        <v>100.0</v>
      </c>
      <c r="AM35" s="63">
        <v>146.0</v>
      </c>
      <c r="AN35" s="61">
        <v>3.0</v>
      </c>
      <c r="AO35" s="163">
        <f t="shared" si="2"/>
        <v>0</v>
      </c>
      <c r="AP35" s="61">
        <v>10.0</v>
      </c>
      <c r="AQ35" s="60">
        <v>20.0</v>
      </c>
      <c r="AR35" s="60">
        <v>0.0</v>
      </c>
      <c r="AS35" s="60">
        <v>0.0</v>
      </c>
      <c r="AT35" s="60">
        <v>202.0</v>
      </c>
      <c r="AU35" s="60">
        <v>1.0</v>
      </c>
      <c r="AV35" s="68"/>
      <c r="AW35" s="274" t="s">
        <v>498</v>
      </c>
      <c r="AX35" s="181" t="s">
        <v>500</v>
      </c>
    </row>
    <row r="36">
      <c r="A36" s="37" t="s">
        <v>541</v>
      </c>
      <c r="B36" s="38" t="s">
        <v>542</v>
      </c>
      <c r="C36" s="39">
        <v>24.0</v>
      </c>
      <c r="D36" s="43">
        <v>18.0</v>
      </c>
      <c r="E36" s="45">
        <v>25.0</v>
      </c>
      <c r="F36" s="39">
        <v>15.0</v>
      </c>
      <c r="G36" s="46">
        <v>20.0</v>
      </c>
      <c r="H36" s="269">
        <v>2.0</v>
      </c>
      <c r="I36" s="163">
        <f t="shared" si="4"/>
        <v>0</v>
      </c>
      <c r="J36" s="61">
        <v>12.0</v>
      </c>
      <c r="K36" s="60">
        <v>20.0</v>
      </c>
      <c r="L36" s="60">
        <v>0.0</v>
      </c>
      <c r="M36" s="60">
        <v>0.0</v>
      </c>
      <c r="N36" s="60">
        <v>113.0</v>
      </c>
      <c r="O36" s="60">
        <v>1.0</v>
      </c>
      <c r="P36" s="68"/>
      <c r="Q36" s="56" t="s">
        <v>544</v>
      </c>
      <c r="R36" s="38" t="s">
        <v>545</v>
      </c>
      <c r="S36" s="39">
        <v>54.0</v>
      </c>
      <c r="T36" s="43">
        <v>40.0</v>
      </c>
      <c r="U36" s="45">
        <v>58.0</v>
      </c>
      <c r="V36" s="39">
        <v>58.0</v>
      </c>
      <c r="W36" s="46">
        <v>70.0</v>
      </c>
      <c r="X36" s="61">
        <v>3.0</v>
      </c>
      <c r="Y36" s="163">
        <f t="shared" si="3"/>
        <v>0</v>
      </c>
      <c r="Z36" s="61">
        <v>12.0</v>
      </c>
      <c r="AA36" s="60">
        <v>20.0</v>
      </c>
      <c r="AB36" s="60">
        <v>0.0</v>
      </c>
      <c r="AC36" s="60">
        <v>0.0</v>
      </c>
      <c r="AD36" s="60">
        <v>183.0</v>
      </c>
      <c r="AE36" s="60">
        <v>1.0</v>
      </c>
      <c r="AF36" s="68"/>
      <c r="AG36" s="56" t="s">
        <v>548</v>
      </c>
      <c r="AH36" s="38" t="s">
        <v>549</v>
      </c>
      <c r="AI36" s="60">
        <v>85.0</v>
      </c>
      <c r="AJ36" s="61">
        <v>65.0</v>
      </c>
      <c r="AK36" s="45">
        <v>106.0</v>
      </c>
      <c r="AL36" s="60">
        <v>103.0</v>
      </c>
      <c r="AM36" s="63">
        <v>148.0</v>
      </c>
      <c r="AN36" s="61">
        <v>3.0</v>
      </c>
      <c r="AO36" s="163">
        <f t="shared" si="2"/>
        <v>0</v>
      </c>
      <c r="AP36" s="61">
        <v>12.0</v>
      </c>
      <c r="AQ36" s="60">
        <v>20.0</v>
      </c>
      <c r="AR36" s="60">
        <v>0.0</v>
      </c>
      <c r="AS36" s="60">
        <v>0.0</v>
      </c>
      <c r="AT36" s="60">
        <v>203.0</v>
      </c>
      <c r="AU36" s="60">
        <v>1.0</v>
      </c>
      <c r="AV36" s="68"/>
      <c r="AW36" s="274" t="s">
        <v>498</v>
      </c>
      <c r="AX36" s="181" t="s">
        <v>500</v>
      </c>
    </row>
    <row r="37">
      <c r="A37" s="116" t="s">
        <v>550</v>
      </c>
      <c r="B37" s="117" t="s">
        <v>551</v>
      </c>
      <c r="C37" s="118">
        <v>1.0</v>
      </c>
      <c r="D37" s="119">
        <v>0.0</v>
      </c>
      <c r="E37" s="147">
        <v>0.0</v>
      </c>
      <c r="F37" s="118">
        <v>3.0</v>
      </c>
      <c r="G37" s="121">
        <v>5.0</v>
      </c>
      <c r="H37" s="119">
        <v>2.0</v>
      </c>
      <c r="I37" s="279"/>
      <c r="J37" s="119"/>
      <c r="K37" s="118">
        <v>12.0</v>
      </c>
      <c r="L37" s="118"/>
      <c r="M37" s="118"/>
      <c r="N37" s="118">
        <v>1.0</v>
      </c>
      <c r="O37" s="118">
        <v>1.0</v>
      </c>
      <c r="P37" s="118"/>
      <c r="Q37" s="139" t="s">
        <v>554</v>
      </c>
      <c r="R37" s="117" t="s">
        <v>555</v>
      </c>
      <c r="S37" s="118">
        <v>34.0</v>
      </c>
      <c r="T37" s="119">
        <v>22.0</v>
      </c>
      <c r="U37" s="147">
        <v>20.0</v>
      </c>
      <c r="V37" s="118">
        <v>45.0</v>
      </c>
      <c r="W37" s="121">
        <v>53.0</v>
      </c>
      <c r="X37" s="119">
        <v>2.0</v>
      </c>
      <c r="Y37" s="279"/>
      <c r="Z37" s="119"/>
      <c r="AA37" s="118">
        <v>12.0</v>
      </c>
      <c r="AB37" s="118"/>
      <c r="AC37" s="118"/>
      <c r="AD37" s="118">
        <v>47.0</v>
      </c>
      <c r="AE37" s="118">
        <v>1.0</v>
      </c>
      <c r="AF37" s="118"/>
      <c r="AG37" s="139" t="s">
        <v>557</v>
      </c>
      <c r="AH37" s="117" t="s">
        <v>558</v>
      </c>
      <c r="AI37" s="118">
        <v>58.0</v>
      </c>
      <c r="AJ37" s="145">
        <v>43.0</v>
      </c>
      <c r="AK37" s="147">
        <v>50.0</v>
      </c>
      <c r="AL37" s="144">
        <v>98.0</v>
      </c>
      <c r="AM37" s="150">
        <v>141.0</v>
      </c>
      <c r="AN37" s="119">
        <v>2.0</v>
      </c>
      <c r="AO37" s="279"/>
      <c r="AP37" s="119"/>
      <c r="AQ37" s="118">
        <v>12.0</v>
      </c>
      <c r="AR37" s="118"/>
      <c r="AS37" s="118"/>
      <c r="AT37" s="118">
        <v>118.0</v>
      </c>
      <c r="AU37" s="118">
        <v>1.0</v>
      </c>
      <c r="AV37" s="131"/>
      <c r="AW37" s="158" t="s">
        <v>559</v>
      </c>
      <c r="AX37" s="159"/>
    </row>
    <row r="38">
      <c r="A38" s="37" t="s">
        <v>560</v>
      </c>
      <c r="B38" s="38" t="s">
        <v>561</v>
      </c>
      <c r="C38" s="39">
        <v>5.0</v>
      </c>
      <c r="D38" s="43">
        <v>0.0</v>
      </c>
      <c r="E38" s="81">
        <v>15.0</v>
      </c>
      <c r="F38" s="39">
        <v>8.0</v>
      </c>
      <c r="G38" s="46">
        <v>11.0</v>
      </c>
      <c r="H38" s="43">
        <v>2.0</v>
      </c>
      <c r="I38" s="52"/>
      <c r="J38" s="43"/>
      <c r="K38" s="39">
        <v>18.0</v>
      </c>
      <c r="L38" s="39"/>
      <c r="M38" s="39"/>
      <c r="N38" s="39">
        <v>2.0</v>
      </c>
      <c r="O38" s="39">
        <v>4.0</v>
      </c>
      <c r="P38" s="54"/>
      <c r="Q38" s="56" t="s">
        <v>564</v>
      </c>
      <c r="R38" s="38" t="s">
        <v>565</v>
      </c>
      <c r="S38" s="39">
        <v>37.0</v>
      </c>
      <c r="T38" s="43">
        <v>25.0</v>
      </c>
      <c r="U38" s="81">
        <v>43.0</v>
      </c>
      <c r="V38" s="39">
        <v>52.0</v>
      </c>
      <c r="W38" s="46">
        <v>62.0</v>
      </c>
      <c r="X38" s="43">
        <v>2.0</v>
      </c>
      <c r="Y38" s="52"/>
      <c r="Z38" s="43"/>
      <c r="AA38" s="39">
        <v>18.0</v>
      </c>
      <c r="AB38" s="39"/>
      <c r="AC38" s="39"/>
      <c r="AD38" s="39">
        <v>48.0</v>
      </c>
      <c r="AE38" s="39">
        <v>4.0</v>
      </c>
      <c r="AF38" s="54"/>
      <c r="AG38" s="56" t="s">
        <v>566</v>
      </c>
      <c r="AH38" s="38" t="s">
        <v>567</v>
      </c>
      <c r="AI38" s="60">
        <v>63.0</v>
      </c>
      <c r="AJ38" s="61">
        <v>47.0</v>
      </c>
      <c r="AK38" s="45">
        <v>84.0</v>
      </c>
      <c r="AL38" s="60">
        <v>101.0</v>
      </c>
      <c r="AM38" s="63">
        <v>145.0</v>
      </c>
      <c r="AN38" s="61">
        <v>2.0</v>
      </c>
      <c r="AO38" s="52"/>
      <c r="AP38" s="61"/>
      <c r="AQ38" s="60">
        <v>18.0</v>
      </c>
      <c r="AR38" s="60"/>
      <c r="AS38" s="60"/>
      <c r="AT38" s="60">
        <v>119.0</v>
      </c>
      <c r="AU38" s="60">
        <v>4.0</v>
      </c>
      <c r="AV38" s="68"/>
      <c r="AW38" s="70" t="s">
        <v>559</v>
      </c>
      <c r="AX38" s="71"/>
    </row>
    <row r="39">
      <c r="A39" s="37" t="s">
        <v>568</v>
      </c>
      <c r="B39" s="38" t="s">
        <v>569</v>
      </c>
      <c r="C39" s="39">
        <v>11.0</v>
      </c>
      <c r="D39" s="43">
        <v>0.0</v>
      </c>
      <c r="E39" s="81">
        <v>26.0</v>
      </c>
      <c r="F39" s="39">
        <v>15.0</v>
      </c>
      <c r="G39" s="46">
        <v>18.0</v>
      </c>
      <c r="H39" s="43">
        <v>2.0</v>
      </c>
      <c r="I39" s="52"/>
      <c r="J39" s="43"/>
      <c r="K39" s="39">
        <v>24.0</v>
      </c>
      <c r="L39" s="39"/>
      <c r="M39" s="39"/>
      <c r="N39" s="39">
        <v>3.0</v>
      </c>
      <c r="O39" s="39">
        <v>4.0</v>
      </c>
      <c r="P39" s="54"/>
      <c r="Q39" s="56" t="s">
        <v>572</v>
      </c>
      <c r="R39" s="38" t="s">
        <v>573</v>
      </c>
      <c r="S39" s="39">
        <v>42.0</v>
      </c>
      <c r="T39" s="43">
        <v>25.0</v>
      </c>
      <c r="U39" s="81">
        <v>59.0</v>
      </c>
      <c r="V39" s="39">
        <v>63.0</v>
      </c>
      <c r="W39" s="46">
        <v>72.0</v>
      </c>
      <c r="X39" s="43">
        <v>2.0</v>
      </c>
      <c r="Y39" s="52"/>
      <c r="Z39" s="43"/>
      <c r="AA39" s="39">
        <v>24.0</v>
      </c>
      <c r="AB39" s="39"/>
      <c r="AC39" s="39"/>
      <c r="AD39" s="39">
        <v>49.0</v>
      </c>
      <c r="AE39" s="39">
        <v>4.0</v>
      </c>
      <c r="AF39" s="54"/>
      <c r="AG39" s="56" t="s">
        <v>574</v>
      </c>
      <c r="AH39" s="38" t="s">
        <v>575</v>
      </c>
      <c r="AI39" s="60">
        <v>68.0</v>
      </c>
      <c r="AJ39" s="61">
        <v>51.0</v>
      </c>
      <c r="AK39" s="45">
        <v>109.0</v>
      </c>
      <c r="AL39" s="60">
        <v>105.0</v>
      </c>
      <c r="AM39" s="63">
        <v>149.0</v>
      </c>
      <c r="AN39" s="61">
        <v>2.0</v>
      </c>
      <c r="AO39" s="52"/>
      <c r="AP39" s="61"/>
      <c r="AQ39" s="60">
        <v>24.0</v>
      </c>
      <c r="AR39" s="60"/>
      <c r="AS39" s="60"/>
      <c r="AT39" s="60">
        <v>120.0</v>
      </c>
      <c r="AU39" s="60">
        <v>4.0</v>
      </c>
      <c r="AV39" s="68"/>
      <c r="AW39" s="70" t="s">
        <v>559</v>
      </c>
      <c r="AX39" s="71"/>
    </row>
    <row r="40">
      <c r="A40" s="37" t="s">
        <v>578</v>
      </c>
      <c r="B40" s="38" t="s">
        <v>579</v>
      </c>
      <c r="C40" s="39">
        <v>15.0</v>
      </c>
      <c r="D40" s="43">
        <v>0.0</v>
      </c>
      <c r="E40" s="81">
        <v>41.0</v>
      </c>
      <c r="F40" s="39">
        <v>23.0</v>
      </c>
      <c r="G40" s="46">
        <v>26.0</v>
      </c>
      <c r="H40" s="43">
        <v>2.0</v>
      </c>
      <c r="I40" s="52"/>
      <c r="J40" s="43"/>
      <c r="K40" s="39">
        <v>30.0</v>
      </c>
      <c r="L40" s="39"/>
      <c r="M40" s="39"/>
      <c r="N40" s="39">
        <v>4.0</v>
      </c>
      <c r="O40" s="39">
        <v>4.0</v>
      </c>
      <c r="P40" s="54"/>
      <c r="Q40" s="56" t="s">
        <v>582</v>
      </c>
      <c r="R40" s="38" t="s">
        <v>583</v>
      </c>
      <c r="S40" s="39">
        <v>45.0</v>
      </c>
      <c r="T40" s="43">
        <v>25.0</v>
      </c>
      <c r="U40" s="81">
        <v>82.0</v>
      </c>
      <c r="V40" s="39">
        <v>75.0</v>
      </c>
      <c r="W40" s="46">
        <v>84.0</v>
      </c>
      <c r="X40" s="43">
        <v>2.0</v>
      </c>
      <c r="Y40" s="52"/>
      <c r="Z40" s="43"/>
      <c r="AA40" s="39">
        <v>30.0</v>
      </c>
      <c r="AB40" s="39"/>
      <c r="AC40" s="39"/>
      <c r="AD40" s="39">
        <v>50.0</v>
      </c>
      <c r="AE40" s="39">
        <v>4.0</v>
      </c>
      <c r="AF40" s="54"/>
      <c r="AG40" s="56" t="s">
        <v>586</v>
      </c>
      <c r="AH40" s="38" t="s">
        <v>588</v>
      </c>
      <c r="AI40" s="60">
        <v>54.0</v>
      </c>
      <c r="AJ40" s="61">
        <v>40.0</v>
      </c>
      <c r="AK40" s="45">
        <v>142.0</v>
      </c>
      <c r="AL40" s="60">
        <v>110.0</v>
      </c>
      <c r="AM40" s="63">
        <v>154.0</v>
      </c>
      <c r="AN40" s="61">
        <v>2.0</v>
      </c>
      <c r="AO40" s="52"/>
      <c r="AP40" s="61"/>
      <c r="AQ40" s="60">
        <v>30.0</v>
      </c>
      <c r="AR40" s="60"/>
      <c r="AS40" s="60"/>
      <c r="AT40" s="60">
        <v>121.0</v>
      </c>
      <c r="AU40" s="60">
        <v>4.0</v>
      </c>
      <c r="AV40" s="68"/>
      <c r="AW40" s="70" t="s">
        <v>559</v>
      </c>
      <c r="AX40" s="71"/>
    </row>
    <row r="41">
      <c r="A41" s="37" t="s">
        <v>591</v>
      </c>
      <c r="B41" s="38" t="s">
        <v>593</v>
      </c>
      <c r="C41" s="39">
        <v>19.0</v>
      </c>
      <c r="D41" s="43">
        <v>0.0</v>
      </c>
      <c r="E41" s="81">
        <v>23.0</v>
      </c>
      <c r="F41" s="39">
        <v>9.0</v>
      </c>
      <c r="G41" s="46">
        <v>27.0</v>
      </c>
      <c r="H41" s="43">
        <v>3.0</v>
      </c>
      <c r="I41" s="52"/>
      <c r="J41" s="43"/>
      <c r="K41" s="39">
        <v>20.0</v>
      </c>
      <c r="L41" s="39"/>
      <c r="M41" s="39"/>
      <c r="N41" s="39">
        <v>7.0</v>
      </c>
      <c r="O41" s="39">
        <v>4.0</v>
      </c>
      <c r="P41" s="54"/>
      <c r="Q41" s="56" t="s">
        <v>594</v>
      </c>
      <c r="R41" s="38" t="s">
        <v>595</v>
      </c>
      <c r="S41" s="39">
        <v>48.0</v>
      </c>
      <c r="T41" s="43">
        <v>25.0</v>
      </c>
      <c r="U41" s="81">
        <v>55.0</v>
      </c>
      <c r="V41" s="39">
        <v>54.0</v>
      </c>
      <c r="W41" s="46">
        <v>86.0</v>
      </c>
      <c r="X41" s="43">
        <v>3.0</v>
      </c>
      <c r="Y41" s="52"/>
      <c r="Z41" s="43"/>
      <c r="AA41" s="39">
        <v>20.0</v>
      </c>
      <c r="AB41" s="39"/>
      <c r="AC41" s="39"/>
      <c r="AD41" s="39">
        <v>53.0</v>
      </c>
      <c r="AE41" s="39">
        <v>4.0</v>
      </c>
      <c r="AF41" s="54"/>
      <c r="AG41" s="56" t="s">
        <v>600</v>
      </c>
      <c r="AH41" s="38" t="s">
        <v>601</v>
      </c>
      <c r="AI41" s="60">
        <v>74.0</v>
      </c>
      <c r="AJ41" s="61">
        <v>55.0</v>
      </c>
      <c r="AK41" s="45">
        <v>102.0</v>
      </c>
      <c r="AL41" s="60">
        <v>101.0</v>
      </c>
      <c r="AM41" s="63">
        <v>154.0</v>
      </c>
      <c r="AN41" s="61">
        <v>3.0</v>
      </c>
      <c r="AO41" s="52"/>
      <c r="AP41" s="61"/>
      <c r="AQ41" s="60">
        <v>20.0</v>
      </c>
      <c r="AR41" s="60"/>
      <c r="AS41" s="60"/>
      <c r="AT41" s="60">
        <v>124.0</v>
      </c>
      <c r="AU41" s="60">
        <v>4.0</v>
      </c>
      <c r="AV41" s="68"/>
      <c r="AW41" s="70" t="s">
        <v>559</v>
      </c>
      <c r="AX41" s="71"/>
    </row>
    <row r="42">
      <c r="A42" s="37" t="s">
        <v>603</v>
      </c>
      <c r="B42" s="38" t="s">
        <v>604</v>
      </c>
      <c r="C42" s="39">
        <v>22.0</v>
      </c>
      <c r="D42" s="43">
        <v>0.0</v>
      </c>
      <c r="E42" s="81">
        <v>25.0</v>
      </c>
      <c r="F42" s="39">
        <v>33.0</v>
      </c>
      <c r="G42" s="46">
        <v>36.0</v>
      </c>
      <c r="H42" s="43">
        <v>2.0</v>
      </c>
      <c r="I42" s="52"/>
      <c r="J42" s="43"/>
      <c r="K42" s="39">
        <v>40.0</v>
      </c>
      <c r="L42" s="39"/>
      <c r="M42" s="39"/>
      <c r="N42" s="39">
        <v>44.0</v>
      </c>
      <c r="O42" s="39">
        <v>2.0</v>
      </c>
      <c r="P42" s="54"/>
      <c r="Q42" s="56" t="s">
        <v>607</v>
      </c>
      <c r="R42" s="38" t="s">
        <v>608</v>
      </c>
      <c r="S42" s="39">
        <v>50.0</v>
      </c>
      <c r="T42" s="43">
        <v>25.0</v>
      </c>
      <c r="U42" s="81">
        <v>58.0</v>
      </c>
      <c r="V42" s="39">
        <v>60.0</v>
      </c>
      <c r="W42" s="46">
        <v>125.0</v>
      </c>
      <c r="X42" s="43">
        <v>2.0</v>
      </c>
      <c r="Y42" s="52"/>
      <c r="Z42" s="43"/>
      <c r="AA42" s="39">
        <v>40.0</v>
      </c>
      <c r="AB42" s="39"/>
      <c r="AC42" s="39"/>
      <c r="AD42" s="39">
        <v>90.0</v>
      </c>
      <c r="AE42" s="39">
        <v>2.0</v>
      </c>
      <c r="AF42" s="54"/>
      <c r="AG42" s="56" t="s">
        <v>609</v>
      </c>
      <c r="AH42" s="38" t="s">
        <v>610</v>
      </c>
      <c r="AI42" s="60">
        <v>84.0</v>
      </c>
      <c r="AJ42" s="61">
        <v>63.0</v>
      </c>
      <c r="AK42" s="45">
        <v>106.0</v>
      </c>
      <c r="AL42" s="60">
        <v>100.0</v>
      </c>
      <c r="AM42" s="63">
        <v>157.0</v>
      </c>
      <c r="AN42" s="65">
        <v>3.0</v>
      </c>
      <c r="AO42" s="52"/>
      <c r="AP42" s="61"/>
      <c r="AQ42" s="60">
        <v>40.0</v>
      </c>
      <c r="AR42" s="60"/>
      <c r="AS42" s="60"/>
      <c r="AT42" s="60">
        <v>161.0</v>
      </c>
      <c r="AU42" s="60">
        <v>2.0</v>
      </c>
      <c r="AV42" s="68"/>
      <c r="AW42" s="70" t="s">
        <v>559</v>
      </c>
      <c r="AX42" s="71"/>
    </row>
    <row r="43">
      <c r="A43" s="37" t="s">
        <v>613</v>
      </c>
      <c r="B43" s="38" t="s">
        <v>614</v>
      </c>
      <c r="C43" s="39">
        <v>23.0</v>
      </c>
      <c r="D43" s="43">
        <v>0.0</v>
      </c>
      <c r="E43" s="81">
        <v>63.0</v>
      </c>
      <c r="F43" s="39">
        <v>30.0</v>
      </c>
      <c r="G43" s="46">
        <v>35.0</v>
      </c>
      <c r="H43" s="43">
        <v>3.0</v>
      </c>
      <c r="I43" s="52"/>
      <c r="J43" s="43"/>
      <c r="K43" s="39">
        <v>40.0</v>
      </c>
      <c r="L43" s="39"/>
      <c r="M43" s="39"/>
      <c r="N43" s="39">
        <v>5.0</v>
      </c>
      <c r="O43" s="39">
        <v>4.0</v>
      </c>
      <c r="P43" s="54"/>
      <c r="Q43" s="56" t="s">
        <v>615</v>
      </c>
      <c r="R43" s="38" t="s">
        <v>616</v>
      </c>
      <c r="S43" s="39">
        <v>51.0</v>
      </c>
      <c r="T43" s="43">
        <v>25.0</v>
      </c>
      <c r="U43" s="81">
        <v>115.0</v>
      </c>
      <c r="V43" s="39">
        <v>85.0</v>
      </c>
      <c r="W43" s="46">
        <v>98.0</v>
      </c>
      <c r="X43" s="43">
        <v>3.0</v>
      </c>
      <c r="Y43" s="52"/>
      <c r="Z43" s="43"/>
      <c r="AA43" s="39">
        <v>40.0</v>
      </c>
      <c r="AB43" s="39"/>
      <c r="AC43" s="39"/>
      <c r="AD43" s="39">
        <v>51.0</v>
      </c>
      <c r="AE43" s="39">
        <v>4.0</v>
      </c>
      <c r="AF43" s="54"/>
      <c r="AG43" s="56" t="s">
        <v>618</v>
      </c>
      <c r="AH43" s="38" t="s">
        <v>619</v>
      </c>
      <c r="AI43" s="60">
        <v>79.0</v>
      </c>
      <c r="AJ43" s="61">
        <v>59.0</v>
      </c>
      <c r="AK43" s="45">
        <v>192.0</v>
      </c>
      <c r="AL43" s="60">
        <v>114.0</v>
      </c>
      <c r="AM43" s="63">
        <v>159.0</v>
      </c>
      <c r="AN43" s="61">
        <v>3.0</v>
      </c>
      <c r="AO43" s="52"/>
      <c r="AP43" s="61"/>
      <c r="AQ43" s="60">
        <v>40.0</v>
      </c>
      <c r="AR43" s="60"/>
      <c r="AS43" s="60"/>
      <c r="AT43" s="60">
        <v>122.0</v>
      </c>
      <c r="AU43" s="60">
        <v>4.0</v>
      </c>
      <c r="AV43" s="68"/>
      <c r="AW43" s="70" t="s">
        <v>559</v>
      </c>
      <c r="AX43" s="71"/>
    </row>
    <row r="44">
      <c r="A44" s="37" t="s">
        <v>620</v>
      </c>
      <c r="B44" s="38" t="s">
        <v>621</v>
      </c>
      <c r="C44" s="39">
        <v>29.0</v>
      </c>
      <c r="D44" s="43">
        <v>0.0</v>
      </c>
      <c r="E44" s="81">
        <v>55.0</v>
      </c>
      <c r="F44" s="39">
        <v>25.0</v>
      </c>
      <c r="G44" s="46">
        <v>45.0</v>
      </c>
      <c r="H44" s="43">
        <v>3.0</v>
      </c>
      <c r="I44" s="52"/>
      <c r="J44" s="43"/>
      <c r="K44" s="39">
        <v>50.0</v>
      </c>
      <c r="L44" s="39"/>
      <c r="M44" s="39"/>
      <c r="N44" s="39">
        <v>6.0</v>
      </c>
      <c r="O44" s="39">
        <v>4.0</v>
      </c>
      <c r="P44" s="54"/>
      <c r="Q44" s="56" t="s">
        <v>625</v>
      </c>
      <c r="R44" s="38" t="s">
        <v>627</v>
      </c>
      <c r="S44" s="39">
        <v>55.0</v>
      </c>
      <c r="T44" s="43">
        <v>25.0</v>
      </c>
      <c r="U44" s="81">
        <v>103.0</v>
      </c>
      <c r="V44" s="39">
        <v>78.0</v>
      </c>
      <c r="W44" s="46">
        <v>113.0</v>
      </c>
      <c r="X44" s="43">
        <v>3.0</v>
      </c>
      <c r="Y44" s="52"/>
      <c r="Z44" s="43"/>
      <c r="AA44" s="39">
        <v>50.0</v>
      </c>
      <c r="AB44" s="39"/>
      <c r="AC44" s="39"/>
      <c r="AD44" s="39">
        <v>52.0</v>
      </c>
      <c r="AE44" s="39">
        <v>4.0</v>
      </c>
      <c r="AF44" s="54"/>
      <c r="AG44" s="56" t="s">
        <v>628</v>
      </c>
      <c r="AH44" s="38" t="s">
        <v>629</v>
      </c>
      <c r="AI44" s="60">
        <v>85.0</v>
      </c>
      <c r="AJ44" s="61">
        <v>66.0</v>
      </c>
      <c r="AK44" s="45">
        <v>174.0</v>
      </c>
      <c r="AL44" s="60">
        <v>111.0</v>
      </c>
      <c r="AM44" s="63">
        <v>165.0</v>
      </c>
      <c r="AN44" s="61">
        <v>3.0</v>
      </c>
      <c r="AO44" s="52"/>
      <c r="AP44" s="61"/>
      <c r="AQ44" s="60">
        <v>50.0</v>
      </c>
      <c r="AR44" s="60"/>
      <c r="AS44" s="60"/>
      <c r="AT44" s="60">
        <v>123.0</v>
      </c>
      <c r="AU44" s="60">
        <v>4.0</v>
      </c>
      <c r="AV44" s="68"/>
      <c r="AW44" s="70" t="s">
        <v>559</v>
      </c>
      <c r="AX44" s="71"/>
    </row>
    <row r="45">
      <c r="A45" s="116" t="s">
        <v>632</v>
      </c>
      <c r="B45" s="117" t="s">
        <v>633</v>
      </c>
      <c r="C45" s="118">
        <v>24.0</v>
      </c>
      <c r="D45" s="119">
        <v>16.0</v>
      </c>
      <c r="E45" s="120">
        <v>0.0</v>
      </c>
      <c r="F45" s="118">
        <v>20.0</v>
      </c>
      <c r="G45" s="121">
        <v>30.0</v>
      </c>
      <c r="H45" s="122">
        <v>2.0</v>
      </c>
      <c r="I45" s="279"/>
      <c r="J45" s="119"/>
      <c r="K45" s="118">
        <v>35.0</v>
      </c>
      <c r="L45" s="118"/>
      <c r="M45" s="118"/>
      <c r="N45" s="118">
        <v>114.0</v>
      </c>
      <c r="O45" s="118">
        <v>1.0</v>
      </c>
      <c r="P45" s="137"/>
      <c r="Q45" s="139" t="s">
        <v>635</v>
      </c>
      <c r="R45" s="117" t="s">
        <v>636</v>
      </c>
      <c r="S45" s="118">
        <v>70.0</v>
      </c>
      <c r="T45" s="119">
        <v>52.0</v>
      </c>
      <c r="U45" s="120">
        <v>0.0</v>
      </c>
      <c r="V45" s="118">
        <v>40.0</v>
      </c>
      <c r="W45" s="121">
        <v>50.0</v>
      </c>
      <c r="X45" s="119">
        <v>3.0</v>
      </c>
      <c r="Y45" s="279"/>
      <c r="Z45" s="119"/>
      <c r="AA45" s="118">
        <v>25.0</v>
      </c>
      <c r="AB45" s="118"/>
      <c r="AC45" s="118"/>
      <c r="AD45" s="118">
        <v>116.0</v>
      </c>
      <c r="AE45" s="118">
        <v>1.0</v>
      </c>
      <c r="AF45" s="137"/>
      <c r="AG45" s="139" t="s">
        <v>640</v>
      </c>
      <c r="AH45" s="117" t="s">
        <v>641</v>
      </c>
      <c r="AI45" s="144">
        <v>85.0</v>
      </c>
      <c r="AJ45" s="145">
        <v>64.0</v>
      </c>
      <c r="AK45" s="147">
        <v>0.0</v>
      </c>
      <c r="AL45" s="144">
        <v>50.0</v>
      </c>
      <c r="AM45" s="150">
        <v>60.0</v>
      </c>
      <c r="AN45" s="145">
        <v>3.0</v>
      </c>
      <c r="AO45" s="279"/>
      <c r="AP45" s="145"/>
      <c r="AQ45" s="144">
        <v>20.0</v>
      </c>
      <c r="AR45" s="144"/>
      <c r="AS45" s="144"/>
      <c r="AT45" s="144">
        <v>117.0</v>
      </c>
      <c r="AU45" s="144">
        <v>1.0</v>
      </c>
      <c r="AV45" s="155"/>
      <c r="AW45" s="158" t="s">
        <v>643</v>
      </c>
      <c r="AX45" s="159"/>
    </row>
    <row r="46">
      <c r="A46" s="37" t="s">
        <v>644</v>
      </c>
      <c r="B46" s="38" t="s">
        <v>645</v>
      </c>
      <c r="C46" s="39">
        <v>52.0</v>
      </c>
      <c r="D46" s="43">
        <v>39.0</v>
      </c>
      <c r="E46" s="81">
        <v>0.0</v>
      </c>
      <c r="F46" s="39">
        <v>30.0</v>
      </c>
      <c r="G46" s="46">
        <v>40.0</v>
      </c>
      <c r="H46" s="50">
        <v>2.0</v>
      </c>
      <c r="I46" s="52"/>
      <c r="J46" s="43"/>
      <c r="K46" s="39">
        <v>30.0</v>
      </c>
      <c r="L46" s="39"/>
      <c r="M46" s="39"/>
      <c r="N46" s="39">
        <v>115.0</v>
      </c>
      <c r="O46" s="39">
        <v>1.0</v>
      </c>
      <c r="P46" s="54"/>
      <c r="Q46" s="88"/>
      <c r="R46" s="296"/>
      <c r="S46" s="54"/>
      <c r="T46" s="72"/>
      <c r="U46" s="90"/>
      <c r="V46" s="54"/>
      <c r="W46" s="83"/>
      <c r="X46" s="72"/>
      <c r="Y46" s="52"/>
      <c r="Z46" s="72"/>
      <c r="AA46" s="54"/>
      <c r="AB46" s="54"/>
      <c r="AC46" s="54"/>
      <c r="AD46" s="54"/>
      <c r="AE46" s="54"/>
      <c r="AF46" s="54"/>
      <c r="AG46" s="88"/>
      <c r="AH46" s="296"/>
      <c r="AI46" s="68"/>
      <c r="AJ46" s="297"/>
      <c r="AK46" s="298"/>
      <c r="AL46" s="68"/>
      <c r="AM46" s="299"/>
      <c r="AN46" s="297"/>
      <c r="AO46" s="301"/>
      <c r="AP46" s="297"/>
      <c r="AQ46" s="68"/>
      <c r="AR46" s="68"/>
      <c r="AS46" s="68"/>
      <c r="AT46" s="68"/>
      <c r="AU46" s="68"/>
      <c r="AV46" s="68"/>
      <c r="AW46" s="70" t="s">
        <v>643</v>
      </c>
      <c r="AX46" s="71"/>
    </row>
    <row r="47">
      <c r="A47" s="116" t="s">
        <v>652</v>
      </c>
      <c r="B47" s="117" t="s">
        <v>653</v>
      </c>
      <c r="C47" s="118">
        <v>4.0</v>
      </c>
      <c r="D47" s="119">
        <v>3.0</v>
      </c>
      <c r="E47" s="147">
        <v>16.0</v>
      </c>
      <c r="F47" s="118">
        <v>8.0</v>
      </c>
      <c r="G47" s="121">
        <v>11.0</v>
      </c>
      <c r="H47" s="119">
        <v>3.0</v>
      </c>
      <c r="I47" s="131"/>
      <c r="J47" s="119"/>
      <c r="K47" s="118">
        <v>20.0</v>
      </c>
      <c r="L47" s="118"/>
      <c r="M47" s="118"/>
      <c r="N47" s="118">
        <v>94.0</v>
      </c>
      <c r="O47" s="118">
        <v>1.0</v>
      </c>
      <c r="P47" s="137"/>
      <c r="Q47" s="139" t="s">
        <v>654</v>
      </c>
      <c r="R47" s="117" t="s">
        <v>655</v>
      </c>
      <c r="S47" s="118">
        <v>35.0</v>
      </c>
      <c r="T47" s="119">
        <v>26.0</v>
      </c>
      <c r="U47" s="147">
        <v>44.0</v>
      </c>
      <c r="V47" s="118">
        <v>52.0</v>
      </c>
      <c r="W47" s="121">
        <v>62.0</v>
      </c>
      <c r="X47" s="119">
        <v>3.0</v>
      </c>
      <c r="Y47" s="131"/>
      <c r="Z47" s="119"/>
      <c r="AA47" s="118">
        <v>20.0</v>
      </c>
      <c r="AB47" s="118"/>
      <c r="AC47" s="118"/>
      <c r="AD47" s="118">
        <v>164.0</v>
      </c>
      <c r="AE47" s="118">
        <v>1.0</v>
      </c>
      <c r="AF47" s="137"/>
      <c r="AG47" s="139" t="s">
        <v>658</v>
      </c>
      <c r="AH47" s="117" t="s">
        <v>659</v>
      </c>
      <c r="AI47" s="144">
        <v>62.0</v>
      </c>
      <c r="AJ47" s="145">
        <v>46.0</v>
      </c>
      <c r="AK47" s="147">
        <v>86.0</v>
      </c>
      <c r="AL47" s="144">
        <v>101.0</v>
      </c>
      <c r="AM47" s="150">
        <v>145.0</v>
      </c>
      <c r="AN47" s="145">
        <v>3.0</v>
      </c>
      <c r="AO47" s="279"/>
      <c r="AP47" s="145"/>
      <c r="AQ47" s="144">
        <v>20.0</v>
      </c>
      <c r="AR47" s="144"/>
      <c r="AS47" s="144"/>
      <c r="AT47" s="144">
        <v>184.0</v>
      </c>
      <c r="AU47" s="144">
        <v>1.0</v>
      </c>
      <c r="AV47" s="155"/>
      <c r="AW47" s="158" t="s">
        <v>661</v>
      </c>
      <c r="AX47" s="268" t="s">
        <v>441</v>
      </c>
    </row>
    <row r="48">
      <c r="A48" s="37" t="s">
        <v>662</v>
      </c>
      <c r="B48" s="38" t="s">
        <v>663</v>
      </c>
      <c r="C48" s="39">
        <v>8.0</v>
      </c>
      <c r="D48" s="43">
        <v>6.0</v>
      </c>
      <c r="E48" s="81">
        <v>20.0</v>
      </c>
      <c r="F48" s="39">
        <v>4.0</v>
      </c>
      <c r="G48" s="46">
        <v>15.0</v>
      </c>
      <c r="H48" s="43">
        <v>3.0</v>
      </c>
      <c r="I48" s="163"/>
      <c r="J48" s="43"/>
      <c r="K48" s="39">
        <v>20.0</v>
      </c>
      <c r="L48" s="39"/>
      <c r="M48" s="39"/>
      <c r="N48" s="39">
        <v>95.0</v>
      </c>
      <c r="O48" s="39">
        <v>1.0</v>
      </c>
      <c r="P48" s="54"/>
      <c r="Q48" s="56" t="s">
        <v>668</v>
      </c>
      <c r="R48" s="38" t="s">
        <v>669</v>
      </c>
      <c r="S48" s="39">
        <v>40.0</v>
      </c>
      <c r="T48" s="43">
        <v>30.0</v>
      </c>
      <c r="U48" s="81">
        <v>50.0</v>
      </c>
      <c r="V48" s="39">
        <v>46.0</v>
      </c>
      <c r="W48" s="46">
        <v>68.0</v>
      </c>
      <c r="X48" s="43">
        <v>3.0</v>
      </c>
      <c r="Y48" s="163"/>
      <c r="Z48" s="43"/>
      <c r="AA48" s="39">
        <v>20.0</v>
      </c>
      <c r="AB48" s="39"/>
      <c r="AC48" s="39"/>
      <c r="AD48" s="39">
        <v>165.0</v>
      </c>
      <c r="AE48" s="39">
        <v>1.0</v>
      </c>
      <c r="AF48" s="54"/>
      <c r="AG48" s="56" t="s">
        <v>670</v>
      </c>
      <c r="AH48" s="38" t="s">
        <v>671</v>
      </c>
      <c r="AI48" s="60">
        <v>69.0</v>
      </c>
      <c r="AJ48" s="61">
        <v>51.0</v>
      </c>
      <c r="AK48" s="45">
        <v>95.0</v>
      </c>
      <c r="AL48" s="60">
        <v>98.0</v>
      </c>
      <c r="AM48" s="63">
        <v>147.0</v>
      </c>
      <c r="AN48" s="61">
        <v>3.0</v>
      </c>
      <c r="AO48" s="52"/>
      <c r="AP48" s="61"/>
      <c r="AQ48" s="60">
        <v>20.0</v>
      </c>
      <c r="AR48" s="60"/>
      <c r="AS48" s="60"/>
      <c r="AT48" s="60">
        <v>185.0</v>
      </c>
      <c r="AU48" s="60">
        <v>1.0</v>
      </c>
      <c r="AV48" s="68"/>
      <c r="AW48" s="70" t="s">
        <v>661</v>
      </c>
      <c r="AX48" s="181" t="s">
        <v>441</v>
      </c>
    </row>
    <row r="49">
      <c r="A49" s="37" t="s">
        <v>674</v>
      </c>
      <c r="B49" s="38" t="s">
        <v>675</v>
      </c>
      <c r="C49" s="39">
        <v>16.0</v>
      </c>
      <c r="D49" s="43">
        <v>12.0</v>
      </c>
      <c r="E49" s="81">
        <v>24.0</v>
      </c>
      <c r="F49" s="39">
        <v>18.0</v>
      </c>
      <c r="G49" s="46">
        <v>24.0</v>
      </c>
      <c r="H49" s="43">
        <v>3.0</v>
      </c>
      <c r="I49" s="163"/>
      <c r="J49" s="43"/>
      <c r="K49" s="39">
        <v>20.0</v>
      </c>
      <c r="L49" s="39"/>
      <c r="M49" s="39"/>
      <c r="N49" s="39">
        <v>96.0</v>
      </c>
      <c r="O49" s="39">
        <v>1.0</v>
      </c>
      <c r="P49" s="54"/>
      <c r="Q49" s="56" t="s">
        <v>677</v>
      </c>
      <c r="R49" s="38" t="s">
        <v>678</v>
      </c>
      <c r="S49" s="39">
        <v>46.0</v>
      </c>
      <c r="T49" s="43">
        <v>29.0</v>
      </c>
      <c r="U49" s="81">
        <v>56.0</v>
      </c>
      <c r="V49" s="39">
        <v>67.0</v>
      </c>
      <c r="W49" s="46">
        <v>81.0</v>
      </c>
      <c r="X49" s="43">
        <v>3.0</v>
      </c>
      <c r="Y49" s="163"/>
      <c r="Z49" s="43"/>
      <c r="AA49" s="39">
        <v>20.0</v>
      </c>
      <c r="AB49" s="39"/>
      <c r="AC49" s="39"/>
      <c r="AD49" s="39">
        <v>166.0</v>
      </c>
      <c r="AE49" s="39">
        <v>1.0</v>
      </c>
      <c r="AF49" s="54"/>
      <c r="AG49" s="56" t="s">
        <v>683</v>
      </c>
      <c r="AH49" s="38" t="s">
        <v>684</v>
      </c>
      <c r="AI49" s="60">
        <v>76.0</v>
      </c>
      <c r="AJ49" s="61">
        <v>57.0</v>
      </c>
      <c r="AK49" s="45">
        <v>104.0</v>
      </c>
      <c r="AL49" s="60">
        <v>107.0</v>
      </c>
      <c r="AM49" s="63">
        <v>152.0</v>
      </c>
      <c r="AN49" s="61">
        <v>3.0</v>
      </c>
      <c r="AO49" s="52"/>
      <c r="AP49" s="61"/>
      <c r="AQ49" s="60">
        <v>20.0</v>
      </c>
      <c r="AR49" s="60"/>
      <c r="AS49" s="60"/>
      <c r="AT49" s="60">
        <v>186.0</v>
      </c>
      <c r="AU49" s="60">
        <v>1.0</v>
      </c>
      <c r="AV49" s="68"/>
      <c r="AW49" s="70" t="s">
        <v>661</v>
      </c>
      <c r="AX49" s="181" t="s">
        <v>441</v>
      </c>
    </row>
    <row r="50">
      <c r="A50" s="37" t="s">
        <v>685</v>
      </c>
      <c r="B50" s="38" t="s">
        <v>686</v>
      </c>
      <c r="C50" s="39">
        <v>20.0</v>
      </c>
      <c r="D50" s="43">
        <v>15.0</v>
      </c>
      <c r="E50" s="81">
        <v>28.0</v>
      </c>
      <c r="F50" s="39">
        <v>12.0</v>
      </c>
      <c r="G50" s="46">
        <v>28.0</v>
      </c>
      <c r="H50" s="43">
        <v>3.0</v>
      </c>
      <c r="I50" s="163"/>
      <c r="J50" s="43"/>
      <c r="K50" s="39">
        <v>20.0</v>
      </c>
      <c r="L50" s="39"/>
      <c r="M50" s="39"/>
      <c r="N50" s="39">
        <v>97.0</v>
      </c>
      <c r="O50" s="39">
        <v>1.0</v>
      </c>
      <c r="P50" s="54"/>
      <c r="Q50" s="56" t="s">
        <v>691</v>
      </c>
      <c r="R50" s="38" t="s">
        <v>692</v>
      </c>
      <c r="S50" s="39">
        <v>50.0</v>
      </c>
      <c r="T50" s="43">
        <v>32.0</v>
      </c>
      <c r="U50" s="81">
        <v>62.0</v>
      </c>
      <c r="V50" s="39">
        <v>58.0</v>
      </c>
      <c r="W50" s="46">
        <v>87.0</v>
      </c>
      <c r="X50" s="43">
        <v>3.0</v>
      </c>
      <c r="Y50" s="163"/>
      <c r="Z50" s="43"/>
      <c r="AA50" s="39">
        <v>20.0</v>
      </c>
      <c r="AB50" s="39"/>
      <c r="AC50" s="39"/>
      <c r="AD50" s="39">
        <v>167.0</v>
      </c>
      <c r="AE50" s="39">
        <v>1.0</v>
      </c>
      <c r="AF50" s="54"/>
      <c r="AG50" s="56" t="s">
        <v>695</v>
      </c>
      <c r="AH50" s="38" t="s">
        <v>697</v>
      </c>
      <c r="AI50" s="60">
        <v>83.0</v>
      </c>
      <c r="AJ50" s="61">
        <v>62.0</v>
      </c>
      <c r="AK50" s="45">
        <v>113.0</v>
      </c>
      <c r="AL50" s="60">
        <v>103.0</v>
      </c>
      <c r="AM50" s="63">
        <v>155.0</v>
      </c>
      <c r="AN50" s="61">
        <v>3.0</v>
      </c>
      <c r="AO50" s="52"/>
      <c r="AP50" s="61"/>
      <c r="AQ50" s="60">
        <v>20.0</v>
      </c>
      <c r="AR50" s="60"/>
      <c r="AS50" s="60"/>
      <c r="AT50" s="60">
        <v>187.0</v>
      </c>
      <c r="AU50" s="60">
        <v>1.0</v>
      </c>
      <c r="AV50" s="68"/>
      <c r="AW50" s="70" t="s">
        <v>661</v>
      </c>
      <c r="AX50" s="181" t="s">
        <v>441</v>
      </c>
    </row>
    <row r="51">
      <c r="A51" s="37" t="s">
        <v>699</v>
      </c>
      <c r="B51" s="38" t="s">
        <v>701</v>
      </c>
      <c r="C51" s="39">
        <v>24.0</v>
      </c>
      <c r="D51" s="43">
        <v>18.0</v>
      </c>
      <c r="E51" s="81">
        <v>30.0</v>
      </c>
      <c r="F51" s="39">
        <v>22.0</v>
      </c>
      <c r="G51" s="46">
        <v>35.0</v>
      </c>
      <c r="H51" s="43">
        <v>3.0</v>
      </c>
      <c r="I51" s="163"/>
      <c r="J51" s="43"/>
      <c r="K51" s="39">
        <v>20.0</v>
      </c>
      <c r="L51" s="39"/>
      <c r="M51" s="39"/>
      <c r="N51" s="39">
        <v>98.0</v>
      </c>
      <c r="O51" s="39">
        <v>1.0</v>
      </c>
      <c r="P51" s="54"/>
      <c r="Q51" s="56" t="s">
        <v>703</v>
      </c>
      <c r="R51" s="38" t="s">
        <v>705</v>
      </c>
      <c r="S51" s="39">
        <v>55.0</v>
      </c>
      <c r="T51" s="43">
        <v>41.0</v>
      </c>
      <c r="U51" s="81">
        <v>65.0</v>
      </c>
      <c r="V51" s="39">
        <v>73.0</v>
      </c>
      <c r="W51" s="46">
        <v>98.0</v>
      </c>
      <c r="X51" s="43">
        <v>3.0</v>
      </c>
      <c r="Y51" s="163"/>
      <c r="Z51" s="43"/>
      <c r="AA51" s="39">
        <v>20.0</v>
      </c>
      <c r="AB51" s="39"/>
      <c r="AC51" s="39"/>
      <c r="AD51" s="39">
        <v>168.0</v>
      </c>
      <c r="AE51" s="39">
        <v>1.0</v>
      </c>
      <c r="AF51" s="54"/>
      <c r="AG51" s="56" t="s">
        <v>706</v>
      </c>
      <c r="AH51" s="38" t="s">
        <v>708</v>
      </c>
      <c r="AI51" s="60">
        <v>85.0</v>
      </c>
      <c r="AJ51" s="61">
        <v>66.0</v>
      </c>
      <c r="AK51" s="45">
        <v>118.0</v>
      </c>
      <c r="AL51" s="60">
        <v>109.0</v>
      </c>
      <c r="AM51" s="63">
        <v>159.0</v>
      </c>
      <c r="AN51" s="61">
        <v>3.0</v>
      </c>
      <c r="AO51" s="52"/>
      <c r="AP51" s="61"/>
      <c r="AQ51" s="60">
        <v>20.0</v>
      </c>
      <c r="AR51" s="60"/>
      <c r="AS51" s="60"/>
      <c r="AT51" s="60">
        <v>188.0</v>
      </c>
      <c r="AU51" s="60">
        <v>1.0</v>
      </c>
      <c r="AV51" s="68"/>
      <c r="AW51" s="70" t="s">
        <v>661</v>
      </c>
      <c r="AX51" s="181" t="s">
        <v>441</v>
      </c>
    </row>
    <row r="52">
      <c r="A52" s="116" t="s">
        <v>710</v>
      </c>
      <c r="B52" s="117" t="s">
        <v>711</v>
      </c>
      <c r="C52" s="118">
        <v>4.0</v>
      </c>
      <c r="D52" s="119">
        <v>3.0</v>
      </c>
      <c r="E52" s="147">
        <v>25.0</v>
      </c>
      <c r="F52" s="118">
        <v>10.0</v>
      </c>
      <c r="G52" s="121">
        <v>15.0</v>
      </c>
      <c r="H52" s="145">
        <v>3.0</v>
      </c>
      <c r="I52" s="131"/>
      <c r="J52" s="145"/>
      <c r="K52" s="144">
        <v>25.0</v>
      </c>
      <c r="L52" s="144"/>
      <c r="M52" s="144"/>
      <c r="N52" s="144">
        <v>99.0</v>
      </c>
      <c r="O52" s="144">
        <v>2.0</v>
      </c>
      <c r="P52" s="155"/>
      <c r="Q52" s="139" t="s">
        <v>713</v>
      </c>
      <c r="R52" s="117" t="s">
        <v>714</v>
      </c>
      <c r="S52" s="118">
        <v>33.0</v>
      </c>
      <c r="T52" s="119">
        <v>25.0</v>
      </c>
      <c r="U52" s="147">
        <v>58.0</v>
      </c>
      <c r="V52" s="118">
        <v>55.0</v>
      </c>
      <c r="W52" s="121">
        <v>68.0</v>
      </c>
      <c r="X52" s="145">
        <v>3.0</v>
      </c>
      <c r="Y52" s="131"/>
      <c r="Z52" s="145"/>
      <c r="AA52" s="144">
        <v>25.0</v>
      </c>
      <c r="AB52" s="144"/>
      <c r="AC52" s="144"/>
      <c r="AD52" s="144">
        <v>169.0</v>
      </c>
      <c r="AE52" s="144">
        <v>2.0</v>
      </c>
      <c r="AF52" s="155"/>
      <c r="AG52" s="139" t="s">
        <v>717</v>
      </c>
      <c r="AH52" s="117" t="s">
        <v>718</v>
      </c>
      <c r="AI52" s="144">
        <v>60.0</v>
      </c>
      <c r="AJ52" s="145">
        <v>45.0</v>
      </c>
      <c r="AK52" s="147">
        <v>106.0</v>
      </c>
      <c r="AL52" s="144">
        <v>102.0</v>
      </c>
      <c r="AM52" s="150">
        <v>147.0</v>
      </c>
      <c r="AN52" s="145">
        <v>3.0</v>
      </c>
      <c r="AO52" s="279"/>
      <c r="AP52" s="145"/>
      <c r="AQ52" s="144">
        <v>25.0</v>
      </c>
      <c r="AR52" s="144"/>
      <c r="AS52" s="144"/>
      <c r="AT52" s="144">
        <v>189.0</v>
      </c>
      <c r="AU52" s="144">
        <v>2.0</v>
      </c>
      <c r="AV52" s="155"/>
      <c r="AW52" s="158" t="s">
        <v>719</v>
      </c>
      <c r="AX52" s="268" t="s">
        <v>721</v>
      </c>
    </row>
    <row r="53">
      <c r="A53" s="37" t="s">
        <v>722</v>
      </c>
      <c r="B53" s="38" t="s">
        <v>723</v>
      </c>
      <c r="C53" s="39">
        <v>8.0</v>
      </c>
      <c r="D53" s="43">
        <v>6.0</v>
      </c>
      <c r="E53" s="45">
        <v>35.0</v>
      </c>
      <c r="F53" s="39">
        <v>15.0</v>
      </c>
      <c r="G53" s="46">
        <v>20.0</v>
      </c>
      <c r="H53" s="61">
        <v>3.0</v>
      </c>
      <c r="I53" s="163"/>
      <c r="J53" s="61"/>
      <c r="K53" s="60">
        <v>35.0</v>
      </c>
      <c r="L53" s="60"/>
      <c r="M53" s="60"/>
      <c r="N53" s="60">
        <v>100.0</v>
      </c>
      <c r="O53" s="60">
        <v>2.0</v>
      </c>
      <c r="P53" s="68"/>
      <c r="Q53" s="56" t="s">
        <v>726</v>
      </c>
      <c r="R53" s="38" t="s">
        <v>727</v>
      </c>
      <c r="S53" s="39">
        <v>38.0</v>
      </c>
      <c r="T53" s="43">
        <v>29.0</v>
      </c>
      <c r="U53" s="45">
        <v>73.0</v>
      </c>
      <c r="V53" s="39">
        <v>63.0</v>
      </c>
      <c r="W53" s="46">
        <v>75.0</v>
      </c>
      <c r="X53" s="61">
        <v>3.0</v>
      </c>
      <c r="Y53" s="163"/>
      <c r="Z53" s="61"/>
      <c r="AA53" s="60">
        <v>35.0</v>
      </c>
      <c r="AB53" s="60"/>
      <c r="AC53" s="60"/>
      <c r="AD53" s="60">
        <v>170.0</v>
      </c>
      <c r="AE53" s="60">
        <v>2.0</v>
      </c>
      <c r="AF53" s="68"/>
      <c r="AG53" s="56" t="s">
        <v>728</v>
      </c>
      <c r="AH53" s="38" t="s">
        <v>729</v>
      </c>
      <c r="AI53" s="60">
        <v>66.0</v>
      </c>
      <c r="AJ53" s="61">
        <v>49.0</v>
      </c>
      <c r="AK53" s="45">
        <v>129.0</v>
      </c>
      <c r="AL53" s="60">
        <v>105.0</v>
      </c>
      <c r="AM53" s="63">
        <v>150.0</v>
      </c>
      <c r="AN53" s="61">
        <v>3.0</v>
      </c>
      <c r="AO53" s="52"/>
      <c r="AP53" s="61"/>
      <c r="AQ53" s="60">
        <v>35.0</v>
      </c>
      <c r="AR53" s="60"/>
      <c r="AS53" s="60"/>
      <c r="AT53" s="60">
        <v>190.0</v>
      </c>
      <c r="AU53" s="60">
        <v>2.0</v>
      </c>
      <c r="AV53" s="68"/>
      <c r="AW53" s="70" t="s">
        <v>719</v>
      </c>
      <c r="AX53" s="181" t="s">
        <v>721</v>
      </c>
    </row>
    <row r="54">
      <c r="A54" s="37" t="s">
        <v>732</v>
      </c>
      <c r="B54" s="38" t="s">
        <v>733</v>
      </c>
      <c r="C54" s="39">
        <v>16.0</v>
      </c>
      <c r="D54" s="43">
        <v>12.0</v>
      </c>
      <c r="E54" s="81">
        <v>45.0</v>
      </c>
      <c r="F54" s="39">
        <v>25.0</v>
      </c>
      <c r="G54" s="46">
        <v>30.0</v>
      </c>
      <c r="H54" s="61">
        <v>3.0</v>
      </c>
      <c r="I54" s="163"/>
      <c r="J54" s="61"/>
      <c r="K54" s="60">
        <v>45.0</v>
      </c>
      <c r="L54" s="60"/>
      <c r="M54" s="60"/>
      <c r="N54" s="60">
        <v>101.0</v>
      </c>
      <c r="O54" s="60">
        <v>2.0</v>
      </c>
      <c r="P54" s="68"/>
      <c r="Q54" s="56" t="s">
        <v>737</v>
      </c>
      <c r="R54" s="38" t="s">
        <v>739</v>
      </c>
      <c r="S54" s="39">
        <v>44.0</v>
      </c>
      <c r="T54" s="43">
        <v>29.0</v>
      </c>
      <c r="U54" s="81">
        <v>88.0</v>
      </c>
      <c r="V54" s="39">
        <v>78.0</v>
      </c>
      <c r="W54" s="46">
        <v>90.0</v>
      </c>
      <c r="X54" s="61">
        <v>3.0</v>
      </c>
      <c r="Y54" s="163"/>
      <c r="Z54" s="61"/>
      <c r="AA54" s="60">
        <v>45.0</v>
      </c>
      <c r="AB54" s="60"/>
      <c r="AC54" s="60"/>
      <c r="AD54" s="60">
        <v>171.0</v>
      </c>
      <c r="AE54" s="60">
        <v>2.0</v>
      </c>
      <c r="AF54" s="68"/>
      <c r="AG54" s="56" t="s">
        <v>741</v>
      </c>
      <c r="AH54" s="38" t="s">
        <v>742</v>
      </c>
      <c r="AI54" s="60">
        <v>73.0</v>
      </c>
      <c r="AJ54" s="61">
        <v>54.0</v>
      </c>
      <c r="AK54" s="45">
        <v>151.0</v>
      </c>
      <c r="AL54" s="60">
        <v>111.0</v>
      </c>
      <c r="AM54" s="63">
        <v>156.0</v>
      </c>
      <c r="AN54" s="61">
        <v>3.0</v>
      </c>
      <c r="AO54" s="52"/>
      <c r="AP54" s="61"/>
      <c r="AQ54" s="60">
        <v>45.0</v>
      </c>
      <c r="AR54" s="60"/>
      <c r="AS54" s="60"/>
      <c r="AT54" s="60">
        <v>191.0</v>
      </c>
      <c r="AU54" s="60">
        <v>2.0</v>
      </c>
      <c r="AV54" s="68"/>
      <c r="AW54" s="70" t="s">
        <v>719</v>
      </c>
      <c r="AX54" s="181" t="s">
        <v>721</v>
      </c>
    </row>
    <row r="55">
      <c r="A55" s="37" t="s">
        <v>746</v>
      </c>
      <c r="B55" s="38" t="s">
        <v>747</v>
      </c>
      <c r="C55" s="39">
        <v>20.0</v>
      </c>
      <c r="D55" s="43">
        <v>15.0</v>
      </c>
      <c r="E55" s="81">
        <v>55.0</v>
      </c>
      <c r="F55" s="39">
        <v>30.0</v>
      </c>
      <c r="G55" s="46">
        <v>35.0</v>
      </c>
      <c r="H55" s="61">
        <v>3.0</v>
      </c>
      <c r="I55" s="163"/>
      <c r="J55" s="61"/>
      <c r="K55" s="60">
        <v>50.0</v>
      </c>
      <c r="L55" s="60"/>
      <c r="M55" s="60"/>
      <c r="N55" s="60">
        <v>102.0</v>
      </c>
      <c r="O55" s="60">
        <v>2.0</v>
      </c>
      <c r="P55" s="68"/>
      <c r="Q55" s="56" t="s">
        <v>748</v>
      </c>
      <c r="R55" s="38" t="s">
        <v>749</v>
      </c>
      <c r="S55" s="39">
        <v>49.0</v>
      </c>
      <c r="T55" s="43">
        <v>32.0</v>
      </c>
      <c r="U55" s="81">
        <v>103.0</v>
      </c>
      <c r="V55" s="39">
        <v>85.0</v>
      </c>
      <c r="W55" s="46">
        <v>98.0</v>
      </c>
      <c r="X55" s="61">
        <v>3.0</v>
      </c>
      <c r="Y55" s="163"/>
      <c r="Z55" s="61"/>
      <c r="AA55" s="60">
        <v>50.0</v>
      </c>
      <c r="AB55" s="60"/>
      <c r="AC55" s="60"/>
      <c r="AD55" s="60">
        <v>172.0</v>
      </c>
      <c r="AE55" s="60">
        <v>2.0</v>
      </c>
      <c r="AF55" s="68"/>
      <c r="AG55" s="56" t="s">
        <v>751</v>
      </c>
      <c r="AH55" s="38" t="s">
        <v>752</v>
      </c>
      <c r="AI55" s="60">
        <v>80.0</v>
      </c>
      <c r="AJ55" s="61">
        <v>60.0</v>
      </c>
      <c r="AK55" s="45">
        <v>174.0</v>
      </c>
      <c r="AL55" s="60">
        <v>114.0</v>
      </c>
      <c r="AM55" s="63">
        <v>159.0</v>
      </c>
      <c r="AN55" s="61">
        <v>3.0</v>
      </c>
      <c r="AO55" s="52"/>
      <c r="AP55" s="61"/>
      <c r="AQ55" s="60">
        <v>50.0</v>
      </c>
      <c r="AR55" s="60"/>
      <c r="AS55" s="60"/>
      <c r="AT55" s="60">
        <v>192.0</v>
      </c>
      <c r="AU55" s="60">
        <v>2.0</v>
      </c>
      <c r="AV55" s="68"/>
      <c r="AW55" s="70" t="s">
        <v>719</v>
      </c>
      <c r="AX55" s="181" t="s">
        <v>721</v>
      </c>
    </row>
    <row r="56">
      <c r="A56" s="37" t="s">
        <v>755</v>
      </c>
      <c r="B56" s="38" t="s">
        <v>756</v>
      </c>
      <c r="C56" s="39">
        <v>24.0</v>
      </c>
      <c r="D56" s="43">
        <v>18.0</v>
      </c>
      <c r="E56" s="45">
        <v>65.0</v>
      </c>
      <c r="F56" s="39">
        <v>35.0</v>
      </c>
      <c r="G56" s="46">
        <v>50.0</v>
      </c>
      <c r="H56" s="61">
        <v>3.0</v>
      </c>
      <c r="I56" s="163"/>
      <c r="J56" s="61"/>
      <c r="K56" s="60">
        <v>55.0</v>
      </c>
      <c r="L56" s="60"/>
      <c r="M56" s="60"/>
      <c r="N56" s="60">
        <v>103.0</v>
      </c>
      <c r="O56" s="60">
        <v>2.0</v>
      </c>
      <c r="P56" s="68"/>
      <c r="Q56" s="56" t="s">
        <v>757</v>
      </c>
      <c r="R56" s="38" t="s">
        <v>758</v>
      </c>
      <c r="S56" s="39">
        <v>54.0</v>
      </c>
      <c r="T56" s="43">
        <v>40.0</v>
      </c>
      <c r="U56" s="45">
        <v>118.0</v>
      </c>
      <c r="V56" s="39">
        <v>93.0</v>
      </c>
      <c r="W56" s="46">
        <v>120.0</v>
      </c>
      <c r="X56" s="61">
        <v>3.0</v>
      </c>
      <c r="Y56" s="163"/>
      <c r="Z56" s="61"/>
      <c r="AA56" s="60">
        <v>55.0</v>
      </c>
      <c r="AB56" s="60"/>
      <c r="AC56" s="60"/>
      <c r="AD56" s="60">
        <v>173.0</v>
      </c>
      <c r="AE56" s="60">
        <v>2.0</v>
      </c>
      <c r="AF56" s="68"/>
      <c r="AG56" s="56" t="s">
        <v>764</v>
      </c>
      <c r="AH56" s="38" t="s">
        <v>765</v>
      </c>
      <c r="AI56" s="60">
        <v>85.0</v>
      </c>
      <c r="AJ56" s="61">
        <v>65.0</v>
      </c>
      <c r="AK56" s="45">
        <v>196.0</v>
      </c>
      <c r="AL56" s="60">
        <v>117.0</v>
      </c>
      <c r="AM56" s="63">
        <v>168.0</v>
      </c>
      <c r="AN56" s="61">
        <v>3.0</v>
      </c>
      <c r="AO56" s="52"/>
      <c r="AP56" s="61"/>
      <c r="AQ56" s="60">
        <v>55.0</v>
      </c>
      <c r="AR56" s="60"/>
      <c r="AS56" s="60"/>
      <c r="AT56" s="60">
        <v>193.0</v>
      </c>
      <c r="AU56" s="60">
        <v>2.0</v>
      </c>
      <c r="AV56" s="68"/>
      <c r="AW56" s="70" t="s">
        <v>719</v>
      </c>
      <c r="AX56" s="181" t="s">
        <v>721</v>
      </c>
    </row>
    <row r="57">
      <c r="A57" s="116" t="s">
        <v>766</v>
      </c>
      <c r="B57" s="117" t="s">
        <v>767</v>
      </c>
      <c r="C57" s="118">
        <v>3.0</v>
      </c>
      <c r="D57" s="119">
        <v>0.0</v>
      </c>
      <c r="E57" s="120">
        <v>0.0</v>
      </c>
      <c r="F57" s="118">
        <v>2.0</v>
      </c>
      <c r="G57" s="121">
        <v>2.0</v>
      </c>
      <c r="H57" s="119"/>
      <c r="I57" s="131"/>
      <c r="J57" s="119"/>
      <c r="K57" s="118">
        <v>12.0</v>
      </c>
      <c r="L57" s="118"/>
      <c r="M57" s="118"/>
      <c r="N57" s="118">
        <v>39.0</v>
      </c>
      <c r="O57" s="118">
        <v>1.0</v>
      </c>
      <c r="P57" s="137"/>
      <c r="Q57" s="139" t="s">
        <v>768</v>
      </c>
      <c r="R57" s="117" t="s">
        <v>770</v>
      </c>
      <c r="S57" s="118">
        <v>36.0</v>
      </c>
      <c r="T57" s="119">
        <v>24.0</v>
      </c>
      <c r="U57" s="120">
        <v>20.0</v>
      </c>
      <c r="V57" s="118">
        <v>29.0</v>
      </c>
      <c r="W57" s="121">
        <v>34.0</v>
      </c>
      <c r="X57" s="119"/>
      <c r="Y57" s="131"/>
      <c r="Z57" s="119"/>
      <c r="AA57" s="118">
        <v>12.0</v>
      </c>
      <c r="AB57" s="118"/>
      <c r="AC57" s="118"/>
      <c r="AD57" s="118">
        <v>85.0</v>
      </c>
      <c r="AE57" s="118">
        <v>1.0</v>
      </c>
      <c r="AF57" s="137"/>
      <c r="AG57" s="139" t="s">
        <v>773</v>
      </c>
      <c r="AH57" s="117" t="s">
        <v>776</v>
      </c>
      <c r="AI57" s="144">
        <v>61.0</v>
      </c>
      <c r="AJ57" s="145">
        <v>46.0</v>
      </c>
      <c r="AK57" s="147">
        <v>50.0</v>
      </c>
      <c r="AL57" s="144">
        <v>55.0</v>
      </c>
      <c r="AM57" s="150">
        <v>62.0</v>
      </c>
      <c r="AN57" s="145"/>
      <c r="AO57" s="279"/>
      <c r="AP57" s="145"/>
      <c r="AQ57" s="144">
        <v>12.0</v>
      </c>
      <c r="AR57" s="144"/>
      <c r="AS57" s="144"/>
      <c r="AT57" s="144">
        <v>156.0</v>
      </c>
      <c r="AU57" s="144">
        <v>1.0</v>
      </c>
      <c r="AV57" s="155"/>
      <c r="AW57" s="158" t="s">
        <v>777</v>
      </c>
      <c r="AX57" s="159"/>
    </row>
    <row r="58">
      <c r="A58" s="37" t="s">
        <v>778</v>
      </c>
      <c r="B58" s="38" t="s">
        <v>779</v>
      </c>
      <c r="C58" s="39">
        <v>7.0</v>
      </c>
      <c r="D58" s="43">
        <v>0.0</v>
      </c>
      <c r="E58" s="81">
        <v>0.0</v>
      </c>
      <c r="F58" s="39">
        <v>3.0</v>
      </c>
      <c r="G58" s="46">
        <v>3.0</v>
      </c>
      <c r="H58" s="43"/>
      <c r="I58" s="163"/>
      <c r="J58" s="43"/>
      <c r="K58" s="39">
        <v>14.0</v>
      </c>
      <c r="L58" s="39"/>
      <c r="M58" s="39"/>
      <c r="N58" s="39">
        <v>40.0</v>
      </c>
      <c r="O58" s="39">
        <v>1.0</v>
      </c>
      <c r="P58" s="54"/>
      <c r="Q58" s="56" t="s">
        <v>781</v>
      </c>
      <c r="R58" s="38" t="s">
        <v>782</v>
      </c>
      <c r="S58" s="39">
        <v>39.0</v>
      </c>
      <c r="T58" s="43">
        <v>25.0</v>
      </c>
      <c r="U58" s="81">
        <v>20.0</v>
      </c>
      <c r="V58" s="39">
        <v>31.0</v>
      </c>
      <c r="W58" s="46">
        <v>36.0</v>
      </c>
      <c r="X58" s="43"/>
      <c r="Y58" s="163"/>
      <c r="Z58" s="43"/>
      <c r="AA58" s="39">
        <v>14.0</v>
      </c>
      <c r="AB58" s="39"/>
      <c r="AC58" s="39"/>
      <c r="AD58" s="39">
        <v>86.0</v>
      </c>
      <c r="AE58" s="39">
        <v>1.0</v>
      </c>
      <c r="AF58" s="54"/>
      <c r="AG58" s="56" t="s">
        <v>783</v>
      </c>
      <c r="AH58" s="38" t="s">
        <v>784</v>
      </c>
      <c r="AI58" s="60">
        <v>68.0</v>
      </c>
      <c r="AJ58" s="61">
        <v>51.0</v>
      </c>
      <c r="AK58" s="45">
        <v>50.0</v>
      </c>
      <c r="AL58" s="60">
        <v>56.0</v>
      </c>
      <c r="AM58" s="63">
        <v>63.0</v>
      </c>
      <c r="AN58" s="61"/>
      <c r="AO58" s="52"/>
      <c r="AP58" s="61"/>
      <c r="AQ58" s="60">
        <v>14.0</v>
      </c>
      <c r="AR58" s="60"/>
      <c r="AS58" s="60"/>
      <c r="AT58" s="60">
        <v>157.0</v>
      </c>
      <c r="AU58" s="60">
        <v>1.0</v>
      </c>
      <c r="AV58" s="68"/>
      <c r="AW58" s="70" t="s">
        <v>777</v>
      </c>
      <c r="AX58" s="71"/>
    </row>
    <row r="59">
      <c r="A59" s="37" t="s">
        <v>786</v>
      </c>
      <c r="B59" s="38" t="s">
        <v>787</v>
      </c>
      <c r="C59" s="39">
        <v>12.0</v>
      </c>
      <c r="D59" s="43">
        <v>0.0</v>
      </c>
      <c r="E59" s="81">
        <v>25.0</v>
      </c>
      <c r="F59" s="39">
        <v>5.0</v>
      </c>
      <c r="G59" s="46">
        <v>5.0</v>
      </c>
      <c r="H59" s="43"/>
      <c r="I59" s="163"/>
      <c r="J59" s="43"/>
      <c r="K59" s="39">
        <v>16.0</v>
      </c>
      <c r="L59" s="39"/>
      <c r="M59" s="39"/>
      <c r="N59" s="39">
        <v>41.0</v>
      </c>
      <c r="O59" s="39">
        <v>2.0</v>
      </c>
      <c r="P59" s="54"/>
      <c r="Q59" s="56" t="s">
        <v>789</v>
      </c>
      <c r="R59" s="38" t="s">
        <v>790</v>
      </c>
      <c r="S59" s="39">
        <v>43.0</v>
      </c>
      <c r="T59" s="43">
        <v>25.0</v>
      </c>
      <c r="U59" s="81">
        <v>58.0</v>
      </c>
      <c r="V59" s="39">
        <v>35.0</v>
      </c>
      <c r="W59" s="46">
        <v>40.0</v>
      </c>
      <c r="X59" s="43"/>
      <c r="Y59" s="163"/>
      <c r="Z59" s="43"/>
      <c r="AA59" s="39">
        <v>16.0</v>
      </c>
      <c r="AB59" s="39"/>
      <c r="AC59" s="39"/>
      <c r="AD59" s="39">
        <v>87.0</v>
      </c>
      <c r="AE59" s="39">
        <v>2.0</v>
      </c>
      <c r="AF59" s="54"/>
      <c r="AG59" s="56" t="s">
        <v>792</v>
      </c>
      <c r="AH59" s="38" t="s">
        <v>793</v>
      </c>
      <c r="AI59" s="60">
        <v>75.0</v>
      </c>
      <c r="AJ59" s="61">
        <v>56.0</v>
      </c>
      <c r="AK59" s="45">
        <v>106.0</v>
      </c>
      <c r="AL59" s="60">
        <v>58.0</v>
      </c>
      <c r="AM59" s="63">
        <v>65.0</v>
      </c>
      <c r="AN59" s="61"/>
      <c r="AO59" s="52"/>
      <c r="AP59" s="61"/>
      <c r="AQ59" s="60">
        <v>16.0</v>
      </c>
      <c r="AR59" s="60"/>
      <c r="AS59" s="60"/>
      <c r="AT59" s="60">
        <v>158.0</v>
      </c>
      <c r="AU59" s="60">
        <v>2.0</v>
      </c>
      <c r="AV59" s="68"/>
      <c r="AW59" s="70" t="s">
        <v>777</v>
      </c>
      <c r="AX59" s="71"/>
    </row>
    <row r="60">
      <c r="A60" s="37" t="s">
        <v>794</v>
      </c>
      <c r="B60" s="38" t="s">
        <v>795</v>
      </c>
      <c r="C60" s="39">
        <v>20.0</v>
      </c>
      <c r="D60" s="43">
        <v>0.0</v>
      </c>
      <c r="E60" s="81">
        <v>45.0</v>
      </c>
      <c r="F60" s="39">
        <v>6.0</v>
      </c>
      <c r="G60" s="46">
        <v>6.0</v>
      </c>
      <c r="H60" s="43"/>
      <c r="I60" s="163"/>
      <c r="J60" s="43"/>
      <c r="K60" s="39">
        <v>18.0</v>
      </c>
      <c r="L60" s="39"/>
      <c r="M60" s="39"/>
      <c r="N60" s="39">
        <v>42.0</v>
      </c>
      <c r="O60" s="39">
        <v>2.0</v>
      </c>
      <c r="P60" s="54"/>
      <c r="Q60" s="56" t="s">
        <v>796</v>
      </c>
      <c r="R60" s="38" t="s">
        <v>797</v>
      </c>
      <c r="S60" s="39">
        <v>49.0</v>
      </c>
      <c r="T60" s="43">
        <v>25.0</v>
      </c>
      <c r="U60" s="81">
        <v>88.0</v>
      </c>
      <c r="V60" s="39">
        <v>37.0</v>
      </c>
      <c r="W60" s="46">
        <v>42.0</v>
      </c>
      <c r="X60" s="43"/>
      <c r="Y60" s="163"/>
      <c r="Z60" s="43"/>
      <c r="AA60" s="39">
        <v>18.0</v>
      </c>
      <c r="AB60" s="39"/>
      <c r="AC60" s="39"/>
      <c r="AD60" s="39">
        <v>88.0</v>
      </c>
      <c r="AE60" s="39">
        <v>2.0</v>
      </c>
      <c r="AF60" s="54"/>
      <c r="AG60" s="56" t="s">
        <v>798</v>
      </c>
      <c r="AH60" s="38" t="s">
        <v>799</v>
      </c>
      <c r="AI60" s="60">
        <v>82.0</v>
      </c>
      <c r="AJ60" s="61">
        <v>62.0</v>
      </c>
      <c r="AK60" s="45">
        <v>151.0</v>
      </c>
      <c r="AL60" s="60">
        <v>59.0</v>
      </c>
      <c r="AM60" s="63">
        <v>66.0</v>
      </c>
      <c r="AN60" s="61"/>
      <c r="AO60" s="52"/>
      <c r="AP60" s="61"/>
      <c r="AQ60" s="60">
        <v>18.0</v>
      </c>
      <c r="AR60" s="60"/>
      <c r="AS60" s="60"/>
      <c r="AT60" s="60">
        <v>159.0</v>
      </c>
      <c r="AU60" s="60">
        <v>2.0</v>
      </c>
      <c r="AV60" s="68"/>
      <c r="AW60" s="70" t="s">
        <v>777</v>
      </c>
      <c r="AX60" s="71"/>
    </row>
    <row r="61">
      <c r="A61" s="37" t="s">
        <v>800</v>
      </c>
      <c r="B61" s="38" t="s">
        <v>801</v>
      </c>
      <c r="C61" s="39">
        <v>27.0</v>
      </c>
      <c r="D61" s="43">
        <v>0.0</v>
      </c>
      <c r="E61" s="81">
        <v>60.0</v>
      </c>
      <c r="F61" s="39">
        <v>8.0</v>
      </c>
      <c r="G61" s="46">
        <v>11.0</v>
      </c>
      <c r="H61" s="43"/>
      <c r="I61" s="163"/>
      <c r="J61" s="43"/>
      <c r="K61" s="39">
        <v>24.0</v>
      </c>
      <c r="L61" s="39"/>
      <c r="M61" s="39"/>
      <c r="N61" s="39">
        <v>43.0</v>
      </c>
      <c r="O61" s="39">
        <v>3.0</v>
      </c>
      <c r="P61" s="54"/>
      <c r="Q61" s="56" t="s">
        <v>804</v>
      </c>
      <c r="R61" s="38" t="s">
        <v>805</v>
      </c>
      <c r="S61" s="39">
        <v>54.0</v>
      </c>
      <c r="T61" s="43">
        <v>25.0</v>
      </c>
      <c r="U61" s="81">
        <v>110.0</v>
      </c>
      <c r="V61" s="39">
        <v>41.0</v>
      </c>
      <c r="W61" s="46">
        <v>52.0</v>
      </c>
      <c r="X61" s="43"/>
      <c r="Y61" s="163"/>
      <c r="Z61" s="43"/>
      <c r="AA61" s="39">
        <v>24.0</v>
      </c>
      <c r="AB61" s="39"/>
      <c r="AC61" s="39"/>
      <c r="AD61" s="39">
        <v>89.0</v>
      </c>
      <c r="AE61" s="39">
        <v>3.0</v>
      </c>
      <c r="AF61" s="54"/>
      <c r="AG61" s="56" t="s">
        <v>806</v>
      </c>
      <c r="AH61" s="38" t="s">
        <v>807</v>
      </c>
      <c r="AI61" s="60">
        <v>85.0</v>
      </c>
      <c r="AJ61" s="61">
        <v>67.0</v>
      </c>
      <c r="AK61" s="45">
        <v>185.0</v>
      </c>
      <c r="AL61" s="60">
        <v>61.0</v>
      </c>
      <c r="AM61" s="63">
        <v>71.0</v>
      </c>
      <c r="AN61" s="61"/>
      <c r="AO61" s="52"/>
      <c r="AP61" s="61"/>
      <c r="AQ61" s="60">
        <v>24.0</v>
      </c>
      <c r="AR61" s="60"/>
      <c r="AS61" s="60"/>
      <c r="AT61" s="60">
        <v>160.0</v>
      </c>
      <c r="AU61" s="60">
        <v>3.0</v>
      </c>
      <c r="AV61" s="68"/>
      <c r="AW61" s="70" t="s">
        <v>777</v>
      </c>
      <c r="AX61" s="71"/>
    </row>
    <row r="62">
      <c r="A62" s="139" t="s">
        <v>809</v>
      </c>
      <c r="B62" s="117" t="s">
        <v>810</v>
      </c>
      <c r="C62" s="118">
        <v>3.0</v>
      </c>
      <c r="D62" s="119">
        <v>0.0</v>
      </c>
      <c r="E62" s="120">
        <v>0.0</v>
      </c>
      <c r="F62" s="118">
        <v>2.0</v>
      </c>
      <c r="G62" s="121">
        <v>3.0</v>
      </c>
      <c r="H62" s="119"/>
      <c r="I62" s="131"/>
      <c r="J62" s="119"/>
      <c r="K62" s="118">
        <v>12.0</v>
      </c>
      <c r="L62" s="118"/>
      <c r="M62" s="118"/>
      <c r="N62" s="118">
        <v>29.0</v>
      </c>
      <c r="O62" s="118">
        <v>1.0</v>
      </c>
      <c r="P62" s="137"/>
      <c r="Q62" s="139" t="s">
        <v>812</v>
      </c>
      <c r="R62" s="117" t="s">
        <v>813</v>
      </c>
      <c r="S62" s="118">
        <v>33.0</v>
      </c>
      <c r="T62" s="119">
        <v>21.0</v>
      </c>
      <c r="U62" s="120">
        <v>20.0</v>
      </c>
      <c r="V62" s="118">
        <v>28.0</v>
      </c>
      <c r="W62" s="121">
        <v>35.0</v>
      </c>
      <c r="X62" s="119"/>
      <c r="Y62" s="131"/>
      <c r="Z62" s="119"/>
      <c r="AA62" s="118">
        <v>12.0</v>
      </c>
      <c r="AB62" s="118"/>
      <c r="AC62" s="118"/>
      <c r="AD62" s="118">
        <v>75.0</v>
      </c>
      <c r="AE62" s="118">
        <v>1.0</v>
      </c>
      <c r="AF62" s="137"/>
      <c r="AG62" s="139" t="s">
        <v>815</v>
      </c>
      <c r="AH62" s="117" t="s">
        <v>816</v>
      </c>
      <c r="AI62" s="144">
        <v>57.0</v>
      </c>
      <c r="AJ62" s="145">
        <v>42.0</v>
      </c>
      <c r="AK62" s="147">
        <v>50.0</v>
      </c>
      <c r="AL62" s="144">
        <v>54.0</v>
      </c>
      <c r="AM62" s="150">
        <v>62.0</v>
      </c>
      <c r="AN62" s="145"/>
      <c r="AO62" s="279"/>
      <c r="AP62" s="145"/>
      <c r="AQ62" s="144">
        <v>12.0</v>
      </c>
      <c r="AR62" s="144"/>
      <c r="AS62" s="144"/>
      <c r="AT62" s="144">
        <v>146.0</v>
      </c>
      <c r="AU62" s="144">
        <v>1.0</v>
      </c>
      <c r="AV62" s="155"/>
      <c r="AW62" s="158" t="s">
        <v>817</v>
      </c>
      <c r="AX62" s="159"/>
    </row>
    <row r="63">
      <c r="A63" s="56" t="s">
        <v>818</v>
      </c>
      <c r="B63" s="38" t="s">
        <v>819</v>
      </c>
      <c r="C63" s="39">
        <v>7.0</v>
      </c>
      <c r="D63" s="43">
        <v>0.0</v>
      </c>
      <c r="E63" s="81">
        <v>0.0</v>
      </c>
      <c r="F63" s="39">
        <v>5.0</v>
      </c>
      <c r="G63" s="46">
        <v>6.0</v>
      </c>
      <c r="H63" s="43"/>
      <c r="I63" s="163"/>
      <c r="J63" s="43"/>
      <c r="K63" s="39">
        <v>14.0</v>
      </c>
      <c r="L63" s="39"/>
      <c r="M63" s="39"/>
      <c r="N63" s="39">
        <v>30.0</v>
      </c>
      <c r="O63" s="39">
        <v>1.0</v>
      </c>
      <c r="P63" s="54"/>
      <c r="Q63" s="56" t="s">
        <v>820</v>
      </c>
      <c r="R63" s="38" t="s">
        <v>822</v>
      </c>
      <c r="S63" s="39">
        <v>39.0</v>
      </c>
      <c r="T63" s="43">
        <v>25.0</v>
      </c>
      <c r="U63" s="81">
        <v>20.0</v>
      </c>
      <c r="V63" s="39">
        <v>33.0</v>
      </c>
      <c r="W63" s="46">
        <v>39.0</v>
      </c>
      <c r="X63" s="43"/>
      <c r="Y63" s="163"/>
      <c r="Z63" s="43"/>
      <c r="AA63" s="39">
        <v>14.0</v>
      </c>
      <c r="AB63" s="39"/>
      <c r="AC63" s="39"/>
      <c r="AD63" s="39">
        <v>76.0</v>
      </c>
      <c r="AE63" s="39">
        <v>1.0</v>
      </c>
      <c r="AF63" s="54"/>
      <c r="AG63" s="56" t="s">
        <v>825</v>
      </c>
      <c r="AH63" s="38" t="s">
        <v>826</v>
      </c>
      <c r="AI63" s="60">
        <v>63.0</v>
      </c>
      <c r="AJ63" s="61">
        <v>47.0</v>
      </c>
      <c r="AK63" s="45">
        <v>50.0</v>
      </c>
      <c r="AL63" s="60">
        <v>56.0</v>
      </c>
      <c r="AM63" s="63">
        <v>65.0</v>
      </c>
      <c r="AN63" s="61"/>
      <c r="AO63" s="52"/>
      <c r="AP63" s="61"/>
      <c r="AQ63" s="60">
        <v>14.0</v>
      </c>
      <c r="AR63" s="60"/>
      <c r="AS63" s="60"/>
      <c r="AT63" s="60">
        <v>147.0</v>
      </c>
      <c r="AU63" s="60">
        <v>1.0</v>
      </c>
      <c r="AV63" s="68"/>
      <c r="AW63" s="70" t="s">
        <v>817</v>
      </c>
      <c r="AX63" s="71"/>
    </row>
    <row r="64">
      <c r="A64" s="56" t="s">
        <v>827</v>
      </c>
      <c r="B64" s="38" t="s">
        <v>828</v>
      </c>
      <c r="C64" s="39">
        <v>12.0</v>
      </c>
      <c r="D64" s="43">
        <v>0.0</v>
      </c>
      <c r="E64" s="81">
        <v>25.0</v>
      </c>
      <c r="F64" s="39">
        <v>8.0</v>
      </c>
      <c r="G64" s="46">
        <v>9.0</v>
      </c>
      <c r="H64" s="43"/>
      <c r="I64" s="163"/>
      <c r="J64" s="43"/>
      <c r="K64" s="39">
        <v>16.0</v>
      </c>
      <c r="L64" s="39"/>
      <c r="M64" s="39"/>
      <c r="N64" s="39">
        <v>31.0</v>
      </c>
      <c r="O64" s="39">
        <v>2.0</v>
      </c>
      <c r="P64" s="54"/>
      <c r="Q64" s="56" t="s">
        <v>829</v>
      </c>
      <c r="R64" s="38" t="s">
        <v>830</v>
      </c>
      <c r="S64" s="39">
        <v>43.0</v>
      </c>
      <c r="T64" s="43">
        <v>25.0</v>
      </c>
      <c r="U64" s="81">
        <v>58.0</v>
      </c>
      <c r="V64" s="39">
        <v>37.0</v>
      </c>
      <c r="W64" s="46">
        <v>44.0</v>
      </c>
      <c r="X64" s="43"/>
      <c r="Y64" s="163"/>
      <c r="Z64" s="43"/>
      <c r="AA64" s="39">
        <v>16.0</v>
      </c>
      <c r="AB64" s="39"/>
      <c r="AC64" s="39"/>
      <c r="AD64" s="39">
        <v>77.0</v>
      </c>
      <c r="AE64" s="39">
        <v>2.0</v>
      </c>
      <c r="AF64" s="54"/>
      <c r="AG64" s="56" t="s">
        <v>832</v>
      </c>
      <c r="AH64" s="38" t="s">
        <v>833</v>
      </c>
      <c r="AI64" s="60">
        <v>69.0</v>
      </c>
      <c r="AJ64" s="61">
        <v>51.0</v>
      </c>
      <c r="AK64" s="45">
        <v>106.0</v>
      </c>
      <c r="AL64" s="60">
        <v>59.0</v>
      </c>
      <c r="AM64" s="63">
        <v>67.0</v>
      </c>
      <c r="AN64" s="61"/>
      <c r="AO64" s="52"/>
      <c r="AP64" s="61"/>
      <c r="AQ64" s="60">
        <v>16.0</v>
      </c>
      <c r="AR64" s="60"/>
      <c r="AS64" s="60"/>
      <c r="AT64" s="60">
        <v>148.0</v>
      </c>
      <c r="AU64" s="60">
        <v>2.0</v>
      </c>
      <c r="AV64" s="68"/>
      <c r="AW64" s="70" t="s">
        <v>817</v>
      </c>
      <c r="AX64" s="71"/>
    </row>
    <row r="65">
      <c r="A65" s="56" t="s">
        <v>835</v>
      </c>
      <c r="B65" s="38" t="s">
        <v>837</v>
      </c>
      <c r="C65" s="39">
        <v>20.0</v>
      </c>
      <c r="D65" s="43">
        <v>0.0</v>
      </c>
      <c r="E65" s="81">
        <v>45.0</v>
      </c>
      <c r="F65" s="39">
        <v>9.0</v>
      </c>
      <c r="G65" s="46">
        <v>11.0</v>
      </c>
      <c r="H65" s="43"/>
      <c r="I65" s="163"/>
      <c r="J65" s="43"/>
      <c r="K65" s="39">
        <v>18.0</v>
      </c>
      <c r="L65" s="39"/>
      <c r="M65" s="39"/>
      <c r="N65" s="39">
        <v>32.0</v>
      </c>
      <c r="O65" s="39">
        <v>3.0</v>
      </c>
      <c r="P65" s="54"/>
      <c r="Q65" s="56" t="s">
        <v>839</v>
      </c>
      <c r="R65" s="38" t="s">
        <v>840</v>
      </c>
      <c r="S65" s="39">
        <v>49.0</v>
      </c>
      <c r="T65" s="43">
        <v>25.0</v>
      </c>
      <c r="U65" s="81">
        <v>88.0</v>
      </c>
      <c r="V65" s="39">
        <v>39.0</v>
      </c>
      <c r="W65" s="46">
        <v>47.0</v>
      </c>
      <c r="X65" s="43"/>
      <c r="Y65" s="163"/>
      <c r="Z65" s="43"/>
      <c r="AA65" s="39">
        <v>18.0</v>
      </c>
      <c r="AB65" s="39"/>
      <c r="AC65" s="39"/>
      <c r="AD65" s="39">
        <v>78.0</v>
      </c>
      <c r="AE65" s="39">
        <v>3.0</v>
      </c>
      <c r="AF65" s="54"/>
      <c r="AG65" s="56" t="s">
        <v>841</v>
      </c>
      <c r="AH65" s="38" t="s">
        <v>842</v>
      </c>
      <c r="AI65" s="60">
        <v>76.0</v>
      </c>
      <c r="AJ65" s="61">
        <v>57.0</v>
      </c>
      <c r="AK65" s="45">
        <v>151.0</v>
      </c>
      <c r="AL65" s="60">
        <v>59.0</v>
      </c>
      <c r="AM65" s="63">
        <v>68.0</v>
      </c>
      <c r="AN65" s="61"/>
      <c r="AO65" s="52"/>
      <c r="AP65" s="61"/>
      <c r="AQ65" s="60">
        <v>18.0</v>
      </c>
      <c r="AR65" s="60"/>
      <c r="AS65" s="60"/>
      <c r="AT65" s="60">
        <v>149.0</v>
      </c>
      <c r="AU65" s="60">
        <v>3.0</v>
      </c>
      <c r="AV65" s="68"/>
      <c r="AW65" s="70" t="s">
        <v>817</v>
      </c>
      <c r="AX65" s="71"/>
    </row>
    <row r="66">
      <c r="A66" s="56" t="s">
        <v>845</v>
      </c>
      <c r="B66" s="38" t="s">
        <v>846</v>
      </c>
      <c r="C66" s="39">
        <v>27.0</v>
      </c>
      <c r="D66" s="43">
        <v>0.0</v>
      </c>
      <c r="E66" s="81">
        <v>60.0</v>
      </c>
      <c r="F66" s="39">
        <v>12.0</v>
      </c>
      <c r="G66" s="46">
        <v>15.0</v>
      </c>
      <c r="H66" s="43"/>
      <c r="I66" s="163"/>
      <c r="J66" s="43"/>
      <c r="K66" s="39">
        <v>24.0</v>
      </c>
      <c r="L66" s="39"/>
      <c r="M66" s="39"/>
      <c r="N66" s="39">
        <v>33.0</v>
      </c>
      <c r="O66" s="39">
        <v>4.0</v>
      </c>
      <c r="P66" s="54"/>
      <c r="Q66" s="56" t="s">
        <v>848</v>
      </c>
      <c r="R66" s="38" t="s">
        <v>849</v>
      </c>
      <c r="S66" s="39">
        <v>54.0</v>
      </c>
      <c r="T66" s="43">
        <v>25.0</v>
      </c>
      <c r="U66" s="81">
        <v>110.0</v>
      </c>
      <c r="V66" s="39">
        <v>43.0</v>
      </c>
      <c r="W66" s="46">
        <v>53.0</v>
      </c>
      <c r="X66" s="43"/>
      <c r="Y66" s="163"/>
      <c r="Z66" s="43"/>
      <c r="AA66" s="39">
        <v>24.0</v>
      </c>
      <c r="AB66" s="39"/>
      <c r="AC66" s="39"/>
      <c r="AD66" s="39">
        <v>79.0</v>
      </c>
      <c r="AE66" s="39">
        <v>4.0</v>
      </c>
      <c r="AF66" s="54"/>
      <c r="AG66" s="56" t="s">
        <v>851</v>
      </c>
      <c r="AH66" s="38" t="s">
        <v>852</v>
      </c>
      <c r="AI66" s="60">
        <v>85.0</v>
      </c>
      <c r="AJ66" s="61">
        <v>64.0</v>
      </c>
      <c r="AK66" s="45">
        <v>185.0</v>
      </c>
      <c r="AL66" s="60">
        <v>62.0</v>
      </c>
      <c r="AM66" s="63">
        <v>71.0</v>
      </c>
      <c r="AN66" s="61"/>
      <c r="AO66" s="52"/>
      <c r="AP66" s="61"/>
      <c r="AQ66" s="60">
        <v>24.0</v>
      </c>
      <c r="AR66" s="60"/>
      <c r="AS66" s="60"/>
      <c r="AT66" s="60">
        <v>150.0</v>
      </c>
      <c r="AU66" s="60">
        <v>4.0</v>
      </c>
      <c r="AV66" s="68"/>
      <c r="AW66" s="70" t="s">
        <v>817</v>
      </c>
      <c r="AX66" s="71"/>
    </row>
    <row r="67">
      <c r="A67" s="116" t="s">
        <v>853</v>
      </c>
      <c r="B67" s="117" t="s">
        <v>854</v>
      </c>
      <c r="C67" s="118">
        <v>3.0</v>
      </c>
      <c r="D67" s="119">
        <v>0.0</v>
      </c>
      <c r="E67" s="147">
        <v>0.0</v>
      </c>
      <c r="F67" s="118">
        <v>2.0</v>
      </c>
      <c r="G67" s="121">
        <v>3.0</v>
      </c>
      <c r="H67" s="119"/>
      <c r="I67" s="131">
        <f t="shared" ref="I67:I71" si="5">ROUND((L67+M67)/2,1)</f>
        <v>5.5</v>
      </c>
      <c r="J67" s="119"/>
      <c r="K67" s="118">
        <v>12.0</v>
      </c>
      <c r="L67" s="118">
        <v>3.0</v>
      </c>
      <c r="M67" s="118">
        <v>8.0</v>
      </c>
      <c r="N67" s="118">
        <v>34.0</v>
      </c>
      <c r="O67" s="118">
        <v>1.0</v>
      </c>
      <c r="P67" s="137"/>
      <c r="Q67" s="139" t="s">
        <v>860</v>
      </c>
      <c r="R67" s="117" t="s">
        <v>862</v>
      </c>
      <c r="S67" s="118">
        <v>36.0</v>
      </c>
      <c r="T67" s="119">
        <v>24.0</v>
      </c>
      <c r="U67" s="147">
        <v>20.0</v>
      </c>
      <c r="V67" s="118">
        <v>28.0</v>
      </c>
      <c r="W67" s="121">
        <v>35.0</v>
      </c>
      <c r="X67" s="119"/>
      <c r="Y67" s="131">
        <f t="shared" ref="Y67:Y71" si="6">ROUND((AB67+AC67)/2,1)</f>
        <v>47</v>
      </c>
      <c r="Z67" s="119"/>
      <c r="AA67" s="118">
        <v>12.0</v>
      </c>
      <c r="AB67" s="118">
        <v>30.0</v>
      </c>
      <c r="AC67" s="118">
        <v>64.0</v>
      </c>
      <c r="AD67" s="118">
        <v>80.0</v>
      </c>
      <c r="AE67" s="118">
        <v>1.0</v>
      </c>
      <c r="AF67" s="137"/>
      <c r="AG67" s="139" t="s">
        <v>866</v>
      </c>
      <c r="AH67" s="117" t="s">
        <v>867</v>
      </c>
      <c r="AI67" s="144">
        <v>60.0</v>
      </c>
      <c r="AJ67" s="145">
        <v>45.0</v>
      </c>
      <c r="AK67" s="147">
        <v>50.0</v>
      </c>
      <c r="AL67" s="144">
        <v>54.0</v>
      </c>
      <c r="AM67" s="150">
        <v>62.0</v>
      </c>
      <c r="AN67" s="145"/>
      <c r="AO67" s="131">
        <f t="shared" ref="AO67:AO71" si="7">ROUND((AR67+AS67)/2,1)</f>
        <v>87.5</v>
      </c>
      <c r="AP67" s="145"/>
      <c r="AQ67" s="144">
        <v>12.0</v>
      </c>
      <c r="AR67" s="144">
        <v>75.0</v>
      </c>
      <c r="AS67" s="144">
        <v>100.0</v>
      </c>
      <c r="AT67" s="144">
        <v>151.0</v>
      </c>
      <c r="AU67" s="144">
        <v>1.0</v>
      </c>
      <c r="AV67" s="155"/>
      <c r="AW67" s="158" t="s">
        <v>874</v>
      </c>
      <c r="AX67" s="159"/>
    </row>
    <row r="68">
      <c r="A68" s="37" t="s">
        <v>875</v>
      </c>
      <c r="B68" s="38" t="s">
        <v>876</v>
      </c>
      <c r="C68" s="39">
        <v>7.0</v>
      </c>
      <c r="D68" s="43">
        <v>0.0</v>
      </c>
      <c r="E68" s="45">
        <v>18.0</v>
      </c>
      <c r="F68" s="39">
        <v>5.0</v>
      </c>
      <c r="G68" s="46">
        <v>6.0</v>
      </c>
      <c r="H68" s="43"/>
      <c r="I68" s="163">
        <f t="shared" si="5"/>
        <v>8</v>
      </c>
      <c r="J68" s="43"/>
      <c r="K68" s="39">
        <v>14.0</v>
      </c>
      <c r="L68" s="39">
        <v>4.0</v>
      </c>
      <c r="M68" s="39">
        <v>12.0</v>
      </c>
      <c r="N68" s="39">
        <v>35.0</v>
      </c>
      <c r="O68" s="39">
        <v>1.0</v>
      </c>
      <c r="P68" s="54"/>
      <c r="Q68" s="56" t="s">
        <v>880</v>
      </c>
      <c r="R68" s="38" t="s">
        <v>881</v>
      </c>
      <c r="S68" s="39">
        <v>39.0</v>
      </c>
      <c r="T68" s="43">
        <v>25.0</v>
      </c>
      <c r="U68" s="45">
        <v>47.0</v>
      </c>
      <c r="V68" s="39">
        <v>33.0</v>
      </c>
      <c r="W68" s="46">
        <v>39.0</v>
      </c>
      <c r="X68" s="43"/>
      <c r="Y68" s="163">
        <f t="shared" si="6"/>
        <v>52</v>
      </c>
      <c r="Z68" s="43"/>
      <c r="AA68" s="39">
        <v>14.0</v>
      </c>
      <c r="AB68" s="39">
        <v>32.0</v>
      </c>
      <c r="AC68" s="39">
        <v>72.0</v>
      </c>
      <c r="AD68" s="39">
        <v>81.0</v>
      </c>
      <c r="AE68" s="39">
        <v>1.0</v>
      </c>
      <c r="AF68" s="54"/>
      <c r="AG68" s="56" t="s">
        <v>883</v>
      </c>
      <c r="AH68" s="38" t="s">
        <v>884</v>
      </c>
      <c r="AI68" s="60">
        <v>66.0</v>
      </c>
      <c r="AJ68" s="61">
        <v>49.0</v>
      </c>
      <c r="AK68" s="45">
        <v>91.0</v>
      </c>
      <c r="AL68" s="60">
        <v>56.0</v>
      </c>
      <c r="AM68" s="63">
        <v>65.0</v>
      </c>
      <c r="AN68" s="61"/>
      <c r="AO68" s="163">
        <f t="shared" si="7"/>
        <v>90</v>
      </c>
      <c r="AP68" s="61"/>
      <c r="AQ68" s="60">
        <v>14.0</v>
      </c>
      <c r="AR68" s="60">
        <v>70.0</v>
      </c>
      <c r="AS68" s="60">
        <v>110.0</v>
      </c>
      <c r="AT68" s="60">
        <v>152.0</v>
      </c>
      <c r="AU68" s="60">
        <v>1.0</v>
      </c>
      <c r="AV68" s="68"/>
      <c r="AW68" s="70" t="s">
        <v>874</v>
      </c>
      <c r="AX68" s="71"/>
    </row>
    <row r="69">
      <c r="A69" s="37" t="s">
        <v>887</v>
      </c>
      <c r="B69" s="38" t="s">
        <v>888</v>
      </c>
      <c r="C69" s="39">
        <v>12.0</v>
      </c>
      <c r="D69" s="43">
        <v>0.0</v>
      </c>
      <c r="E69" s="45">
        <v>30.0</v>
      </c>
      <c r="F69" s="39">
        <v>8.0</v>
      </c>
      <c r="G69" s="46">
        <v>9.0</v>
      </c>
      <c r="H69" s="43"/>
      <c r="I69" s="163">
        <f t="shared" si="5"/>
        <v>10</v>
      </c>
      <c r="J69" s="43"/>
      <c r="K69" s="39">
        <v>16.0</v>
      </c>
      <c r="L69" s="39">
        <v>6.0</v>
      </c>
      <c r="M69" s="39">
        <v>14.0</v>
      </c>
      <c r="N69" s="39">
        <v>36.0</v>
      </c>
      <c r="O69" s="39">
        <v>2.0</v>
      </c>
      <c r="P69" s="54"/>
      <c r="Q69" s="56" t="s">
        <v>889</v>
      </c>
      <c r="R69" s="38" t="s">
        <v>890</v>
      </c>
      <c r="S69" s="39">
        <v>43.0</v>
      </c>
      <c r="T69" s="43">
        <v>25.0</v>
      </c>
      <c r="U69" s="45">
        <v>65.0</v>
      </c>
      <c r="V69" s="39">
        <v>37.0</v>
      </c>
      <c r="W69" s="46">
        <v>44.0</v>
      </c>
      <c r="X69" s="43"/>
      <c r="Y69" s="163">
        <f t="shared" si="6"/>
        <v>56.5</v>
      </c>
      <c r="Z69" s="43"/>
      <c r="AA69" s="39">
        <v>16.0</v>
      </c>
      <c r="AB69" s="39">
        <v>35.0</v>
      </c>
      <c r="AC69" s="39">
        <v>78.0</v>
      </c>
      <c r="AD69" s="39">
        <v>82.0</v>
      </c>
      <c r="AE69" s="39">
        <v>2.0</v>
      </c>
      <c r="AF69" s="54"/>
      <c r="AG69" s="56" t="s">
        <v>891</v>
      </c>
      <c r="AH69" s="38" t="s">
        <v>892</v>
      </c>
      <c r="AI69" s="60">
        <v>72.0</v>
      </c>
      <c r="AJ69" s="61">
        <v>54.0</v>
      </c>
      <c r="AK69" s="45">
        <v>118.0</v>
      </c>
      <c r="AL69" s="60">
        <v>59.0</v>
      </c>
      <c r="AM69" s="63">
        <v>67.0</v>
      </c>
      <c r="AN69" s="61"/>
      <c r="AO69" s="334">
        <f t="shared" si="7"/>
        <v>102.5</v>
      </c>
      <c r="AP69" s="61"/>
      <c r="AQ69" s="60">
        <v>16.0</v>
      </c>
      <c r="AR69" s="60">
        <v>80.0</v>
      </c>
      <c r="AS69" s="60">
        <v>125.0</v>
      </c>
      <c r="AT69" s="60">
        <v>153.0</v>
      </c>
      <c r="AU69" s="60">
        <v>2.0</v>
      </c>
      <c r="AV69" s="68"/>
      <c r="AW69" s="70" t="s">
        <v>874</v>
      </c>
      <c r="AX69" s="71"/>
    </row>
    <row r="70">
      <c r="A70" s="37" t="s">
        <v>895</v>
      </c>
      <c r="B70" s="38" t="s">
        <v>896</v>
      </c>
      <c r="C70" s="39">
        <v>20.0</v>
      </c>
      <c r="D70" s="43">
        <v>0.0</v>
      </c>
      <c r="E70" s="81">
        <v>50.0</v>
      </c>
      <c r="F70" s="39">
        <v>9.0</v>
      </c>
      <c r="G70" s="46">
        <v>11.0</v>
      </c>
      <c r="H70" s="43"/>
      <c r="I70" s="163">
        <f t="shared" si="5"/>
        <v>13</v>
      </c>
      <c r="J70" s="43"/>
      <c r="K70" s="39">
        <v>18.0</v>
      </c>
      <c r="L70" s="39">
        <v>8.0</v>
      </c>
      <c r="M70" s="39">
        <v>18.0</v>
      </c>
      <c r="N70" s="39">
        <v>37.0</v>
      </c>
      <c r="O70" s="39">
        <v>3.0</v>
      </c>
      <c r="P70" s="54"/>
      <c r="Q70" s="56" t="s">
        <v>897</v>
      </c>
      <c r="R70" s="38" t="s">
        <v>899</v>
      </c>
      <c r="S70" s="39">
        <v>49.0</v>
      </c>
      <c r="T70" s="43">
        <v>25.0</v>
      </c>
      <c r="U70" s="81">
        <v>95.0</v>
      </c>
      <c r="V70" s="39">
        <v>39.0</v>
      </c>
      <c r="W70" s="46">
        <v>47.0</v>
      </c>
      <c r="X70" s="43"/>
      <c r="Y70" s="163">
        <f t="shared" si="6"/>
        <v>63</v>
      </c>
      <c r="Z70" s="43"/>
      <c r="AA70" s="39">
        <v>18.0</v>
      </c>
      <c r="AB70" s="39">
        <v>42.0</v>
      </c>
      <c r="AC70" s="39">
        <v>84.0</v>
      </c>
      <c r="AD70" s="39">
        <v>83.0</v>
      </c>
      <c r="AE70" s="39">
        <v>3.0</v>
      </c>
      <c r="AF70" s="54"/>
      <c r="AG70" s="56" t="s">
        <v>903</v>
      </c>
      <c r="AH70" s="38" t="s">
        <v>905</v>
      </c>
      <c r="AI70" s="60">
        <v>81.0</v>
      </c>
      <c r="AJ70" s="61">
        <v>60.0</v>
      </c>
      <c r="AK70" s="45">
        <v>163.0</v>
      </c>
      <c r="AL70" s="60">
        <v>59.0</v>
      </c>
      <c r="AM70" s="63">
        <v>68.0</v>
      </c>
      <c r="AN70" s="61"/>
      <c r="AO70" s="163">
        <f t="shared" si="7"/>
        <v>108</v>
      </c>
      <c r="AP70" s="61"/>
      <c r="AQ70" s="60">
        <v>18.0</v>
      </c>
      <c r="AR70" s="60">
        <v>69.0</v>
      </c>
      <c r="AS70" s="60">
        <v>147.0</v>
      </c>
      <c r="AT70" s="60">
        <v>154.0</v>
      </c>
      <c r="AU70" s="60">
        <v>3.0</v>
      </c>
      <c r="AV70" s="68"/>
      <c r="AW70" s="70" t="s">
        <v>874</v>
      </c>
      <c r="AX70" s="71"/>
    </row>
    <row r="71">
      <c r="A71" s="37" t="s">
        <v>907</v>
      </c>
      <c r="B71" s="38" t="s">
        <v>908</v>
      </c>
      <c r="C71" s="39">
        <v>27.0</v>
      </c>
      <c r="D71" s="43">
        <v>0.0</v>
      </c>
      <c r="E71" s="81">
        <v>70.0</v>
      </c>
      <c r="F71" s="39">
        <v>12.0</v>
      </c>
      <c r="G71" s="46">
        <v>15.0</v>
      </c>
      <c r="H71" s="43"/>
      <c r="I71" s="163">
        <f t="shared" si="5"/>
        <v>15</v>
      </c>
      <c r="J71" s="43"/>
      <c r="K71" s="39">
        <v>24.0</v>
      </c>
      <c r="L71" s="39">
        <v>10.0</v>
      </c>
      <c r="M71" s="39">
        <v>20.0</v>
      </c>
      <c r="N71" s="39">
        <v>38.0</v>
      </c>
      <c r="O71" s="39">
        <v>4.0</v>
      </c>
      <c r="P71" s="54"/>
      <c r="Q71" s="56" t="s">
        <v>910</v>
      </c>
      <c r="R71" s="38" t="s">
        <v>911</v>
      </c>
      <c r="S71" s="39">
        <v>54.0</v>
      </c>
      <c r="T71" s="43">
        <v>25.0</v>
      </c>
      <c r="U71" s="81">
        <v>125.0</v>
      </c>
      <c r="V71" s="39">
        <v>43.0</v>
      </c>
      <c r="W71" s="46">
        <v>53.0</v>
      </c>
      <c r="X71" s="43"/>
      <c r="Y71" s="163">
        <f t="shared" si="6"/>
        <v>67.5</v>
      </c>
      <c r="Z71" s="43"/>
      <c r="AA71" s="39">
        <v>24.0</v>
      </c>
      <c r="AB71" s="39">
        <v>45.0</v>
      </c>
      <c r="AC71" s="39">
        <v>90.0</v>
      </c>
      <c r="AD71" s="39">
        <v>84.0</v>
      </c>
      <c r="AE71" s="39">
        <v>4.0</v>
      </c>
      <c r="AF71" s="54"/>
      <c r="AG71" s="56" t="s">
        <v>912</v>
      </c>
      <c r="AH71" s="38" t="s">
        <v>913</v>
      </c>
      <c r="AI71" s="60">
        <v>85.0</v>
      </c>
      <c r="AJ71" s="61">
        <v>65.0</v>
      </c>
      <c r="AK71" s="45">
        <v>208.0</v>
      </c>
      <c r="AL71" s="60">
        <v>62.0</v>
      </c>
      <c r="AM71" s="63">
        <v>71.0</v>
      </c>
      <c r="AN71" s="61"/>
      <c r="AO71" s="163">
        <f t="shared" si="7"/>
        <v>119</v>
      </c>
      <c r="AP71" s="61"/>
      <c r="AQ71" s="60">
        <v>24.0</v>
      </c>
      <c r="AR71" s="60">
        <v>83.0</v>
      </c>
      <c r="AS71" s="60">
        <v>155.0</v>
      </c>
      <c r="AT71" s="60">
        <v>155.0</v>
      </c>
      <c r="AU71" s="60">
        <v>4.0</v>
      </c>
      <c r="AV71" s="68"/>
      <c r="AW71" s="70" t="s">
        <v>874</v>
      </c>
      <c r="AX71" s="71"/>
    </row>
  </sheetData>
  <autoFilter ref="$A$1:$AX$71"/>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3.63"/>
    <col customWidth="1" min="2" max="2" width="3.38"/>
    <col customWidth="1" min="3" max="3" width="3.0"/>
    <col customWidth="1" min="4" max="4" width="2.88"/>
    <col customWidth="1" min="5" max="5" width="3.75"/>
    <col customWidth="1" min="6" max="8" width="3.0"/>
    <col customWidth="1" min="9" max="9" width="4.25"/>
    <col customWidth="1" min="10" max="10" width="3.38"/>
    <col customWidth="1" min="11" max="11" width="3.0"/>
    <col customWidth="1" min="12" max="12" width="3.25"/>
    <col customWidth="1" hidden="1" min="13" max="13" width="4.88"/>
    <col customWidth="1" hidden="1" min="14" max="15" width="5.13"/>
    <col customWidth="1" hidden="1" min="16" max="16" width="1.63"/>
    <col customWidth="1" min="17" max="17" width="15.13"/>
    <col customWidth="1" min="18" max="18" width="3.38"/>
    <col customWidth="1" min="19" max="19" width="3.0"/>
    <col customWidth="1" min="20" max="20" width="2.88"/>
    <col customWidth="1" min="21" max="22" width="3.75"/>
    <col customWidth="1" min="23" max="23" width="3.0"/>
    <col customWidth="1" min="24" max="24" width="3.75"/>
    <col customWidth="1" min="25" max="25" width="5.13"/>
    <col customWidth="1" min="26" max="26" width="3.38"/>
    <col customWidth="1" min="27" max="27" width="3.0"/>
    <col customWidth="1" min="28" max="28" width="3.25"/>
    <col customWidth="1" hidden="1" min="29" max="29" width="4.88"/>
    <col customWidth="1" hidden="1" min="30" max="31" width="5.13"/>
    <col customWidth="1" hidden="1" min="32" max="32" width="1.63"/>
    <col customWidth="1" min="33" max="33" width="14.38"/>
    <col customWidth="1" min="34" max="34" width="3.38"/>
    <col customWidth="1" min="35" max="35" width="3.0"/>
    <col customWidth="1" min="36" max="36" width="2.88"/>
    <col customWidth="1" min="37" max="40" width="3.75"/>
    <col customWidth="1" min="41" max="41" width="5.13"/>
    <col customWidth="1" min="42" max="42" width="3.38"/>
    <col customWidth="1" min="43" max="43" width="3.0"/>
    <col customWidth="1" min="44" max="44" width="3.25"/>
    <col customWidth="1" hidden="1" min="45" max="45" width="4.88"/>
    <col customWidth="1" hidden="1" min="46" max="47" width="5.13"/>
    <col customWidth="1" hidden="1" min="48" max="48" width="1.63"/>
    <col customWidth="1" min="49" max="49" width="3.75"/>
    <col customWidth="1" min="50" max="50" width="3.38"/>
    <col customWidth="1" min="51" max="51" width="4.38"/>
    <col customWidth="1" min="52" max="52" width="13.38"/>
    <col customWidth="1" min="53" max="53" width="14.13"/>
    <col customWidth="1" min="54" max="54" width="23.5"/>
  </cols>
  <sheetData>
    <row r="1" ht="11.25" hidden="1" customHeight="1">
      <c r="A1" s="5"/>
      <c r="B1" s="5"/>
      <c r="C1" s="5"/>
      <c r="D1" s="5"/>
      <c r="E1" s="5"/>
      <c r="F1" s="5"/>
      <c r="G1" s="5"/>
      <c r="H1" s="5"/>
      <c r="I1" s="5"/>
      <c r="J1" s="5"/>
      <c r="K1" s="5"/>
      <c r="L1" s="5"/>
      <c r="M1" s="5"/>
      <c r="N1" s="5"/>
      <c r="O1" s="5"/>
      <c r="P1" s="5"/>
      <c r="Q1" s="13"/>
      <c r="R1" s="5"/>
      <c r="S1" s="5"/>
      <c r="T1" s="5"/>
      <c r="U1" s="5"/>
      <c r="V1" s="5"/>
      <c r="W1" s="5"/>
      <c r="X1" s="5"/>
      <c r="Y1" s="5"/>
      <c r="Z1" s="5"/>
      <c r="AA1" s="5"/>
      <c r="AB1" s="5"/>
      <c r="AC1" s="5"/>
      <c r="AD1" s="5"/>
      <c r="AE1" s="5"/>
      <c r="AF1" s="5"/>
      <c r="AG1" s="13"/>
      <c r="AH1" s="15"/>
      <c r="AI1" s="5"/>
      <c r="AJ1" s="5"/>
      <c r="AK1" s="5"/>
      <c r="AL1" s="5"/>
      <c r="AM1" s="5"/>
      <c r="AN1" s="5"/>
      <c r="AO1" s="5"/>
      <c r="AP1" s="5"/>
      <c r="AQ1" s="5"/>
      <c r="AR1" s="5"/>
      <c r="AS1" s="5"/>
      <c r="AT1" s="5"/>
      <c r="AU1" s="5"/>
      <c r="AV1" s="5"/>
      <c r="AW1" s="13"/>
      <c r="AX1" s="5"/>
      <c r="AY1" s="5"/>
      <c r="AZ1" s="5"/>
      <c r="BA1" s="5"/>
      <c r="BB1" s="5"/>
    </row>
    <row r="2">
      <c r="A2" s="4" t="s">
        <v>19</v>
      </c>
      <c r="B2" s="19" t="s">
        <v>21</v>
      </c>
      <c r="C2" s="20" t="s">
        <v>22</v>
      </c>
      <c r="D2" s="20" t="s">
        <v>23</v>
      </c>
      <c r="E2" s="20" t="s">
        <v>25</v>
      </c>
      <c r="F2" s="20" t="s">
        <v>34</v>
      </c>
      <c r="G2" s="20" t="s">
        <v>26</v>
      </c>
      <c r="H2" s="20" t="s">
        <v>27</v>
      </c>
      <c r="I2" s="20" t="s">
        <v>36</v>
      </c>
      <c r="J2" s="20" t="s">
        <v>37</v>
      </c>
      <c r="K2" s="21" t="s">
        <v>28</v>
      </c>
      <c r="L2" s="22" t="s">
        <v>31</v>
      </c>
      <c r="M2" s="23" t="s">
        <v>38</v>
      </c>
      <c r="N2" s="24" t="s">
        <v>40</v>
      </c>
      <c r="O2" s="25" t="s">
        <v>42</v>
      </c>
      <c r="P2" s="26" t="s">
        <v>44</v>
      </c>
      <c r="Q2" s="12" t="s">
        <v>35</v>
      </c>
      <c r="R2" s="19" t="s">
        <v>21</v>
      </c>
      <c r="S2" s="20" t="s">
        <v>22</v>
      </c>
      <c r="T2" s="20" t="s">
        <v>23</v>
      </c>
      <c r="U2" s="20" t="s">
        <v>25</v>
      </c>
      <c r="V2" s="20" t="s">
        <v>34</v>
      </c>
      <c r="W2" s="20" t="s">
        <v>26</v>
      </c>
      <c r="X2" s="20" t="s">
        <v>27</v>
      </c>
      <c r="Y2" s="20" t="s">
        <v>36</v>
      </c>
      <c r="Z2" s="20" t="s">
        <v>37</v>
      </c>
      <c r="AA2" s="21" t="s">
        <v>28</v>
      </c>
      <c r="AB2" s="22" t="s">
        <v>31</v>
      </c>
      <c r="AC2" s="23" t="s">
        <v>38</v>
      </c>
      <c r="AD2" s="24" t="s">
        <v>40</v>
      </c>
      <c r="AE2" s="25" t="s">
        <v>42</v>
      </c>
      <c r="AF2" s="26" t="s">
        <v>44</v>
      </c>
      <c r="AG2" s="12" t="s">
        <v>39</v>
      </c>
      <c r="AH2" s="10" t="s">
        <v>21</v>
      </c>
      <c r="AI2" s="20" t="s">
        <v>22</v>
      </c>
      <c r="AJ2" s="20" t="s">
        <v>23</v>
      </c>
      <c r="AK2" s="20" t="s">
        <v>25</v>
      </c>
      <c r="AL2" s="20" t="s">
        <v>34</v>
      </c>
      <c r="AM2" s="20" t="s">
        <v>26</v>
      </c>
      <c r="AN2" s="20" t="s">
        <v>27</v>
      </c>
      <c r="AO2" s="20" t="s">
        <v>36</v>
      </c>
      <c r="AP2" s="20" t="s">
        <v>37</v>
      </c>
      <c r="AQ2" s="21" t="s">
        <v>28</v>
      </c>
      <c r="AR2" s="22" t="s">
        <v>31</v>
      </c>
      <c r="AS2" s="23" t="s">
        <v>38</v>
      </c>
      <c r="AT2" s="24" t="s">
        <v>40</v>
      </c>
      <c r="AU2" s="25" t="s">
        <v>42</v>
      </c>
      <c r="AV2" s="33" t="s">
        <v>44</v>
      </c>
      <c r="AW2" s="34" t="s">
        <v>58</v>
      </c>
      <c r="AX2" s="20" t="s">
        <v>60</v>
      </c>
      <c r="AY2" s="20" t="s">
        <v>61</v>
      </c>
      <c r="AZ2" s="20" t="s">
        <v>41</v>
      </c>
      <c r="BA2" s="20" t="s">
        <v>62</v>
      </c>
      <c r="BB2" s="22" t="s">
        <v>43</v>
      </c>
    </row>
    <row r="3">
      <c r="A3" s="27"/>
      <c r="B3" s="28" t="s">
        <v>45</v>
      </c>
      <c r="C3" s="29" t="s">
        <v>46</v>
      </c>
      <c r="D3" s="29" t="s">
        <v>47</v>
      </c>
      <c r="E3" s="29" t="s">
        <v>48</v>
      </c>
      <c r="F3" s="29" t="s">
        <v>67</v>
      </c>
      <c r="G3" s="29" t="s">
        <v>69</v>
      </c>
      <c r="H3" s="29" t="s">
        <v>70</v>
      </c>
      <c r="I3" s="29" t="s">
        <v>71</v>
      </c>
      <c r="J3" s="42" t="s">
        <v>72</v>
      </c>
      <c r="K3" s="29" t="s">
        <v>51</v>
      </c>
      <c r="L3" s="28" t="s">
        <v>54</v>
      </c>
      <c r="M3" s="28"/>
      <c r="N3" s="30" t="s">
        <v>40</v>
      </c>
      <c r="O3" s="28" t="s">
        <v>42</v>
      </c>
      <c r="P3" s="49"/>
      <c r="Q3" s="31"/>
      <c r="R3" s="28" t="s">
        <v>45</v>
      </c>
      <c r="S3" s="29" t="s">
        <v>46</v>
      </c>
      <c r="T3" s="29" t="s">
        <v>47</v>
      </c>
      <c r="U3" s="29" t="s">
        <v>48</v>
      </c>
      <c r="V3" s="29" t="s">
        <v>67</v>
      </c>
      <c r="W3" s="29" t="s">
        <v>69</v>
      </c>
      <c r="X3" s="29" t="s">
        <v>70</v>
      </c>
      <c r="Y3" s="29" t="s">
        <v>71</v>
      </c>
      <c r="Z3" s="42" t="s">
        <v>72</v>
      </c>
      <c r="AA3" s="29" t="s">
        <v>51</v>
      </c>
      <c r="AB3" s="28" t="s">
        <v>54</v>
      </c>
      <c r="AC3" s="28"/>
      <c r="AD3" s="30" t="s">
        <v>40</v>
      </c>
      <c r="AE3" s="28" t="s">
        <v>42</v>
      </c>
      <c r="AF3" s="49"/>
      <c r="AG3" s="31"/>
      <c r="AH3" s="28" t="s">
        <v>45</v>
      </c>
      <c r="AI3" s="29" t="s">
        <v>46</v>
      </c>
      <c r="AJ3" s="29" t="s">
        <v>47</v>
      </c>
      <c r="AK3" s="29" t="s">
        <v>48</v>
      </c>
      <c r="AL3" s="29" t="s">
        <v>67</v>
      </c>
      <c r="AM3" s="29" t="s">
        <v>69</v>
      </c>
      <c r="AN3" s="29" t="s">
        <v>70</v>
      </c>
      <c r="AO3" s="29" t="s">
        <v>71</v>
      </c>
      <c r="AP3" s="42" t="s">
        <v>72</v>
      </c>
      <c r="AQ3" s="29" t="s">
        <v>51</v>
      </c>
      <c r="AR3" s="28" t="s">
        <v>54</v>
      </c>
      <c r="AS3" s="28"/>
      <c r="AT3" s="30" t="s">
        <v>40</v>
      </c>
      <c r="AU3" s="28" t="s">
        <v>42</v>
      </c>
      <c r="AV3" s="49"/>
      <c r="AW3" s="66" t="s">
        <v>83</v>
      </c>
      <c r="AX3" s="42" t="s">
        <v>84</v>
      </c>
      <c r="AY3" s="29" t="s">
        <v>85</v>
      </c>
      <c r="AZ3" s="27"/>
      <c r="BA3" s="27"/>
      <c r="BB3" s="27"/>
    </row>
    <row r="4">
      <c r="A4" s="37" t="s">
        <v>87</v>
      </c>
      <c r="B4" s="38" t="s">
        <v>88</v>
      </c>
      <c r="C4" s="54">
        <v>3.0</v>
      </c>
      <c r="D4" s="72">
        <v>0.0</v>
      </c>
      <c r="E4" s="74"/>
      <c r="F4" s="74"/>
      <c r="G4" s="54">
        <v>3.0</v>
      </c>
      <c r="H4" s="54">
        <v>6.0</v>
      </c>
      <c r="I4" s="83">
        <f t="shared" ref="I4:I116" si="1">ROUND((G4+H4)/2,1)</f>
        <v>4.5</v>
      </c>
      <c r="J4" s="72">
        <v>0.0</v>
      </c>
      <c r="K4" s="84">
        <v>2.0</v>
      </c>
      <c r="L4" s="85">
        <v>56.0</v>
      </c>
      <c r="M4" s="54">
        <v>3.0</v>
      </c>
      <c r="N4" s="86">
        <v>1.0</v>
      </c>
      <c r="O4" s="86">
        <v>1.0</v>
      </c>
      <c r="P4" s="87"/>
      <c r="Q4" s="88" t="s">
        <v>118</v>
      </c>
      <c r="R4" s="38" t="s">
        <v>119</v>
      </c>
      <c r="S4" s="54">
        <v>31.0</v>
      </c>
      <c r="T4" s="72">
        <v>19.0</v>
      </c>
      <c r="U4" s="90">
        <v>25.0</v>
      </c>
      <c r="V4" s="90">
        <v>25.0</v>
      </c>
      <c r="W4" s="54">
        <v>15.0</v>
      </c>
      <c r="X4" s="54">
        <v>30.0</v>
      </c>
      <c r="Y4" s="83">
        <f t="shared" ref="Y4:Y116" si="2">ROUND((W4+X4)/2,1)</f>
        <v>22.5</v>
      </c>
      <c r="Z4" s="72">
        <v>0.0</v>
      </c>
      <c r="AA4" s="72">
        <v>3.0</v>
      </c>
      <c r="AB4" s="85">
        <v>56.0</v>
      </c>
      <c r="AC4" s="54">
        <v>3.0</v>
      </c>
      <c r="AD4" s="86">
        <v>6.0</v>
      </c>
      <c r="AE4" s="86">
        <v>109.0</v>
      </c>
      <c r="AF4" s="87"/>
      <c r="AG4" s="88" t="s">
        <v>141</v>
      </c>
      <c r="AH4" s="96" t="s">
        <v>144</v>
      </c>
      <c r="AI4" s="54">
        <v>54.0</v>
      </c>
      <c r="AJ4" s="72">
        <v>40.0</v>
      </c>
      <c r="AK4" s="90">
        <v>125.0</v>
      </c>
      <c r="AL4" s="90">
        <v>67.0</v>
      </c>
      <c r="AM4" s="54">
        <v>44.0</v>
      </c>
      <c r="AN4" s="54">
        <v>75.0</v>
      </c>
      <c r="AO4" s="83">
        <f t="shared" ref="AO4:AO116" si="3">ROUND((AM4+AN4)/2,1)</f>
        <v>59.5</v>
      </c>
      <c r="AP4" s="72">
        <v>0.0</v>
      </c>
      <c r="AQ4" s="72">
        <v>3.0</v>
      </c>
      <c r="AR4" s="104">
        <v>84.0</v>
      </c>
      <c r="AS4" s="54">
        <v>3.0</v>
      </c>
      <c r="AT4" s="86">
        <v>11.0</v>
      </c>
      <c r="AU4" s="86">
        <v>228.0</v>
      </c>
      <c r="AV4" s="87"/>
      <c r="AW4" s="105">
        <v>100.0</v>
      </c>
      <c r="AX4" s="74"/>
      <c r="AY4" s="72">
        <v>2.0</v>
      </c>
      <c r="AZ4" s="68" t="s">
        <v>175</v>
      </c>
      <c r="BA4" s="60" t="s">
        <v>177</v>
      </c>
      <c r="BB4" s="68"/>
    </row>
    <row r="5">
      <c r="A5" s="37" t="s">
        <v>181</v>
      </c>
      <c r="B5" s="38" t="s">
        <v>175</v>
      </c>
      <c r="C5" s="54">
        <v>7.0</v>
      </c>
      <c r="D5" s="72">
        <v>0.0</v>
      </c>
      <c r="E5" s="90">
        <v>32.0</v>
      </c>
      <c r="F5" s="74"/>
      <c r="G5" s="54">
        <v>4.0</v>
      </c>
      <c r="H5" s="54">
        <v>11.0</v>
      </c>
      <c r="I5" s="83">
        <f t="shared" si="1"/>
        <v>7.5</v>
      </c>
      <c r="J5" s="72">
        <v>10.0</v>
      </c>
      <c r="K5" s="72">
        <v>4.0</v>
      </c>
      <c r="L5" s="85">
        <v>48.0</v>
      </c>
      <c r="M5" s="54">
        <v>4.0</v>
      </c>
      <c r="N5" s="86">
        <v>2.0</v>
      </c>
      <c r="O5" s="86">
        <v>2.0</v>
      </c>
      <c r="P5" s="87"/>
      <c r="Q5" s="88" t="s">
        <v>190</v>
      </c>
      <c r="R5" s="38" t="s">
        <v>193</v>
      </c>
      <c r="S5" s="54">
        <v>34.0</v>
      </c>
      <c r="T5" s="72">
        <v>22.0</v>
      </c>
      <c r="U5" s="90">
        <v>68.0</v>
      </c>
      <c r="V5" s="74"/>
      <c r="W5" s="54">
        <v>14.0</v>
      </c>
      <c r="X5" s="54">
        <v>47.0</v>
      </c>
      <c r="Y5" s="83">
        <f t="shared" si="2"/>
        <v>30.5</v>
      </c>
      <c r="Z5" s="72">
        <v>10.0</v>
      </c>
      <c r="AA5" s="72">
        <v>4.0</v>
      </c>
      <c r="AB5" s="85">
        <v>48.0</v>
      </c>
      <c r="AC5" s="54">
        <v>4.0</v>
      </c>
      <c r="AD5" s="86">
        <v>7.0</v>
      </c>
      <c r="AE5" s="86">
        <v>110.0</v>
      </c>
      <c r="AF5" s="87"/>
      <c r="AG5" s="88" t="s">
        <v>200</v>
      </c>
      <c r="AH5" s="96" t="s">
        <v>202</v>
      </c>
      <c r="AI5" s="54">
        <v>61.0</v>
      </c>
      <c r="AJ5" s="72">
        <v>45.0</v>
      </c>
      <c r="AK5" s="90">
        <v>115.0</v>
      </c>
      <c r="AL5" s="90">
        <v>83.0</v>
      </c>
      <c r="AM5" s="54">
        <v>47.0</v>
      </c>
      <c r="AN5" s="54">
        <v>75.0</v>
      </c>
      <c r="AO5" s="83">
        <f t="shared" si="3"/>
        <v>61</v>
      </c>
      <c r="AP5" s="72">
        <v>10.0</v>
      </c>
      <c r="AQ5" s="72">
        <v>4.0</v>
      </c>
      <c r="AR5" s="104">
        <v>72.0</v>
      </c>
      <c r="AS5" s="54">
        <v>4.0</v>
      </c>
      <c r="AT5" s="86">
        <v>12.0</v>
      </c>
      <c r="AU5" s="86">
        <v>229.0</v>
      </c>
      <c r="AV5" s="87"/>
      <c r="AW5" s="105">
        <v>100.0</v>
      </c>
      <c r="AX5" s="74"/>
      <c r="AY5" s="72">
        <v>2.0</v>
      </c>
      <c r="AZ5" s="68" t="s">
        <v>175</v>
      </c>
      <c r="BA5" s="60" t="s">
        <v>177</v>
      </c>
      <c r="BB5" s="68"/>
    </row>
    <row r="6">
      <c r="A6" s="37" t="s">
        <v>215</v>
      </c>
      <c r="B6" s="38" t="s">
        <v>218</v>
      </c>
      <c r="C6" s="54">
        <v>13.0</v>
      </c>
      <c r="D6" s="72">
        <v>0.0</v>
      </c>
      <c r="E6" s="90">
        <v>43.0</v>
      </c>
      <c r="F6" s="74"/>
      <c r="G6" s="54">
        <v>5.0</v>
      </c>
      <c r="H6" s="54">
        <v>13.0</v>
      </c>
      <c r="I6" s="83">
        <f t="shared" si="1"/>
        <v>9</v>
      </c>
      <c r="J6" s="72">
        <v>10.0</v>
      </c>
      <c r="K6" s="72">
        <v>5.0</v>
      </c>
      <c r="L6" s="85">
        <v>48.0</v>
      </c>
      <c r="M6" s="54">
        <v>4.0</v>
      </c>
      <c r="N6" s="86">
        <v>3.0</v>
      </c>
      <c r="O6" s="86">
        <v>3.0</v>
      </c>
      <c r="P6" s="87"/>
      <c r="Q6" s="88" t="s">
        <v>226</v>
      </c>
      <c r="R6" s="38" t="s">
        <v>227</v>
      </c>
      <c r="S6" s="54">
        <v>39.0</v>
      </c>
      <c r="T6" s="72">
        <v>25.0</v>
      </c>
      <c r="U6" s="90">
        <v>85.0</v>
      </c>
      <c r="V6" s="74"/>
      <c r="W6" s="54">
        <v>18.0</v>
      </c>
      <c r="X6" s="54">
        <v>54.0</v>
      </c>
      <c r="Y6" s="83">
        <f t="shared" si="2"/>
        <v>36</v>
      </c>
      <c r="Z6" s="72">
        <v>10.0</v>
      </c>
      <c r="AA6" s="72">
        <v>5.0</v>
      </c>
      <c r="AB6" s="85">
        <v>48.0</v>
      </c>
      <c r="AC6" s="54">
        <v>4.0</v>
      </c>
      <c r="AD6" s="86">
        <v>8.0</v>
      </c>
      <c r="AE6" s="86">
        <v>111.0</v>
      </c>
      <c r="AF6" s="87"/>
      <c r="AG6" s="88" t="s">
        <v>230</v>
      </c>
      <c r="AH6" s="96" t="s">
        <v>231</v>
      </c>
      <c r="AI6" s="54">
        <v>70.0</v>
      </c>
      <c r="AJ6" s="72">
        <v>52.0</v>
      </c>
      <c r="AK6" s="90">
        <v>145.0</v>
      </c>
      <c r="AL6" s="90">
        <v>45.0</v>
      </c>
      <c r="AM6" s="54">
        <v>41.0</v>
      </c>
      <c r="AN6" s="54">
        <v>83.0</v>
      </c>
      <c r="AO6" s="83">
        <f t="shared" si="3"/>
        <v>62</v>
      </c>
      <c r="AP6" s="72">
        <v>10.0</v>
      </c>
      <c r="AQ6" s="72">
        <v>5.0</v>
      </c>
      <c r="AR6" s="104">
        <v>72.0</v>
      </c>
      <c r="AS6" s="54">
        <v>4.0</v>
      </c>
      <c r="AT6" s="86">
        <v>13.0</v>
      </c>
      <c r="AU6" s="86">
        <v>230.0</v>
      </c>
      <c r="AV6" s="87"/>
      <c r="AW6" s="105">
        <v>100.0</v>
      </c>
      <c r="AX6" s="74"/>
      <c r="AY6" s="72">
        <v>2.0</v>
      </c>
      <c r="AZ6" s="68" t="s">
        <v>175</v>
      </c>
      <c r="BA6" s="60" t="s">
        <v>177</v>
      </c>
      <c r="BB6" s="68"/>
    </row>
    <row r="7">
      <c r="A7" s="37" t="s">
        <v>232</v>
      </c>
      <c r="B7" s="38" t="s">
        <v>233</v>
      </c>
      <c r="C7" s="54">
        <v>19.0</v>
      </c>
      <c r="D7" s="72">
        <v>0.0</v>
      </c>
      <c r="E7" s="90">
        <v>49.0</v>
      </c>
      <c r="F7" s="90">
        <v>33.0</v>
      </c>
      <c r="G7" s="54">
        <v>7.0</v>
      </c>
      <c r="H7" s="54">
        <v>11.0</v>
      </c>
      <c r="I7" s="83">
        <f t="shared" si="1"/>
        <v>9</v>
      </c>
      <c r="J7" s="72">
        <v>-10.0</v>
      </c>
      <c r="K7" s="72">
        <v>6.0</v>
      </c>
      <c r="L7" s="85">
        <v>52.0</v>
      </c>
      <c r="M7" s="54">
        <v>4.0</v>
      </c>
      <c r="N7" s="86">
        <v>4.0</v>
      </c>
      <c r="O7" s="86">
        <v>4.0</v>
      </c>
      <c r="P7" s="87"/>
      <c r="Q7" s="88" t="s">
        <v>234</v>
      </c>
      <c r="R7" s="38" t="s">
        <v>235</v>
      </c>
      <c r="S7" s="54">
        <v>43.0</v>
      </c>
      <c r="T7" s="72">
        <v>25.0</v>
      </c>
      <c r="U7" s="90">
        <v>94.0</v>
      </c>
      <c r="V7" s="90">
        <v>70.0</v>
      </c>
      <c r="W7" s="54">
        <v>21.0</v>
      </c>
      <c r="X7" s="54">
        <v>48.0</v>
      </c>
      <c r="Y7" s="83">
        <f t="shared" si="2"/>
        <v>34.5</v>
      </c>
      <c r="Z7" s="72">
        <v>-10.0</v>
      </c>
      <c r="AA7" s="72">
        <v>6.0</v>
      </c>
      <c r="AB7" s="85">
        <v>52.0</v>
      </c>
      <c r="AC7" s="54">
        <v>4.0</v>
      </c>
      <c r="AD7" s="86">
        <v>9.0</v>
      </c>
      <c r="AE7" s="86">
        <v>112.0</v>
      </c>
      <c r="AF7" s="87"/>
      <c r="AG7" s="88" t="s">
        <v>236</v>
      </c>
      <c r="AH7" s="96" t="s">
        <v>237</v>
      </c>
      <c r="AI7" s="54">
        <v>79.0</v>
      </c>
      <c r="AJ7" s="72">
        <v>59.0</v>
      </c>
      <c r="AK7" s="90">
        <v>133.0</v>
      </c>
      <c r="AL7" s="90">
        <v>54.0</v>
      </c>
      <c r="AM7" s="54">
        <v>38.0</v>
      </c>
      <c r="AN7" s="54">
        <v>60.0</v>
      </c>
      <c r="AO7" s="83">
        <f t="shared" si="3"/>
        <v>49</v>
      </c>
      <c r="AP7" s="72">
        <v>-10.0</v>
      </c>
      <c r="AQ7" s="72">
        <v>6.0</v>
      </c>
      <c r="AR7" s="104">
        <v>78.0</v>
      </c>
      <c r="AS7" s="54">
        <v>4.0</v>
      </c>
      <c r="AT7" s="86">
        <v>14.0</v>
      </c>
      <c r="AU7" s="86">
        <v>231.0</v>
      </c>
      <c r="AV7" s="87"/>
      <c r="AW7" s="105">
        <v>100.0</v>
      </c>
      <c r="AX7" s="74"/>
      <c r="AY7" s="72">
        <v>2.0</v>
      </c>
      <c r="AZ7" s="68" t="s">
        <v>175</v>
      </c>
      <c r="BA7" s="60" t="s">
        <v>177</v>
      </c>
      <c r="BB7" s="68"/>
    </row>
    <row r="8">
      <c r="A8" s="127" t="s">
        <v>239</v>
      </c>
      <c r="B8" s="128" t="s">
        <v>240</v>
      </c>
      <c r="C8" s="129">
        <v>25.0</v>
      </c>
      <c r="D8" s="130">
        <v>0.0</v>
      </c>
      <c r="E8" s="132">
        <v>67.0</v>
      </c>
      <c r="F8" s="134"/>
      <c r="G8" s="129">
        <v>12.0</v>
      </c>
      <c r="H8" s="129">
        <v>20.0</v>
      </c>
      <c r="I8" s="135">
        <f t="shared" si="1"/>
        <v>16</v>
      </c>
      <c r="J8" s="130">
        <v>0.0</v>
      </c>
      <c r="K8" s="130">
        <v>6.0</v>
      </c>
      <c r="L8" s="140">
        <v>52.0</v>
      </c>
      <c r="M8" s="129">
        <v>4.0</v>
      </c>
      <c r="N8" s="141">
        <v>5.0</v>
      </c>
      <c r="O8" s="141">
        <v>5.0</v>
      </c>
      <c r="P8" s="142"/>
      <c r="Q8" s="143" t="s">
        <v>250</v>
      </c>
      <c r="R8" s="128" t="s">
        <v>251</v>
      </c>
      <c r="S8" s="129">
        <v>48.0</v>
      </c>
      <c r="T8" s="130">
        <v>25.0</v>
      </c>
      <c r="U8" s="132">
        <v>121.0</v>
      </c>
      <c r="V8" s="134"/>
      <c r="W8" s="129">
        <v>23.0</v>
      </c>
      <c r="X8" s="129">
        <v>64.0</v>
      </c>
      <c r="Y8" s="135">
        <f t="shared" si="2"/>
        <v>43.5</v>
      </c>
      <c r="Z8" s="130">
        <v>0.0</v>
      </c>
      <c r="AA8" s="130">
        <v>6.0</v>
      </c>
      <c r="AB8" s="140">
        <v>52.0</v>
      </c>
      <c r="AC8" s="129">
        <v>4.0</v>
      </c>
      <c r="AD8" s="141">
        <v>10.0</v>
      </c>
      <c r="AE8" s="141">
        <v>113.0</v>
      </c>
      <c r="AF8" s="142"/>
      <c r="AG8" s="143" t="s">
        <v>254</v>
      </c>
      <c r="AH8" s="146" t="s">
        <v>255</v>
      </c>
      <c r="AI8" s="129">
        <v>85.0</v>
      </c>
      <c r="AJ8" s="130">
        <v>64.0</v>
      </c>
      <c r="AK8" s="132">
        <v>138.0</v>
      </c>
      <c r="AL8" s="132">
        <v>59.0</v>
      </c>
      <c r="AM8" s="129">
        <v>30.0</v>
      </c>
      <c r="AN8" s="129">
        <v>89.0</v>
      </c>
      <c r="AO8" s="135">
        <f t="shared" si="3"/>
        <v>59.5</v>
      </c>
      <c r="AP8" s="130">
        <v>0.0</v>
      </c>
      <c r="AQ8" s="130">
        <v>6.0</v>
      </c>
      <c r="AR8" s="151">
        <v>78.0</v>
      </c>
      <c r="AS8" s="129">
        <v>4.0</v>
      </c>
      <c r="AT8" s="141">
        <v>15.0</v>
      </c>
      <c r="AU8" s="141">
        <v>232.0</v>
      </c>
      <c r="AV8" s="142"/>
      <c r="AW8" s="153">
        <v>100.0</v>
      </c>
      <c r="AX8" s="134"/>
      <c r="AY8" s="130">
        <v>2.0</v>
      </c>
      <c r="AZ8" s="154" t="s">
        <v>175</v>
      </c>
      <c r="BA8" s="157" t="s">
        <v>177</v>
      </c>
      <c r="BB8" s="154"/>
    </row>
    <row r="9">
      <c r="A9" s="37" t="s">
        <v>268</v>
      </c>
      <c r="B9" s="38" t="s">
        <v>270</v>
      </c>
      <c r="C9" s="54">
        <v>6.0</v>
      </c>
      <c r="D9" s="72">
        <v>0.0</v>
      </c>
      <c r="E9" s="90">
        <v>35.0</v>
      </c>
      <c r="F9" s="74"/>
      <c r="G9" s="54">
        <v>6.0</v>
      </c>
      <c r="H9" s="54">
        <v>13.0</v>
      </c>
      <c r="I9" s="83">
        <f t="shared" si="1"/>
        <v>9.5</v>
      </c>
      <c r="J9" s="72">
        <v>-10.0</v>
      </c>
      <c r="K9" s="84">
        <v>4.0</v>
      </c>
      <c r="L9" s="85">
        <v>60.0</v>
      </c>
      <c r="M9" s="54">
        <v>4.0</v>
      </c>
      <c r="N9" s="86">
        <v>16.0</v>
      </c>
      <c r="O9" s="86">
        <v>6.0</v>
      </c>
      <c r="P9" s="87"/>
      <c r="Q9" s="88" t="s">
        <v>275</v>
      </c>
      <c r="R9" s="38" t="s">
        <v>277</v>
      </c>
      <c r="S9" s="54">
        <v>34.0</v>
      </c>
      <c r="T9" s="72">
        <v>22.0</v>
      </c>
      <c r="U9" s="90">
        <v>73.0</v>
      </c>
      <c r="V9" s="74"/>
      <c r="W9" s="54">
        <v>21.0</v>
      </c>
      <c r="X9" s="54">
        <v>61.0</v>
      </c>
      <c r="Y9" s="83">
        <f t="shared" si="2"/>
        <v>41</v>
      </c>
      <c r="Z9" s="72">
        <v>-10.0</v>
      </c>
      <c r="AA9" s="72">
        <v>5.0</v>
      </c>
      <c r="AB9" s="85">
        <v>60.0</v>
      </c>
      <c r="AC9" s="54">
        <v>4.0</v>
      </c>
      <c r="AD9" s="86">
        <v>21.0</v>
      </c>
      <c r="AE9" s="86">
        <v>114.0</v>
      </c>
      <c r="AF9" s="87"/>
      <c r="AG9" s="88" t="s">
        <v>281</v>
      </c>
      <c r="AH9" s="96" t="s">
        <v>283</v>
      </c>
      <c r="AI9" s="54">
        <v>57.0</v>
      </c>
      <c r="AJ9" s="72">
        <v>42.0</v>
      </c>
      <c r="AK9" s="90">
        <v>196.0</v>
      </c>
      <c r="AL9" s="74"/>
      <c r="AM9" s="54">
        <v>31.0</v>
      </c>
      <c r="AN9" s="54">
        <v>154.0</v>
      </c>
      <c r="AO9" s="83">
        <f t="shared" si="3"/>
        <v>92.5</v>
      </c>
      <c r="AP9" s="166">
        <v>-15.0</v>
      </c>
      <c r="AQ9" s="72">
        <v>5.0</v>
      </c>
      <c r="AR9" s="104">
        <v>90.0</v>
      </c>
      <c r="AS9" s="54">
        <v>4.0</v>
      </c>
      <c r="AT9" s="86">
        <v>26.0</v>
      </c>
      <c r="AU9" s="86">
        <v>233.0</v>
      </c>
      <c r="AV9" s="87"/>
      <c r="AW9" s="105">
        <v>110.0</v>
      </c>
      <c r="AX9" s="74"/>
      <c r="AY9" s="72">
        <v>3.0</v>
      </c>
      <c r="AZ9" s="68" t="s">
        <v>175</v>
      </c>
      <c r="BA9" s="60" t="s">
        <v>294</v>
      </c>
      <c r="BB9" s="68"/>
    </row>
    <row r="10">
      <c r="A10" s="37" t="s">
        <v>296</v>
      </c>
      <c r="B10" s="38" t="s">
        <v>297</v>
      </c>
      <c r="C10" s="54">
        <v>12.0</v>
      </c>
      <c r="D10" s="72">
        <v>0.0</v>
      </c>
      <c r="E10" s="90">
        <v>48.0</v>
      </c>
      <c r="F10" s="74"/>
      <c r="G10" s="54">
        <v>10.0</v>
      </c>
      <c r="H10" s="54">
        <v>18.0</v>
      </c>
      <c r="I10" s="83">
        <f t="shared" si="1"/>
        <v>14</v>
      </c>
      <c r="J10" s="72">
        <v>0.0</v>
      </c>
      <c r="K10" s="72">
        <v>5.0</v>
      </c>
      <c r="L10" s="85">
        <v>70.0</v>
      </c>
      <c r="M10" s="54">
        <v>4.0</v>
      </c>
      <c r="N10" s="86">
        <v>17.0</v>
      </c>
      <c r="O10" s="86">
        <v>7.0</v>
      </c>
      <c r="P10" s="87"/>
      <c r="Q10" s="88" t="s">
        <v>300</v>
      </c>
      <c r="R10" s="38" t="s">
        <v>301</v>
      </c>
      <c r="S10" s="54">
        <v>38.0</v>
      </c>
      <c r="T10" s="72">
        <v>25.0</v>
      </c>
      <c r="U10" s="90">
        <v>92.0</v>
      </c>
      <c r="V10" s="74"/>
      <c r="W10" s="54">
        <v>30.0</v>
      </c>
      <c r="X10" s="54">
        <v>70.0</v>
      </c>
      <c r="Y10" s="83">
        <f t="shared" si="2"/>
        <v>50</v>
      </c>
      <c r="Z10" s="72">
        <v>0.0</v>
      </c>
      <c r="AA10" s="72">
        <v>5.0</v>
      </c>
      <c r="AB10" s="85">
        <v>70.0</v>
      </c>
      <c r="AC10" s="54">
        <v>4.0</v>
      </c>
      <c r="AD10" s="86">
        <v>22.0</v>
      </c>
      <c r="AE10" s="86">
        <v>115.0</v>
      </c>
      <c r="AF10" s="87"/>
      <c r="AG10" s="88" t="s">
        <v>306</v>
      </c>
      <c r="AH10" s="96" t="s">
        <v>308</v>
      </c>
      <c r="AI10" s="54">
        <v>65.0</v>
      </c>
      <c r="AJ10" s="72">
        <v>48.0</v>
      </c>
      <c r="AK10" s="90">
        <v>166.0</v>
      </c>
      <c r="AL10" s="90">
        <v>65.0</v>
      </c>
      <c r="AM10" s="54">
        <v>78.0</v>
      </c>
      <c r="AN10" s="54">
        <v>138.0</v>
      </c>
      <c r="AO10" s="83">
        <f t="shared" si="3"/>
        <v>108</v>
      </c>
      <c r="AP10" s="72">
        <v>0.0</v>
      </c>
      <c r="AQ10" s="72">
        <v>5.0</v>
      </c>
      <c r="AR10" s="104">
        <v>105.0</v>
      </c>
      <c r="AS10" s="54">
        <v>4.0</v>
      </c>
      <c r="AT10" s="86">
        <v>27.0</v>
      </c>
      <c r="AU10" s="86">
        <v>234.0</v>
      </c>
      <c r="AV10" s="87"/>
      <c r="AW10" s="105">
        <v>110.0</v>
      </c>
      <c r="AX10" s="74"/>
      <c r="AY10" s="72">
        <v>3.0</v>
      </c>
      <c r="AZ10" s="68" t="s">
        <v>175</v>
      </c>
      <c r="BA10" s="60" t="s">
        <v>294</v>
      </c>
      <c r="BB10" s="68"/>
    </row>
    <row r="11">
      <c r="A11" s="37" t="s">
        <v>323</v>
      </c>
      <c r="B11" s="38" t="s">
        <v>325</v>
      </c>
      <c r="C11" s="54">
        <v>17.0</v>
      </c>
      <c r="D11" s="72">
        <v>0.0</v>
      </c>
      <c r="E11" s="90">
        <v>54.0</v>
      </c>
      <c r="F11" s="74"/>
      <c r="G11" s="54">
        <v>12.0</v>
      </c>
      <c r="H11" s="54">
        <v>32.0</v>
      </c>
      <c r="I11" s="83">
        <f t="shared" si="1"/>
        <v>22</v>
      </c>
      <c r="J11" s="72">
        <v>10.0</v>
      </c>
      <c r="K11" s="72">
        <v>5.0</v>
      </c>
      <c r="L11" s="85">
        <v>80.0</v>
      </c>
      <c r="M11" s="54">
        <v>4.0</v>
      </c>
      <c r="N11" s="86">
        <v>18.0</v>
      </c>
      <c r="O11" s="86">
        <v>8.0</v>
      </c>
      <c r="P11" s="87"/>
      <c r="Q11" s="88" t="s">
        <v>338</v>
      </c>
      <c r="R11" s="38" t="s">
        <v>340</v>
      </c>
      <c r="S11" s="54">
        <v>42.0</v>
      </c>
      <c r="T11" s="72">
        <v>25.0</v>
      </c>
      <c r="U11" s="90">
        <v>101.0</v>
      </c>
      <c r="V11" s="74"/>
      <c r="W11" s="54">
        <v>35.0</v>
      </c>
      <c r="X11" s="54">
        <v>99.0</v>
      </c>
      <c r="Y11" s="83">
        <f t="shared" si="2"/>
        <v>67</v>
      </c>
      <c r="Z11" s="72">
        <v>10.0</v>
      </c>
      <c r="AA11" s="72">
        <v>5.0</v>
      </c>
      <c r="AB11" s="85">
        <v>80.0</v>
      </c>
      <c r="AC11" s="54">
        <v>4.0</v>
      </c>
      <c r="AD11" s="86">
        <v>23.0</v>
      </c>
      <c r="AE11" s="86">
        <v>116.0</v>
      </c>
      <c r="AF11" s="87"/>
      <c r="AG11" s="88" t="s">
        <v>351</v>
      </c>
      <c r="AH11" s="96" t="s">
        <v>352</v>
      </c>
      <c r="AI11" s="54">
        <v>73.0</v>
      </c>
      <c r="AJ11" s="72">
        <v>54.0</v>
      </c>
      <c r="AK11" s="90">
        <v>189.0</v>
      </c>
      <c r="AL11" s="90">
        <v>33.0</v>
      </c>
      <c r="AM11" s="54">
        <v>61.0</v>
      </c>
      <c r="AN11" s="54">
        <v>171.0</v>
      </c>
      <c r="AO11" s="83">
        <f t="shared" si="3"/>
        <v>116</v>
      </c>
      <c r="AP11" s="72">
        <v>10.0</v>
      </c>
      <c r="AQ11" s="72">
        <v>5.0</v>
      </c>
      <c r="AR11" s="104">
        <v>100.0</v>
      </c>
      <c r="AS11" s="54">
        <v>4.0</v>
      </c>
      <c r="AT11" s="86">
        <v>28.0</v>
      </c>
      <c r="AU11" s="86">
        <v>235.0</v>
      </c>
      <c r="AV11" s="87"/>
      <c r="AW11" s="105">
        <v>110.0</v>
      </c>
      <c r="AX11" s="74"/>
      <c r="AY11" s="72">
        <v>3.0</v>
      </c>
      <c r="AZ11" s="68" t="s">
        <v>175</v>
      </c>
      <c r="BA11" s="60" t="s">
        <v>294</v>
      </c>
      <c r="BB11" s="68"/>
    </row>
    <row r="12">
      <c r="A12" s="37" t="s">
        <v>360</v>
      </c>
      <c r="B12" s="38" t="s">
        <v>362</v>
      </c>
      <c r="C12" s="54">
        <v>23.0</v>
      </c>
      <c r="D12" s="72">
        <v>0.0</v>
      </c>
      <c r="E12" s="90">
        <v>63.0</v>
      </c>
      <c r="F12" s="90">
        <v>39.0</v>
      </c>
      <c r="G12" s="54">
        <v>9.0</v>
      </c>
      <c r="H12" s="54">
        <v>30.0</v>
      </c>
      <c r="I12" s="83">
        <f t="shared" si="1"/>
        <v>19.5</v>
      </c>
      <c r="J12" s="72">
        <v>-10.0</v>
      </c>
      <c r="K12" s="72">
        <v>6.0</v>
      </c>
      <c r="L12" s="85">
        <v>100.0</v>
      </c>
      <c r="M12" s="54">
        <v>4.0</v>
      </c>
      <c r="N12" s="86">
        <v>19.0</v>
      </c>
      <c r="O12" s="86">
        <v>9.0</v>
      </c>
      <c r="P12" s="87"/>
      <c r="Q12" s="88" t="s">
        <v>368</v>
      </c>
      <c r="R12" s="38" t="s">
        <v>369</v>
      </c>
      <c r="S12" s="54">
        <v>46.0</v>
      </c>
      <c r="T12" s="72">
        <v>25.0</v>
      </c>
      <c r="U12" s="90">
        <v>115.0</v>
      </c>
      <c r="V12" s="90">
        <v>79.0</v>
      </c>
      <c r="W12" s="54">
        <v>23.0</v>
      </c>
      <c r="X12" s="54">
        <v>100.0</v>
      </c>
      <c r="Y12" s="83">
        <f t="shared" si="2"/>
        <v>61.5</v>
      </c>
      <c r="Z12" s="72">
        <v>-10.0</v>
      </c>
      <c r="AA12" s="72">
        <v>6.0</v>
      </c>
      <c r="AB12" s="85">
        <v>100.0</v>
      </c>
      <c r="AC12" s="54">
        <v>4.0</v>
      </c>
      <c r="AD12" s="86">
        <v>24.0</v>
      </c>
      <c r="AE12" s="86">
        <v>117.0</v>
      </c>
      <c r="AF12" s="87"/>
      <c r="AG12" s="88" t="s">
        <v>372</v>
      </c>
      <c r="AH12" s="96" t="s">
        <v>373</v>
      </c>
      <c r="AI12" s="54">
        <v>82.0</v>
      </c>
      <c r="AJ12" s="72">
        <v>61.0</v>
      </c>
      <c r="AK12" s="90">
        <v>167.0</v>
      </c>
      <c r="AL12" s="90">
        <v>59.0</v>
      </c>
      <c r="AM12" s="54">
        <v>74.0</v>
      </c>
      <c r="AN12" s="54">
        <v>118.0</v>
      </c>
      <c r="AO12" s="83">
        <f t="shared" si="3"/>
        <v>96</v>
      </c>
      <c r="AP12" s="72">
        <v>-10.0</v>
      </c>
      <c r="AQ12" s="72">
        <v>6.0</v>
      </c>
      <c r="AR12" s="104">
        <v>120.0</v>
      </c>
      <c r="AS12" s="54">
        <v>4.0</v>
      </c>
      <c r="AT12" s="86">
        <v>29.0</v>
      </c>
      <c r="AU12" s="86">
        <v>236.0</v>
      </c>
      <c r="AV12" s="87"/>
      <c r="AW12" s="105">
        <v>110.0</v>
      </c>
      <c r="AX12" s="74"/>
      <c r="AY12" s="72">
        <v>4.0</v>
      </c>
      <c r="AZ12" s="68" t="s">
        <v>175</v>
      </c>
      <c r="BA12" s="60" t="s">
        <v>294</v>
      </c>
      <c r="BB12" s="68"/>
    </row>
    <row r="13">
      <c r="A13" s="183" t="s">
        <v>380</v>
      </c>
      <c r="B13" s="185" t="s">
        <v>383</v>
      </c>
      <c r="C13" s="186">
        <v>27.0</v>
      </c>
      <c r="D13" s="188">
        <v>0.0</v>
      </c>
      <c r="E13" s="189">
        <v>70.0</v>
      </c>
      <c r="F13" s="190"/>
      <c r="G13" s="186">
        <v>22.0</v>
      </c>
      <c r="H13" s="186">
        <v>45.0</v>
      </c>
      <c r="I13" s="191">
        <f t="shared" si="1"/>
        <v>33.5</v>
      </c>
      <c r="J13" s="188">
        <v>10.0</v>
      </c>
      <c r="K13" s="188">
        <v>6.0</v>
      </c>
      <c r="L13" s="195">
        <v>100.0</v>
      </c>
      <c r="M13" s="186">
        <v>4.0</v>
      </c>
      <c r="N13" s="196">
        <v>20.0</v>
      </c>
      <c r="O13" s="196">
        <v>10.0</v>
      </c>
      <c r="P13" s="198"/>
      <c r="Q13" s="200" t="s">
        <v>396</v>
      </c>
      <c r="R13" s="185" t="s">
        <v>397</v>
      </c>
      <c r="S13" s="186">
        <v>51.0</v>
      </c>
      <c r="T13" s="188">
        <v>25.0</v>
      </c>
      <c r="U13" s="189">
        <v>125.0</v>
      </c>
      <c r="V13" s="190"/>
      <c r="W13" s="186">
        <v>62.0</v>
      </c>
      <c r="X13" s="186">
        <v>122.0</v>
      </c>
      <c r="Y13" s="191">
        <f t="shared" si="2"/>
        <v>92</v>
      </c>
      <c r="Z13" s="188">
        <v>10.0</v>
      </c>
      <c r="AA13" s="188">
        <v>6.0</v>
      </c>
      <c r="AB13" s="195">
        <v>100.0</v>
      </c>
      <c r="AC13" s="186">
        <v>4.0</v>
      </c>
      <c r="AD13" s="196">
        <v>25.0</v>
      </c>
      <c r="AE13" s="196">
        <v>118.0</v>
      </c>
      <c r="AF13" s="198"/>
      <c r="AG13" s="200" t="s">
        <v>414</v>
      </c>
      <c r="AH13" s="214" t="s">
        <v>415</v>
      </c>
      <c r="AI13" s="186">
        <v>85.0</v>
      </c>
      <c r="AJ13" s="188">
        <v>66.0</v>
      </c>
      <c r="AK13" s="189">
        <v>164.0</v>
      </c>
      <c r="AL13" s="189">
        <v>55.0</v>
      </c>
      <c r="AM13" s="186">
        <v>75.0</v>
      </c>
      <c r="AN13" s="186">
        <v>155.0</v>
      </c>
      <c r="AO13" s="191">
        <f t="shared" si="3"/>
        <v>115</v>
      </c>
      <c r="AP13" s="188">
        <v>10.0</v>
      </c>
      <c r="AQ13" s="188">
        <v>6.0</v>
      </c>
      <c r="AR13" s="219">
        <v>120.0</v>
      </c>
      <c r="AS13" s="186">
        <v>4.0</v>
      </c>
      <c r="AT13" s="196">
        <v>30.0</v>
      </c>
      <c r="AU13" s="196">
        <v>237.0</v>
      </c>
      <c r="AV13" s="198"/>
      <c r="AW13" s="220">
        <v>110.0</v>
      </c>
      <c r="AX13" s="190"/>
      <c r="AY13" s="188">
        <v>3.0</v>
      </c>
      <c r="AZ13" s="221" t="s">
        <v>175</v>
      </c>
      <c r="BA13" s="224" t="s">
        <v>294</v>
      </c>
      <c r="BB13" s="221"/>
    </row>
    <row r="14">
      <c r="A14" s="116" t="s">
        <v>422</v>
      </c>
      <c r="B14" s="117" t="s">
        <v>423</v>
      </c>
      <c r="C14" s="137">
        <v>1.0</v>
      </c>
      <c r="D14" s="228">
        <v>0.0</v>
      </c>
      <c r="E14" s="229"/>
      <c r="F14" s="229"/>
      <c r="G14" s="137">
        <v>1.0</v>
      </c>
      <c r="H14" s="137">
        <v>6.0</v>
      </c>
      <c r="I14" s="231">
        <f t="shared" si="1"/>
        <v>3.5</v>
      </c>
      <c r="J14" s="228">
        <v>-10.0</v>
      </c>
      <c r="K14" s="233">
        <v>2.0</v>
      </c>
      <c r="L14" s="234">
        <v>48.0</v>
      </c>
      <c r="M14" s="137">
        <v>1.0</v>
      </c>
      <c r="N14" s="236">
        <v>31.0</v>
      </c>
      <c r="O14" s="236">
        <v>15.0</v>
      </c>
      <c r="P14" s="237"/>
      <c r="Q14" s="238" t="s">
        <v>430</v>
      </c>
      <c r="R14" s="117" t="s">
        <v>431</v>
      </c>
      <c r="S14" s="137">
        <v>30.0</v>
      </c>
      <c r="T14" s="228">
        <v>18.0</v>
      </c>
      <c r="U14" s="240">
        <v>25.0</v>
      </c>
      <c r="V14" s="229"/>
      <c r="W14" s="137">
        <v>10.0</v>
      </c>
      <c r="X14" s="137">
        <v>30.0</v>
      </c>
      <c r="Y14" s="231">
        <f t="shared" si="2"/>
        <v>20</v>
      </c>
      <c r="Z14" s="228">
        <v>-10.0</v>
      </c>
      <c r="AA14" s="228">
        <v>3.0</v>
      </c>
      <c r="AB14" s="234">
        <v>48.0</v>
      </c>
      <c r="AC14" s="137">
        <v>1.0</v>
      </c>
      <c r="AD14" s="236">
        <v>37.0</v>
      </c>
      <c r="AE14" s="236">
        <v>123.0</v>
      </c>
      <c r="AF14" s="237"/>
      <c r="AG14" s="238" t="s">
        <v>433</v>
      </c>
      <c r="AH14" s="244" t="s">
        <v>434</v>
      </c>
      <c r="AI14" s="137">
        <v>52.0</v>
      </c>
      <c r="AJ14" s="228">
        <v>39.0</v>
      </c>
      <c r="AK14" s="240">
        <v>88.0</v>
      </c>
      <c r="AL14" s="240">
        <v>43.0</v>
      </c>
      <c r="AM14" s="137">
        <v>44.0</v>
      </c>
      <c r="AN14" s="137">
        <v>54.0</v>
      </c>
      <c r="AO14" s="231">
        <f t="shared" si="3"/>
        <v>49</v>
      </c>
      <c r="AP14" s="228">
        <v>-10.0</v>
      </c>
      <c r="AQ14" s="228">
        <v>3.0</v>
      </c>
      <c r="AR14" s="248">
        <v>110.0</v>
      </c>
      <c r="AS14" s="137">
        <v>1.0</v>
      </c>
      <c r="AT14" s="236">
        <v>43.0</v>
      </c>
      <c r="AU14" s="236">
        <v>242.0</v>
      </c>
      <c r="AV14" s="237"/>
      <c r="AW14" s="250">
        <v>100.0</v>
      </c>
      <c r="AX14" s="229"/>
      <c r="AY14" s="228">
        <v>2.0</v>
      </c>
      <c r="AZ14" s="244" t="s">
        <v>439</v>
      </c>
      <c r="BA14" s="144" t="s">
        <v>177</v>
      </c>
      <c r="BB14" s="144" t="s">
        <v>441</v>
      </c>
    </row>
    <row r="15">
      <c r="A15" s="127" t="s">
        <v>442</v>
      </c>
      <c r="B15" s="128" t="s">
        <v>443</v>
      </c>
      <c r="C15" s="129">
        <v>4.0</v>
      </c>
      <c r="D15" s="130">
        <v>0.0</v>
      </c>
      <c r="E15" s="134"/>
      <c r="F15" s="134"/>
      <c r="G15" s="129">
        <v>5.0</v>
      </c>
      <c r="H15" s="129">
        <v>8.0</v>
      </c>
      <c r="I15" s="135">
        <f t="shared" si="1"/>
        <v>6.5</v>
      </c>
      <c r="J15" s="130">
        <v>0.0</v>
      </c>
      <c r="K15" s="256">
        <v>2.0</v>
      </c>
      <c r="L15" s="140">
        <v>72.0</v>
      </c>
      <c r="M15" s="129">
        <v>3.0</v>
      </c>
      <c r="N15" s="141">
        <v>32.0</v>
      </c>
      <c r="O15" s="141">
        <v>19.0</v>
      </c>
      <c r="P15" s="142"/>
      <c r="Q15" s="143" t="s">
        <v>448</v>
      </c>
      <c r="R15" s="128" t="s">
        <v>449</v>
      </c>
      <c r="S15" s="129">
        <v>32.0</v>
      </c>
      <c r="T15" s="130">
        <v>20.0</v>
      </c>
      <c r="U15" s="132">
        <v>30.0</v>
      </c>
      <c r="V15" s="134"/>
      <c r="W15" s="129">
        <v>18.0</v>
      </c>
      <c r="X15" s="129">
        <v>36.0</v>
      </c>
      <c r="Y15" s="135">
        <f t="shared" si="2"/>
        <v>27</v>
      </c>
      <c r="Z15" s="130">
        <v>0.0</v>
      </c>
      <c r="AA15" s="130">
        <v>3.0</v>
      </c>
      <c r="AB15" s="140">
        <v>72.0</v>
      </c>
      <c r="AC15" s="129">
        <v>3.0</v>
      </c>
      <c r="AD15" s="141">
        <v>38.0</v>
      </c>
      <c r="AE15" s="141">
        <v>127.0</v>
      </c>
      <c r="AF15" s="142"/>
      <c r="AG15" s="143" t="s">
        <v>454</v>
      </c>
      <c r="AH15" s="146" t="s">
        <v>455</v>
      </c>
      <c r="AI15" s="129">
        <v>57.0</v>
      </c>
      <c r="AJ15" s="130">
        <v>42.0</v>
      </c>
      <c r="AK15" s="132">
        <v>133.0</v>
      </c>
      <c r="AL15" s="134"/>
      <c r="AM15" s="129">
        <v>43.0</v>
      </c>
      <c r="AN15" s="129">
        <v>75.0</v>
      </c>
      <c r="AO15" s="135">
        <f t="shared" si="3"/>
        <v>59</v>
      </c>
      <c r="AP15" s="130">
        <v>0.0</v>
      </c>
      <c r="AQ15" s="130">
        <v>3.0</v>
      </c>
      <c r="AR15" s="151">
        <v>130.0</v>
      </c>
      <c r="AS15" s="129">
        <v>3.0</v>
      </c>
      <c r="AT15" s="141">
        <v>44.0</v>
      </c>
      <c r="AU15" s="141">
        <v>246.0</v>
      </c>
      <c r="AV15" s="142"/>
      <c r="AW15" s="153">
        <v>100.0</v>
      </c>
      <c r="AX15" s="134"/>
      <c r="AY15" s="130">
        <v>2.0</v>
      </c>
      <c r="AZ15" s="146" t="s">
        <v>439</v>
      </c>
      <c r="BA15" s="157" t="s">
        <v>177</v>
      </c>
      <c r="BB15" s="157" t="s">
        <v>441</v>
      </c>
    </row>
    <row r="16">
      <c r="A16" s="37" t="s">
        <v>461</v>
      </c>
      <c r="B16" s="38" t="s">
        <v>462</v>
      </c>
      <c r="C16" s="54">
        <v>8.0</v>
      </c>
      <c r="D16" s="72">
        <v>0.0</v>
      </c>
      <c r="E16" s="90">
        <v>27.0</v>
      </c>
      <c r="F16" s="74"/>
      <c r="G16" s="54">
        <v>3.0</v>
      </c>
      <c r="H16" s="54">
        <v>10.0</v>
      </c>
      <c r="I16" s="83">
        <f t="shared" si="1"/>
        <v>6.5</v>
      </c>
      <c r="J16" s="72">
        <v>0.0</v>
      </c>
      <c r="K16" s="84">
        <v>2.0</v>
      </c>
      <c r="L16" s="85">
        <v>120.0</v>
      </c>
      <c r="M16" s="54">
        <v>4.0</v>
      </c>
      <c r="N16" s="86">
        <v>33.0</v>
      </c>
      <c r="O16" s="86">
        <v>20.0</v>
      </c>
      <c r="P16" s="87"/>
      <c r="Q16" s="88" t="s">
        <v>465</v>
      </c>
      <c r="R16" s="38" t="s">
        <v>466</v>
      </c>
      <c r="S16" s="54">
        <v>35.0</v>
      </c>
      <c r="T16" s="72">
        <v>23.0</v>
      </c>
      <c r="U16" s="90">
        <v>61.0</v>
      </c>
      <c r="V16" s="74"/>
      <c r="W16" s="54">
        <v>22.0</v>
      </c>
      <c r="X16" s="54">
        <v>33.0</v>
      </c>
      <c r="Y16" s="83">
        <f t="shared" si="2"/>
        <v>27.5</v>
      </c>
      <c r="Z16" s="72">
        <v>0.0</v>
      </c>
      <c r="AA16" s="72">
        <v>3.0</v>
      </c>
      <c r="AB16" s="85">
        <v>120.0</v>
      </c>
      <c r="AC16" s="54">
        <v>4.0</v>
      </c>
      <c r="AD16" s="86">
        <v>39.0</v>
      </c>
      <c r="AE16" s="86">
        <v>128.0</v>
      </c>
      <c r="AF16" s="87"/>
      <c r="AG16" s="88" t="s">
        <v>469</v>
      </c>
      <c r="AH16" s="96" t="s">
        <v>470</v>
      </c>
      <c r="AI16" s="54">
        <v>63.0</v>
      </c>
      <c r="AJ16" s="72">
        <v>47.0</v>
      </c>
      <c r="AK16" s="90">
        <v>145.0</v>
      </c>
      <c r="AL16" s="90">
        <v>46.0</v>
      </c>
      <c r="AM16" s="54">
        <v>56.0</v>
      </c>
      <c r="AN16" s="54">
        <v>66.0</v>
      </c>
      <c r="AO16" s="83">
        <f t="shared" si="3"/>
        <v>61</v>
      </c>
      <c r="AP16" s="72">
        <v>0.0</v>
      </c>
      <c r="AQ16" s="72">
        <v>3.0</v>
      </c>
      <c r="AR16" s="85">
        <v>120.0</v>
      </c>
      <c r="AS16" s="54">
        <v>4.0</v>
      </c>
      <c r="AT16" s="86">
        <v>45.0</v>
      </c>
      <c r="AU16" s="86">
        <v>247.0</v>
      </c>
      <c r="AV16" s="87"/>
      <c r="AW16" s="105">
        <v>100.0</v>
      </c>
      <c r="AX16" s="74"/>
      <c r="AY16" s="72">
        <v>2.0</v>
      </c>
      <c r="AZ16" s="96" t="s">
        <v>473</v>
      </c>
      <c r="BA16" s="60" t="s">
        <v>177</v>
      </c>
      <c r="BB16" s="68"/>
    </row>
    <row r="17">
      <c r="A17" s="37" t="s">
        <v>474</v>
      </c>
      <c r="B17" s="38" t="s">
        <v>475</v>
      </c>
      <c r="C17" s="54">
        <v>13.0</v>
      </c>
      <c r="D17" s="72">
        <v>0.0</v>
      </c>
      <c r="E17" s="90">
        <v>36.0</v>
      </c>
      <c r="F17" s="74"/>
      <c r="G17" s="54">
        <v>7.0</v>
      </c>
      <c r="H17" s="54">
        <v>16.0</v>
      </c>
      <c r="I17" s="83">
        <f t="shared" si="1"/>
        <v>11.5</v>
      </c>
      <c r="J17" s="72">
        <v>10.0</v>
      </c>
      <c r="K17" s="72">
        <v>3.0</v>
      </c>
      <c r="L17" s="85">
        <v>144.0</v>
      </c>
      <c r="M17" s="54">
        <v>4.0</v>
      </c>
      <c r="N17" s="86">
        <v>34.0</v>
      </c>
      <c r="O17" s="86">
        <v>21.0</v>
      </c>
      <c r="P17" s="87"/>
      <c r="Q17" s="88" t="s">
        <v>478</v>
      </c>
      <c r="R17" s="38" t="s">
        <v>479</v>
      </c>
      <c r="S17" s="54">
        <v>39.0</v>
      </c>
      <c r="T17" s="72">
        <v>25.0</v>
      </c>
      <c r="U17" s="90">
        <v>74.0</v>
      </c>
      <c r="V17" s="74"/>
      <c r="W17" s="54">
        <v>29.0</v>
      </c>
      <c r="X17" s="54">
        <v>45.0</v>
      </c>
      <c r="Y17" s="83">
        <f t="shared" si="2"/>
        <v>37</v>
      </c>
      <c r="Z17" s="72">
        <v>10.0</v>
      </c>
      <c r="AA17" s="72">
        <v>3.0</v>
      </c>
      <c r="AB17" s="85">
        <v>144.0</v>
      </c>
      <c r="AC17" s="54">
        <v>4.0</v>
      </c>
      <c r="AD17" s="86">
        <v>40.0</v>
      </c>
      <c r="AE17" s="86">
        <v>129.0</v>
      </c>
      <c r="AF17" s="87"/>
      <c r="AG17" s="88" t="s">
        <v>483</v>
      </c>
      <c r="AH17" s="96" t="s">
        <v>484</v>
      </c>
      <c r="AI17" s="54">
        <v>70.0</v>
      </c>
      <c r="AJ17" s="72">
        <v>52.0</v>
      </c>
      <c r="AK17" s="90">
        <v>153.0</v>
      </c>
      <c r="AL17" s="90">
        <v>44.0</v>
      </c>
      <c r="AM17" s="54">
        <v>56.0</v>
      </c>
      <c r="AN17" s="54">
        <v>69.0</v>
      </c>
      <c r="AO17" s="83">
        <f t="shared" si="3"/>
        <v>62.5</v>
      </c>
      <c r="AP17" s="72">
        <v>10.0</v>
      </c>
      <c r="AQ17" s="72">
        <v>3.0</v>
      </c>
      <c r="AR17" s="85">
        <v>144.0</v>
      </c>
      <c r="AS17" s="54">
        <v>4.0</v>
      </c>
      <c r="AT17" s="86">
        <v>46.0</v>
      </c>
      <c r="AU17" s="86">
        <v>248.0</v>
      </c>
      <c r="AV17" s="87"/>
      <c r="AW17" s="105">
        <v>100.0</v>
      </c>
      <c r="AX17" s="74"/>
      <c r="AY17" s="72">
        <v>2.0</v>
      </c>
      <c r="AZ17" s="96" t="s">
        <v>473</v>
      </c>
      <c r="BA17" s="60" t="s">
        <v>177</v>
      </c>
      <c r="BB17" s="68"/>
    </row>
    <row r="18">
      <c r="A18" s="127" t="s">
        <v>485</v>
      </c>
      <c r="B18" s="128" t="s">
        <v>486</v>
      </c>
      <c r="C18" s="129">
        <v>19.0</v>
      </c>
      <c r="D18" s="130">
        <v>0.0</v>
      </c>
      <c r="E18" s="132">
        <v>41.0</v>
      </c>
      <c r="F18" s="132">
        <v>35.0</v>
      </c>
      <c r="G18" s="129">
        <v>1.0</v>
      </c>
      <c r="H18" s="129">
        <v>24.0</v>
      </c>
      <c r="I18" s="135">
        <f t="shared" si="1"/>
        <v>12.5</v>
      </c>
      <c r="J18" s="130">
        <v>-10.0</v>
      </c>
      <c r="K18" s="130">
        <v>5.0</v>
      </c>
      <c r="L18" s="140">
        <v>60.0</v>
      </c>
      <c r="M18" s="129">
        <v>4.0</v>
      </c>
      <c r="N18" s="141">
        <v>35.0</v>
      </c>
      <c r="O18" s="141">
        <v>22.0</v>
      </c>
      <c r="P18" s="142"/>
      <c r="Q18" s="143" t="s">
        <v>488</v>
      </c>
      <c r="R18" s="128" t="s">
        <v>489</v>
      </c>
      <c r="S18" s="129">
        <v>43.0</v>
      </c>
      <c r="T18" s="130">
        <v>25.0</v>
      </c>
      <c r="U18" s="132">
        <v>82.0</v>
      </c>
      <c r="V18" s="132">
        <v>73.0</v>
      </c>
      <c r="W18" s="129">
        <v>18.0</v>
      </c>
      <c r="X18" s="129">
        <v>50.0</v>
      </c>
      <c r="Y18" s="135">
        <f t="shared" si="2"/>
        <v>34</v>
      </c>
      <c r="Z18" s="130">
        <v>-10.0</v>
      </c>
      <c r="AA18" s="130">
        <v>5.0</v>
      </c>
      <c r="AB18" s="140">
        <v>60.0</v>
      </c>
      <c r="AC18" s="129">
        <v>4.0</v>
      </c>
      <c r="AD18" s="141">
        <v>41.0</v>
      </c>
      <c r="AE18" s="141">
        <v>130.0</v>
      </c>
      <c r="AF18" s="142"/>
      <c r="AG18" s="143" t="s">
        <v>494</v>
      </c>
      <c r="AH18" s="146" t="s">
        <v>495</v>
      </c>
      <c r="AI18" s="129">
        <v>76.0</v>
      </c>
      <c r="AJ18" s="130">
        <v>57.0</v>
      </c>
      <c r="AK18" s="132">
        <v>125.0</v>
      </c>
      <c r="AL18" s="132">
        <v>77.0</v>
      </c>
      <c r="AM18" s="129">
        <v>14.0</v>
      </c>
      <c r="AN18" s="129">
        <v>100.0</v>
      </c>
      <c r="AO18" s="135">
        <f t="shared" si="3"/>
        <v>57</v>
      </c>
      <c r="AP18" s="130">
        <v>-10.0</v>
      </c>
      <c r="AQ18" s="130">
        <v>5.0</v>
      </c>
      <c r="AR18" s="151">
        <v>130.0</v>
      </c>
      <c r="AS18" s="129">
        <v>4.0</v>
      </c>
      <c r="AT18" s="141">
        <v>47.0</v>
      </c>
      <c r="AU18" s="141">
        <v>249.0</v>
      </c>
      <c r="AV18" s="142"/>
      <c r="AW18" s="153">
        <v>100.0</v>
      </c>
      <c r="AX18" s="134"/>
      <c r="AY18" s="130">
        <v>2.0</v>
      </c>
      <c r="AZ18" s="146" t="s">
        <v>473</v>
      </c>
      <c r="BA18" s="157" t="s">
        <v>177</v>
      </c>
      <c r="BB18" s="154"/>
    </row>
    <row r="19">
      <c r="A19" s="37" t="s">
        <v>499</v>
      </c>
      <c r="B19" s="38" t="s">
        <v>501</v>
      </c>
      <c r="C19" s="54">
        <v>25.0</v>
      </c>
      <c r="D19" s="72">
        <v>0.0</v>
      </c>
      <c r="E19" s="90">
        <v>53.0</v>
      </c>
      <c r="F19" s="74"/>
      <c r="G19" s="54">
        <v>22.0</v>
      </c>
      <c r="H19" s="54">
        <v>32.0</v>
      </c>
      <c r="I19" s="83">
        <f t="shared" si="1"/>
        <v>27</v>
      </c>
      <c r="J19" s="72">
        <v>20.0</v>
      </c>
      <c r="K19" s="72">
        <v>4.0</v>
      </c>
      <c r="L19" s="85">
        <v>110.0</v>
      </c>
      <c r="M19" s="54">
        <v>4.0</v>
      </c>
      <c r="N19" s="86">
        <v>36.0</v>
      </c>
      <c r="O19" s="86">
        <v>23.0</v>
      </c>
      <c r="P19" s="87"/>
      <c r="Q19" s="88" t="s">
        <v>507</v>
      </c>
      <c r="R19" s="38" t="s">
        <v>508</v>
      </c>
      <c r="S19" s="54">
        <v>48.0</v>
      </c>
      <c r="T19" s="72">
        <v>25.0</v>
      </c>
      <c r="U19" s="90">
        <v>100.0</v>
      </c>
      <c r="V19" s="74"/>
      <c r="W19" s="54">
        <v>39.0</v>
      </c>
      <c r="X19" s="54">
        <v>60.0</v>
      </c>
      <c r="Y19" s="83">
        <f t="shared" si="2"/>
        <v>49.5</v>
      </c>
      <c r="Z19" s="72">
        <v>20.0</v>
      </c>
      <c r="AA19" s="72">
        <v>4.0</v>
      </c>
      <c r="AB19" s="85">
        <v>110.0</v>
      </c>
      <c r="AC19" s="54">
        <v>4.0</v>
      </c>
      <c r="AD19" s="86">
        <v>42.0</v>
      </c>
      <c r="AE19" s="86">
        <v>131.0</v>
      </c>
      <c r="AF19" s="87"/>
      <c r="AG19" s="88" t="s">
        <v>511</v>
      </c>
      <c r="AH19" s="96" t="s">
        <v>512</v>
      </c>
      <c r="AI19" s="54">
        <v>82.0</v>
      </c>
      <c r="AJ19" s="72">
        <v>61.0</v>
      </c>
      <c r="AK19" s="90">
        <v>189.0</v>
      </c>
      <c r="AL19" s="74"/>
      <c r="AM19" s="54">
        <v>63.0</v>
      </c>
      <c r="AN19" s="54">
        <v>76.0</v>
      </c>
      <c r="AO19" s="83">
        <f t="shared" si="3"/>
        <v>69.5</v>
      </c>
      <c r="AP19" s="72">
        <v>20.0</v>
      </c>
      <c r="AQ19" s="72">
        <v>4.0</v>
      </c>
      <c r="AR19" s="104">
        <v>130.0</v>
      </c>
      <c r="AS19" s="54">
        <v>4.0</v>
      </c>
      <c r="AT19" s="86">
        <v>48.0</v>
      </c>
      <c r="AU19" s="86">
        <v>250.0</v>
      </c>
      <c r="AV19" s="87"/>
      <c r="AW19" s="105">
        <v>110.0</v>
      </c>
      <c r="AX19" s="74"/>
      <c r="AY19" s="72">
        <v>2.0</v>
      </c>
      <c r="AZ19" s="96" t="s">
        <v>517</v>
      </c>
      <c r="BA19" s="60" t="s">
        <v>177</v>
      </c>
      <c r="BB19" s="68"/>
    </row>
    <row r="20">
      <c r="A20" s="37" t="s">
        <v>519</v>
      </c>
      <c r="B20" s="38" t="s">
        <v>520</v>
      </c>
      <c r="C20" s="54">
        <v>21.0</v>
      </c>
      <c r="D20" s="72">
        <v>0.0</v>
      </c>
      <c r="E20" s="90">
        <v>69.0</v>
      </c>
      <c r="F20" s="74"/>
      <c r="G20" s="54">
        <v>30.0</v>
      </c>
      <c r="H20" s="54">
        <v>43.0</v>
      </c>
      <c r="I20" s="83">
        <f t="shared" si="1"/>
        <v>36.5</v>
      </c>
      <c r="J20" s="72">
        <v>10.0</v>
      </c>
      <c r="K20" s="72">
        <v>6.0</v>
      </c>
      <c r="L20" s="85">
        <v>120.0</v>
      </c>
      <c r="M20" s="54">
        <v>4.0</v>
      </c>
      <c r="N20" s="86">
        <v>49.0</v>
      </c>
      <c r="O20" s="86">
        <v>24.0</v>
      </c>
      <c r="P20" s="87"/>
      <c r="Q20" s="88" t="s">
        <v>526</v>
      </c>
      <c r="R20" s="38" t="s">
        <v>527</v>
      </c>
      <c r="S20" s="54">
        <v>45.0</v>
      </c>
      <c r="T20" s="72">
        <v>25.0</v>
      </c>
      <c r="U20" s="90">
        <v>124.0</v>
      </c>
      <c r="V20" s="74"/>
      <c r="W20" s="54">
        <v>69.0</v>
      </c>
      <c r="X20" s="54">
        <v>113.0</v>
      </c>
      <c r="Y20" s="83">
        <f t="shared" si="2"/>
        <v>91</v>
      </c>
      <c r="Z20" s="72">
        <v>10.0</v>
      </c>
      <c r="AA20" s="72">
        <v>6.0</v>
      </c>
      <c r="AB20" s="85">
        <v>120.0</v>
      </c>
      <c r="AC20" s="54">
        <v>4.0</v>
      </c>
      <c r="AD20" s="86">
        <v>51.0</v>
      </c>
      <c r="AE20" s="86">
        <v>132.0</v>
      </c>
      <c r="AF20" s="87"/>
      <c r="AG20" s="88" t="s">
        <v>530</v>
      </c>
      <c r="AH20" s="96" t="s">
        <v>531</v>
      </c>
      <c r="AI20" s="54">
        <v>69.0</v>
      </c>
      <c r="AJ20" s="72">
        <v>51.0</v>
      </c>
      <c r="AK20" s="90">
        <v>225.0</v>
      </c>
      <c r="AL20" s="74"/>
      <c r="AM20" s="54">
        <v>96.0</v>
      </c>
      <c r="AN20" s="54">
        <v>132.0</v>
      </c>
      <c r="AO20" s="83">
        <f t="shared" si="3"/>
        <v>114</v>
      </c>
      <c r="AP20" s="72">
        <v>10.0</v>
      </c>
      <c r="AQ20" s="72">
        <v>6.0</v>
      </c>
      <c r="AR20" s="85">
        <v>120.0</v>
      </c>
      <c r="AS20" s="54">
        <v>4.0</v>
      </c>
      <c r="AT20" s="86">
        <v>53.0</v>
      </c>
      <c r="AU20" s="86">
        <v>251.0</v>
      </c>
      <c r="AV20" s="87"/>
      <c r="AW20" s="105">
        <v>110.0</v>
      </c>
      <c r="AX20" s="74"/>
      <c r="AY20" s="72">
        <v>4.0</v>
      </c>
      <c r="AZ20" s="96" t="s">
        <v>517</v>
      </c>
      <c r="BA20" s="60" t="s">
        <v>294</v>
      </c>
      <c r="BB20" s="68"/>
    </row>
    <row r="21">
      <c r="A21" s="183" t="s">
        <v>539</v>
      </c>
      <c r="B21" s="185" t="s">
        <v>540</v>
      </c>
      <c r="C21" s="186">
        <v>32.0</v>
      </c>
      <c r="D21" s="188">
        <v>0.0</v>
      </c>
      <c r="E21" s="189">
        <v>99.0</v>
      </c>
      <c r="F21" s="190"/>
      <c r="G21" s="186">
        <v>38.0</v>
      </c>
      <c r="H21" s="186">
        <v>58.0</v>
      </c>
      <c r="I21" s="191">
        <f t="shared" si="1"/>
        <v>48</v>
      </c>
      <c r="J21" s="188">
        <v>20.0</v>
      </c>
      <c r="K21" s="188">
        <v>6.0</v>
      </c>
      <c r="L21" s="195">
        <v>120.0</v>
      </c>
      <c r="M21" s="186">
        <v>3.0</v>
      </c>
      <c r="N21" s="196">
        <v>50.0</v>
      </c>
      <c r="O21" s="196">
        <v>25.0</v>
      </c>
      <c r="P21" s="198"/>
      <c r="Q21" s="200" t="s">
        <v>546</v>
      </c>
      <c r="R21" s="185" t="s">
        <v>547</v>
      </c>
      <c r="S21" s="186">
        <v>53.0</v>
      </c>
      <c r="T21" s="188">
        <v>25.0</v>
      </c>
      <c r="U21" s="189">
        <v>169.0</v>
      </c>
      <c r="V21" s="190"/>
      <c r="W21" s="186">
        <v>76.0</v>
      </c>
      <c r="X21" s="186">
        <v>131.0</v>
      </c>
      <c r="Y21" s="191">
        <f t="shared" si="2"/>
        <v>103.5</v>
      </c>
      <c r="Z21" s="188">
        <v>20.0</v>
      </c>
      <c r="AA21" s="188">
        <v>6.0</v>
      </c>
      <c r="AB21" s="195">
        <v>120.0</v>
      </c>
      <c r="AC21" s="186">
        <v>3.0</v>
      </c>
      <c r="AD21" s="196">
        <v>52.0</v>
      </c>
      <c r="AE21" s="196">
        <v>133.0</v>
      </c>
      <c r="AF21" s="198"/>
      <c r="AG21" s="200" t="s">
        <v>552</v>
      </c>
      <c r="AH21" s="214" t="s">
        <v>553</v>
      </c>
      <c r="AI21" s="186">
        <v>85.0</v>
      </c>
      <c r="AJ21" s="188">
        <v>65.0</v>
      </c>
      <c r="AK21" s="189">
        <v>253.0</v>
      </c>
      <c r="AL21" s="190"/>
      <c r="AM21" s="186">
        <v>41.0</v>
      </c>
      <c r="AN21" s="186">
        <v>225.0</v>
      </c>
      <c r="AO21" s="191">
        <f t="shared" si="3"/>
        <v>133</v>
      </c>
      <c r="AP21" s="188">
        <v>20.0</v>
      </c>
      <c r="AQ21" s="188">
        <v>6.0</v>
      </c>
      <c r="AR21" s="195">
        <v>120.0</v>
      </c>
      <c r="AS21" s="186">
        <v>3.0</v>
      </c>
      <c r="AT21" s="196">
        <v>54.0</v>
      </c>
      <c r="AU21" s="196">
        <v>252.0</v>
      </c>
      <c r="AV21" s="198"/>
      <c r="AW21" s="220">
        <v>110.0</v>
      </c>
      <c r="AX21" s="190"/>
      <c r="AY21" s="188">
        <v>3.0</v>
      </c>
      <c r="AZ21" s="214" t="s">
        <v>517</v>
      </c>
      <c r="BA21" s="224" t="s">
        <v>294</v>
      </c>
      <c r="BB21" s="221"/>
    </row>
    <row r="22">
      <c r="A22" s="116" t="s">
        <v>562</v>
      </c>
      <c r="B22" s="117" t="s">
        <v>563</v>
      </c>
      <c r="C22" s="137">
        <v>1.0</v>
      </c>
      <c r="D22" s="228">
        <v>0.0</v>
      </c>
      <c r="E22" s="229"/>
      <c r="F22" s="229"/>
      <c r="G22" s="137">
        <v>2.0</v>
      </c>
      <c r="H22" s="137">
        <v>7.0</v>
      </c>
      <c r="I22" s="231">
        <f t="shared" si="1"/>
        <v>4.5</v>
      </c>
      <c r="J22" s="228">
        <v>0.0</v>
      </c>
      <c r="K22" s="233">
        <v>2.0</v>
      </c>
      <c r="L22" s="234">
        <v>48.0</v>
      </c>
      <c r="M22" s="137">
        <v>3.0</v>
      </c>
      <c r="N22" s="236">
        <v>55.0</v>
      </c>
      <c r="O22" s="236">
        <v>26.0</v>
      </c>
      <c r="P22" s="237"/>
      <c r="Q22" s="238" t="s">
        <v>570</v>
      </c>
      <c r="R22" s="117" t="s">
        <v>571</v>
      </c>
      <c r="S22" s="137">
        <v>30.0</v>
      </c>
      <c r="T22" s="228">
        <v>18.0</v>
      </c>
      <c r="U22" s="240">
        <v>25.0</v>
      </c>
      <c r="V22" s="229"/>
      <c r="W22" s="137">
        <v>12.0</v>
      </c>
      <c r="X22" s="137">
        <v>32.0</v>
      </c>
      <c r="Y22" s="231">
        <f t="shared" si="2"/>
        <v>22</v>
      </c>
      <c r="Z22" s="228">
        <v>0.0</v>
      </c>
      <c r="AA22" s="228">
        <v>3.0</v>
      </c>
      <c r="AB22" s="234">
        <v>48.0</v>
      </c>
      <c r="AC22" s="137">
        <v>3.0</v>
      </c>
      <c r="AD22" s="236">
        <v>63.0</v>
      </c>
      <c r="AE22" s="236">
        <v>134.0</v>
      </c>
      <c r="AF22" s="237"/>
      <c r="AG22" s="238" t="s">
        <v>576</v>
      </c>
      <c r="AH22" s="244" t="s">
        <v>577</v>
      </c>
      <c r="AI22" s="137">
        <v>56.0</v>
      </c>
      <c r="AJ22" s="228">
        <v>42.0</v>
      </c>
      <c r="AK22" s="240">
        <v>150.0</v>
      </c>
      <c r="AL22" s="240">
        <v>88.0</v>
      </c>
      <c r="AM22" s="137">
        <v>39.0</v>
      </c>
      <c r="AN22" s="137">
        <v>74.0</v>
      </c>
      <c r="AO22" s="231">
        <f t="shared" si="3"/>
        <v>56.5</v>
      </c>
      <c r="AP22" s="228">
        <v>0.0</v>
      </c>
      <c r="AQ22" s="228">
        <v>3.0</v>
      </c>
      <c r="AR22" s="248">
        <v>68.0</v>
      </c>
      <c r="AS22" s="137">
        <v>3.0</v>
      </c>
      <c r="AT22" s="236">
        <v>71.0</v>
      </c>
      <c r="AU22" s="236">
        <v>253.0</v>
      </c>
      <c r="AV22" s="237"/>
      <c r="AW22" s="250">
        <v>75.0</v>
      </c>
      <c r="AX22" s="228">
        <v>75.0</v>
      </c>
      <c r="AY22" s="228">
        <v>2.0</v>
      </c>
      <c r="AZ22" s="155" t="s">
        <v>584</v>
      </c>
      <c r="BA22" s="144" t="s">
        <v>177</v>
      </c>
      <c r="BB22" s="155"/>
    </row>
    <row r="23">
      <c r="A23" s="37" t="s">
        <v>589</v>
      </c>
      <c r="B23" s="38" t="s">
        <v>590</v>
      </c>
      <c r="C23" s="54">
        <v>5.0</v>
      </c>
      <c r="D23" s="72">
        <v>0.0</v>
      </c>
      <c r="E23" s="74"/>
      <c r="F23" s="90">
        <v>21.0</v>
      </c>
      <c r="G23" s="54">
        <v>2.0</v>
      </c>
      <c r="H23" s="54">
        <v>6.0</v>
      </c>
      <c r="I23" s="83">
        <f t="shared" si="1"/>
        <v>4</v>
      </c>
      <c r="J23" s="72">
        <v>-20.0</v>
      </c>
      <c r="K23" s="84">
        <v>2.0</v>
      </c>
      <c r="L23" s="85">
        <v>44.0</v>
      </c>
      <c r="M23" s="54">
        <v>3.0</v>
      </c>
      <c r="N23" s="86">
        <v>56.0</v>
      </c>
      <c r="O23" s="86">
        <v>27.0</v>
      </c>
      <c r="P23" s="87"/>
      <c r="Q23" s="88" t="s">
        <v>597</v>
      </c>
      <c r="R23" s="38" t="s">
        <v>598</v>
      </c>
      <c r="S23" s="54">
        <v>43.0</v>
      </c>
      <c r="T23" s="72">
        <v>25.0</v>
      </c>
      <c r="U23" s="90">
        <v>25.0</v>
      </c>
      <c r="V23" s="90">
        <v>52.0</v>
      </c>
      <c r="W23" s="54">
        <v>12.0</v>
      </c>
      <c r="X23" s="54">
        <v>30.0</v>
      </c>
      <c r="Y23" s="83">
        <f t="shared" si="2"/>
        <v>21</v>
      </c>
      <c r="Z23" s="166">
        <v>-30.0</v>
      </c>
      <c r="AA23" s="72">
        <v>3.0</v>
      </c>
      <c r="AB23" s="85">
        <v>44.0</v>
      </c>
      <c r="AC23" s="54">
        <v>3.0</v>
      </c>
      <c r="AD23" s="86">
        <v>64.0</v>
      </c>
      <c r="AE23" s="86">
        <v>135.0</v>
      </c>
      <c r="AF23" s="87"/>
      <c r="AG23" s="88" t="s">
        <v>611</v>
      </c>
      <c r="AH23" s="96" t="s">
        <v>612</v>
      </c>
      <c r="AI23" s="54">
        <v>61.0</v>
      </c>
      <c r="AJ23" s="72">
        <v>45.0</v>
      </c>
      <c r="AK23" s="90">
        <v>138.0</v>
      </c>
      <c r="AL23" s="90">
        <v>95.0</v>
      </c>
      <c r="AM23" s="54">
        <v>33.0</v>
      </c>
      <c r="AN23" s="54">
        <v>58.0</v>
      </c>
      <c r="AO23" s="83">
        <f t="shared" si="3"/>
        <v>45.5</v>
      </c>
      <c r="AP23" s="72">
        <v>-20.0</v>
      </c>
      <c r="AQ23" s="72">
        <v>3.0</v>
      </c>
      <c r="AR23" s="104">
        <v>64.0</v>
      </c>
      <c r="AS23" s="54">
        <v>3.0</v>
      </c>
      <c r="AT23" s="86">
        <v>72.0</v>
      </c>
      <c r="AU23" s="86">
        <v>254.0</v>
      </c>
      <c r="AV23" s="87"/>
      <c r="AW23" s="105">
        <v>75.0</v>
      </c>
      <c r="AX23" s="72">
        <v>75.0</v>
      </c>
      <c r="AY23" s="72">
        <v>2.0</v>
      </c>
      <c r="AZ23" s="68" t="s">
        <v>584</v>
      </c>
      <c r="BA23" s="60" t="s">
        <v>177</v>
      </c>
      <c r="BB23" s="68"/>
    </row>
    <row r="24">
      <c r="A24" s="37" t="s">
        <v>622</v>
      </c>
      <c r="B24" s="38" t="s">
        <v>623</v>
      </c>
      <c r="C24" s="54">
        <v>8.0</v>
      </c>
      <c r="D24" s="72">
        <v>0.0</v>
      </c>
      <c r="E24" s="90">
        <v>25.0</v>
      </c>
      <c r="F24" s="90">
        <v>25.0</v>
      </c>
      <c r="G24" s="54">
        <v>3.0</v>
      </c>
      <c r="H24" s="54">
        <v>8.0</v>
      </c>
      <c r="I24" s="83">
        <f t="shared" si="1"/>
        <v>5.5</v>
      </c>
      <c r="J24" s="72">
        <v>-10.0</v>
      </c>
      <c r="K24" s="84">
        <v>2.0</v>
      </c>
      <c r="L24" s="85">
        <v>64.0</v>
      </c>
      <c r="M24" s="54">
        <v>3.0</v>
      </c>
      <c r="N24" s="86">
        <v>57.0</v>
      </c>
      <c r="O24" s="86">
        <v>28.0</v>
      </c>
      <c r="P24" s="87"/>
      <c r="Q24" s="88" t="s">
        <v>630</v>
      </c>
      <c r="R24" s="38" t="s">
        <v>631</v>
      </c>
      <c r="S24" s="54">
        <v>35.0</v>
      </c>
      <c r="T24" s="72">
        <v>23.0</v>
      </c>
      <c r="U24" s="90">
        <v>58.0</v>
      </c>
      <c r="V24" s="90">
        <v>58.0</v>
      </c>
      <c r="W24" s="54">
        <v>14.0</v>
      </c>
      <c r="X24" s="54">
        <v>35.0</v>
      </c>
      <c r="Y24" s="83">
        <f t="shared" si="2"/>
        <v>24.5</v>
      </c>
      <c r="Z24" s="72">
        <v>-10.0</v>
      </c>
      <c r="AA24" s="72">
        <v>3.0</v>
      </c>
      <c r="AB24" s="85">
        <v>64.0</v>
      </c>
      <c r="AC24" s="54">
        <v>3.0</v>
      </c>
      <c r="AD24" s="86">
        <v>65.0</v>
      </c>
      <c r="AE24" s="86">
        <v>136.0</v>
      </c>
      <c r="AF24" s="87"/>
      <c r="AG24" s="88" t="s">
        <v>637</v>
      </c>
      <c r="AH24" s="96" t="s">
        <v>639</v>
      </c>
      <c r="AI24" s="54">
        <v>63.0</v>
      </c>
      <c r="AJ24" s="72">
        <v>47.0</v>
      </c>
      <c r="AK24" s="90">
        <v>109.0</v>
      </c>
      <c r="AL24" s="90">
        <v>122.0</v>
      </c>
      <c r="AM24" s="54">
        <v>41.0</v>
      </c>
      <c r="AN24" s="54">
        <v>56.0</v>
      </c>
      <c r="AO24" s="83">
        <f t="shared" si="3"/>
        <v>48.5</v>
      </c>
      <c r="AP24" s="72">
        <v>-10.0</v>
      </c>
      <c r="AQ24" s="72">
        <v>3.0</v>
      </c>
      <c r="AR24" s="104">
        <v>84.0</v>
      </c>
      <c r="AS24" s="54">
        <v>3.0</v>
      </c>
      <c r="AT24" s="86">
        <v>73.0</v>
      </c>
      <c r="AU24" s="86">
        <v>255.0</v>
      </c>
      <c r="AV24" s="87"/>
      <c r="AW24" s="105">
        <v>75.0</v>
      </c>
      <c r="AX24" s="72">
        <v>75.0</v>
      </c>
      <c r="AY24" s="72">
        <v>2.0</v>
      </c>
      <c r="AZ24" s="68" t="s">
        <v>584</v>
      </c>
      <c r="BA24" s="60" t="s">
        <v>177</v>
      </c>
      <c r="BB24" s="68"/>
    </row>
    <row r="25">
      <c r="A25" s="37" t="s">
        <v>646</v>
      </c>
      <c r="B25" s="38" t="s">
        <v>647</v>
      </c>
      <c r="C25" s="54">
        <v>11.0</v>
      </c>
      <c r="D25" s="72">
        <v>0.0</v>
      </c>
      <c r="E25" s="90">
        <v>33.0</v>
      </c>
      <c r="F25" s="74"/>
      <c r="G25" s="54">
        <v>9.0</v>
      </c>
      <c r="H25" s="54">
        <v>17.0</v>
      </c>
      <c r="I25" s="83">
        <f t="shared" si="1"/>
        <v>13</v>
      </c>
      <c r="J25" s="72">
        <v>20.0</v>
      </c>
      <c r="K25" s="84">
        <v>2.0</v>
      </c>
      <c r="L25" s="85">
        <v>64.0</v>
      </c>
      <c r="M25" s="54">
        <v>4.0</v>
      </c>
      <c r="N25" s="86">
        <v>58.0</v>
      </c>
      <c r="O25" s="86">
        <v>29.0</v>
      </c>
      <c r="P25" s="87"/>
      <c r="Q25" s="88" t="s">
        <v>650</v>
      </c>
      <c r="R25" s="38" t="s">
        <v>651</v>
      </c>
      <c r="S25" s="54">
        <v>37.0</v>
      </c>
      <c r="T25" s="72">
        <v>25.0</v>
      </c>
      <c r="U25" s="90">
        <v>70.0</v>
      </c>
      <c r="V25" s="90">
        <v>42.0</v>
      </c>
      <c r="W25" s="54">
        <v>23.0</v>
      </c>
      <c r="X25" s="54">
        <v>50.0</v>
      </c>
      <c r="Y25" s="83">
        <f t="shared" si="2"/>
        <v>36.5</v>
      </c>
      <c r="Z25" s="72">
        <v>20.0</v>
      </c>
      <c r="AA25" s="72">
        <v>3.0</v>
      </c>
      <c r="AB25" s="85">
        <v>64.0</v>
      </c>
      <c r="AC25" s="54">
        <v>4.0</v>
      </c>
      <c r="AD25" s="86">
        <v>66.0</v>
      </c>
      <c r="AE25" s="86">
        <v>137.0</v>
      </c>
      <c r="AF25" s="87"/>
      <c r="AG25" s="88" t="s">
        <v>657</v>
      </c>
      <c r="AH25" s="96" t="s">
        <v>660</v>
      </c>
      <c r="AI25" s="54">
        <v>69.0</v>
      </c>
      <c r="AJ25" s="72">
        <v>51.0</v>
      </c>
      <c r="AK25" s="90">
        <v>142.0</v>
      </c>
      <c r="AL25" s="90">
        <v>105.0</v>
      </c>
      <c r="AM25" s="54">
        <v>35.0</v>
      </c>
      <c r="AN25" s="54">
        <v>85.0</v>
      </c>
      <c r="AO25" s="83">
        <f t="shared" si="3"/>
        <v>60</v>
      </c>
      <c r="AP25" s="166">
        <v>10.0</v>
      </c>
      <c r="AQ25" s="72">
        <v>3.0</v>
      </c>
      <c r="AR25" s="104">
        <v>84.0</v>
      </c>
      <c r="AS25" s="54">
        <v>4.0</v>
      </c>
      <c r="AT25" s="86">
        <v>74.0</v>
      </c>
      <c r="AU25" s="86">
        <v>256.0</v>
      </c>
      <c r="AV25" s="87"/>
      <c r="AW25" s="105">
        <v>75.0</v>
      </c>
      <c r="AX25" s="72">
        <v>75.0</v>
      </c>
      <c r="AY25" s="72">
        <v>2.0</v>
      </c>
      <c r="AZ25" s="68" t="s">
        <v>584</v>
      </c>
      <c r="BA25" s="60" t="s">
        <v>177</v>
      </c>
      <c r="BB25" s="68"/>
    </row>
    <row r="26">
      <c r="A26" s="37" t="s">
        <v>665</v>
      </c>
      <c r="B26" s="38" t="s">
        <v>667</v>
      </c>
      <c r="C26" s="54">
        <v>11.0</v>
      </c>
      <c r="D26" s="72">
        <v>0.0</v>
      </c>
      <c r="E26" s="90">
        <v>43.0</v>
      </c>
      <c r="F26" s="74"/>
      <c r="G26" s="54">
        <v>5.0</v>
      </c>
      <c r="H26" s="54">
        <v>15.0</v>
      </c>
      <c r="I26" s="83">
        <f t="shared" si="1"/>
        <v>10</v>
      </c>
      <c r="J26" s="72">
        <v>0.0</v>
      </c>
      <c r="K26" s="72">
        <v>6.0</v>
      </c>
      <c r="L26" s="85">
        <v>40.0</v>
      </c>
      <c r="M26" s="54">
        <v>2.0</v>
      </c>
      <c r="N26" s="86">
        <v>59.0</v>
      </c>
      <c r="O26" s="86">
        <v>30.0</v>
      </c>
      <c r="P26" s="87"/>
      <c r="Q26" s="303" t="s">
        <v>672</v>
      </c>
      <c r="R26" s="38" t="s">
        <v>673</v>
      </c>
      <c r="S26" s="54">
        <v>37.0</v>
      </c>
      <c r="T26" s="72">
        <v>25.0</v>
      </c>
      <c r="U26" s="90">
        <v>85.0</v>
      </c>
      <c r="V26" s="90">
        <v>60.0</v>
      </c>
      <c r="W26" s="54">
        <v>18.0</v>
      </c>
      <c r="X26" s="54">
        <v>51.0</v>
      </c>
      <c r="Y26" s="83">
        <f t="shared" si="2"/>
        <v>34.5</v>
      </c>
      <c r="Z26" s="72">
        <v>0.0</v>
      </c>
      <c r="AA26" s="72">
        <v>6.0</v>
      </c>
      <c r="AB26" s="85">
        <v>40.0</v>
      </c>
      <c r="AC26" s="54">
        <v>2.0</v>
      </c>
      <c r="AD26" s="86">
        <v>67.0</v>
      </c>
      <c r="AE26" s="86">
        <v>138.0</v>
      </c>
      <c r="AF26" s="87"/>
      <c r="AG26" s="88" t="s">
        <v>679</v>
      </c>
      <c r="AH26" s="96" t="s">
        <v>681</v>
      </c>
      <c r="AI26" s="54">
        <v>73.0</v>
      </c>
      <c r="AJ26" s="72">
        <v>54.0</v>
      </c>
      <c r="AK26" s="90">
        <v>25.0</v>
      </c>
      <c r="AL26" s="90">
        <v>136.0</v>
      </c>
      <c r="AM26" s="54">
        <v>39.0</v>
      </c>
      <c r="AN26" s="54">
        <v>44.0</v>
      </c>
      <c r="AO26" s="83">
        <f t="shared" si="3"/>
        <v>41.5</v>
      </c>
      <c r="AP26" s="166">
        <v>-30.0</v>
      </c>
      <c r="AQ26" s="72">
        <v>6.0</v>
      </c>
      <c r="AR26" s="104"/>
      <c r="AS26" s="54">
        <v>2.0</v>
      </c>
      <c r="AT26" s="86">
        <v>75.0</v>
      </c>
      <c r="AU26" s="86">
        <v>257.0</v>
      </c>
      <c r="AV26" s="87"/>
      <c r="AW26" s="105">
        <v>75.0</v>
      </c>
      <c r="AX26" s="72">
        <v>75.0</v>
      </c>
      <c r="AY26" s="72">
        <v>2.0</v>
      </c>
      <c r="AZ26" s="68" t="s">
        <v>584</v>
      </c>
      <c r="BA26" s="60" t="s">
        <v>177</v>
      </c>
      <c r="BB26" s="68"/>
    </row>
    <row r="27">
      <c r="A27" s="37" t="s">
        <v>688</v>
      </c>
      <c r="B27" s="38" t="s">
        <v>689</v>
      </c>
      <c r="C27" s="54">
        <v>15.0</v>
      </c>
      <c r="D27" s="72">
        <v>0.0</v>
      </c>
      <c r="E27" s="90">
        <v>48.0</v>
      </c>
      <c r="F27" s="74"/>
      <c r="G27" s="54">
        <v>7.0</v>
      </c>
      <c r="H27" s="54">
        <v>14.0</v>
      </c>
      <c r="I27" s="83">
        <f t="shared" si="1"/>
        <v>10.5</v>
      </c>
      <c r="J27" s="72">
        <v>0.0</v>
      </c>
      <c r="K27" s="72">
        <v>4.0</v>
      </c>
      <c r="L27" s="85">
        <v>64.0</v>
      </c>
      <c r="M27" s="54">
        <v>4.0</v>
      </c>
      <c r="N27" s="86">
        <v>60.0</v>
      </c>
      <c r="O27" s="86">
        <v>31.0</v>
      </c>
      <c r="P27" s="87"/>
      <c r="Q27" s="88" t="s">
        <v>694</v>
      </c>
      <c r="R27" s="38" t="s">
        <v>696</v>
      </c>
      <c r="S27" s="54">
        <v>40.0</v>
      </c>
      <c r="T27" s="72">
        <v>25.0</v>
      </c>
      <c r="U27" s="90">
        <v>92.0</v>
      </c>
      <c r="V27" s="90">
        <v>43.0</v>
      </c>
      <c r="W27" s="54">
        <v>23.0</v>
      </c>
      <c r="X27" s="54">
        <v>48.0</v>
      </c>
      <c r="Y27" s="83">
        <f t="shared" si="2"/>
        <v>35.5</v>
      </c>
      <c r="Z27" s="72">
        <v>0.0</v>
      </c>
      <c r="AA27" s="72">
        <v>4.0</v>
      </c>
      <c r="AB27" s="85">
        <v>64.0</v>
      </c>
      <c r="AC27" s="54">
        <v>4.0</v>
      </c>
      <c r="AD27" s="86">
        <v>68.0</v>
      </c>
      <c r="AE27" s="86">
        <v>139.0</v>
      </c>
      <c r="AF27" s="87"/>
      <c r="AG27" s="88" t="s">
        <v>700</v>
      </c>
      <c r="AH27" s="96" t="s">
        <v>702</v>
      </c>
      <c r="AI27" s="54">
        <v>78.0</v>
      </c>
      <c r="AJ27" s="72">
        <v>58.0</v>
      </c>
      <c r="AK27" s="90">
        <v>142.0</v>
      </c>
      <c r="AL27" s="90">
        <v>112.0</v>
      </c>
      <c r="AM27" s="54">
        <v>46.0</v>
      </c>
      <c r="AN27" s="54">
        <v>66.0</v>
      </c>
      <c r="AO27" s="83">
        <f t="shared" si="3"/>
        <v>56</v>
      </c>
      <c r="AP27" s="72">
        <v>0.0</v>
      </c>
      <c r="AQ27" s="72">
        <v>4.0</v>
      </c>
      <c r="AR27" s="104">
        <v>84.0</v>
      </c>
      <c r="AS27" s="54">
        <v>4.0</v>
      </c>
      <c r="AT27" s="86">
        <v>76.0</v>
      </c>
      <c r="AU27" s="86">
        <v>258.0</v>
      </c>
      <c r="AV27" s="87"/>
      <c r="AW27" s="105">
        <v>75.0</v>
      </c>
      <c r="AX27" s="72">
        <v>75.0</v>
      </c>
      <c r="AY27" s="72">
        <v>2.0</v>
      </c>
      <c r="AZ27" s="68" t="s">
        <v>584</v>
      </c>
      <c r="BA27" s="60" t="s">
        <v>177</v>
      </c>
      <c r="BB27" s="68"/>
    </row>
    <row r="28">
      <c r="A28" s="37" t="s">
        <v>707</v>
      </c>
      <c r="B28" s="38" t="s">
        <v>709</v>
      </c>
      <c r="C28" s="54">
        <v>20.0</v>
      </c>
      <c r="D28" s="72">
        <v>0.0</v>
      </c>
      <c r="E28" s="90">
        <v>55.0</v>
      </c>
      <c r="F28" s="90">
        <v>39.0</v>
      </c>
      <c r="G28" s="54">
        <v>3.0</v>
      </c>
      <c r="H28" s="54">
        <v>19.0</v>
      </c>
      <c r="I28" s="83">
        <f t="shared" si="1"/>
        <v>11</v>
      </c>
      <c r="J28" s="72">
        <v>-10.0</v>
      </c>
      <c r="K28" s="50">
        <v>4.0</v>
      </c>
      <c r="L28" s="85">
        <v>88.0</v>
      </c>
      <c r="M28" s="54">
        <v>4.0</v>
      </c>
      <c r="N28" s="86">
        <v>61.0</v>
      </c>
      <c r="O28" s="86">
        <v>32.0</v>
      </c>
      <c r="P28" s="87"/>
      <c r="Q28" s="88" t="s">
        <v>715</v>
      </c>
      <c r="R28" s="38" t="s">
        <v>716</v>
      </c>
      <c r="S28" s="54">
        <v>44.0</v>
      </c>
      <c r="T28" s="72">
        <v>25.0</v>
      </c>
      <c r="U28" s="90">
        <v>103.0</v>
      </c>
      <c r="V28" s="90">
        <v>79.0</v>
      </c>
      <c r="W28" s="54">
        <v>14.0</v>
      </c>
      <c r="X28" s="54">
        <v>60.0</v>
      </c>
      <c r="Y28" s="83">
        <f t="shared" si="2"/>
        <v>37</v>
      </c>
      <c r="Z28" s="72">
        <v>-10.0</v>
      </c>
      <c r="AA28" s="43">
        <v>5.0</v>
      </c>
      <c r="AB28" s="85">
        <v>88.0</v>
      </c>
      <c r="AC28" s="54">
        <v>4.0</v>
      </c>
      <c r="AD28" s="86">
        <v>69.0</v>
      </c>
      <c r="AE28" s="86">
        <v>140.0</v>
      </c>
      <c r="AF28" s="87"/>
      <c r="AG28" s="88" t="s">
        <v>724</v>
      </c>
      <c r="AH28" s="96" t="s">
        <v>725</v>
      </c>
      <c r="AI28" s="54">
        <v>82.0</v>
      </c>
      <c r="AJ28" s="72">
        <v>61.0</v>
      </c>
      <c r="AK28" s="90">
        <v>99.0</v>
      </c>
      <c r="AL28" s="90">
        <v>109.0</v>
      </c>
      <c r="AM28" s="54">
        <v>6.0</v>
      </c>
      <c r="AN28" s="54">
        <v>96.0</v>
      </c>
      <c r="AO28" s="83">
        <f t="shared" si="3"/>
        <v>51</v>
      </c>
      <c r="AP28" s="72">
        <v>-10.0</v>
      </c>
      <c r="AQ28" s="43">
        <v>5.0</v>
      </c>
      <c r="AR28" s="85">
        <v>88.0</v>
      </c>
      <c r="AS28" s="54">
        <v>4.0</v>
      </c>
      <c r="AT28" s="86">
        <v>77.0</v>
      </c>
      <c r="AU28" s="86">
        <v>259.0</v>
      </c>
      <c r="AV28" s="87"/>
      <c r="AW28" s="105">
        <v>75.0</v>
      </c>
      <c r="AX28" s="72">
        <v>75.0</v>
      </c>
      <c r="AY28" s="72">
        <v>2.0</v>
      </c>
      <c r="AZ28" s="68" t="s">
        <v>584</v>
      </c>
      <c r="BA28" s="60" t="s">
        <v>177</v>
      </c>
      <c r="BB28" s="68"/>
    </row>
    <row r="29">
      <c r="A29" s="127" t="s">
        <v>730</v>
      </c>
      <c r="B29" s="128" t="s">
        <v>731</v>
      </c>
      <c r="C29" s="129">
        <v>27.0</v>
      </c>
      <c r="D29" s="130">
        <v>0.0</v>
      </c>
      <c r="E29" s="132">
        <v>71.0</v>
      </c>
      <c r="F29" s="132">
        <v>45.0</v>
      </c>
      <c r="G29" s="129">
        <v>8.0</v>
      </c>
      <c r="H29" s="129">
        <v>20.0</v>
      </c>
      <c r="I29" s="135">
        <f t="shared" si="1"/>
        <v>14</v>
      </c>
      <c r="J29" s="130">
        <v>0.0</v>
      </c>
      <c r="K29" s="130">
        <v>3.0</v>
      </c>
      <c r="L29" s="140">
        <v>88.0</v>
      </c>
      <c r="M29" s="129">
        <v>4.0</v>
      </c>
      <c r="N29" s="141">
        <v>62.0</v>
      </c>
      <c r="O29" s="141">
        <v>33.0</v>
      </c>
      <c r="P29" s="142"/>
      <c r="Q29" s="143" t="s">
        <v>736</v>
      </c>
      <c r="R29" s="128" t="s">
        <v>738</v>
      </c>
      <c r="S29" s="129">
        <v>49.0</v>
      </c>
      <c r="T29" s="130">
        <v>25.0</v>
      </c>
      <c r="U29" s="132">
        <v>127.0</v>
      </c>
      <c r="V29" s="132">
        <v>88.0</v>
      </c>
      <c r="W29" s="129">
        <v>25.0</v>
      </c>
      <c r="X29" s="129">
        <v>55.0</v>
      </c>
      <c r="Y29" s="135">
        <f t="shared" si="2"/>
        <v>40</v>
      </c>
      <c r="Z29" s="130">
        <v>0.0</v>
      </c>
      <c r="AA29" s="130">
        <v>3.0</v>
      </c>
      <c r="AB29" s="140">
        <v>88.0</v>
      </c>
      <c r="AC29" s="129">
        <v>4.0</v>
      </c>
      <c r="AD29" s="141">
        <v>70.0</v>
      </c>
      <c r="AE29" s="141">
        <v>141.0</v>
      </c>
      <c r="AF29" s="142"/>
      <c r="AG29" s="143" t="s">
        <v>743</v>
      </c>
      <c r="AH29" s="146" t="s">
        <v>744</v>
      </c>
      <c r="AI29" s="129">
        <v>85.0</v>
      </c>
      <c r="AJ29" s="130">
        <v>66.0</v>
      </c>
      <c r="AK29" s="132">
        <v>147.0</v>
      </c>
      <c r="AL29" s="132">
        <v>124.0</v>
      </c>
      <c r="AM29" s="129">
        <v>50.0</v>
      </c>
      <c r="AN29" s="129">
        <v>63.0</v>
      </c>
      <c r="AO29" s="135">
        <f t="shared" si="3"/>
        <v>56.5</v>
      </c>
      <c r="AP29" s="130">
        <v>0.0</v>
      </c>
      <c r="AQ29" s="130">
        <v>3.0</v>
      </c>
      <c r="AR29" s="140">
        <v>88.0</v>
      </c>
      <c r="AS29" s="129">
        <v>4.0</v>
      </c>
      <c r="AT29" s="141">
        <v>78.0</v>
      </c>
      <c r="AU29" s="141">
        <v>260.0</v>
      </c>
      <c r="AV29" s="142"/>
      <c r="AW29" s="153">
        <v>75.0</v>
      </c>
      <c r="AX29" s="130">
        <v>75.0</v>
      </c>
      <c r="AY29" s="130">
        <v>2.0</v>
      </c>
      <c r="AZ29" s="154" t="s">
        <v>584</v>
      </c>
      <c r="BA29" s="157" t="s">
        <v>177</v>
      </c>
      <c r="BB29" s="154"/>
    </row>
    <row r="30">
      <c r="A30" s="320" t="s">
        <v>750</v>
      </c>
      <c r="B30" s="38" t="s">
        <v>753</v>
      </c>
      <c r="C30" s="54">
        <v>10.0</v>
      </c>
      <c r="D30" s="72">
        <v>0.0</v>
      </c>
      <c r="E30" s="90">
        <v>35.0</v>
      </c>
      <c r="F30" s="90">
        <v>27.0</v>
      </c>
      <c r="G30" s="54">
        <v>8.0</v>
      </c>
      <c r="H30" s="54">
        <v>17.0</v>
      </c>
      <c r="I30" s="83">
        <f t="shared" si="1"/>
        <v>12.5</v>
      </c>
      <c r="J30" s="72">
        <v>0.0</v>
      </c>
      <c r="K30" s="72">
        <v>3.0</v>
      </c>
      <c r="L30" s="85">
        <v>88.0</v>
      </c>
      <c r="M30" s="54">
        <v>4.0</v>
      </c>
      <c r="N30" s="86">
        <v>97.0</v>
      </c>
      <c r="O30" s="86">
        <v>35.0</v>
      </c>
      <c r="P30" s="87"/>
      <c r="Q30" s="56" t="s">
        <v>759</v>
      </c>
      <c r="R30" s="38" t="s">
        <v>760</v>
      </c>
      <c r="S30" s="54">
        <v>37.0</v>
      </c>
      <c r="T30" s="72">
        <v>25.0</v>
      </c>
      <c r="U30" s="90">
        <v>73.0</v>
      </c>
      <c r="V30" s="90">
        <v>61.0</v>
      </c>
      <c r="W30" s="54">
        <v>32.0</v>
      </c>
      <c r="X30" s="54">
        <v>58.0</v>
      </c>
      <c r="Y30" s="83">
        <f t="shared" si="2"/>
        <v>45</v>
      </c>
      <c r="Z30" s="72">
        <v>0.0</v>
      </c>
      <c r="AA30" s="72">
        <v>3.0</v>
      </c>
      <c r="AB30" s="85">
        <v>88.0</v>
      </c>
      <c r="AC30" s="54">
        <v>4.0</v>
      </c>
      <c r="AD30" s="86">
        <v>103.0</v>
      </c>
      <c r="AE30" s="86">
        <v>143.0</v>
      </c>
      <c r="AF30" s="87"/>
      <c r="AG30" s="88" t="s">
        <v>761</v>
      </c>
      <c r="AH30" s="96" t="s">
        <v>762</v>
      </c>
      <c r="AI30" s="54">
        <v>59.0</v>
      </c>
      <c r="AJ30" s="72">
        <v>44.0</v>
      </c>
      <c r="AK30" s="90">
        <v>175.0</v>
      </c>
      <c r="AL30" s="90">
        <v>100.0</v>
      </c>
      <c r="AM30" s="54">
        <v>63.0</v>
      </c>
      <c r="AN30" s="54">
        <v>118.0</v>
      </c>
      <c r="AO30" s="83">
        <f t="shared" si="3"/>
        <v>90.5</v>
      </c>
      <c r="AP30" s="166">
        <v>-15.0</v>
      </c>
      <c r="AQ30" s="72">
        <v>3.0</v>
      </c>
      <c r="AR30" s="85">
        <v>88.0</v>
      </c>
      <c r="AS30" s="54">
        <v>4.0</v>
      </c>
      <c r="AT30" s="86">
        <v>109.0</v>
      </c>
      <c r="AU30" s="86">
        <v>262.0</v>
      </c>
      <c r="AV30" s="87"/>
      <c r="AW30" s="105">
        <v>110.0</v>
      </c>
      <c r="AX30" s="74"/>
      <c r="AY30" s="72">
        <v>3.0</v>
      </c>
      <c r="AZ30" s="68" t="s">
        <v>584</v>
      </c>
      <c r="BA30" s="60" t="s">
        <v>294</v>
      </c>
      <c r="BB30" s="68"/>
    </row>
    <row r="31">
      <c r="A31" s="37" t="s">
        <v>772</v>
      </c>
      <c r="B31" s="38" t="s">
        <v>775</v>
      </c>
      <c r="C31" s="54">
        <v>17.0</v>
      </c>
      <c r="D31" s="72">
        <v>0.0</v>
      </c>
      <c r="E31" s="90">
        <v>47.0</v>
      </c>
      <c r="F31" s="74"/>
      <c r="G31" s="54">
        <v>13.0</v>
      </c>
      <c r="H31" s="54">
        <v>30.0</v>
      </c>
      <c r="I31" s="83">
        <f t="shared" si="1"/>
        <v>21.5</v>
      </c>
      <c r="J31" s="72">
        <v>10.0</v>
      </c>
      <c r="K31" s="72">
        <v>4.0</v>
      </c>
      <c r="L31" s="85">
        <v>100.0</v>
      </c>
      <c r="M31" s="54">
        <v>4.0</v>
      </c>
      <c r="N31" s="86">
        <v>98.0</v>
      </c>
      <c r="O31" s="86">
        <v>37.0</v>
      </c>
      <c r="P31" s="87"/>
      <c r="Q31" s="88" t="s">
        <v>788</v>
      </c>
      <c r="R31" s="38" t="s">
        <v>791</v>
      </c>
      <c r="S31" s="54">
        <v>42.0</v>
      </c>
      <c r="T31" s="72">
        <v>25.0</v>
      </c>
      <c r="U31" s="90">
        <v>91.0</v>
      </c>
      <c r="V31" s="90">
        <v>20.0</v>
      </c>
      <c r="W31" s="54">
        <v>38.0</v>
      </c>
      <c r="X31" s="54">
        <v>87.0</v>
      </c>
      <c r="Y31" s="83">
        <f t="shared" si="2"/>
        <v>62.5</v>
      </c>
      <c r="Z31" s="72">
        <v>10.0</v>
      </c>
      <c r="AA31" s="72">
        <v>4.0</v>
      </c>
      <c r="AB31" s="85">
        <v>100.0</v>
      </c>
      <c r="AC31" s="54">
        <v>4.0</v>
      </c>
      <c r="AD31" s="86">
        <v>104.0</v>
      </c>
      <c r="AE31" s="86">
        <v>145.0</v>
      </c>
      <c r="AF31" s="87"/>
      <c r="AG31" s="88" t="s">
        <v>802</v>
      </c>
      <c r="AH31" s="96" t="s">
        <v>803</v>
      </c>
      <c r="AI31" s="54">
        <v>66.0</v>
      </c>
      <c r="AJ31" s="72">
        <v>49.0</v>
      </c>
      <c r="AK31" s="90">
        <v>171.0</v>
      </c>
      <c r="AL31" s="90">
        <v>104.0</v>
      </c>
      <c r="AM31" s="54">
        <v>84.0</v>
      </c>
      <c r="AN31" s="54">
        <v>120.0</v>
      </c>
      <c r="AO31" s="83">
        <f t="shared" si="3"/>
        <v>102</v>
      </c>
      <c r="AP31" s="166">
        <v>-5.0</v>
      </c>
      <c r="AQ31" s="72">
        <v>4.0</v>
      </c>
      <c r="AR31" s="85">
        <v>100.0</v>
      </c>
      <c r="AS31" s="54">
        <v>4.0</v>
      </c>
      <c r="AT31" s="86">
        <v>110.0</v>
      </c>
      <c r="AU31" s="86">
        <v>264.0</v>
      </c>
      <c r="AV31" s="87"/>
      <c r="AW31" s="105">
        <v>110.0</v>
      </c>
      <c r="AX31" s="74"/>
      <c r="AY31" s="72">
        <v>3.0</v>
      </c>
      <c r="AZ31" s="68" t="s">
        <v>584</v>
      </c>
      <c r="BA31" s="60" t="s">
        <v>294</v>
      </c>
      <c r="BB31" s="68"/>
    </row>
    <row r="32">
      <c r="A32" s="37" t="s">
        <v>821</v>
      </c>
      <c r="B32" s="38" t="s">
        <v>823</v>
      </c>
      <c r="C32" s="54">
        <v>21.0</v>
      </c>
      <c r="D32" s="72">
        <v>0.0</v>
      </c>
      <c r="E32" s="90">
        <v>56.0</v>
      </c>
      <c r="F32" s="90">
        <v>34.0</v>
      </c>
      <c r="G32" s="54">
        <v>9.0</v>
      </c>
      <c r="H32" s="54">
        <v>28.0</v>
      </c>
      <c r="I32" s="83">
        <f t="shared" si="1"/>
        <v>18.5</v>
      </c>
      <c r="J32" s="72">
        <v>0.0</v>
      </c>
      <c r="K32" s="72">
        <v>4.0</v>
      </c>
      <c r="L32" s="85">
        <v>100.0</v>
      </c>
      <c r="M32" s="54">
        <v>4.0</v>
      </c>
      <c r="N32" s="86">
        <v>99.0</v>
      </c>
      <c r="O32" s="86">
        <v>39.0</v>
      </c>
      <c r="P32" s="87"/>
      <c r="Q32" s="88" t="s">
        <v>834</v>
      </c>
      <c r="R32" s="38" t="s">
        <v>836</v>
      </c>
      <c r="S32" s="54">
        <v>45.0</v>
      </c>
      <c r="T32" s="72">
        <v>25.0</v>
      </c>
      <c r="U32" s="90">
        <v>104.0</v>
      </c>
      <c r="V32" s="90">
        <v>71.0</v>
      </c>
      <c r="W32" s="54">
        <v>28.0</v>
      </c>
      <c r="X32" s="54">
        <v>83.0</v>
      </c>
      <c r="Y32" s="83">
        <f t="shared" si="2"/>
        <v>55.5</v>
      </c>
      <c r="Z32" s="72">
        <v>0.0</v>
      </c>
      <c r="AA32" s="72">
        <v>4.0</v>
      </c>
      <c r="AB32" s="85">
        <v>100.0</v>
      </c>
      <c r="AC32" s="54">
        <v>4.0</v>
      </c>
      <c r="AD32" s="86">
        <v>105.0</v>
      </c>
      <c r="AE32" s="86">
        <v>147.0</v>
      </c>
      <c r="AF32" s="87"/>
      <c r="AG32" s="88" t="s">
        <v>843</v>
      </c>
      <c r="AH32" s="96" t="s">
        <v>844</v>
      </c>
      <c r="AI32" s="54">
        <v>71.0</v>
      </c>
      <c r="AJ32" s="72">
        <v>53.0</v>
      </c>
      <c r="AK32" s="90">
        <v>185.0</v>
      </c>
      <c r="AL32" s="90">
        <v>87.0</v>
      </c>
      <c r="AM32" s="54">
        <v>69.0</v>
      </c>
      <c r="AN32" s="54">
        <v>149.0</v>
      </c>
      <c r="AO32" s="83">
        <f t="shared" si="3"/>
        <v>109</v>
      </c>
      <c r="AP32" s="72">
        <v>0.0</v>
      </c>
      <c r="AQ32" s="72">
        <v>4.0</v>
      </c>
      <c r="AR32" s="85">
        <v>100.0</v>
      </c>
      <c r="AS32" s="54">
        <v>4.0</v>
      </c>
      <c r="AT32" s="86">
        <v>111.0</v>
      </c>
      <c r="AU32" s="86">
        <v>266.0</v>
      </c>
      <c r="AV32" s="87"/>
      <c r="AW32" s="105">
        <v>110.0</v>
      </c>
      <c r="AX32" s="74"/>
      <c r="AY32" s="72">
        <v>3.0</v>
      </c>
      <c r="AZ32" s="68" t="s">
        <v>584</v>
      </c>
      <c r="BA32" s="60" t="s">
        <v>294</v>
      </c>
      <c r="BB32" s="68"/>
    </row>
    <row r="33">
      <c r="A33" s="37" t="s">
        <v>855</v>
      </c>
      <c r="B33" s="38" t="s">
        <v>856</v>
      </c>
      <c r="C33" s="54">
        <v>24.0</v>
      </c>
      <c r="D33" s="72">
        <v>0.0</v>
      </c>
      <c r="E33" s="90">
        <v>62.0</v>
      </c>
      <c r="F33" s="74"/>
      <c r="G33" s="54">
        <v>20.0</v>
      </c>
      <c r="H33" s="54">
        <v>28.0</v>
      </c>
      <c r="I33" s="83">
        <f t="shared" si="1"/>
        <v>24</v>
      </c>
      <c r="J33" s="72">
        <v>10.0</v>
      </c>
      <c r="K33" s="72">
        <v>4.0</v>
      </c>
      <c r="L33" s="85">
        <v>80.0</v>
      </c>
      <c r="M33" s="54">
        <v>4.0</v>
      </c>
      <c r="N33" s="86">
        <v>100.0</v>
      </c>
      <c r="O33" s="86">
        <v>41.0</v>
      </c>
      <c r="P33" s="87"/>
      <c r="Q33" s="88" t="s">
        <v>858</v>
      </c>
      <c r="R33" s="38" t="s">
        <v>859</v>
      </c>
      <c r="S33" s="54">
        <v>48.0</v>
      </c>
      <c r="T33" s="72">
        <v>25.0</v>
      </c>
      <c r="U33" s="90">
        <v>113.0</v>
      </c>
      <c r="V33" s="90">
        <v>20.0</v>
      </c>
      <c r="W33" s="54">
        <v>58.0</v>
      </c>
      <c r="X33" s="54">
        <v>86.0</v>
      </c>
      <c r="Y33" s="83">
        <f t="shared" si="2"/>
        <v>72</v>
      </c>
      <c r="Z33" s="72">
        <v>10.0</v>
      </c>
      <c r="AA33" s="72">
        <v>4.0</v>
      </c>
      <c r="AB33" s="85">
        <v>80.0</v>
      </c>
      <c r="AC33" s="54">
        <v>4.0</v>
      </c>
      <c r="AD33" s="86">
        <v>106.0</v>
      </c>
      <c r="AE33" s="86">
        <v>149.0</v>
      </c>
      <c r="AF33" s="87"/>
      <c r="AG33" s="88" t="s">
        <v>861</v>
      </c>
      <c r="AH33" s="96" t="s">
        <v>863</v>
      </c>
      <c r="AI33" s="54">
        <v>77.0</v>
      </c>
      <c r="AJ33" s="72">
        <v>57.0</v>
      </c>
      <c r="AK33" s="90">
        <v>163.0</v>
      </c>
      <c r="AL33" s="90">
        <v>103.0</v>
      </c>
      <c r="AM33" s="54">
        <v>89.0</v>
      </c>
      <c r="AN33" s="54">
        <v>104.0</v>
      </c>
      <c r="AO33" s="83">
        <f t="shared" si="3"/>
        <v>96.5</v>
      </c>
      <c r="AP33" s="166">
        <v>-10.0</v>
      </c>
      <c r="AQ33" s="72">
        <v>4.0</v>
      </c>
      <c r="AR33" s="85">
        <v>80.0</v>
      </c>
      <c r="AS33" s="54">
        <v>4.0</v>
      </c>
      <c r="AT33" s="86">
        <v>112.0</v>
      </c>
      <c r="AU33" s="86">
        <v>268.0</v>
      </c>
      <c r="AV33" s="87"/>
      <c r="AW33" s="105">
        <v>110.0</v>
      </c>
      <c r="AX33" s="74"/>
      <c r="AY33" s="72">
        <v>3.0</v>
      </c>
      <c r="AZ33" s="68" t="s">
        <v>584</v>
      </c>
      <c r="BA33" s="60" t="s">
        <v>294</v>
      </c>
      <c r="BB33" s="68"/>
    </row>
    <row r="34">
      <c r="A34" s="37" t="s">
        <v>864</v>
      </c>
      <c r="B34" s="38" t="s">
        <v>865</v>
      </c>
      <c r="C34" s="54">
        <v>27.0</v>
      </c>
      <c r="D34" s="72">
        <v>0.0</v>
      </c>
      <c r="E34" s="90">
        <v>70.0</v>
      </c>
      <c r="F34" s="90">
        <v>49.0</v>
      </c>
      <c r="G34" s="54">
        <v>13.0</v>
      </c>
      <c r="H34" s="54">
        <v>26.0</v>
      </c>
      <c r="I34" s="83">
        <f t="shared" si="1"/>
        <v>19.5</v>
      </c>
      <c r="J34" s="72">
        <v>-10.0</v>
      </c>
      <c r="K34" s="72">
        <v>5.0</v>
      </c>
      <c r="L34" s="85">
        <v>100.0</v>
      </c>
      <c r="M34" s="54">
        <v>4.0</v>
      </c>
      <c r="N34" s="86">
        <v>101.0</v>
      </c>
      <c r="O34" s="86">
        <v>43.0</v>
      </c>
      <c r="P34" s="87"/>
      <c r="Q34" s="88" t="s">
        <v>868</v>
      </c>
      <c r="R34" s="38" t="s">
        <v>869</v>
      </c>
      <c r="S34" s="54">
        <v>49.0</v>
      </c>
      <c r="T34" s="72">
        <v>25.0</v>
      </c>
      <c r="U34" s="90">
        <v>125.0</v>
      </c>
      <c r="V34" s="90">
        <v>94.0</v>
      </c>
      <c r="W34" s="54">
        <v>41.0</v>
      </c>
      <c r="X34" s="54">
        <v>77.0</v>
      </c>
      <c r="Y34" s="83">
        <f t="shared" si="2"/>
        <v>59</v>
      </c>
      <c r="Z34" s="72">
        <v>-10.0</v>
      </c>
      <c r="AA34" s="72">
        <v>5.0</v>
      </c>
      <c r="AB34" s="85">
        <v>100.0</v>
      </c>
      <c r="AC34" s="54">
        <v>4.0</v>
      </c>
      <c r="AD34" s="86">
        <v>107.0</v>
      </c>
      <c r="AE34" s="86">
        <v>151.0</v>
      </c>
      <c r="AF34" s="87"/>
      <c r="AG34" s="88" t="s">
        <v>872</v>
      </c>
      <c r="AH34" s="96" t="s">
        <v>873</v>
      </c>
      <c r="AI34" s="54">
        <v>80.0</v>
      </c>
      <c r="AJ34" s="72">
        <v>60.0</v>
      </c>
      <c r="AK34" s="90">
        <v>182.0</v>
      </c>
      <c r="AL34" s="90">
        <v>95.0</v>
      </c>
      <c r="AM34" s="54">
        <v>76.0</v>
      </c>
      <c r="AN34" s="54">
        <v>151.0</v>
      </c>
      <c r="AO34" s="83">
        <f t="shared" si="3"/>
        <v>113.5</v>
      </c>
      <c r="AP34" s="84">
        <v>10.0</v>
      </c>
      <c r="AQ34" s="72">
        <v>5.0</v>
      </c>
      <c r="AR34" s="85">
        <v>100.0</v>
      </c>
      <c r="AS34" s="54">
        <v>4.0</v>
      </c>
      <c r="AT34" s="86">
        <v>113.0</v>
      </c>
      <c r="AU34" s="86">
        <v>270.0</v>
      </c>
      <c r="AV34" s="87"/>
      <c r="AW34" s="105">
        <v>110.0</v>
      </c>
      <c r="AX34" s="74"/>
      <c r="AY34" s="72">
        <v>3.0</v>
      </c>
      <c r="AZ34" s="68" t="s">
        <v>584</v>
      </c>
      <c r="BA34" s="60" t="s">
        <v>294</v>
      </c>
      <c r="BB34" s="68"/>
    </row>
    <row r="35">
      <c r="A35" s="37" t="s">
        <v>878</v>
      </c>
      <c r="B35" s="38" t="s">
        <v>879</v>
      </c>
      <c r="C35" s="54">
        <v>33.0</v>
      </c>
      <c r="D35" s="72">
        <v>0.0</v>
      </c>
      <c r="E35" s="90">
        <v>100.0</v>
      </c>
      <c r="F35" s="90">
        <v>60.0</v>
      </c>
      <c r="G35" s="54">
        <v>25.0</v>
      </c>
      <c r="H35" s="54">
        <v>42.0</v>
      </c>
      <c r="I35" s="83">
        <f t="shared" si="1"/>
        <v>33.5</v>
      </c>
      <c r="J35" s="72">
        <v>10.0</v>
      </c>
      <c r="K35" s="72">
        <v>6.0</v>
      </c>
      <c r="L35" s="85">
        <v>100.0</v>
      </c>
      <c r="M35" s="54">
        <v>4.0</v>
      </c>
      <c r="N35" s="86">
        <v>102.0</v>
      </c>
      <c r="O35" s="86">
        <v>45.0</v>
      </c>
      <c r="P35" s="87"/>
      <c r="Q35" s="303" t="s">
        <v>885</v>
      </c>
      <c r="R35" s="38" t="s">
        <v>886</v>
      </c>
      <c r="S35" s="54">
        <v>54.0</v>
      </c>
      <c r="T35" s="72">
        <v>25.0</v>
      </c>
      <c r="U35" s="90">
        <v>170.0</v>
      </c>
      <c r="V35" s="90">
        <v>110.0</v>
      </c>
      <c r="W35" s="54">
        <v>68.0</v>
      </c>
      <c r="X35" s="54">
        <v>115.0</v>
      </c>
      <c r="Y35" s="83">
        <f t="shared" si="2"/>
        <v>91.5</v>
      </c>
      <c r="Z35" s="72">
        <v>10.0</v>
      </c>
      <c r="AA35" s="72">
        <v>6.0</v>
      </c>
      <c r="AB35" s="85">
        <v>100.0</v>
      </c>
      <c r="AC35" s="54">
        <v>4.0</v>
      </c>
      <c r="AD35" s="86">
        <v>108.0</v>
      </c>
      <c r="AE35" s="86">
        <v>153.0</v>
      </c>
      <c r="AF35" s="87"/>
      <c r="AG35" s="88" t="s">
        <v>898</v>
      </c>
      <c r="AH35" s="96" t="s">
        <v>900</v>
      </c>
      <c r="AI35" s="54">
        <v>85.0</v>
      </c>
      <c r="AJ35" s="72">
        <v>63.0</v>
      </c>
      <c r="AK35" s="90">
        <v>189.0</v>
      </c>
      <c r="AL35" s="90">
        <v>110.0</v>
      </c>
      <c r="AM35" s="54">
        <v>73.0</v>
      </c>
      <c r="AN35" s="54">
        <v>144.0</v>
      </c>
      <c r="AO35" s="83">
        <f t="shared" si="3"/>
        <v>108.5</v>
      </c>
      <c r="AP35" s="166">
        <v>5.0</v>
      </c>
      <c r="AQ35" s="72">
        <v>6.0</v>
      </c>
      <c r="AR35" s="85">
        <v>100.0</v>
      </c>
      <c r="AS35" s="54">
        <v>4.0</v>
      </c>
      <c r="AT35" s="86">
        <v>114.0</v>
      </c>
      <c r="AU35" s="86">
        <v>272.0</v>
      </c>
      <c r="AV35" s="87"/>
      <c r="AW35" s="105">
        <v>110.0</v>
      </c>
      <c r="AX35" s="74"/>
      <c r="AY35" s="72">
        <v>3.0</v>
      </c>
      <c r="AZ35" s="68" t="s">
        <v>584</v>
      </c>
      <c r="BA35" s="60" t="s">
        <v>294</v>
      </c>
      <c r="BB35" s="68"/>
    </row>
    <row r="36">
      <c r="A36" s="335" t="s">
        <v>904</v>
      </c>
      <c r="B36" s="336" t="s">
        <v>753</v>
      </c>
      <c r="C36" s="337">
        <v>10.0</v>
      </c>
      <c r="D36" s="337">
        <v>0.0</v>
      </c>
      <c r="E36" s="337">
        <v>35.0</v>
      </c>
      <c r="F36" s="337">
        <v>27.0</v>
      </c>
      <c r="G36" s="338">
        <v>2.0</v>
      </c>
      <c r="H36" s="338">
        <v>9.0</v>
      </c>
      <c r="I36" s="339">
        <f t="shared" si="1"/>
        <v>5.5</v>
      </c>
      <c r="J36" s="337">
        <v>0.0</v>
      </c>
      <c r="K36" s="337">
        <v>3.0</v>
      </c>
      <c r="L36" s="340">
        <v>88.0</v>
      </c>
      <c r="M36" s="338">
        <v>4.0</v>
      </c>
      <c r="N36" s="337">
        <v>79.0</v>
      </c>
      <c r="O36" s="337">
        <v>34.0</v>
      </c>
      <c r="P36" s="341"/>
      <c r="Q36" s="343" t="s">
        <v>914</v>
      </c>
      <c r="R36" s="336" t="s">
        <v>760</v>
      </c>
      <c r="S36" s="337">
        <v>37.0</v>
      </c>
      <c r="T36" s="337">
        <v>25.0</v>
      </c>
      <c r="U36" s="337">
        <v>73.0</v>
      </c>
      <c r="V36" s="337">
        <v>61.0</v>
      </c>
      <c r="W36" s="338">
        <v>12.0</v>
      </c>
      <c r="X36" s="338">
        <v>37.0</v>
      </c>
      <c r="Y36" s="339">
        <f t="shared" si="2"/>
        <v>24.5</v>
      </c>
      <c r="Z36" s="337">
        <v>0.0</v>
      </c>
      <c r="AA36" s="337">
        <v>3.0</v>
      </c>
      <c r="AB36" s="340">
        <v>88.0</v>
      </c>
      <c r="AC36" s="338">
        <v>4.0</v>
      </c>
      <c r="AD36" s="337">
        <v>85.0</v>
      </c>
      <c r="AE36" s="337">
        <v>142.0</v>
      </c>
      <c r="AF36" s="341"/>
      <c r="AG36" s="343" t="s">
        <v>916</v>
      </c>
      <c r="AH36" s="344" t="s">
        <v>762</v>
      </c>
      <c r="AI36" s="337">
        <v>59.0</v>
      </c>
      <c r="AJ36" s="337">
        <v>44.0</v>
      </c>
      <c r="AK36" s="337">
        <v>175.0</v>
      </c>
      <c r="AL36" s="337">
        <v>100.0</v>
      </c>
      <c r="AM36" s="338">
        <v>28.0</v>
      </c>
      <c r="AN36" s="338">
        <v>70.0</v>
      </c>
      <c r="AO36" s="339">
        <f t="shared" si="3"/>
        <v>49</v>
      </c>
      <c r="AP36" s="337">
        <v>-15.0</v>
      </c>
      <c r="AQ36" s="337">
        <v>3.0</v>
      </c>
      <c r="AR36" s="340">
        <v>88.0</v>
      </c>
      <c r="AS36" s="338">
        <v>4.0</v>
      </c>
      <c r="AT36" s="337">
        <v>91.0</v>
      </c>
      <c r="AU36" s="337">
        <v>261.0</v>
      </c>
      <c r="AV36" s="341"/>
      <c r="AW36" s="346">
        <v>110.0</v>
      </c>
      <c r="AX36" s="347"/>
      <c r="AY36" s="348">
        <v>3.0</v>
      </c>
      <c r="AZ36" s="349" t="s">
        <v>584</v>
      </c>
      <c r="BA36" s="350" t="s">
        <v>177</v>
      </c>
      <c r="BB36" s="349"/>
    </row>
    <row r="37">
      <c r="A37" s="343" t="s">
        <v>919</v>
      </c>
      <c r="B37" s="336" t="s">
        <v>775</v>
      </c>
      <c r="C37" s="337">
        <v>17.0</v>
      </c>
      <c r="D37" s="337">
        <v>0.0</v>
      </c>
      <c r="E37" s="337">
        <v>47.0</v>
      </c>
      <c r="F37" s="347"/>
      <c r="G37" s="338">
        <v>5.0</v>
      </c>
      <c r="H37" s="338">
        <v>12.0</v>
      </c>
      <c r="I37" s="339">
        <f t="shared" si="1"/>
        <v>8.5</v>
      </c>
      <c r="J37" s="337">
        <v>10.0</v>
      </c>
      <c r="K37" s="337">
        <v>4.0</v>
      </c>
      <c r="L37" s="340">
        <v>100.0</v>
      </c>
      <c r="M37" s="338">
        <v>4.0</v>
      </c>
      <c r="N37" s="337">
        <v>80.0</v>
      </c>
      <c r="O37" s="337">
        <v>36.0</v>
      </c>
      <c r="P37" s="341"/>
      <c r="Q37" s="343" t="s">
        <v>920</v>
      </c>
      <c r="R37" s="336" t="s">
        <v>791</v>
      </c>
      <c r="S37" s="337">
        <v>42.0</v>
      </c>
      <c r="T37" s="337">
        <v>25.0</v>
      </c>
      <c r="U37" s="337">
        <v>91.0</v>
      </c>
      <c r="V37" s="337">
        <v>20.0</v>
      </c>
      <c r="W37" s="338">
        <v>18.0</v>
      </c>
      <c r="X37" s="338">
        <v>43.0</v>
      </c>
      <c r="Y37" s="339">
        <f t="shared" si="2"/>
        <v>30.5</v>
      </c>
      <c r="Z37" s="337">
        <v>10.0</v>
      </c>
      <c r="AA37" s="337">
        <v>4.0</v>
      </c>
      <c r="AB37" s="340">
        <v>100.0</v>
      </c>
      <c r="AC37" s="338">
        <v>4.0</v>
      </c>
      <c r="AD37" s="337">
        <v>86.0</v>
      </c>
      <c r="AE37" s="337">
        <v>144.0</v>
      </c>
      <c r="AF37" s="341"/>
      <c r="AG37" s="343" t="s">
        <v>922</v>
      </c>
      <c r="AH37" s="344" t="s">
        <v>803</v>
      </c>
      <c r="AI37" s="337">
        <v>66.0</v>
      </c>
      <c r="AJ37" s="337">
        <v>49.0</v>
      </c>
      <c r="AK37" s="337">
        <v>171.0</v>
      </c>
      <c r="AL37" s="337">
        <v>104.0</v>
      </c>
      <c r="AM37" s="338">
        <v>28.0</v>
      </c>
      <c r="AN37" s="338">
        <v>78.0</v>
      </c>
      <c r="AO37" s="339">
        <f t="shared" si="3"/>
        <v>53</v>
      </c>
      <c r="AP37" s="337">
        <v>-5.0</v>
      </c>
      <c r="AQ37" s="337">
        <v>4.0</v>
      </c>
      <c r="AR37" s="340">
        <v>100.0</v>
      </c>
      <c r="AS37" s="338">
        <v>4.0</v>
      </c>
      <c r="AT37" s="337">
        <v>92.0</v>
      </c>
      <c r="AU37" s="337">
        <v>263.0</v>
      </c>
      <c r="AV37" s="341"/>
      <c r="AW37" s="346">
        <v>110.0</v>
      </c>
      <c r="AX37" s="347"/>
      <c r="AY37" s="348">
        <v>3.0</v>
      </c>
      <c r="AZ37" s="349" t="s">
        <v>584</v>
      </c>
      <c r="BA37" s="350" t="s">
        <v>177</v>
      </c>
      <c r="BB37" s="349"/>
    </row>
    <row r="38">
      <c r="A38" s="343" t="s">
        <v>925</v>
      </c>
      <c r="B38" s="336" t="s">
        <v>823</v>
      </c>
      <c r="C38" s="337">
        <v>21.0</v>
      </c>
      <c r="D38" s="337">
        <v>0.0</v>
      </c>
      <c r="E38" s="337">
        <v>56.0</v>
      </c>
      <c r="F38" s="337">
        <v>34.0</v>
      </c>
      <c r="G38" s="338">
        <v>3.0</v>
      </c>
      <c r="H38" s="338">
        <v>16.0</v>
      </c>
      <c r="I38" s="339">
        <f t="shared" si="1"/>
        <v>9.5</v>
      </c>
      <c r="J38" s="337">
        <v>0.0</v>
      </c>
      <c r="K38" s="337">
        <v>4.0</v>
      </c>
      <c r="L38" s="340">
        <v>100.0</v>
      </c>
      <c r="M38" s="338">
        <v>4.0</v>
      </c>
      <c r="N38" s="337">
        <v>81.0</v>
      </c>
      <c r="O38" s="337">
        <v>38.0</v>
      </c>
      <c r="P38" s="341"/>
      <c r="Q38" s="343" t="s">
        <v>927</v>
      </c>
      <c r="R38" s="336" t="s">
        <v>836</v>
      </c>
      <c r="S38" s="337">
        <v>45.0</v>
      </c>
      <c r="T38" s="337">
        <v>25.0</v>
      </c>
      <c r="U38" s="337">
        <v>104.0</v>
      </c>
      <c r="V38" s="337">
        <v>71.0</v>
      </c>
      <c r="W38" s="338">
        <v>14.0</v>
      </c>
      <c r="X38" s="338">
        <v>53.0</v>
      </c>
      <c r="Y38" s="339">
        <f t="shared" si="2"/>
        <v>33.5</v>
      </c>
      <c r="Z38" s="337">
        <v>0.0</v>
      </c>
      <c r="AA38" s="337">
        <v>4.0</v>
      </c>
      <c r="AB38" s="340">
        <v>100.0</v>
      </c>
      <c r="AC38" s="338">
        <v>4.0</v>
      </c>
      <c r="AD38" s="337">
        <v>87.0</v>
      </c>
      <c r="AE38" s="337">
        <v>146.0</v>
      </c>
      <c r="AF38" s="341"/>
      <c r="AG38" s="343" t="s">
        <v>929</v>
      </c>
      <c r="AH38" s="344" t="s">
        <v>844</v>
      </c>
      <c r="AI38" s="337">
        <v>71.0</v>
      </c>
      <c r="AJ38" s="337">
        <v>53.0</v>
      </c>
      <c r="AK38" s="337">
        <v>185.0</v>
      </c>
      <c r="AL38" s="337">
        <v>87.0</v>
      </c>
      <c r="AM38" s="338">
        <v>19.0</v>
      </c>
      <c r="AN38" s="338">
        <v>94.0</v>
      </c>
      <c r="AO38" s="339">
        <f t="shared" si="3"/>
        <v>56.5</v>
      </c>
      <c r="AP38" s="337">
        <v>0.0</v>
      </c>
      <c r="AQ38" s="337">
        <v>4.0</v>
      </c>
      <c r="AR38" s="340">
        <v>100.0</v>
      </c>
      <c r="AS38" s="338">
        <v>4.0</v>
      </c>
      <c r="AT38" s="337">
        <v>93.0</v>
      </c>
      <c r="AU38" s="337">
        <v>265.0</v>
      </c>
      <c r="AV38" s="341"/>
      <c r="AW38" s="346">
        <v>110.0</v>
      </c>
      <c r="AX38" s="347"/>
      <c r="AY38" s="348">
        <v>3.0</v>
      </c>
      <c r="AZ38" s="349" t="s">
        <v>584</v>
      </c>
      <c r="BA38" s="350" t="s">
        <v>177</v>
      </c>
      <c r="BB38" s="349"/>
    </row>
    <row r="39">
      <c r="A39" s="343" t="s">
        <v>931</v>
      </c>
      <c r="B39" s="336" t="s">
        <v>856</v>
      </c>
      <c r="C39" s="337">
        <v>24.0</v>
      </c>
      <c r="D39" s="337">
        <v>0.0</v>
      </c>
      <c r="E39" s="337">
        <v>62.0</v>
      </c>
      <c r="F39" s="347"/>
      <c r="G39" s="338">
        <v>7.0</v>
      </c>
      <c r="H39" s="338">
        <v>19.0</v>
      </c>
      <c r="I39" s="339">
        <f t="shared" si="1"/>
        <v>13</v>
      </c>
      <c r="J39" s="337">
        <v>10.0</v>
      </c>
      <c r="K39" s="337">
        <v>4.0</v>
      </c>
      <c r="L39" s="340">
        <v>80.0</v>
      </c>
      <c r="M39" s="338">
        <v>4.0</v>
      </c>
      <c r="N39" s="337">
        <v>82.0</v>
      </c>
      <c r="O39" s="337">
        <v>40.0</v>
      </c>
      <c r="P39" s="341"/>
      <c r="Q39" s="343" t="s">
        <v>933</v>
      </c>
      <c r="R39" s="336" t="s">
        <v>859</v>
      </c>
      <c r="S39" s="337">
        <v>48.0</v>
      </c>
      <c r="T39" s="337">
        <v>25.0</v>
      </c>
      <c r="U39" s="337">
        <v>113.0</v>
      </c>
      <c r="V39" s="337">
        <v>20.0</v>
      </c>
      <c r="W39" s="338">
        <v>22.0</v>
      </c>
      <c r="X39" s="338">
        <v>58.0</v>
      </c>
      <c r="Y39" s="339">
        <f t="shared" si="2"/>
        <v>40</v>
      </c>
      <c r="Z39" s="337">
        <v>10.0</v>
      </c>
      <c r="AA39" s="337">
        <v>4.0</v>
      </c>
      <c r="AB39" s="340">
        <v>80.0</v>
      </c>
      <c r="AC39" s="338">
        <v>4.0</v>
      </c>
      <c r="AD39" s="337">
        <v>88.0</v>
      </c>
      <c r="AE39" s="337">
        <v>148.0</v>
      </c>
      <c r="AF39" s="341"/>
      <c r="AG39" s="343" t="s">
        <v>935</v>
      </c>
      <c r="AH39" s="344" t="s">
        <v>863</v>
      </c>
      <c r="AI39" s="337">
        <v>77.0</v>
      </c>
      <c r="AJ39" s="337">
        <v>57.0</v>
      </c>
      <c r="AK39" s="337">
        <v>163.0</v>
      </c>
      <c r="AL39" s="337">
        <v>103.0</v>
      </c>
      <c r="AM39" s="338">
        <v>30.0</v>
      </c>
      <c r="AN39" s="338">
        <v>68.0</v>
      </c>
      <c r="AO39" s="339">
        <f t="shared" si="3"/>
        <v>49</v>
      </c>
      <c r="AP39" s="337">
        <v>-10.0</v>
      </c>
      <c r="AQ39" s="337">
        <v>4.0</v>
      </c>
      <c r="AR39" s="340">
        <v>80.0</v>
      </c>
      <c r="AS39" s="338">
        <v>4.0</v>
      </c>
      <c r="AT39" s="337">
        <v>94.0</v>
      </c>
      <c r="AU39" s="337">
        <v>267.0</v>
      </c>
      <c r="AV39" s="341"/>
      <c r="AW39" s="346">
        <v>110.0</v>
      </c>
      <c r="AX39" s="347"/>
      <c r="AY39" s="348">
        <v>3.0</v>
      </c>
      <c r="AZ39" s="349" t="s">
        <v>584</v>
      </c>
      <c r="BA39" s="350" t="s">
        <v>177</v>
      </c>
      <c r="BB39" s="349"/>
    </row>
    <row r="40">
      <c r="A40" s="343" t="s">
        <v>936</v>
      </c>
      <c r="B40" s="336" t="s">
        <v>865</v>
      </c>
      <c r="C40" s="337">
        <v>27.0</v>
      </c>
      <c r="D40" s="337">
        <v>0.0</v>
      </c>
      <c r="E40" s="337">
        <v>70.0</v>
      </c>
      <c r="F40" s="337">
        <v>49.0</v>
      </c>
      <c r="G40" s="338">
        <v>9.0</v>
      </c>
      <c r="H40" s="338">
        <v>15.0</v>
      </c>
      <c r="I40" s="339">
        <f t="shared" si="1"/>
        <v>12</v>
      </c>
      <c r="J40" s="337">
        <v>-10.0</v>
      </c>
      <c r="K40" s="337">
        <v>5.0</v>
      </c>
      <c r="L40" s="340">
        <v>100.0</v>
      </c>
      <c r="M40" s="338">
        <v>4.0</v>
      </c>
      <c r="N40" s="337">
        <v>83.0</v>
      </c>
      <c r="O40" s="337">
        <v>42.0</v>
      </c>
      <c r="P40" s="341"/>
      <c r="Q40" s="343" t="s">
        <v>939</v>
      </c>
      <c r="R40" s="336" t="s">
        <v>869</v>
      </c>
      <c r="S40" s="337">
        <v>49.0</v>
      </c>
      <c r="T40" s="337">
        <v>25.0</v>
      </c>
      <c r="U40" s="337">
        <v>125.0</v>
      </c>
      <c r="V40" s="337">
        <v>94.0</v>
      </c>
      <c r="W40" s="338">
        <v>28.0</v>
      </c>
      <c r="X40" s="338">
        <v>51.0</v>
      </c>
      <c r="Y40" s="339">
        <f t="shared" si="2"/>
        <v>39.5</v>
      </c>
      <c r="Z40" s="337">
        <v>-10.0</v>
      </c>
      <c r="AA40" s="337">
        <v>5.0</v>
      </c>
      <c r="AB40" s="340">
        <v>100.0</v>
      </c>
      <c r="AC40" s="338">
        <v>4.0</v>
      </c>
      <c r="AD40" s="337">
        <v>89.0</v>
      </c>
      <c r="AE40" s="337">
        <v>150.0</v>
      </c>
      <c r="AF40" s="341"/>
      <c r="AG40" s="343" t="s">
        <v>941</v>
      </c>
      <c r="AH40" s="344" t="s">
        <v>873</v>
      </c>
      <c r="AI40" s="337">
        <v>80.0</v>
      </c>
      <c r="AJ40" s="337">
        <v>60.0</v>
      </c>
      <c r="AK40" s="337">
        <v>182.0</v>
      </c>
      <c r="AL40" s="337">
        <v>95.0</v>
      </c>
      <c r="AM40" s="338">
        <v>33.0</v>
      </c>
      <c r="AN40" s="338">
        <v>88.0</v>
      </c>
      <c r="AO40" s="339">
        <f t="shared" si="3"/>
        <v>60.5</v>
      </c>
      <c r="AP40" s="337">
        <v>10.0</v>
      </c>
      <c r="AQ40" s="337">
        <v>5.0</v>
      </c>
      <c r="AR40" s="340">
        <v>100.0</v>
      </c>
      <c r="AS40" s="338">
        <v>4.0</v>
      </c>
      <c r="AT40" s="337">
        <v>95.0</v>
      </c>
      <c r="AU40" s="337">
        <v>269.0</v>
      </c>
      <c r="AV40" s="341"/>
      <c r="AW40" s="346">
        <v>110.0</v>
      </c>
      <c r="AX40" s="347"/>
      <c r="AY40" s="348">
        <v>3.0</v>
      </c>
      <c r="AZ40" s="349" t="s">
        <v>584</v>
      </c>
      <c r="BA40" s="350" t="s">
        <v>177</v>
      </c>
      <c r="BB40" s="349"/>
    </row>
    <row r="41">
      <c r="A41" s="359" t="s">
        <v>943</v>
      </c>
      <c r="B41" s="360" t="s">
        <v>879</v>
      </c>
      <c r="C41" s="361">
        <v>33.0</v>
      </c>
      <c r="D41" s="361">
        <v>0.0</v>
      </c>
      <c r="E41" s="361">
        <v>100.0</v>
      </c>
      <c r="F41" s="361">
        <v>60.0</v>
      </c>
      <c r="G41" s="362">
        <v>12.0</v>
      </c>
      <c r="H41" s="362">
        <v>20.0</v>
      </c>
      <c r="I41" s="366">
        <f t="shared" si="1"/>
        <v>16</v>
      </c>
      <c r="J41" s="361">
        <v>10.0</v>
      </c>
      <c r="K41" s="361">
        <v>6.0</v>
      </c>
      <c r="L41" s="368">
        <v>100.0</v>
      </c>
      <c r="M41" s="362">
        <v>4.0</v>
      </c>
      <c r="N41" s="361">
        <v>84.0</v>
      </c>
      <c r="O41" s="361">
        <v>44.0</v>
      </c>
      <c r="P41" s="370"/>
      <c r="Q41" s="359" t="s">
        <v>947</v>
      </c>
      <c r="R41" s="360" t="s">
        <v>886</v>
      </c>
      <c r="S41" s="361">
        <v>54.0</v>
      </c>
      <c r="T41" s="361">
        <v>25.0</v>
      </c>
      <c r="U41" s="361">
        <v>170.0</v>
      </c>
      <c r="V41" s="361">
        <v>110.0</v>
      </c>
      <c r="W41" s="362">
        <v>28.0</v>
      </c>
      <c r="X41" s="362">
        <v>58.0</v>
      </c>
      <c r="Y41" s="366">
        <f t="shared" si="2"/>
        <v>43</v>
      </c>
      <c r="Z41" s="361">
        <v>10.0</v>
      </c>
      <c r="AA41" s="361">
        <v>6.0</v>
      </c>
      <c r="AB41" s="368">
        <v>100.0</v>
      </c>
      <c r="AC41" s="362">
        <v>4.0</v>
      </c>
      <c r="AD41" s="361">
        <v>90.0</v>
      </c>
      <c r="AE41" s="361">
        <v>152.0</v>
      </c>
      <c r="AF41" s="370"/>
      <c r="AG41" s="359" t="s">
        <v>950</v>
      </c>
      <c r="AH41" s="373" t="s">
        <v>900</v>
      </c>
      <c r="AI41" s="361">
        <v>85.0</v>
      </c>
      <c r="AJ41" s="361">
        <v>63.0</v>
      </c>
      <c r="AK41" s="361">
        <v>189.0</v>
      </c>
      <c r="AL41" s="361">
        <v>110.0</v>
      </c>
      <c r="AM41" s="362">
        <v>31.0</v>
      </c>
      <c r="AN41" s="362">
        <v>81.0</v>
      </c>
      <c r="AO41" s="366">
        <f t="shared" si="3"/>
        <v>56</v>
      </c>
      <c r="AP41" s="361">
        <v>5.0</v>
      </c>
      <c r="AQ41" s="361">
        <v>6.0</v>
      </c>
      <c r="AR41" s="368">
        <v>100.0</v>
      </c>
      <c r="AS41" s="362">
        <v>4.0</v>
      </c>
      <c r="AT41" s="361">
        <v>96.0</v>
      </c>
      <c r="AU41" s="361">
        <v>271.0</v>
      </c>
      <c r="AV41" s="370"/>
      <c r="AW41" s="375">
        <v>110.0</v>
      </c>
      <c r="AX41" s="376"/>
      <c r="AY41" s="378">
        <v>3.0</v>
      </c>
      <c r="AZ41" s="380" t="s">
        <v>584</v>
      </c>
      <c r="BA41" s="382" t="s">
        <v>177</v>
      </c>
      <c r="BB41" s="380"/>
    </row>
    <row r="42">
      <c r="A42" s="37" t="s">
        <v>370</v>
      </c>
      <c r="B42" s="38" t="s">
        <v>953</v>
      </c>
      <c r="C42" s="54">
        <v>3.0</v>
      </c>
      <c r="D42" s="72">
        <v>0.0</v>
      </c>
      <c r="E42" s="74"/>
      <c r="F42" s="74"/>
      <c r="G42" s="54">
        <v>1.0</v>
      </c>
      <c r="H42" s="54">
        <v>4.0</v>
      </c>
      <c r="I42" s="83">
        <f t="shared" si="1"/>
        <v>2.5</v>
      </c>
      <c r="J42" s="72">
        <v>-20.0</v>
      </c>
      <c r="K42" s="84">
        <v>1.0</v>
      </c>
      <c r="L42" s="85">
        <v>32.0</v>
      </c>
      <c r="M42" s="54">
        <v>2.0</v>
      </c>
      <c r="N42" s="86">
        <v>115.0</v>
      </c>
      <c r="O42" s="86">
        <v>46.0</v>
      </c>
      <c r="P42" s="87"/>
      <c r="Q42" s="88" t="s">
        <v>956</v>
      </c>
      <c r="R42" s="38" t="s">
        <v>957</v>
      </c>
      <c r="S42" s="54">
        <v>31.0</v>
      </c>
      <c r="T42" s="72">
        <v>19.0</v>
      </c>
      <c r="U42" s="90">
        <v>25.0</v>
      </c>
      <c r="V42" s="74"/>
      <c r="W42" s="54">
        <v>9.0</v>
      </c>
      <c r="X42" s="54">
        <v>26.0</v>
      </c>
      <c r="Y42" s="83">
        <f t="shared" si="2"/>
        <v>17.5</v>
      </c>
      <c r="Z42" s="72">
        <v>-20.0</v>
      </c>
      <c r="AA42" s="72">
        <v>2.0</v>
      </c>
      <c r="AB42" s="85">
        <v>32.0</v>
      </c>
      <c r="AC42" s="54">
        <v>2.0</v>
      </c>
      <c r="AD42" s="86">
        <v>119.0</v>
      </c>
      <c r="AE42" s="86">
        <v>154.0</v>
      </c>
      <c r="AF42" s="87"/>
      <c r="AG42" s="88" t="s">
        <v>958</v>
      </c>
      <c r="AH42" s="96" t="s">
        <v>959</v>
      </c>
      <c r="AI42" s="54">
        <v>58.0</v>
      </c>
      <c r="AJ42" s="72">
        <v>43.0</v>
      </c>
      <c r="AK42" s="90">
        <v>38.0</v>
      </c>
      <c r="AL42" s="90">
        <v>75.0</v>
      </c>
      <c r="AM42" s="54">
        <v>28.0</v>
      </c>
      <c r="AN42" s="54">
        <v>56.0</v>
      </c>
      <c r="AO42" s="83">
        <f t="shared" si="3"/>
        <v>42</v>
      </c>
      <c r="AP42" s="72">
        <v>-20.0</v>
      </c>
      <c r="AQ42" s="72">
        <v>2.0</v>
      </c>
      <c r="AR42" s="104">
        <v>72.0</v>
      </c>
      <c r="AS42" s="54">
        <v>2.0</v>
      </c>
      <c r="AT42" s="86">
        <v>123.0</v>
      </c>
      <c r="AU42" s="86">
        <v>273.0</v>
      </c>
      <c r="AV42" s="87"/>
      <c r="AW42" s="105">
        <v>75.0</v>
      </c>
      <c r="AX42" s="72">
        <v>75.0</v>
      </c>
      <c r="AY42" s="72">
        <v>1.0</v>
      </c>
      <c r="AZ42" s="68" t="s">
        <v>964</v>
      </c>
      <c r="BA42" s="60" t="s">
        <v>177</v>
      </c>
      <c r="BB42" s="96" t="s">
        <v>967</v>
      </c>
    </row>
    <row r="43">
      <c r="A43" s="37" t="s">
        <v>969</v>
      </c>
      <c r="B43" s="38" t="s">
        <v>970</v>
      </c>
      <c r="C43" s="54">
        <v>9.0</v>
      </c>
      <c r="D43" s="72">
        <v>0.0</v>
      </c>
      <c r="E43" s="74"/>
      <c r="F43" s="90">
        <v>25.0</v>
      </c>
      <c r="G43" s="54">
        <v>3.0</v>
      </c>
      <c r="H43" s="54">
        <v>9.0</v>
      </c>
      <c r="I43" s="83">
        <f t="shared" si="1"/>
        <v>6</v>
      </c>
      <c r="J43" s="72">
        <v>0.0</v>
      </c>
      <c r="K43" s="84">
        <v>1.0</v>
      </c>
      <c r="L43" s="85">
        <v>40.0</v>
      </c>
      <c r="M43" s="54">
        <v>2.0</v>
      </c>
      <c r="N43" s="86">
        <v>116.0</v>
      </c>
      <c r="O43" s="86">
        <v>47.0</v>
      </c>
      <c r="P43" s="87"/>
      <c r="Q43" s="88" t="s">
        <v>976</v>
      </c>
      <c r="R43" s="38" t="s">
        <v>978</v>
      </c>
      <c r="S43" s="54">
        <v>36.0</v>
      </c>
      <c r="T43" s="72">
        <v>24.0</v>
      </c>
      <c r="U43" s="90">
        <v>25.0</v>
      </c>
      <c r="V43" s="90">
        <v>58.0</v>
      </c>
      <c r="W43" s="54">
        <v>14.0</v>
      </c>
      <c r="X43" s="54">
        <v>38.0</v>
      </c>
      <c r="Y43" s="83">
        <f t="shared" si="2"/>
        <v>26</v>
      </c>
      <c r="Z43" s="72">
        <v>0.0</v>
      </c>
      <c r="AA43" s="72">
        <v>2.0</v>
      </c>
      <c r="AB43" s="85">
        <v>40.0</v>
      </c>
      <c r="AC43" s="54">
        <v>2.0</v>
      </c>
      <c r="AD43" s="86">
        <v>120.0</v>
      </c>
      <c r="AE43" s="86">
        <v>155.0</v>
      </c>
      <c r="AF43" s="87"/>
      <c r="AG43" s="88" t="s">
        <v>981</v>
      </c>
      <c r="AH43" s="96" t="s">
        <v>983</v>
      </c>
      <c r="AI43" s="54">
        <v>70.0</v>
      </c>
      <c r="AJ43" s="72">
        <v>52.0</v>
      </c>
      <c r="AK43" s="90">
        <v>55.0</v>
      </c>
      <c r="AL43" s="90">
        <v>98.0</v>
      </c>
      <c r="AM43" s="54">
        <v>43.0</v>
      </c>
      <c r="AN43" s="54">
        <v>61.0</v>
      </c>
      <c r="AO43" s="83">
        <f t="shared" si="3"/>
        <v>52</v>
      </c>
      <c r="AP43" s="72">
        <v>0.0</v>
      </c>
      <c r="AQ43" s="72">
        <v>2.0</v>
      </c>
      <c r="AR43" s="104">
        <v>110.0</v>
      </c>
      <c r="AS43" s="54">
        <v>2.0</v>
      </c>
      <c r="AT43" s="86">
        <v>124.0</v>
      </c>
      <c r="AU43" s="86">
        <v>274.0</v>
      </c>
      <c r="AV43" s="87"/>
      <c r="AW43" s="105">
        <v>75.0</v>
      </c>
      <c r="AX43" s="72">
        <v>75.0</v>
      </c>
      <c r="AY43" s="72">
        <v>1.0</v>
      </c>
      <c r="AZ43" s="68" t="s">
        <v>964</v>
      </c>
      <c r="BA43" s="60" t="s">
        <v>177</v>
      </c>
      <c r="BB43" s="96" t="s">
        <v>967</v>
      </c>
    </row>
    <row r="44">
      <c r="A44" s="37" t="s">
        <v>986</v>
      </c>
      <c r="B44" s="38" t="s">
        <v>987</v>
      </c>
      <c r="C44" s="54">
        <v>17.0</v>
      </c>
      <c r="D44" s="72">
        <v>0.0</v>
      </c>
      <c r="E44" s="74"/>
      <c r="F44" s="90">
        <v>45.0</v>
      </c>
      <c r="G44" s="54">
        <v>2.0</v>
      </c>
      <c r="H44" s="54">
        <v>11.0</v>
      </c>
      <c r="I44" s="83">
        <f t="shared" si="1"/>
        <v>6.5</v>
      </c>
      <c r="J44" s="72">
        <v>-20.0</v>
      </c>
      <c r="K44" s="72">
        <v>3.0</v>
      </c>
      <c r="L44" s="85">
        <v>48.0</v>
      </c>
      <c r="M44" s="54">
        <v>2.0</v>
      </c>
      <c r="N44" s="86">
        <v>117.0</v>
      </c>
      <c r="O44" s="86">
        <v>48.0</v>
      </c>
      <c r="P44" s="87"/>
      <c r="Q44" s="88" t="s">
        <v>989</v>
      </c>
      <c r="R44" s="38" t="s">
        <v>990</v>
      </c>
      <c r="S44" s="54">
        <v>42.0</v>
      </c>
      <c r="T44" s="72">
        <v>25.0</v>
      </c>
      <c r="U44" s="90">
        <v>25.0</v>
      </c>
      <c r="V44" s="90">
        <v>88.0</v>
      </c>
      <c r="W44" s="54">
        <v>17.0</v>
      </c>
      <c r="X44" s="54">
        <v>45.0</v>
      </c>
      <c r="Y44" s="83">
        <f t="shared" si="2"/>
        <v>31</v>
      </c>
      <c r="Z44" s="72">
        <v>-20.0</v>
      </c>
      <c r="AA44" s="72">
        <v>3.0</v>
      </c>
      <c r="AB44" s="85">
        <v>48.0</v>
      </c>
      <c r="AC44" s="54">
        <v>2.0</v>
      </c>
      <c r="AD44" s="86">
        <v>121.0</v>
      </c>
      <c r="AE44" s="86">
        <v>156.0</v>
      </c>
      <c r="AF44" s="87"/>
      <c r="AG44" s="88" t="s">
        <v>994</v>
      </c>
      <c r="AH44" s="96" t="s">
        <v>995</v>
      </c>
      <c r="AI44" s="54">
        <v>83.0</v>
      </c>
      <c r="AJ44" s="72">
        <v>62.0</v>
      </c>
      <c r="AK44" s="90">
        <v>42.0</v>
      </c>
      <c r="AL44" s="90">
        <v>86.0</v>
      </c>
      <c r="AM44" s="54">
        <v>19.0</v>
      </c>
      <c r="AN44" s="54">
        <v>65.0</v>
      </c>
      <c r="AO44" s="83">
        <f t="shared" si="3"/>
        <v>42</v>
      </c>
      <c r="AP44" s="72">
        <v>-20.0</v>
      </c>
      <c r="AQ44" s="72">
        <v>3.0</v>
      </c>
      <c r="AR44" s="104">
        <v>72.0</v>
      </c>
      <c r="AS44" s="54">
        <v>2.0</v>
      </c>
      <c r="AT44" s="86">
        <v>125.0</v>
      </c>
      <c r="AU44" s="86">
        <v>275.0</v>
      </c>
      <c r="AV44" s="87"/>
      <c r="AW44" s="105">
        <v>75.0</v>
      </c>
      <c r="AX44" s="72">
        <v>75.0</v>
      </c>
      <c r="AY44" s="72">
        <v>1.0</v>
      </c>
      <c r="AZ44" s="68" t="s">
        <v>964</v>
      </c>
      <c r="BA44" s="60" t="s">
        <v>177</v>
      </c>
      <c r="BB44" s="96" t="s">
        <v>967</v>
      </c>
    </row>
    <row r="45">
      <c r="A45" s="183" t="s">
        <v>1003</v>
      </c>
      <c r="B45" s="185" t="s">
        <v>1004</v>
      </c>
      <c r="C45" s="186">
        <v>23.0</v>
      </c>
      <c r="D45" s="188">
        <v>0.0</v>
      </c>
      <c r="E45" s="189">
        <v>35.0</v>
      </c>
      <c r="F45" s="189">
        <v>51.0</v>
      </c>
      <c r="G45" s="186">
        <v>4.0</v>
      </c>
      <c r="H45" s="186">
        <v>15.0</v>
      </c>
      <c r="I45" s="191">
        <f t="shared" si="1"/>
        <v>9.5</v>
      </c>
      <c r="J45" s="188">
        <v>-10.0</v>
      </c>
      <c r="K45" s="188">
        <v>2.0</v>
      </c>
      <c r="L45" s="195">
        <v>48.0</v>
      </c>
      <c r="M45" s="186">
        <v>3.0</v>
      </c>
      <c r="N45" s="196">
        <v>118.0</v>
      </c>
      <c r="O45" s="196">
        <v>49.0</v>
      </c>
      <c r="P45" s="198"/>
      <c r="Q45" s="399" t="s">
        <v>1016</v>
      </c>
      <c r="R45" s="185" t="s">
        <v>1020</v>
      </c>
      <c r="S45" s="186">
        <v>46.0</v>
      </c>
      <c r="T45" s="188">
        <v>25.0</v>
      </c>
      <c r="U45" s="189">
        <v>47.0</v>
      </c>
      <c r="V45" s="189">
        <v>97.0</v>
      </c>
      <c r="W45" s="186">
        <v>28.0</v>
      </c>
      <c r="X45" s="186">
        <v>52.0</v>
      </c>
      <c r="Y45" s="191">
        <f t="shared" si="2"/>
        <v>40</v>
      </c>
      <c r="Z45" s="188">
        <v>-10.0</v>
      </c>
      <c r="AA45" s="188">
        <v>2.0</v>
      </c>
      <c r="AB45" s="195">
        <v>48.0</v>
      </c>
      <c r="AC45" s="186">
        <v>3.0</v>
      </c>
      <c r="AD45" s="196">
        <v>122.0</v>
      </c>
      <c r="AE45" s="196">
        <v>157.0</v>
      </c>
      <c r="AF45" s="198"/>
      <c r="AG45" s="200" t="s">
        <v>1030</v>
      </c>
      <c r="AH45" s="214" t="s">
        <v>1032</v>
      </c>
      <c r="AI45" s="186">
        <v>85.0</v>
      </c>
      <c r="AJ45" s="188">
        <v>66.0</v>
      </c>
      <c r="AK45" s="189">
        <v>65.0</v>
      </c>
      <c r="AL45" s="189">
        <v>67.0</v>
      </c>
      <c r="AM45" s="186">
        <v>36.0</v>
      </c>
      <c r="AN45" s="186">
        <v>64.0</v>
      </c>
      <c r="AO45" s="191">
        <f t="shared" si="3"/>
        <v>50</v>
      </c>
      <c r="AP45" s="188">
        <v>-10.0</v>
      </c>
      <c r="AQ45" s="188">
        <v>2.0</v>
      </c>
      <c r="AR45" s="219">
        <v>94.0</v>
      </c>
      <c r="AS45" s="186">
        <v>3.0</v>
      </c>
      <c r="AT45" s="196">
        <v>126.0</v>
      </c>
      <c r="AU45" s="196">
        <v>276.0</v>
      </c>
      <c r="AV45" s="198"/>
      <c r="AW45" s="220">
        <v>75.0</v>
      </c>
      <c r="AX45" s="188">
        <v>75.0</v>
      </c>
      <c r="AY45" s="188">
        <v>1.0</v>
      </c>
      <c r="AZ45" s="221" t="s">
        <v>964</v>
      </c>
      <c r="BA45" s="224" t="s">
        <v>177</v>
      </c>
      <c r="BB45" s="96" t="s">
        <v>967</v>
      </c>
    </row>
    <row r="46">
      <c r="A46" s="116" t="s">
        <v>1033</v>
      </c>
      <c r="B46" s="117" t="s">
        <v>1034</v>
      </c>
      <c r="C46" s="137">
        <v>2.0</v>
      </c>
      <c r="D46" s="228">
        <v>0.0</v>
      </c>
      <c r="E46" s="229"/>
      <c r="F46" s="240">
        <v>21.0</v>
      </c>
      <c r="G46" s="137">
        <v>4.0</v>
      </c>
      <c r="H46" s="137">
        <v>5.0</v>
      </c>
      <c r="I46" s="231">
        <f t="shared" si="1"/>
        <v>4.5</v>
      </c>
      <c r="J46" s="228">
        <v>0.0</v>
      </c>
      <c r="K46" s="84">
        <v>1.0</v>
      </c>
      <c r="L46" s="234"/>
      <c r="M46" s="137">
        <v>2.0</v>
      </c>
      <c r="N46" s="236">
        <v>202.0</v>
      </c>
      <c r="O46" s="236">
        <v>50.0</v>
      </c>
      <c r="P46" s="237"/>
      <c r="Q46" s="238" t="s">
        <v>1044</v>
      </c>
      <c r="R46" s="117" t="s">
        <v>1045</v>
      </c>
      <c r="S46" s="137">
        <v>31.0</v>
      </c>
      <c r="T46" s="228">
        <v>19.0</v>
      </c>
      <c r="U46" s="240">
        <v>25.0</v>
      </c>
      <c r="V46" s="240">
        <v>52.0</v>
      </c>
      <c r="W46" s="137">
        <v>14.0</v>
      </c>
      <c r="X46" s="137">
        <v>30.0</v>
      </c>
      <c r="Y46" s="231">
        <f t="shared" si="2"/>
        <v>22</v>
      </c>
      <c r="Z46" s="228">
        <v>0.0</v>
      </c>
      <c r="AA46" s="119">
        <v>2.0</v>
      </c>
      <c r="AB46" s="234"/>
      <c r="AC46" s="137">
        <v>2.0</v>
      </c>
      <c r="AD46" s="236">
        <v>206.0</v>
      </c>
      <c r="AE46" s="236">
        <v>158.0</v>
      </c>
      <c r="AF46" s="237"/>
      <c r="AG46" s="238" t="s">
        <v>1048</v>
      </c>
      <c r="AH46" s="244" t="s">
        <v>1049</v>
      </c>
      <c r="AI46" s="137">
        <v>64.0</v>
      </c>
      <c r="AJ46" s="228">
        <v>48.0</v>
      </c>
      <c r="AK46" s="240">
        <v>48.0</v>
      </c>
      <c r="AL46" s="240">
        <v>141.0</v>
      </c>
      <c r="AM46" s="137">
        <v>23.0</v>
      </c>
      <c r="AN46" s="137">
        <v>54.0</v>
      </c>
      <c r="AO46" s="231">
        <f t="shared" si="3"/>
        <v>38.5</v>
      </c>
      <c r="AP46" s="228">
        <v>0.0</v>
      </c>
      <c r="AQ46" s="119">
        <v>2.0</v>
      </c>
      <c r="AR46" s="234"/>
      <c r="AS46" s="137">
        <v>2.0</v>
      </c>
      <c r="AT46" s="236">
        <v>210.0</v>
      </c>
      <c r="AU46" s="236">
        <v>277.0</v>
      </c>
      <c r="AV46" s="237"/>
      <c r="AW46" s="250">
        <v>75.0</v>
      </c>
      <c r="AX46" s="228">
        <v>75.0</v>
      </c>
      <c r="AY46" s="413">
        <v>1.0</v>
      </c>
      <c r="AZ46" s="155" t="s">
        <v>1051</v>
      </c>
      <c r="BA46" s="144" t="s">
        <v>1052</v>
      </c>
      <c r="BB46" s="155"/>
    </row>
    <row r="47">
      <c r="A47" s="37" t="s">
        <v>1053</v>
      </c>
      <c r="B47" s="38" t="s">
        <v>1054</v>
      </c>
      <c r="C47" s="54">
        <v>13.0</v>
      </c>
      <c r="D47" s="72">
        <v>0.0</v>
      </c>
      <c r="E47" s="74"/>
      <c r="F47" s="90">
        <v>51.0</v>
      </c>
      <c r="G47" s="54">
        <v>6.0</v>
      </c>
      <c r="H47" s="54">
        <v>11.0</v>
      </c>
      <c r="I47" s="83">
        <f t="shared" si="1"/>
        <v>8.5</v>
      </c>
      <c r="J47" s="72">
        <v>-20.0</v>
      </c>
      <c r="K47" s="72">
        <v>2.0</v>
      </c>
      <c r="L47" s="85"/>
      <c r="M47" s="54">
        <v>2.0</v>
      </c>
      <c r="N47" s="86">
        <v>204.0</v>
      </c>
      <c r="O47" s="86">
        <v>54.0</v>
      </c>
      <c r="P47" s="87"/>
      <c r="Q47" s="88" t="s">
        <v>1057</v>
      </c>
      <c r="R47" s="38" t="s">
        <v>1059</v>
      </c>
      <c r="S47" s="54">
        <v>39.0</v>
      </c>
      <c r="T47" s="72">
        <v>25.0</v>
      </c>
      <c r="U47" s="90">
        <v>25.0</v>
      </c>
      <c r="V47" s="90">
        <v>97.0</v>
      </c>
      <c r="W47" s="54">
        <v>17.0</v>
      </c>
      <c r="X47" s="54">
        <v>34.0</v>
      </c>
      <c r="Y47" s="83">
        <f t="shared" si="2"/>
        <v>25.5</v>
      </c>
      <c r="Z47" s="72">
        <v>-20.0</v>
      </c>
      <c r="AA47" s="72">
        <v>2.0</v>
      </c>
      <c r="AB47" s="85"/>
      <c r="AC47" s="54">
        <v>2.0</v>
      </c>
      <c r="AD47" s="86">
        <v>208.0</v>
      </c>
      <c r="AE47" s="86">
        <v>162.0</v>
      </c>
      <c r="AF47" s="87"/>
      <c r="AG47" s="88" t="s">
        <v>1060</v>
      </c>
      <c r="AH47" s="96" t="s">
        <v>1061</v>
      </c>
      <c r="AI47" s="54">
        <v>77.0</v>
      </c>
      <c r="AJ47" s="72">
        <v>57.0</v>
      </c>
      <c r="AK47" s="90">
        <v>45.0</v>
      </c>
      <c r="AL47" s="90">
        <v>142.0</v>
      </c>
      <c r="AM47" s="54">
        <v>23.0</v>
      </c>
      <c r="AN47" s="54">
        <v>39.0</v>
      </c>
      <c r="AO47" s="83">
        <f t="shared" si="3"/>
        <v>31</v>
      </c>
      <c r="AP47" s="72">
        <v>-20.0</v>
      </c>
      <c r="AQ47" s="72">
        <v>2.0</v>
      </c>
      <c r="AR47" s="85"/>
      <c r="AS47" s="54">
        <v>2.0</v>
      </c>
      <c r="AT47" s="86">
        <v>212.0</v>
      </c>
      <c r="AU47" s="86">
        <v>281.0</v>
      </c>
      <c r="AV47" s="87"/>
      <c r="AW47" s="105">
        <v>75.0</v>
      </c>
      <c r="AX47" s="72">
        <v>75.0</v>
      </c>
      <c r="AY47" s="420">
        <v>1.0</v>
      </c>
      <c r="AZ47" s="68" t="s">
        <v>1051</v>
      </c>
      <c r="BA47" s="60" t="s">
        <v>1052</v>
      </c>
      <c r="BB47" s="68"/>
    </row>
    <row r="48">
      <c r="A48" s="422" t="s">
        <v>1063</v>
      </c>
      <c r="B48" s="336" t="s">
        <v>1034</v>
      </c>
      <c r="C48" s="337">
        <v>2.0</v>
      </c>
      <c r="D48" s="337">
        <v>0.0</v>
      </c>
      <c r="E48" s="347"/>
      <c r="F48" s="337">
        <v>21.0</v>
      </c>
      <c r="G48" s="338">
        <v>2.0</v>
      </c>
      <c r="H48" s="338">
        <v>3.0</v>
      </c>
      <c r="I48" s="339">
        <f t="shared" si="1"/>
        <v>2.5</v>
      </c>
      <c r="J48" s="337">
        <v>0.0</v>
      </c>
      <c r="K48" s="84">
        <v>1.0</v>
      </c>
      <c r="L48" s="340"/>
      <c r="M48" s="338">
        <v>2.0</v>
      </c>
      <c r="N48" s="337">
        <v>190.0</v>
      </c>
      <c r="O48" s="337">
        <v>51.0</v>
      </c>
      <c r="P48" s="341"/>
      <c r="Q48" s="426" t="s">
        <v>1066</v>
      </c>
      <c r="R48" s="336" t="s">
        <v>1045</v>
      </c>
      <c r="S48" s="337">
        <v>31.0</v>
      </c>
      <c r="T48" s="337">
        <v>19.0</v>
      </c>
      <c r="U48" s="337">
        <v>25.0</v>
      </c>
      <c r="V48" s="337">
        <v>52.0</v>
      </c>
      <c r="W48" s="338">
        <v>12.0</v>
      </c>
      <c r="X48" s="338">
        <v>20.0</v>
      </c>
      <c r="Y48" s="339">
        <f t="shared" si="2"/>
        <v>16</v>
      </c>
      <c r="Z48" s="337">
        <v>0.0</v>
      </c>
      <c r="AA48" s="431">
        <v>2.0</v>
      </c>
      <c r="AB48" s="340"/>
      <c r="AC48" s="338">
        <v>2.0</v>
      </c>
      <c r="AD48" s="337">
        <v>194.0</v>
      </c>
      <c r="AE48" s="337">
        <v>159.0</v>
      </c>
      <c r="AF48" s="341"/>
      <c r="AG48" s="426" t="s">
        <v>1072</v>
      </c>
      <c r="AH48" s="344" t="s">
        <v>1049</v>
      </c>
      <c r="AI48" s="337">
        <v>64.0</v>
      </c>
      <c r="AJ48" s="337">
        <v>48.0</v>
      </c>
      <c r="AK48" s="337">
        <v>48.0</v>
      </c>
      <c r="AL48" s="337">
        <v>141.0</v>
      </c>
      <c r="AM48" s="338">
        <v>23.0</v>
      </c>
      <c r="AN48" s="338">
        <v>54.0</v>
      </c>
      <c r="AO48" s="339">
        <f t="shared" si="3"/>
        <v>38.5</v>
      </c>
      <c r="AP48" s="337">
        <v>0.0</v>
      </c>
      <c r="AQ48" s="431">
        <v>2.0</v>
      </c>
      <c r="AR48" s="340"/>
      <c r="AS48" s="338">
        <v>2.0</v>
      </c>
      <c r="AT48" s="337">
        <v>198.0</v>
      </c>
      <c r="AU48" s="337">
        <v>278.0</v>
      </c>
      <c r="AV48" s="341"/>
      <c r="AW48" s="346">
        <v>75.0</v>
      </c>
      <c r="AX48" s="348">
        <v>75.0</v>
      </c>
      <c r="AY48" s="348">
        <v>1.0</v>
      </c>
      <c r="AZ48" s="349" t="s">
        <v>1051</v>
      </c>
      <c r="BA48" s="350" t="s">
        <v>177</v>
      </c>
      <c r="BB48" s="349"/>
    </row>
    <row r="49">
      <c r="A49" s="436" t="s">
        <v>1073</v>
      </c>
      <c r="B49" s="437" t="s">
        <v>1054</v>
      </c>
      <c r="C49" s="438">
        <v>13.0</v>
      </c>
      <c r="D49" s="438">
        <v>0.0</v>
      </c>
      <c r="E49" s="439"/>
      <c r="F49" s="438">
        <v>51.0</v>
      </c>
      <c r="G49" s="440">
        <v>1.0</v>
      </c>
      <c r="H49" s="440">
        <v>8.0</v>
      </c>
      <c r="I49" s="442">
        <f t="shared" si="1"/>
        <v>4.5</v>
      </c>
      <c r="J49" s="438">
        <v>-20.0</v>
      </c>
      <c r="K49" s="431">
        <v>2.0</v>
      </c>
      <c r="L49" s="444"/>
      <c r="M49" s="440">
        <v>2.0</v>
      </c>
      <c r="N49" s="438">
        <v>192.0</v>
      </c>
      <c r="O49" s="438">
        <v>55.0</v>
      </c>
      <c r="P49" s="447"/>
      <c r="Q49" s="449" t="s">
        <v>1077</v>
      </c>
      <c r="R49" s="437" t="s">
        <v>1059</v>
      </c>
      <c r="S49" s="438">
        <v>39.0</v>
      </c>
      <c r="T49" s="438">
        <v>25.0</v>
      </c>
      <c r="U49" s="438">
        <v>25.0</v>
      </c>
      <c r="V49" s="438">
        <v>97.0</v>
      </c>
      <c r="W49" s="440">
        <v>8.0</v>
      </c>
      <c r="X49" s="440">
        <v>30.0</v>
      </c>
      <c r="Y49" s="442">
        <f t="shared" si="2"/>
        <v>19</v>
      </c>
      <c r="Z49" s="438">
        <v>-20.0</v>
      </c>
      <c r="AA49" s="431">
        <v>2.0</v>
      </c>
      <c r="AB49" s="444"/>
      <c r="AC49" s="440">
        <v>2.0</v>
      </c>
      <c r="AD49" s="438">
        <v>196.0</v>
      </c>
      <c r="AE49" s="438">
        <v>163.0</v>
      </c>
      <c r="AF49" s="447"/>
      <c r="AG49" s="449" t="s">
        <v>1079</v>
      </c>
      <c r="AH49" s="452" t="s">
        <v>1061</v>
      </c>
      <c r="AI49" s="438">
        <v>77.0</v>
      </c>
      <c r="AJ49" s="438">
        <v>57.0</v>
      </c>
      <c r="AK49" s="438">
        <v>45.0</v>
      </c>
      <c r="AL49" s="438">
        <v>142.0</v>
      </c>
      <c r="AM49" s="440">
        <v>27.0</v>
      </c>
      <c r="AN49" s="440">
        <v>35.0</v>
      </c>
      <c r="AO49" s="442">
        <f t="shared" si="3"/>
        <v>31</v>
      </c>
      <c r="AP49" s="438">
        <v>-20.0</v>
      </c>
      <c r="AQ49" s="431">
        <v>2.0</v>
      </c>
      <c r="AR49" s="444"/>
      <c r="AS49" s="440">
        <v>2.0</v>
      </c>
      <c r="AT49" s="438">
        <v>200.0</v>
      </c>
      <c r="AU49" s="438">
        <v>282.0</v>
      </c>
      <c r="AV49" s="447"/>
      <c r="AW49" s="456">
        <v>75.0</v>
      </c>
      <c r="AX49" s="458">
        <v>75.0</v>
      </c>
      <c r="AY49" s="458">
        <v>1.0</v>
      </c>
      <c r="AZ49" s="459" t="s">
        <v>1051</v>
      </c>
      <c r="BA49" s="461" t="s">
        <v>177</v>
      </c>
      <c r="BB49" s="459"/>
    </row>
    <row r="50">
      <c r="A50" s="462" t="s">
        <v>1081</v>
      </c>
      <c r="B50" s="463" t="s">
        <v>1083</v>
      </c>
      <c r="C50" s="464">
        <v>7.0</v>
      </c>
      <c r="D50" s="465">
        <v>0.0</v>
      </c>
      <c r="E50" s="466"/>
      <c r="F50" s="467">
        <v>40.0</v>
      </c>
      <c r="G50" s="464">
        <v>7.0</v>
      </c>
      <c r="H50" s="464">
        <v>8.0</v>
      </c>
      <c r="I50" s="468">
        <f t="shared" si="1"/>
        <v>7.5</v>
      </c>
      <c r="J50" s="465">
        <v>10.0</v>
      </c>
      <c r="K50" s="470">
        <v>1.0</v>
      </c>
      <c r="L50" s="471"/>
      <c r="M50" s="464">
        <v>2.0</v>
      </c>
      <c r="N50" s="472">
        <v>203.0</v>
      </c>
      <c r="O50" s="472">
        <v>52.0</v>
      </c>
      <c r="P50" s="473"/>
      <c r="Q50" s="474" t="s">
        <v>1085</v>
      </c>
      <c r="R50" s="463" t="s">
        <v>1086</v>
      </c>
      <c r="S50" s="464">
        <v>34.0</v>
      </c>
      <c r="T50" s="465">
        <v>22.0</v>
      </c>
      <c r="U50" s="467">
        <v>25.0</v>
      </c>
      <c r="V50" s="467">
        <v>80.0</v>
      </c>
      <c r="W50" s="464">
        <v>22.0</v>
      </c>
      <c r="X50" s="464">
        <v>41.0</v>
      </c>
      <c r="Y50" s="468">
        <f t="shared" si="2"/>
        <v>31.5</v>
      </c>
      <c r="Z50" s="465">
        <v>10.0</v>
      </c>
      <c r="AA50" s="475">
        <v>2.0</v>
      </c>
      <c r="AB50" s="471"/>
      <c r="AC50" s="464">
        <v>2.0</v>
      </c>
      <c r="AD50" s="472">
        <v>207.0</v>
      </c>
      <c r="AE50" s="472">
        <v>160.0</v>
      </c>
      <c r="AF50" s="473"/>
      <c r="AG50" s="474" t="s">
        <v>1088</v>
      </c>
      <c r="AH50" s="477" t="s">
        <v>1089</v>
      </c>
      <c r="AI50" s="464">
        <v>56.0</v>
      </c>
      <c r="AJ50" s="465">
        <v>42.0</v>
      </c>
      <c r="AK50" s="467">
        <v>88.0</v>
      </c>
      <c r="AL50" s="467">
        <v>108.0</v>
      </c>
      <c r="AM50" s="464">
        <v>15.0</v>
      </c>
      <c r="AN50" s="464">
        <v>66.0</v>
      </c>
      <c r="AO50" s="468">
        <f t="shared" si="3"/>
        <v>40.5</v>
      </c>
      <c r="AP50" s="465">
        <v>10.0</v>
      </c>
      <c r="AQ50" s="475">
        <v>2.0</v>
      </c>
      <c r="AR50" s="471"/>
      <c r="AS50" s="464">
        <v>2.0</v>
      </c>
      <c r="AT50" s="472">
        <v>211.0</v>
      </c>
      <c r="AU50" s="472">
        <v>279.0</v>
      </c>
      <c r="AV50" s="473"/>
      <c r="AW50" s="482">
        <v>75.0</v>
      </c>
      <c r="AX50" s="465">
        <v>75.0</v>
      </c>
      <c r="AY50" s="484">
        <v>1.0</v>
      </c>
      <c r="AZ50" s="486" t="s">
        <v>1092</v>
      </c>
      <c r="BA50" s="487" t="s">
        <v>1052</v>
      </c>
      <c r="BB50" s="486"/>
    </row>
    <row r="51">
      <c r="A51" s="37" t="s">
        <v>1094</v>
      </c>
      <c r="B51" s="38" t="s">
        <v>1095</v>
      </c>
      <c r="C51" s="54">
        <v>16.0</v>
      </c>
      <c r="D51" s="72">
        <v>0.0</v>
      </c>
      <c r="E51" s="74"/>
      <c r="F51" s="90">
        <v>57.0</v>
      </c>
      <c r="G51" s="54">
        <v>12.0</v>
      </c>
      <c r="H51" s="54">
        <v>15.0</v>
      </c>
      <c r="I51" s="83">
        <f t="shared" si="1"/>
        <v>13.5</v>
      </c>
      <c r="J51" s="72">
        <v>-10.0</v>
      </c>
      <c r="K51" s="43">
        <v>3.0</v>
      </c>
      <c r="L51" s="85"/>
      <c r="M51" s="54">
        <v>2.0</v>
      </c>
      <c r="N51" s="86">
        <v>205.0</v>
      </c>
      <c r="O51" s="86">
        <v>56.0</v>
      </c>
      <c r="P51" s="87"/>
      <c r="Q51" s="88" t="s">
        <v>1098</v>
      </c>
      <c r="R51" s="38" t="s">
        <v>1099</v>
      </c>
      <c r="S51" s="54">
        <v>41.0</v>
      </c>
      <c r="T51" s="72">
        <v>25.0</v>
      </c>
      <c r="U51" s="90">
        <v>25.0</v>
      </c>
      <c r="V51" s="90">
        <v>106.0</v>
      </c>
      <c r="W51" s="54">
        <v>24.0</v>
      </c>
      <c r="X51" s="54">
        <v>34.0</v>
      </c>
      <c r="Y51" s="83">
        <f t="shared" si="2"/>
        <v>29</v>
      </c>
      <c r="Z51" s="72">
        <v>-10.0</v>
      </c>
      <c r="AA51" s="43">
        <v>3.0</v>
      </c>
      <c r="AB51" s="85"/>
      <c r="AC51" s="54">
        <v>2.0</v>
      </c>
      <c r="AD51" s="86">
        <v>209.0</v>
      </c>
      <c r="AE51" s="86">
        <v>164.0</v>
      </c>
      <c r="AF51" s="87"/>
      <c r="AG51" s="88" t="s">
        <v>1101</v>
      </c>
      <c r="AH51" s="96" t="s">
        <v>1102</v>
      </c>
      <c r="AI51" s="54">
        <v>80.0</v>
      </c>
      <c r="AJ51" s="72">
        <v>60.0</v>
      </c>
      <c r="AK51" s="90">
        <v>96.0</v>
      </c>
      <c r="AL51" s="90">
        <v>122.0</v>
      </c>
      <c r="AM51" s="54">
        <v>7.0</v>
      </c>
      <c r="AN51" s="54">
        <v>60.0</v>
      </c>
      <c r="AO51" s="83">
        <f t="shared" si="3"/>
        <v>33.5</v>
      </c>
      <c r="AP51" s="72">
        <v>-10.0</v>
      </c>
      <c r="AQ51" s="43">
        <v>3.0</v>
      </c>
      <c r="AR51" s="85"/>
      <c r="AS51" s="54">
        <v>2.0</v>
      </c>
      <c r="AT51" s="86">
        <v>213.0</v>
      </c>
      <c r="AU51" s="86">
        <v>283.0</v>
      </c>
      <c r="AV51" s="87"/>
      <c r="AW51" s="105">
        <v>75.0</v>
      </c>
      <c r="AX51" s="72">
        <v>75.0</v>
      </c>
      <c r="AY51" s="420">
        <v>1.0</v>
      </c>
      <c r="AZ51" s="68" t="s">
        <v>1092</v>
      </c>
      <c r="BA51" s="60" t="s">
        <v>1052</v>
      </c>
      <c r="BB51" s="68"/>
    </row>
    <row r="52">
      <c r="A52" s="422" t="s">
        <v>1103</v>
      </c>
      <c r="B52" s="336" t="s">
        <v>1083</v>
      </c>
      <c r="C52" s="337">
        <v>7.0</v>
      </c>
      <c r="D52" s="337">
        <v>0.0</v>
      </c>
      <c r="E52" s="347"/>
      <c r="F52" s="337">
        <v>40.0</v>
      </c>
      <c r="G52" s="338">
        <v>4.0</v>
      </c>
      <c r="H52" s="338">
        <v>7.0</v>
      </c>
      <c r="I52" s="339">
        <f t="shared" si="1"/>
        <v>5.5</v>
      </c>
      <c r="J52" s="337">
        <v>10.0</v>
      </c>
      <c r="K52" s="84">
        <v>1.0</v>
      </c>
      <c r="L52" s="340"/>
      <c r="M52" s="338">
        <v>2.0</v>
      </c>
      <c r="N52" s="337">
        <v>191.0</v>
      </c>
      <c r="O52" s="337">
        <v>53.0</v>
      </c>
      <c r="P52" s="341"/>
      <c r="Q52" s="426" t="s">
        <v>1104</v>
      </c>
      <c r="R52" s="336" t="s">
        <v>1086</v>
      </c>
      <c r="S52" s="337">
        <v>34.0</v>
      </c>
      <c r="T52" s="337">
        <v>22.0</v>
      </c>
      <c r="U52" s="337">
        <v>25.0</v>
      </c>
      <c r="V52" s="337">
        <v>80.0</v>
      </c>
      <c r="W52" s="338">
        <v>13.0</v>
      </c>
      <c r="X52" s="338">
        <v>27.0</v>
      </c>
      <c r="Y52" s="339">
        <f t="shared" si="2"/>
        <v>20</v>
      </c>
      <c r="Z52" s="337">
        <v>10.0</v>
      </c>
      <c r="AA52" s="431">
        <v>2.0</v>
      </c>
      <c r="AB52" s="340"/>
      <c r="AC52" s="338">
        <v>2.0</v>
      </c>
      <c r="AD52" s="337">
        <v>195.0</v>
      </c>
      <c r="AE52" s="337">
        <v>161.0</v>
      </c>
      <c r="AF52" s="341"/>
      <c r="AG52" s="426" t="s">
        <v>1105</v>
      </c>
      <c r="AH52" s="344" t="s">
        <v>1089</v>
      </c>
      <c r="AI52" s="337">
        <v>56.0</v>
      </c>
      <c r="AJ52" s="337">
        <v>42.0</v>
      </c>
      <c r="AK52" s="337">
        <v>88.0</v>
      </c>
      <c r="AL52" s="337">
        <v>108.0</v>
      </c>
      <c r="AM52" s="338">
        <v>17.0</v>
      </c>
      <c r="AN52" s="338">
        <v>65.0</v>
      </c>
      <c r="AO52" s="339">
        <f t="shared" si="3"/>
        <v>41</v>
      </c>
      <c r="AP52" s="337">
        <v>10.0</v>
      </c>
      <c r="AQ52" s="431">
        <v>2.0</v>
      </c>
      <c r="AR52" s="340"/>
      <c r="AS52" s="338">
        <v>2.0</v>
      </c>
      <c r="AT52" s="337">
        <v>199.0</v>
      </c>
      <c r="AU52" s="337">
        <v>280.0</v>
      </c>
      <c r="AV52" s="341"/>
      <c r="AW52" s="346">
        <v>75.0</v>
      </c>
      <c r="AX52" s="348">
        <v>75.0</v>
      </c>
      <c r="AY52" s="348">
        <v>1.0</v>
      </c>
      <c r="AZ52" s="349" t="s">
        <v>1092</v>
      </c>
      <c r="BA52" s="350" t="s">
        <v>177</v>
      </c>
      <c r="BB52" s="349"/>
    </row>
    <row r="53">
      <c r="A53" s="497" t="s">
        <v>1107</v>
      </c>
      <c r="B53" s="360" t="s">
        <v>1095</v>
      </c>
      <c r="C53" s="361">
        <v>16.0</v>
      </c>
      <c r="D53" s="361">
        <v>0.0</v>
      </c>
      <c r="E53" s="376"/>
      <c r="F53" s="361">
        <v>57.0</v>
      </c>
      <c r="G53" s="362">
        <v>5.0</v>
      </c>
      <c r="H53" s="362">
        <v>10.0</v>
      </c>
      <c r="I53" s="366">
        <f t="shared" si="1"/>
        <v>7.5</v>
      </c>
      <c r="J53" s="361">
        <v>-10.0</v>
      </c>
      <c r="K53" s="431">
        <v>3.0</v>
      </c>
      <c r="L53" s="368"/>
      <c r="M53" s="362">
        <v>2.0</v>
      </c>
      <c r="N53" s="361">
        <v>193.0</v>
      </c>
      <c r="O53" s="361">
        <v>57.0</v>
      </c>
      <c r="P53" s="370"/>
      <c r="Q53" s="500" t="s">
        <v>1108</v>
      </c>
      <c r="R53" s="360" t="s">
        <v>1099</v>
      </c>
      <c r="S53" s="361">
        <v>41.0</v>
      </c>
      <c r="T53" s="361">
        <v>25.0</v>
      </c>
      <c r="U53" s="361">
        <v>25.0</v>
      </c>
      <c r="V53" s="361">
        <v>106.0</v>
      </c>
      <c r="W53" s="362">
        <v>19.0</v>
      </c>
      <c r="X53" s="362">
        <v>34.0</v>
      </c>
      <c r="Y53" s="366">
        <f t="shared" si="2"/>
        <v>26.5</v>
      </c>
      <c r="Z53" s="361">
        <v>-10.0</v>
      </c>
      <c r="AA53" s="431">
        <v>3.0</v>
      </c>
      <c r="AB53" s="368"/>
      <c r="AC53" s="362">
        <v>2.0</v>
      </c>
      <c r="AD53" s="361">
        <v>197.0</v>
      </c>
      <c r="AE53" s="361">
        <v>165.0</v>
      </c>
      <c r="AF53" s="370"/>
      <c r="AG53" s="500" t="s">
        <v>1118</v>
      </c>
      <c r="AH53" s="373" t="s">
        <v>1102</v>
      </c>
      <c r="AI53" s="361">
        <v>80.0</v>
      </c>
      <c r="AJ53" s="361">
        <v>60.0</v>
      </c>
      <c r="AK53" s="361">
        <v>96.0</v>
      </c>
      <c r="AL53" s="361">
        <v>122.0</v>
      </c>
      <c r="AM53" s="362">
        <v>11.0</v>
      </c>
      <c r="AN53" s="362">
        <v>56.0</v>
      </c>
      <c r="AO53" s="366">
        <f t="shared" si="3"/>
        <v>33.5</v>
      </c>
      <c r="AP53" s="361">
        <v>-10.0</v>
      </c>
      <c r="AQ53" s="431">
        <v>3.0</v>
      </c>
      <c r="AR53" s="368"/>
      <c r="AS53" s="362">
        <v>2.0</v>
      </c>
      <c r="AT53" s="361">
        <v>201.0</v>
      </c>
      <c r="AU53" s="361">
        <v>284.0</v>
      </c>
      <c r="AV53" s="370"/>
      <c r="AW53" s="375">
        <v>75.0</v>
      </c>
      <c r="AX53" s="378">
        <v>75.0</v>
      </c>
      <c r="AY53" s="378">
        <v>1.0</v>
      </c>
      <c r="AZ53" s="380" t="s">
        <v>1092</v>
      </c>
      <c r="BA53" s="382" t="s">
        <v>177</v>
      </c>
      <c r="BB53" s="380"/>
    </row>
    <row r="54">
      <c r="A54" s="116" t="s">
        <v>1123</v>
      </c>
      <c r="B54" s="117" t="s">
        <v>1126</v>
      </c>
      <c r="C54" s="137">
        <v>1.0</v>
      </c>
      <c r="D54" s="228">
        <v>0.0</v>
      </c>
      <c r="E54" s="229"/>
      <c r="F54" s="229"/>
      <c r="G54" s="137">
        <v>6.0</v>
      </c>
      <c r="H54" s="137">
        <v>10.0</v>
      </c>
      <c r="I54" s="231">
        <f t="shared" si="1"/>
        <v>8</v>
      </c>
      <c r="J54" s="228">
        <v>-10.0</v>
      </c>
      <c r="K54" s="233">
        <v>1.0</v>
      </c>
      <c r="L54" s="234"/>
      <c r="M54" s="137">
        <v>4.0</v>
      </c>
      <c r="N54" s="236">
        <v>175.0</v>
      </c>
      <c r="O54" s="236">
        <v>58.0</v>
      </c>
      <c r="P54" s="237"/>
      <c r="Q54" s="238" t="s">
        <v>1132</v>
      </c>
      <c r="R54" s="117" t="s">
        <v>1134</v>
      </c>
      <c r="S54" s="137">
        <v>30.0</v>
      </c>
      <c r="T54" s="228">
        <v>18.0</v>
      </c>
      <c r="U54" s="240">
        <v>25.0</v>
      </c>
      <c r="V54" s="240">
        <v>25.0</v>
      </c>
      <c r="W54" s="137">
        <v>18.0</v>
      </c>
      <c r="X54" s="137">
        <v>40.0</v>
      </c>
      <c r="Y54" s="231">
        <f t="shared" si="2"/>
        <v>29</v>
      </c>
      <c r="Z54" s="228">
        <v>-10.0</v>
      </c>
      <c r="AA54" s="119">
        <v>2.0</v>
      </c>
      <c r="AB54" s="234"/>
      <c r="AC54" s="137">
        <v>4.0</v>
      </c>
      <c r="AD54" s="236">
        <v>180.0</v>
      </c>
      <c r="AE54" s="236">
        <v>166.0</v>
      </c>
      <c r="AF54" s="237"/>
      <c r="AG54" s="238" t="s">
        <v>1161</v>
      </c>
      <c r="AH54" s="244" t="s">
        <v>1162</v>
      </c>
      <c r="AI54" s="137">
        <v>54.0</v>
      </c>
      <c r="AJ54" s="228">
        <v>40.0</v>
      </c>
      <c r="AK54" s="240">
        <v>98.0</v>
      </c>
      <c r="AL54" s="240">
        <v>123.0</v>
      </c>
      <c r="AM54" s="137">
        <v>28.0</v>
      </c>
      <c r="AN54" s="137">
        <v>55.0</v>
      </c>
      <c r="AO54" s="231">
        <f t="shared" si="3"/>
        <v>41.5</v>
      </c>
      <c r="AP54" s="228">
        <v>-10.0</v>
      </c>
      <c r="AQ54" s="119">
        <v>2.0</v>
      </c>
      <c r="AR54" s="234"/>
      <c r="AS54" s="137">
        <v>4.0</v>
      </c>
      <c r="AT54" s="236">
        <v>185.0</v>
      </c>
      <c r="AU54" s="236">
        <v>285.0</v>
      </c>
      <c r="AV54" s="237"/>
      <c r="AW54" s="250">
        <v>75.0</v>
      </c>
      <c r="AX54" s="228">
        <v>75.0</v>
      </c>
      <c r="AY54" s="413">
        <v>3.0</v>
      </c>
      <c r="AZ54" s="155" t="s">
        <v>1169</v>
      </c>
      <c r="BA54" s="144" t="s">
        <v>1052</v>
      </c>
      <c r="BB54" s="155"/>
    </row>
    <row r="55">
      <c r="A55" s="37" t="s">
        <v>1172</v>
      </c>
      <c r="B55" s="38" t="s">
        <v>1173</v>
      </c>
      <c r="C55" s="54">
        <v>10.0</v>
      </c>
      <c r="D55" s="72">
        <v>0.0</v>
      </c>
      <c r="E55" s="74"/>
      <c r="F55" s="90">
        <v>45.0</v>
      </c>
      <c r="G55" s="54">
        <v>7.0</v>
      </c>
      <c r="H55" s="54">
        <v>20.0</v>
      </c>
      <c r="I55" s="83">
        <f t="shared" si="1"/>
        <v>13.5</v>
      </c>
      <c r="J55" s="72">
        <v>0.0</v>
      </c>
      <c r="K55" s="43">
        <v>2.0</v>
      </c>
      <c r="L55" s="85"/>
      <c r="M55" s="54">
        <v>4.0</v>
      </c>
      <c r="N55" s="86">
        <v>176.0</v>
      </c>
      <c r="O55" s="86">
        <v>60.0</v>
      </c>
      <c r="P55" s="87"/>
      <c r="Q55" s="88" t="s">
        <v>1179</v>
      </c>
      <c r="R55" s="38" t="s">
        <v>1180</v>
      </c>
      <c r="S55" s="54">
        <v>37.0</v>
      </c>
      <c r="T55" s="72">
        <v>25.0</v>
      </c>
      <c r="U55" s="90">
        <v>25.0</v>
      </c>
      <c r="V55" s="90">
        <v>88.0</v>
      </c>
      <c r="W55" s="54">
        <v>17.0</v>
      </c>
      <c r="X55" s="54">
        <v>52.0</v>
      </c>
      <c r="Y55" s="83">
        <f t="shared" si="2"/>
        <v>34.5</v>
      </c>
      <c r="Z55" s="72">
        <v>0.0</v>
      </c>
      <c r="AA55" s="43">
        <v>2.0</v>
      </c>
      <c r="AB55" s="85"/>
      <c r="AC55" s="54">
        <v>4.0</v>
      </c>
      <c r="AD55" s="86">
        <v>181.0</v>
      </c>
      <c r="AE55" s="86">
        <v>168.0</v>
      </c>
      <c r="AF55" s="87"/>
      <c r="AG55" s="88" t="s">
        <v>1188</v>
      </c>
      <c r="AH55" s="96" t="s">
        <v>1190</v>
      </c>
      <c r="AI55" s="54">
        <v>62.0</v>
      </c>
      <c r="AJ55" s="72">
        <v>46.0</v>
      </c>
      <c r="AK55" s="90">
        <v>118.0</v>
      </c>
      <c r="AL55" s="90">
        <v>112.0</v>
      </c>
      <c r="AM55" s="54">
        <v>21.0</v>
      </c>
      <c r="AN55" s="54">
        <v>75.0</v>
      </c>
      <c r="AO55" s="83">
        <f t="shared" si="3"/>
        <v>48</v>
      </c>
      <c r="AP55" s="72">
        <v>0.0</v>
      </c>
      <c r="AQ55" s="43">
        <v>2.0</v>
      </c>
      <c r="AR55" s="85"/>
      <c r="AS55" s="54">
        <v>4.0</v>
      </c>
      <c r="AT55" s="86">
        <v>186.0</v>
      </c>
      <c r="AU55" s="86">
        <v>287.0</v>
      </c>
      <c r="AV55" s="87"/>
      <c r="AW55" s="105">
        <v>75.0</v>
      </c>
      <c r="AX55" s="72">
        <v>75.0</v>
      </c>
      <c r="AY55" s="420">
        <v>3.0</v>
      </c>
      <c r="AZ55" s="68" t="s">
        <v>1169</v>
      </c>
      <c r="BA55" s="60" t="s">
        <v>1052</v>
      </c>
      <c r="BB55" s="68"/>
    </row>
    <row r="56">
      <c r="A56" s="37" t="s">
        <v>1194</v>
      </c>
      <c r="B56" s="38" t="s">
        <v>1195</v>
      </c>
      <c r="C56" s="54">
        <v>15.0</v>
      </c>
      <c r="D56" s="72">
        <v>0.0</v>
      </c>
      <c r="E56" s="90">
        <v>40.0</v>
      </c>
      <c r="F56" s="90">
        <v>40.0</v>
      </c>
      <c r="G56" s="54">
        <v>10.0</v>
      </c>
      <c r="H56" s="54">
        <v>22.0</v>
      </c>
      <c r="I56" s="83">
        <f t="shared" si="1"/>
        <v>16</v>
      </c>
      <c r="J56" s="72">
        <v>10.0</v>
      </c>
      <c r="K56" s="43">
        <v>2.0</v>
      </c>
      <c r="L56" s="85"/>
      <c r="M56" s="54">
        <v>4.0</v>
      </c>
      <c r="N56" s="86">
        <v>177.0</v>
      </c>
      <c r="O56" s="86">
        <v>62.0</v>
      </c>
      <c r="P56" s="87"/>
      <c r="Q56" s="88" t="s">
        <v>1196</v>
      </c>
      <c r="R56" s="38" t="s">
        <v>1197</v>
      </c>
      <c r="S56" s="54">
        <v>40.0</v>
      </c>
      <c r="T56" s="72">
        <v>25.0</v>
      </c>
      <c r="U56" s="90">
        <v>80.0</v>
      </c>
      <c r="V56" s="90">
        <v>80.0</v>
      </c>
      <c r="W56" s="54">
        <v>34.0</v>
      </c>
      <c r="X56" s="54">
        <v>58.0</v>
      </c>
      <c r="Y56" s="83">
        <f t="shared" si="2"/>
        <v>46</v>
      </c>
      <c r="Z56" s="72">
        <v>10.0</v>
      </c>
      <c r="AA56" s="43">
        <v>2.0</v>
      </c>
      <c r="AB56" s="85"/>
      <c r="AC56" s="54">
        <v>4.0</v>
      </c>
      <c r="AD56" s="86">
        <v>182.0</v>
      </c>
      <c r="AE56" s="86">
        <v>170.0</v>
      </c>
      <c r="AF56" s="87"/>
      <c r="AG56" s="88" t="s">
        <v>1200</v>
      </c>
      <c r="AH56" s="96" t="s">
        <v>1202</v>
      </c>
      <c r="AI56" s="54">
        <v>71.0</v>
      </c>
      <c r="AJ56" s="72">
        <v>53.0</v>
      </c>
      <c r="AK56" s="90">
        <v>127.0</v>
      </c>
      <c r="AL56" s="90">
        <v>95.0</v>
      </c>
      <c r="AM56" s="54">
        <v>40.0</v>
      </c>
      <c r="AN56" s="54">
        <v>62.0</v>
      </c>
      <c r="AO56" s="83">
        <f t="shared" si="3"/>
        <v>51</v>
      </c>
      <c r="AP56" s="72">
        <v>10.0</v>
      </c>
      <c r="AQ56" s="43">
        <v>2.0</v>
      </c>
      <c r="AR56" s="85"/>
      <c r="AS56" s="54">
        <v>4.0</v>
      </c>
      <c r="AT56" s="86">
        <v>187.0</v>
      </c>
      <c r="AU56" s="86">
        <v>289.0</v>
      </c>
      <c r="AV56" s="87"/>
      <c r="AW56" s="105">
        <v>75.0</v>
      </c>
      <c r="AX56" s="72">
        <v>75.0</v>
      </c>
      <c r="AY56" s="420">
        <v>3.0</v>
      </c>
      <c r="AZ56" s="68" t="s">
        <v>1169</v>
      </c>
      <c r="BA56" s="60" t="s">
        <v>1052</v>
      </c>
      <c r="BB56" s="68"/>
    </row>
    <row r="57">
      <c r="A57" s="37" t="s">
        <v>1207</v>
      </c>
      <c r="B57" s="38" t="s">
        <v>1209</v>
      </c>
      <c r="C57" s="54">
        <v>23.0</v>
      </c>
      <c r="D57" s="72">
        <v>0.0</v>
      </c>
      <c r="E57" s="90">
        <v>52.0</v>
      </c>
      <c r="F57" s="90">
        <v>35.0</v>
      </c>
      <c r="G57" s="54">
        <v>16.0</v>
      </c>
      <c r="H57" s="54">
        <v>22.0</v>
      </c>
      <c r="I57" s="83">
        <f t="shared" si="1"/>
        <v>19</v>
      </c>
      <c r="J57" s="72">
        <v>20.0</v>
      </c>
      <c r="K57" s="43">
        <v>3.0</v>
      </c>
      <c r="L57" s="85"/>
      <c r="M57" s="54">
        <v>4.0</v>
      </c>
      <c r="N57" s="86">
        <v>178.0</v>
      </c>
      <c r="O57" s="86">
        <v>64.0</v>
      </c>
      <c r="P57" s="87"/>
      <c r="Q57" s="88" t="s">
        <v>1211</v>
      </c>
      <c r="R57" s="38" t="s">
        <v>1212</v>
      </c>
      <c r="S57" s="54">
        <v>46.0</v>
      </c>
      <c r="T57" s="72">
        <v>25.0</v>
      </c>
      <c r="U57" s="90">
        <v>98.0</v>
      </c>
      <c r="V57" s="90">
        <v>73.0</v>
      </c>
      <c r="W57" s="54">
        <v>32.0</v>
      </c>
      <c r="X57" s="54">
        <v>65.0</v>
      </c>
      <c r="Y57" s="83">
        <f t="shared" si="2"/>
        <v>48.5</v>
      </c>
      <c r="Z57" s="72">
        <v>20.0</v>
      </c>
      <c r="AA57" s="43">
        <v>3.0</v>
      </c>
      <c r="AB57" s="85"/>
      <c r="AC57" s="54">
        <v>4.0</v>
      </c>
      <c r="AD57" s="86">
        <v>183.0</v>
      </c>
      <c r="AE57" s="86">
        <v>172.0</v>
      </c>
      <c r="AF57" s="87"/>
      <c r="AG57" s="88" t="s">
        <v>1214</v>
      </c>
      <c r="AH57" s="96" t="s">
        <v>1215</v>
      </c>
      <c r="AI57" s="54">
        <v>79.0</v>
      </c>
      <c r="AJ57" s="72">
        <v>59.0</v>
      </c>
      <c r="AK57" s="90">
        <v>89.0</v>
      </c>
      <c r="AL57" s="90">
        <v>137.0</v>
      </c>
      <c r="AM57" s="54">
        <v>30.0</v>
      </c>
      <c r="AN57" s="54">
        <v>78.0</v>
      </c>
      <c r="AO57" s="83">
        <f t="shared" si="3"/>
        <v>54</v>
      </c>
      <c r="AP57" s="72">
        <v>20.0</v>
      </c>
      <c r="AQ57" s="43">
        <v>3.0</v>
      </c>
      <c r="AR57" s="85"/>
      <c r="AS57" s="54">
        <v>4.0</v>
      </c>
      <c r="AT57" s="86">
        <v>188.0</v>
      </c>
      <c r="AU57" s="86">
        <v>291.0</v>
      </c>
      <c r="AV57" s="87"/>
      <c r="AW57" s="105">
        <v>75.0</v>
      </c>
      <c r="AX57" s="72">
        <v>75.0</v>
      </c>
      <c r="AY57" s="420">
        <v>3.0</v>
      </c>
      <c r="AZ57" s="68" t="s">
        <v>1169</v>
      </c>
      <c r="BA57" s="60" t="s">
        <v>1052</v>
      </c>
      <c r="BB57" s="68"/>
    </row>
    <row r="58">
      <c r="A58" s="37" t="s">
        <v>1218</v>
      </c>
      <c r="B58" s="38" t="s">
        <v>1219</v>
      </c>
      <c r="C58" s="54">
        <v>29.0</v>
      </c>
      <c r="D58" s="72">
        <v>0.0</v>
      </c>
      <c r="E58" s="74"/>
      <c r="F58" s="90">
        <v>65.0</v>
      </c>
      <c r="G58" s="54">
        <v>12.0</v>
      </c>
      <c r="H58" s="54">
        <v>30.0</v>
      </c>
      <c r="I58" s="83">
        <f t="shared" si="1"/>
        <v>21</v>
      </c>
      <c r="J58" s="72">
        <v>-10.0</v>
      </c>
      <c r="K58" s="43">
        <v>3.0</v>
      </c>
      <c r="L58" s="85"/>
      <c r="M58" s="54">
        <v>4.0</v>
      </c>
      <c r="N58" s="86">
        <v>179.0</v>
      </c>
      <c r="O58" s="86">
        <v>66.0</v>
      </c>
      <c r="P58" s="87"/>
      <c r="Q58" s="88" t="s">
        <v>1221</v>
      </c>
      <c r="R58" s="38" t="s">
        <v>1222</v>
      </c>
      <c r="S58" s="54">
        <v>51.0</v>
      </c>
      <c r="T58" s="72">
        <v>25.0</v>
      </c>
      <c r="U58" s="90">
        <v>25.0</v>
      </c>
      <c r="V58" s="90">
        <v>118.0</v>
      </c>
      <c r="W58" s="54">
        <v>23.0</v>
      </c>
      <c r="X58" s="54">
        <v>59.0</v>
      </c>
      <c r="Y58" s="83">
        <f t="shared" si="2"/>
        <v>41</v>
      </c>
      <c r="Z58" s="72">
        <v>-10.0</v>
      </c>
      <c r="AA58" s="43">
        <v>3.0</v>
      </c>
      <c r="AB58" s="85"/>
      <c r="AC58" s="54">
        <v>4.0</v>
      </c>
      <c r="AD58" s="86">
        <v>184.0</v>
      </c>
      <c r="AE58" s="86">
        <v>174.0</v>
      </c>
      <c r="AF58" s="87"/>
      <c r="AG58" s="88" t="s">
        <v>1225</v>
      </c>
      <c r="AH58" s="96" t="s">
        <v>1226</v>
      </c>
      <c r="AI58" s="54">
        <v>85.0</v>
      </c>
      <c r="AJ58" s="72">
        <v>65.0</v>
      </c>
      <c r="AK58" s="90">
        <v>76.0</v>
      </c>
      <c r="AL58" s="90">
        <v>145.0</v>
      </c>
      <c r="AM58" s="54">
        <v>11.0</v>
      </c>
      <c r="AN58" s="54">
        <v>77.0</v>
      </c>
      <c r="AO58" s="83">
        <f t="shared" si="3"/>
        <v>44</v>
      </c>
      <c r="AP58" s="72">
        <v>-10.0</v>
      </c>
      <c r="AQ58" s="43">
        <v>3.0</v>
      </c>
      <c r="AR58" s="85"/>
      <c r="AS58" s="54">
        <v>4.0</v>
      </c>
      <c r="AT58" s="86">
        <v>189.0</v>
      </c>
      <c r="AU58" s="86">
        <v>293.0</v>
      </c>
      <c r="AV58" s="87"/>
      <c r="AW58" s="105">
        <v>75.0</v>
      </c>
      <c r="AX58" s="72">
        <v>75.0</v>
      </c>
      <c r="AY58" s="420">
        <v>3.0</v>
      </c>
      <c r="AZ58" s="68" t="s">
        <v>1169</v>
      </c>
      <c r="BA58" s="60" t="s">
        <v>1052</v>
      </c>
      <c r="BB58" s="68"/>
    </row>
    <row r="59">
      <c r="A59" s="422" t="s">
        <v>1227</v>
      </c>
      <c r="B59" s="336" t="s">
        <v>1126</v>
      </c>
      <c r="C59" s="337">
        <v>1.0</v>
      </c>
      <c r="D59" s="337">
        <v>0.0</v>
      </c>
      <c r="E59" s="347"/>
      <c r="F59" s="347"/>
      <c r="G59" s="338">
        <v>1.0</v>
      </c>
      <c r="H59" s="338">
        <v>5.0</v>
      </c>
      <c r="I59" s="339">
        <f t="shared" si="1"/>
        <v>3</v>
      </c>
      <c r="J59" s="337">
        <v>-10.0</v>
      </c>
      <c r="K59" s="84">
        <v>1.0</v>
      </c>
      <c r="L59" s="340"/>
      <c r="M59" s="338">
        <v>4.0</v>
      </c>
      <c r="N59" s="337">
        <v>160.0</v>
      </c>
      <c r="O59" s="337">
        <v>59.0</v>
      </c>
      <c r="P59" s="341"/>
      <c r="Q59" s="426" t="s">
        <v>1228</v>
      </c>
      <c r="R59" s="336" t="s">
        <v>1134</v>
      </c>
      <c r="S59" s="337">
        <v>30.0</v>
      </c>
      <c r="T59" s="337">
        <v>18.0</v>
      </c>
      <c r="U59" s="337">
        <v>25.0</v>
      </c>
      <c r="V59" s="337">
        <v>25.0</v>
      </c>
      <c r="W59" s="338">
        <v>7.0</v>
      </c>
      <c r="X59" s="338">
        <v>24.0</v>
      </c>
      <c r="Y59" s="339">
        <f t="shared" si="2"/>
        <v>15.5</v>
      </c>
      <c r="Z59" s="337">
        <v>-10.0</v>
      </c>
      <c r="AA59" s="431">
        <v>2.0</v>
      </c>
      <c r="AB59" s="340"/>
      <c r="AC59" s="338">
        <v>4.0</v>
      </c>
      <c r="AD59" s="337">
        <v>165.0</v>
      </c>
      <c r="AE59" s="337">
        <v>167.0</v>
      </c>
      <c r="AF59" s="341"/>
      <c r="AG59" s="426" t="s">
        <v>1232</v>
      </c>
      <c r="AH59" s="344" t="s">
        <v>1162</v>
      </c>
      <c r="AI59" s="337">
        <v>54.0</v>
      </c>
      <c r="AJ59" s="337">
        <v>40.0</v>
      </c>
      <c r="AK59" s="337">
        <v>98.0</v>
      </c>
      <c r="AL59" s="337">
        <v>123.0</v>
      </c>
      <c r="AM59" s="338">
        <v>21.0</v>
      </c>
      <c r="AN59" s="338">
        <v>57.0</v>
      </c>
      <c r="AO59" s="339">
        <f t="shared" si="3"/>
        <v>39</v>
      </c>
      <c r="AP59" s="337">
        <v>-10.0</v>
      </c>
      <c r="AQ59" s="431">
        <v>2.0</v>
      </c>
      <c r="AR59" s="548"/>
      <c r="AS59" s="54">
        <v>4.0</v>
      </c>
      <c r="AT59" s="86">
        <v>170.0</v>
      </c>
      <c r="AU59" s="86">
        <v>286.0</v>
      </c>
      <c r="AV59" s="87"/>
      <c r="AW59" s="346">
        <v>75.0</v>
      </c>
      <c r="AX59" s="348">
        <v>75.0</v>
      </c>
      <c r="AY59" s="348">
        <v>3.0</v>
      </c>
      <c r="AZ59" s="349" t="s">
        <v>1169</v>
      </c>
      <c r="BA59" s="350" t="s">
        <v>177</v>
      </c>
      <c r="BB59" s="349"/>
    </row>
    <row r="60">
      <c r="A60" s="422" t="s">
        <v>1235</v>
      </c>
      <c r="B60" s="336" t="s">
        <v>1173</v>
      </c>
      <c r="C60" s="337">
        <v>10.0</v>
      </c>
      <c r="D60" s="337">
        <v>0.0</v>
      </c>
      <c r="E60" s="347"/>
      <c r="F60" s="337">
        <v>45.0</v>
      </c>
      <c r="G60" s="338">
        <v>4.0</v>
      </c>
      <c r="H60" s="338">
        <v>9.0</v>
      </c>
      <c r="I60" s="339">
        <f t="shared" si="1"/>
        <v>6.5</v>
      </c>
      <c r="J60" s="337">
        <v>0.0</v>
      </c>
      <c r="K60" s="431">
        <v>2.0</v>
      </c>
      <c r="L60" s="340"/>
      <c r="M60" s="338">
        <v>4.0</v>
      </c>
      <c r="N60" s="337">
        <v>161.0</v>
      </c>
      <c r="O60" s="337">
        <v>61.0</v>
      </c>
      <c r="P60" s="341"/>
      <c r="Q60" s="426" t="s">
        <v>1236</v>
      </c>
      <c r="R60" s="336" t="s">
        <v>1180</v>
      </c>
      <c r="S60" s="337">
        <v>37.0</v>
      </c>
      <c r="T60" s="337">
        <v>25.0</v>
      </c>
      <c r="U60" s="337">
        <v>25.0</v>
      </c>
      <c r="V60" s="337">
        <v>88.0</v>
      </c>
      <c r="W60" s="338">
        <v>13.0</v>
      </c>
      <c r="X60" s="338">
        <v>33.0</v>
      </c>
      <c r="Y60" s="339">
        <f t="shared" si="2"/>
        <v>23</v>
      </c>
      <c r="Z60" s="337">
        <v>0.0</v>
      </c>
      <c r="AA60" s="431">
        <v>2.0</v>
      </c>
      <c r="AB60" s="340"/>
      <c r="AC60" s="338">
        <v>4.0</v>
      </c>
      <c r="AD60" s="337">
        <v>166.0</v>
      </c>
      <c r="AE60" s="337">
        <v>169.0</v>
      </c>
      <c r="AF60" s="341"/>
      <c r="AG60" s="426" t="s">
        <v>1237</v>
      </c>
      <c r="AH60" s="344" t="s">
        <v>1190</v>
      </c>
      <c r="AI60" s="337">
        <v>62.0</v>
      </c>
      <c r="AJ60" s="337">
        <v>46.0</v>
      </c>
      <c r="AK60" s="337">
        <v>118.0</v>
      </c>
      <c r="AL60" s="337">
        <v>112.0</v>
      </c>
      <c r="AM60" s="338">
        <v>14.0</v>
      </c>
      <c r="AN60" s="338">
        <v>64.0</v>
      </c>
      <c r="AO60" s="339">
        <f t="shared" si="3"/>
        <v>39</v>
      </c>
      <c r="AP60" s="337">
        <v>0.0</v>
      </c>
      <c r="AQ60" s="431">
        <v>2.0</v>
      </c>
      <c r="AR60" s="340"/>
      <c r="AS60" s="338">
        <v>4.0</v>
      </c>
      <c r="AT60" s="337">
        <v>171.0</v>
      </c>
      <c r="AU60" s="337">
        <v>288.0</v>
      </c>
      <c r="AV60" s="341"/>
      <c r="AW60" s="346">
        <v>75.0</v>
      </c>
      <c r="AX60" s="348">
        <v>75.0</v>
      </c>
      <c r="AY60" s="348">
        <v>3.0</v>
      </c>
      <c r="AZ60" s="349" t="s">
        <v>1169</v>
      </c>
      <c r="BA60" s="350" t="s">
        <v>177</v>
      </c>
      <c r="BB60" s="349"/>
    </row>
    <row r="61">
      <c r="A61" s="422" t="s">
        <v>1239</v>
      </c>
      <c r="B61" s="336" t="s">
        <v>1195</v>
      </c>
      <c r="C61" s="337">
        <v>15.0</v>
      </c>
      <c r="D61" s="337">
        <v>0.0</v>
      </c>
      <c r="E61" s="337">
        <v>40.0</v>
      </c>
      <c r="F61" s="337">
        <v>40.0</v>
      </c>
      <c r="G61" s="338">
        <v>2.0</v>
      </c>
      <c r="H61" s="338">
        <v>13.0</v>
      </c>
      <c r="I61" s="339">
        <f t="shared" si="1"/>
        <v>7.5</v>
      </c>
      <c r="J61" s="337">
        <v>10.0</v>
      </c>
      <c r="K61" s="431">
        <v>2.0</v>
      </c>
      <c r="L61" s="340"/>
      <c r="M61" s="338">
        <v>4.0</v>
      </c>
      <c r="N61" s="337">
        <v>162.0</v>
      </c>
      <c r="O61" s="337">
        <v>63.0</v>
      </c>
      <c r="P61" s="341"/>
      <c r="Q61" s="426" t="s">
        <v>1241</v>
      </c>
      <c r="R61" s="336" t="s">
        <v>1197</v>
      </c>
      <c r="S61" s="337">
        <v>40.0</v>
      </c>
      <c r="T61" s="337">
        <v>25.0</v>
      </c>
      <c r="U61" s="337">
        <v>80.0</v>
      </c>
      <c r="V61" s="337">
        <v>80.0</v>
      </c>
      <c r="W61" s="338">
        <v>10.0</v>
      </c>
      <c r="X61" s="338">
        <v>40.0</v>
      </c>
      <c r="Y61" s="339">
        <f t="shared" si="2"/>
        <v>25</v>
      </c>
      <c r="Z61" s="337">
        <v>10.0</v>
      </c>
      <c r="AA61" s="431">
        <v>2.0</v>
      </c>
      <c r="AB61" s="340"/>
      <c r="AC61" s="338">
        <v>4.0</v>
      </c>
      <c r="AD61" s="337">
        <v>167.0</v>
      </c>
      <c r="AE61" s="337">
        <v>171.0</v>
      </c>
      <c r="AF61" s="341"/>
      <c r="AG61" s="426" t="s">
        <v>1243</v>
      </c>
      <c r="AH61" s="344" t="s">
        <v>1202</v>
      </c>
      <c r="AI61" s="337">
        <v>71.0</v>
      </c>
      <c r="AJ61" s="337">
        <v>53.0</v>
      </c>
      <c r="AK61" s="337">
        <v>127.0</v>
      </c>
      <c r="AL61" s="337">
        <v>95.0</v>
      </c>
      <c r="AM61" s="338">
        <v>33.0</v>
      </c>
      <c r="AN61" s="338">
        <v>63.0</v>
      </c>
      <c r="AO61" s="339">
        <f t="shared" si="3"/>
        <v>48</v>
      </c>
      <c r="AP61" s="337">
        <v>10.0</v>
      </c>
      <c r="AQ61" s="431">
        <v>2.0</v>
      </c>
      <c r="AR61" s="340"/>
      <c r="AS61" s="338">
        <v>4.0</v>
      </c>
      <c r="AT61" s="337">
        <v>172.0</v>
      </c>
      <c r="AU61" s="337">
        <v>290.0</v>
      </c>
      <c r="AV61" s="341"/>
      <c r="AW61" s="346">
        <v>75.0</v>
      </c>
      <c r="AX61" s="348">
        <v>75.0</v>
      </c>
      <c r="AY61" s="348">
        <v>3.0</v>
      </c>
      <c r="AZ61" s="349" t="s">
        <v>1169</v>
      </c>
      <c r="BA61" s="350" t="s">
        <v>177</v>
      </c>
      <c r="BB61" s="349"/>
    </row>
    <row r="62">
      <c r="A62" s="422" t="s">
        <v>1247</v>
      </c>
      <c r="B62" s="336" t="s">
        <v>1209</v>
      </c>
      <c r="C62" s="337">
        <v>23.0</v>
      </c>
      <c r="D62" s="337">
        <v>0.0</v>
      </c>
      <c r="E62" s="337">
        <v>52.0</v>
      </c>
      <c r="F62" s="337">
        <v>35.0</v>
      </c>
      <c r="G62" s="338">
        <v>5.0</v>
      </c>
      <c r="H62" s="338">
        <v>17.0</v>
      </c>
      <c r="I62" s="339">
        <f t="shared" si="1"/>
        <v>11</v>
      </c>
      <c r="J62" s="337">
        <v>20.0</v>
      </c>
      <c r="K62" s="431">
        <v>3.0</v>
      </c>
      <c r="L62" s="340"/>
      <c r="M62" s="338">
        <v>4.0</v>
      </c>
      <c r="N62" s="337">
        <v>163.0</v>
      </c>
      <c r="O62" s="337">
        <v>65.0</v>
      </c>
      <c r="P62" s="341"/>
      <c r="Q62" s="426" t="s">
        <v>1248</v>
      </c>
      <c r="R62" s="336" t="s">
        <v>1212</v>
      </c>
      <c r="S62" s="337">
        <v>46.0</v>
      </c>
      <c r="T62" s="337">
        <v>25.0</v>
      </c>
      <c r="U62" s="337">
        <v>98.0</v>
      </c>
      <c r="V62" s="337">
        <v>73.0</v>
      </c>
      <c r="W62" s="338">
        <v>16.0</v>
      </c>
      <c r="X62" s="338">
        <v>48.0</v>
      </c>
      <c r="Y62" s="339">
        <f t="shared" si="2"/>
        <v>32</v>
      </c>
      <c r="Z62" s="337">
        <v>20.0</v>
      </c>
      <c r="AA62" s="431">
        <v>3.0</v>
      </c>
      <c r="AB62" s="340"/>
      <c r="AC62" s="338">
        <v>4.0</v>
      </c>
      <c r="AD62" s="337">
        <v>168.0</v>
      </c>
      <c r="AE62" s="337">
        <v>173.0</v>
      </c>
      <c r="AF62" s="341"/>
      <c r="AG62" s="426" t="s">
        <v>1249</v>
      </c>
      <c r="AH62" s="344" t="s">
        <v>1215</v>
      </c>
      <c r="AI62" s="337">
        <v>79.0</v>
      </c>
      <c r="AJ62" s="337">
        <v>59.0</v>
      </c>
      <c r="AK62" s="337">
        <v>89.0</v>
      </c>
      <c r="AL62" s="337">
        <v>137.0</v>
      </c>
      <c r="AM62" s="338">
        <v>19.0</v>
      </c>
      <c r="AN62" s="338">
        <v>60.0</v>
      </c>
      <c r="AO62" s="339">
        <f t="shared" si="3"/>
        <v>39.5</v>
      </c>
      <c r="AP62" s="337">
        <v>20.0</v>
      </c>
      <c r="AQ62" s="431">
        <v>3.0</v>
      </c>
      <c r="AR62" s="340"/>
      <c r="AS62" s="338">
        <v>4.0</v>
      </c>
      <c r="AT62" s="337">
        <v>173.0</v>
      </c>
      <c r="AU62" s="337">
        <v>292.0</v>
      </c>
      <c r="AV62" s="341"/>
      <c r="AW62" s="346">
        <v>75.0</v>
      </c>
      <c r="AX62" s="348">
        <v>75.0</v>
      </c>
      <c r="AY62" s="348">
        <v>3.0</v>
      </c>
      <c r="AZ62" s="349" t="s">
        <v>1169</v>
      </c>
      <c r="BA62" s="350" t="s">
        <v>177</v>
      </c>
      <c r="BB62" s="349"/>
    </row>
    <row r="63">
      <c r="A63" s="553" t="s">
        <v>1252</v>
      </c>
      <c r="B63" s="360" t="s">
        <v>1219</v>
      </c>
      <c r="C63" s="361">
        <v>29.0</v>
      </c>
      <c r="D63" s="361">
        <v>0.0</v>
      </c>
      <c r="E63" s="376"/>
      <c r="F63" s="361">
        <v>65.0</v>
      </c>
      <c r="G63" s="362">
        <v>5.0</v>
      </c>
      <c r="H63" s="362">
        <v>15.0</v>
      </c>
      <c r="I63" s="366">
        <f t="shared" si="1"/>
        <v>10</v>
      </c>
      <c r="J63" s="361">
        <v>-10.0</v>
      </c>
      <c r="K63" s="431">
        <v>3.0</v>
      </c>
      <c r="L63" s="368"/>
      <c r="M63" s="362">
        <v>4.0</v>
      </c>
      <c r="N63" s="361">
        <v>164.0</v>
      </c>
      <c r="O63" s="361">
        <v>67.0</v>
      </c>
      <c r="P63" s="370"/>
      <c r="Q63" s="500" t="s">
        <v>1254</v>
      </c>
      <c r="R63" s="360" t="s">
        <v>1222</v>
      </c>
      <c r="S63" s="361">
        <v>51.0</v>
      </c>
      <c r="T63" s="361">
        <v>25.0</v>
      </c>
      <c r="U63" s="361">
        <v>25.0</v>
      </c>
      <c r="V63" s="361">
        <v>118.0</v>
      </c>
      <c r="W63" s="362">
        <v>16.0</v>
      </c>
      <c r="X63" s="362">
        <v>44.0</v>
      </c>
      <c r="Y63" s="366">
        <f t="shared" si="2"/>
        <v>30</v>
      </c>
      <c r="Z63" s="361">
        <v>-10.0</v>
      </c>
      <c r="AA63" s="431">
        <v>3.0</v>
      </c>
      <c r="AB63" s="368"/>
      <c r="AC63" s="362">
        <v>4.0</v>
      </c>
      <c r="AD63" s="361">
        <v>169.0</v>
      </c>
      <c r="AE63" s="361">
        <v>175.0</v>
      </c>
      <c r="AF63" s="370"/>
      <c r="AG63" s="500" t="s">
        <v>1256</v>
      </c>
      <c r="AH63" s="373" t="s">
        <v>1226</v>
      </c>
      <c r="AI63" s="361">
        <v>85.0</v>
      </c>
      <c r="AJ63" s="361">
        <v>65.0</v>
      </c>
      <c r="AK63" s="361">
        <v>76.0</v>
      </c>
      <c r="AL63" s="361">
        <v>145.0</v>
      </c>
      <c r="AM63" s="362">
        <v>27.0</v>
      </c>
      <c r="AN63" s="362">
        <v>35.0</v>
      </c>
      <c r="AO63" s="366">
        <f t="shared" si="3"/>
        <v>31</v>
      </c>
      <c r="AP63" s="361">
        <v>-10.0</v>
      </c>
      <c r="AQ63" s="431">
        <v>3.0</v>
      </c>
      <c r="AR63" s="368"/>
      <c r="AS63" s="362">
        <v>4.0</v>
      </c>
      <c r="AT63" s="361">
        <v>174.0</v>
      </c>
      <c r="AU63" s="361">
        <v>294.0</v>
      </c>
      <c r="AV63" s="370"/>
      <c r="AW63" s="375">
        <v>75.0</v>
      </c>
      <c r="AX63" s="378">
        <v>75.0</v>
      </c>
      <c r="AY63" s="378">
        <v>3.0</v>
      </c>
      <c r="AZ63" s="380" t="s">
        <v>1169</v>
      </c>
      <c r="BA63" s="382" t="s">
        <v>177</v>
      </c>
      <c r="BB63" s="380"/>
    </row>
    <row r="64">
      <c r="A64" s="116" t="s">
        <v>1258</v>
      </c>
      <c r="B64" s="117" t="s">
        <v>1259</v>
      </c>
      <c r="C64" s="137">
        <v>23.0</v>
      </c>
      <c r="D64" s="228">
        <v>17.0</v>
      </c>
      <c r="E64" s="240">
        <v>33.0</v>
      </c>
      <c r="F64" s="240">
        <v>47.0</v>
      </c>
      <c r="G64" s="137">
        <v>6.0</v>
      </c>
      <c r="H64" s="137">
        <v>22.0</v>
      </c>
      <c r="I64" s="231">
        <f t="shared" si="1"/>
        <v>14</v>
      </c>
      <c r="J64" s="228">
        <v>-10.0</v>
      </c>
      <c r="K64" s="119">
        <v>2.0</v>
      </c>
      <c r="L64" s="234"/>
      <c r="M64" s="137">
        <v>3.0</v>
      </c>
      <c r="N64" s="236">
        <v>256.0</v>
      </c>
      <c r="O64" s="236">
        <v>332.0</v>
      </c>
      <c r="P64" s="237"/>
      <c r="Q64" s="558" t="s">
        <v>1260</v>
      </c>
      <c r="R64" s="117" t="s">
        <v>1262</v>
      </c>
      <c r="S64" s="137">
        <v>35.0</v>
      </c>
      <c r="T64" s="228">
        <v>26.0</v>
      </c>
      <c r="U64" s="240">
        <v>25.0</v>
      </c>
      <c r="V64" s="240">
        <v>109.0</v>
      </c>
      <c r="W64" s="137">
        <v>25.0</v>
      </c>
      <c r="X64" s="137">
        <v>69.0</v>
      </c>
      <c r="Y64" s="231">
        <f t="shared" si="2"/>
        <v>47</v>
      </c>
      <c r="Z64" s="228">
        <v>-10.0</v>
      </c>
      <c r="AA64" s="119">
        <v>2.0</v>
      </c>
      <c r="AB64" s="234"/>
      <c r="AC64" s="137">
        <v>3.0</v>
      </c>
      <c r="AD64" s="236">
        <v>257.0</v>
      </c>
      <c r="AE64" s="236">
        <v>343.0</v>
      </c>
      <c r="AF64" s="237"/>
      <c r="AG64" s="562" t="s">
        <v>1265</v>
      </c>
      <c r="AH64" s="244" t="s">
        <v>1266</v>
      </c>
      <c r="AI64" s="137">
        <v>65.0</v>
      </c>
      <c r="AJ64" s="228">
        <v>48.0</v>
      </c>
      <c r="AK64" s="240">
        <v>107.0</v>
      </c>
      <c r="AL64" s="240">
        <v>151.0</v>
      </c>
      <c r="AM64" s="137">
        <v>44.0</v>
      </c>
      <c r="AN64" s="137">
        <v>83.0</v>
      </c>
      <c r="AO64" s="231">
        <f t="shared" si="3"/>
        <v>63.5</v>
      </c>
      <c r="AP64" s="228">
        <v>-10.0</v>
      </c>
      <c r="AQ64" s="119">
        <v>2.0</v>
      </c>
      <c r="AR64" s="234"/>
      <c r="AS64" s="137">
        <v>3.0</v>
      </c>
      <c r="AT64" s="236">
        <v>258.0</v>
      </c>
      <c r="AU64" s="236">
        <v>354.0</v>
      </c>
      <c r="AV64" s="237"/>
      <c r="AW64" s="250">
        <v>80.0</v>
      </c>
      <c r="AX64" s="228">
        <v>50.0</v>
      </c>
      <c r="AY64" s="413">
        <v>3.0</v>
      </c>
      <c r="AZ64" s="155" t="s">
        <v>1268</v>
      </c>
      <c r="BA64" s="144" t="s">
        <v>1052</v>
      </c>
      <c r="BB64" s="564" t="s">
        <v>1270</v>
      </c>
    </row>
    <row r="65">
      <c r="A65" s="436" t="s">
        <v>1271</v>
      </c>
      <c r="B65" s="437" t="s">
        <v>1259</v>
      </c>
      <c r="C65" s="438">
        <v>23.0</v>
      </c>
      <c r="D65" s="438">
        <v>17.0</v>
      </c>
      <c r="E65" s="438">
        <v>33.0</v>
      </c>
      <c r="F65" s="438">
        <v>47.0</v>
      </c>
      <c r="G65" s="440">
        <v>8.0</v>
      </c>
      <c r="H65" s="440">
        <v>14.0</v>
      </c>
      <c r="I65" s="442">
        <f t="shared" si="1"/>
        <v>11</v>
      </c>
      <c r="J65" s="438">
        <v>-10.0</v>
      </c>
      <c r="K65" s="439"/>
      <c r="L65" s="444"/>
      <c r="M65" s="440">
        <v>3.0</v>
      </c>
      <c r="N65" s="438">
        <v>259.0</v>
      </c>
      <c r="O65" s="438">
        <v>333.0</v>
      </c>
      <c r="P65" s="447"/>
      <c r="Q65" s="565" t="s">
        <v>1272</v>
      </c>
      <c r="R65" s="437" t="s">
        <v>1262</v>
      </c>
      <c r="S65" s="438">
        <v>35.0</v>
      </c>
      <c r="T65" s="438">
        <v>26.0</v>
      </c>
      <c r="U65" s="438">
        <v>25.0</v>
      </c>
      <c r="V65" s="438">
        <v>109.0</v>
      </c>
      <c r="W65" s="440">
        <v>26.0</v>
      </c>
      <c r="X65" s="440">
        <v>51.0</v>
      </c>
      <c r="Y65" s="442">
        <f t="shared" si="2"/>
        <v>38.5</v>
      </c>
      <c r="Z65" s="438">
        <v>-10.0</v>
      </c>
      <c r="AA65" s="439"/>
      <c r="AB65" s="444"/>
      <c r="AC65" s="440">
        <v>3.0</v>
      </c>
      <c r="AD65" s="438">
        <v>260.0</v>
      </c>
      <c r="AE65" s="438">
        <v>344.0</v>
      </c>
      <c r="AF65" s="447"/>
      <c r="AG65" s="565" t="s">
        <v>1273</v>
      </c>
      <c r="AH65" s="452" t="s">
        <v>1266</v>
      </c>
      <c r="AI65" s="438">
        <v>65.0</v>
      </c>
      <c r="AJ65" s="438">
        <v>48.0</v>
      </c>
      <c r="AK65" s="438">
        <v>107.0</v>
      </c>
      <c r="AL65" s="438">
        <v>151.0</v>
      </c>
      <c r="AM65" s="440">
        <v>38.0</v>
      </c>
      <c r="AN65" s="440">
        <v>68.0</v>
      </c>
      <c r="AO65" s="442">
        <f t="shared" si="3"/>
        <v>53</v>
      </c>
      <c r="AP65" s="438">
        <v>-10.0</v>
      </c>
      <c r="AQ65" s="439"/>
      <c r="AR65" s="444"/>
      <c r="AS65" s="440">
        <v>3.0</v>
      </c>
      <c r="AT65" s="438">
        <v>261.0</v>
      </c>
      <c r="AU65" s="438">
        <v>355.0</v>
      </c>
      <c r="AV65" s="447"/>
      <c r="AW65" s="456">
        <v>80.0</v>
      </c>
      <c r="AX65" s="458">
        <v>50.0</v>
      </c>
      <c r="AY65" s="458">
        <v>3.0</v>
      </c>
      <c r="AZ65" s="459" t="s">
        <v>1268</v>
      </c>
      <c r="BA65" s="461" t="s">
        <v>177</v>
      </c>
      <c r="BB65" s="566" t="s">
        <v>1270</v>
      </c>
    </row>
    <row r="66">
      <c r="A66" s="37" t="s">
        <v>1275</v>
      </c>
      <c r="B66" s="38" t="s">
        <v>1276</v>
      </c>
      <c r="C66" s="54">
        <v>18.0</v>
      </c>
      <c r="D66" s="72">
        <v>14.0</v>
      </c>
      <c r="E66" s="90">
        <v>54.0</v>
      </c>
      <c r="F66" s="90">
        <v>40.0</v>
      </c>
      <c r="G66" s="54">
        <v>20.0</v>
      </c>
      <c r="H66" s="54">
        <v>26.0</v>
      </c>
      <c r="I66" s="83">
        <f t="shared" si="1"/>
        <v>23</v>
      </c>
      <c r="J66" s="72">
        <v>-10.0</v>
      </c>
      <c r="K66" s="72">
        <v>6.0</v>
      </c>
      <c r="L66" s="85">
        <v>56.0</v>
      </c>
      <c r="M66" s="54">
        <v>3.0</v>
      </c>
      <c r="N66" s="86">
        <v>262.0</v>
      </c>
      <c r="O66" s="86">
        <v>330.0</v>
      </c>
      <c r="P66" s="87"/>
      <c r="Q66" s="88" t="s">
        <v>1278</v>
      </c>
      <c r="R66" s="38" t="s">
        <v>1279</v>
      </c>
      <c r="S66" s="54">
        <v>43.0</v>
      </c>
      <c r="T66" s="72">
        <v>32.0</v>
      </c>
      <c r="U66" s="90">
        <v>101.0</v>
      </c>
      <c r="V66" s="90">
        <v>80.0</v>
      </c>
      <c r="W66" s="54">
        <v>49.0</v>
      </c>
      <c r="X66" s="54">
        <v>74.0</v>
      </c>
      <c r="Y66" s="83">
        <f t="shared" si="2"/>
        <v>61.5</v>
      </c>
      <c r="Z66" s="72">
        <v>-10.0</v>
      </c>
      <c r="AA66" s="72">
        <v>6.0</v>
      </c>
      <c r="AB66" s="85">
        <v>56.0</v>
      </c>
      <c r="AC66" s="54">
        <v>3.0</v>
      </c>
      <c r="AD66" s="86">
        <v>264.0</v>
      </c>
      <c r="AE66" s="86">
        <v>341.0</v>
      </c>
      <c r="AF66" s="87"/>
      <c r="AG66" s="88" t="s">
        <v>1280</v>
      </c>
      <c r="AH66" s="96" t="s">
        <v>1281</v>
      </c>
      <c r="AI66" s="54">
        <v>61.0</v>
      </c>
      <c r="AJ66" s="72">
        <v>45.0</v>
      </c>
      <c r="AK66" s="90">
        <v>114.0</v>
      </c>
      <c r="AL66" s="90">
        <v>142.0</v>
      </c>
      <c r="AM66" s="54">
        <v>79.0</v>
      </c>
      <c r="AN66" s="54">
        <v>116.0</v>
      </c>
      <c r="AO66" s="83">
        <f t="shared" si="3"/>
        <v>97.5</v>
      </c>
      <c r="AP66" s="72">
        <v>-10.0</v>
      </c>
      <c r="AQ66" s="72">
        <v>6.0</v>
      </c>
      <c r="AR66" s="85">
        <v>56.0</v>
      </c>
      <c r="AS66" s="54">
        <v>3.0</v>
      </c>
      <c r="AT66" s="86">
        <v>266.0</v>
      </c>
      <c r="AU66" s="86">
        <v>352.0</v>
      </c>
      <c r="AV66" s="87"/>
      <c r="AW66" s="105">
        <v>80.0</v>
      </c>
      <c r="AX66" s="72">
        <v>50.0</v>
      </c>
      <c r="AY66" s="72">
        <v>4.0</v>
      </c>
      <c r="AZ66" s="68" t="s">
        <v>1282</v>
      </c>
      <c r="BA66" s="60" t="s">
        <v>294</v>
      </c>
      <c r="BB66" s="567" t="s">
        <v>1270</v>
      </c>
    </row>
    <row r="67">
      <c r="A67" s="183" t="s">
        <v>1283</v>
      </c>
      <c r="B67" s="185" t="s">
        <v>1284</v>
      </c>
      <c r="C67" s="186">
        <v>27.0</v>
      </c>
      <c r="D67" s="188">
        <v>20.0</v>
      </c>
      <c r="E67" s="189">
        <v>63.0</v>
      </c>
      <c r="F67" s="189">
        <v>52.0</v>
      </c>
      <c r="G67" s="186">
        <v>25.0</v>
      </c>
      <c r="H67" s="186">
        <v>60.0</v>
      </c>
      <c r="I67" s="191">
        <f t="shared" si="1"/>
        <v>42.5</v>
      </c>
      <c r="J67" s="188">
        <v>0.0</v>
      </c>
      <c r="K67" s="188">
        <v>6.0</v>
      </c>
      <c r="L67" s="195">
        <v>50.0</v>
      </c>
      <c r="M67" s="186">
        <v>3.0</v>
      </c>
      <c r="N67" s="196">
        <v>263.0</v>
      </c>
      <c r="O67" s="196">
        <v>331.0</v>
      </c>
      <c r="P67" s="198"/>
      <c r="Q67" s="200" t="s">
        <v>1285</v>
      </c>
      <c r="R67" s="185" t="s">
        <v>1286</v>
      </c>
      <c r="S67" s="186">
        <v>51.0</v>
      </c>
      <c r="T67" s="188">
        <v>38.0</v>
      </c>
      <c r="U67" s="189">
        <v>115.0</v>
      </c>
      <c r="V67" s="189">
        <v>98.0</v>
      </c>
      <c r="W67" s="186">
        <v>60.0</v>
      </c>
      <c r="X67" s="186">
        <v>140.0</v>
      </c>
      <c r="Y67" s="191">
        <f t="shared" si="2"/>
        <v>100</v>
      </c>
      <c r="Z67" s="188">
        <v>10.0</v>
      </c>
      <c r="AA67" s="188">
        <v>6.0</v>
      </c>
      <c r="AB67" s="195">
        <v>50.0</v>
      </c>
      <c r="AC67" s="186">
        <v>3.0</v>
      </c>
      <c r="AD67" s="196">
        <v>265.0</v>
      </c>
      <c r="AE67" s="196">
        <v>342.0</v>
      </c>
      <c r="AF67" s="198"/>
      <c r="AG67" s="200" t="s">
        <v>1287</v>
      </c>
      <c r="AH67" s="214" t="s">
        <v>1288</v>
      </c>
      <c r="AI67" s="186">
        <v>81.0</v>
      </c>
      <c r="AJ67" s="188">
        <v>60.0</v>
      </c>
      <c r="AK67" s="189">
        <v>132.0</v>
      </c>
      <c r="AL67" s="189">
        <v>149.0</v>
      </c>
      <c r="AM67" s="186">
        <v>44.0</v>
      </c>
      <c r="AN67" s="186">
        <v>185.0</v>
      </c>
      <c r="AO67" s="191">
        <f t="shared" si="3"/>
        <v>114.5</v>
      </c>
      <c r="AP67" s="188">
        <v>10.0</v>
      </c>
      <c r="AQ67" s="188">
        <v>6.0</v>
      </c>
      <c r="AR67" s="195">
        <v>50.0</v>
      </c>
      <c r="AS67" s="186">
        <v>3.0</v>
      </c>
      <c r="AT67" s="196">
        <v>267.0</v>
      </c>
      <c r="AU67" s="196">
        <v>353.0</v>
      </c>
      <c r="AV67" s="198"/>
      <c r="AW67" s="220">
        <v>80.0</v>
      </c>
      <c r="AX67" s="188">
        <v>50.0</v>
      </c>
      <c r="AY67" s="188">
        <v>4.0</v>
      </c>
      <c r="AZ67" s="221" t="s">
        <v>1282</v>
      </c>
      <c r="BA67" s="224" t="s">
        <v>294</v>
      </c>
      <c r="BB67" s="568" t="s">
        <v>1270</v>
      </c>
    </row>
    <row r="68">
      <c r="A68" s="116" t="s">
        <v>487</v>
      </c>
      <c r="B68" s="117" t="s">
        <v>1289</v>
      </c>
      <c r="C68" s="137">
        <v>5.0</v>
      </c>
      <c r="D68" s="228">
        <v>0.0</v>
      </c>
      <c r="E68" s="229"/>
      <c r="F68" s="240">
        <v>20.0</v>
      </c>
      <c r="G68" s="137">
        <v>3.0</v>
      </c>
      <c r="H68" s="137">
        <v>15.0</v>
      </c>
      <c r="I68" s="231">
        <f t="shared" si="1"/>
        <v>9</v>
      </c>
      <c r="J68" s="228">
        <v>-10.0</v>
      </c>
      <c r="K68" s="233">
        <v>3.0</v>
      </c>
      <c r="L68" s="234">
        <v>60.0</v>
      </c>
      <c r="M68" s="137">
        <v>4.0</v>
      </c>
      <c r="N68" s="236">
        <v>145.0</v>
      </c>
      <c r="O68" s="236">
        <v>68.0</v>
      </c>
      <c r="P68" s="237"/>
      <c r="Q68" s="238" t="s">
        <v>1291</v>
      </c>
      <c r="R68" s="117" t="s">
        <v>1292</v>
      </c>
      <c r="S68" s="137">
        <v>33.0</v>
      </c>
      <c r="T68" s="228">
        <v>21.0</v>
      </c>
      <c r="U68" s="240">
        <v>25.0</v>
      </c>
      <c r="V68" s="240">
        <v>25.0</v>
      </c>
      <c r="W68" s="137">
        <v>15.0</v>
      </c>
      <c r="X68" s="137">
        <v>54.0</v>
      </c>
      <c r="Y68" s="231">
        <f t="shared" si="2"/>
        <v>34.5</v>
      </c>
      <c r="Z68" s="228">
        <v>-10.0</v>
      </c>
      <c r="AA68" s="119">
        <v>4.0</v>
      </c>
      <c r="AB68" s="234">
        <v>60.0</v>
      </c>
      <c r="AC68" s="137">
        <v>4.0</v>
      </c>
      <c r="AD68" s="236">
        <v>150.0</v>
      </c>
      <c r="AE68" s="236">
        <v>176.0</v>
      </c>
      <c r="AF68" s="237"/>
      <c r="AG68" s="238" t="s">
        <v>1293</v>
      </c>
      <c r="AH68" s="244" t="s">
        <v>1294</v>
      </c>
      <c r="AI68" s="137">
        <v>58.0</v>
      </c>
      <c r="AJ68" s="228">
        <v>43.0</v>
      </c>
      <c r="AK68" s="240">
        <v>155.0</v>
      </c>
      <c r="AL68" s="240">
        <v>120.0</v>
      </c>
      <c r="AM68" s="137">
        <v>44.0</v>
      </c>
      <c r="AN68" s="137">
        <v>149.0</v>
      </c>
      <c r="AO68" s="231">
        <f t="shared" si="3"/>
        <v>96.5</v>
      </c>
      <c r="AP68" s="228">
        <v>-10.0</v>
      </c>
      <c r="AQ68" s="166">
        <v>6.0</v>
      </c>
      <c r="AR68" s="248">
        <v>90.0</v>
      </c>
      <c r="AS68" s="137">
        <v>4.0</v>
      </c>
      <c r="AT68" s="236">
        <v>155.0</v>
      </c>
      <c r="AU68" s="236">
        <v>295.0</v>
      </c>
      <c r="AV68" s="237"/>
      <c r="AW68" s="250">
        <v>75.0</v>
      </c>
      <c r="AX68" s="228">
        <v>75.0</v>
      </c>
      <c r="AY68" s="228">
        <v>4.0</v>
      </c>
      <c r="AZ68" s="155" t="s">
        <v>1295</v>
      </c>
      <c r="BA68" s="144" t="s">
        <v>294</v>
      </c>
      <c r="BB68" s="155"/>
    </row>
    <row r="69">
      <c r="A69" s="37" t="s">
        <v>1296</v>
      </c>
      <c r="B69" s="38" t="s">
        <v>1297</v>
      </c>
      <c r="C69" s="54">
        <v>9.0</v>
      </c>
      <c r="D69" s="72">
        <v>0.0</v>
      </c>
      <c r="E69" s="90">
        <v>38.0</v>
      </c>
      <c r="F69" s="90">
        <v>24.0</v>
      </c>
      <c r="G69" s="54">
        <v>9.0</v>
      </c>
      <c r="H69" s="54">
        <v>15.0</v>
      </c>
      <c r="I69" s="83">
        <f t="shared" si="1"/>
        <v>12</v>
      </c>
      <c r="J69" s="72">
        <v>0.0</v>
      </c>
      <c r="K69" s="72">
        <v>4.0</v>
      </c>
      <c r="L69" s="85">
        <v>70.0</v>
      </c>
      <c r="M69" s="54">
        <v>4.0</v>
      </c>
      <c r="N69" s="86">
        <v>146.0</v>
      </c>
      <c r="O69" s="86">
        <v>69.0</v>
      </c>
      <c r="P69" s="87"/>
      <c r="Q69" s="88" t="s">
        <v>1298</v>
      </c>
      <c r="R69" s="38" t="s">
        <v>1299</v>
      </c>
      <c r="S69" s="54">
        <v>36.0</v>
      </c>
      <c r="T69" s="72">
        <v>24.0</v>
      </c>
      <c r="U69" s="90">
        <v>77.0</v>
      </c>
      <c r="V69" s="90">
        <v>25.0</v>
      </c>
      <c r="W69" s="54">
        <v>24.0</v>
      </c>
      <c r="X69" s="54">
        <v>53.0</v>
      </c>
      <c r="Y69" s="83">
        <f t="shared" si="2"/>
        <v>38.5</v>
      </c>
      <c r="Z69" s="72">
        <v>0.0</v>
      </c>
      <c r="AA69" s="72">
        <v>4.0</v>
      </c>
      <c r="AB69" s="85">
        <v>70.0</v>
      </c>
      <c r="AC69" s="54">
        <v>4.0</v>
      </c>
      <c r="AD69" s="86">
        <v>151.0</v>
      </c>
      <c r="AE69" s="86">
        <v>177.0</v>
      </c>
      <c r="AF69" s="87"/>
      <c r="AG69" s="88" t="s">
        <v>1300</v>
      </c>
      <c r="AH69" s="96" t="s">
        <v>1301</v>
      </c>
      <c r="AI69" s="54">
        <v>66.0</v>
      </c>
      <c r="AJ69" s="72">
        <v>49.0</v>
      </c>
      <c r="AK69" s="90">
        <v>168.0</v>
      </c>
      <c r="AL69" s="90">
        <v>97.0</v>
      </c>
      <c r="AM69" s="54">
        <v>36.0</v>
      </c>
      <c r="AN69" s="54">
        <v>180.0</v>
      </c>
      <c r="AO69" s="83">
        <f t="shared" si="3"/>
        <v>108</v>
      </c>
      <c r="AP69" s="72">
        <v>0.0</v>
      </c>
      <c r="AQ69" s="72">
        <v>4.0</v>
      </c>
      <c r="AR69" s="104">
        <v>105.0</v>
      </c>
      <c r="AS69" s="54">
        <v>4.0</v>
      </c>
      <c r="AT69" s="86">
        <v>156.0</v>
      </c>
      <c r="AU69" s="86">
        <v>296.0</v>
      </c>
      <c r="AV69" s="87"/>
      <c r="AW69" s="105">
        <v>75.0</v>
      </c>
      <c r="AX69" s="72">
        <v>75.0</v>
      </c>
      <c r="AY69" s="72">
        <v>4.0</v>
      </c>
      <c r="AZ69" s="68" t="s">
        <v>1295</v>
      </c>
      <c r="BA69" s="60" t="s">
        <v>294</v>
      </c>
      <c r="BB69" s="68"/>
    </row>
    <row r="70">
      <c r="A70" s="37" t="s">
        <v>1302</v>
      </c>
      <c r="B70" s="38" t="s">
        <v>1303</v>
      </c>
      <c r="C70" s="54">
        <v>16.0</v>
      </c>
      <c r="D70" s="72">
        <v>0.0</v>
      </c>
      <c r="E70" s="90">
        <v>40.0</v>
      </c>
      <c r="F70" s="90">
        <v>50.0</v>
      </c>
      <c r="G70" s="54">
        <v>7.0</v>
      </c>
      <c r="H70" s="54">
        <v>17.0</v>
      </c>
      <c r="I70" s="83">
        <f t="shared" si="1"/>
        <v>12</v>
      </c>
      <c r="J70" s="72">
        <v>-20.0</v>
      </c>
      <c r="K70" s="72">
        <v>5.0</v>
      </c>
      <c r="L70" s="85">
        <v>56.0</v>
      </c>
      <c r="M70" s="54">
        <v>4.0</v>
      </c>
      <c r="N70" s="86">
        <v>147.0</v>
      </c>
      <c r="O70" s="86">
        <v>70.0</v>
      </c>
      <c r="P70" s="87"/>
      <c r="Q70" s="88" t="s">
        <v>1306</v>
      </c>
      <c r="R70" s="38" t="s">
        <v>1307</v>
      </c>
      <c r="S70" s="54">
        <v>41.0</v>
      </c>
      <c r="T70" s="72">
        <v>25.0</v>
      </c>
      <c r="U70" s="90">
        <v>80.0</v>
      </c>
      <c r="V70" s="90">
        <v>95.0</v>
      </c>
      <c r="W70" s="54">
        <v>23.0</v>
      </c>
      <c r="X70" s="54">
        <v>58.0</v>
      </c>
      <c r="Y70" s="83">
        <f t="shared" si="2"/>
        <v>40.5</v>
      </c>
      <c r="Z70" s="72">
        <v>-20.0</v>
      </c>
      <c r="AA70" s="72">
        <v>5.0</v>
      </c>
      <c r="AB70" s="85">
        <v>56.0</v>
      </c>
      <c r="AC70" s="54">
        <v>4.0</v>
      </c>
      <c r="AD70" s="86">
        <v>152.0</v>
      </c>
      <c r="AE70" s="86">
        <v>178.0</v>
      </c>
      <c r="AF70" s="87"/>
      <c r="AG70" s="88" t="s">
        <v>1308</v>
      </c>
      <c r="AH70" s="96" t="s">
        <v>1309</v>
      </c>
      <c r="AI70" s="54">
        <v>74.0</v>
      </c>
      <c r="AJ70" s="72">
        <v>55.0</v>
      </c>
      <c r="AK70" s="90">
        <v>132.0</v>
      </c>
      <c r="AL70" s="90">
        <v>134.0</v>
      </c>
      <c r="AM70" s="54">
        <v>52.0</v>
      </c>
      <c r="AN70" s="54">
        <v>115.0</v>
      </c>
      <c r="AO70" s="83">
        <f t="shared" si="3"/>
        <v>83.5</v>
      </c>
      <c r="AP70" s="72">
        <v>-20.0</v>
      </c>
      <c r="AQ70" s="72">
        <v>5.0</v>
      </c>
      <c r="AR70" s="104">
        <v>84.0</v>
      </c>
      <c r="AS70" s="54">
        <v>4.0</v>
      </c>
      <c r="AT70" s="86">
        <v>157.0</v>
      </c>
      <c r="AU70" s="86">
        <v>297.0</v>
      </c>
      <c r="AV70" s="87"/>
      <c r="AW70" s="105">
        <v>75.0</v>
      </c>
      <c r="AX70" s="72">
        <v>75.0</v>
      </c>
      <c r="AY70" s="72">
        <v>4.0</v>
      </c>
      <c r="AZ70" s="68" t="s">
        <v>1295</v>
      </c>
      <c r="BA70" s="60" t="s">
        <v>294</v>
      </c>
      <c r="BB70" s="68"/>
    </row>
    <row r="71">
      <c r="A71" s="37" t="s">
        <v>1311</v>
      </c>
      <c r="B71" s="38" t="s">
        <v>1312</v>
      </c>
      <c r="C71" s="54">
        <v>20.0</v>
      </c>
      <c r="D71" s="72">
        <v>0.0</v>
      </c>
      <c r="E71" s="90">
        <v>54.0</v>
      </c>
      <c r="F71" s="90">
        <v>35.0</v>
      </c>
      <c r="G71" s="54">
        <v>15.0</v>
      </c>
      <c r="H71" s="54">
        <v>23.0</v>
      </c>
      <c r="I71" s="83">
        <f t="shared" si="1"/>
        <v>19</v>
      </c>
      <c r="J71" s="72">
        <v>0.0</v>
      </c>
      <c r="K71" s="72">
        <v>6.0</v>
      </c>
      <c r="L71" s="85">
        <v>56.0</v>
      </c>
      <c r="M71" s="54">
        <v>4.0</v>
      </c>
      <c r="N71" s="86">
        <v>148.0</v>
      </c>
      <c r="O71" s="86">
        <v>71.0</v>
      </c>
      <c r="P71" s="87"/>
      <c r="Q71" s="88" t="s">
        <v>1315</v>
      </c>
      <c r="R71" s="38" t="s">
        <v>1316</v>
      </c>
      <c r="S71" s="54">
        <v>44.0</v>
      </c>
      <c r="T71" s="72">
        <v>25.0</v>
      </c>
      <c r="U71" s="90">
        <v>101.0</v>
      </c>
      <c r="V71" s="74"/>
      <c r="W71" s="54">
        <v>41.0</v>
      </c>
      <c r="X71" s="54">
        <v>85.0</v>
      </c>
      <c r="Y71" s="83">
        <f t="shared" si="2"/>
        <v>63</v>
      </c>
      <c r="Z71" s="72">
        <v>0.0</v>
      </c>
      <c r="AA71" s="72">
        <v>6.0</v>
      </c>
      <c r="AB71" s="85">
        <v>56.0</v>
      </c>
      <c r="AC71" s="54">
        <v>4.0</v>
      </c>
      <c r="AD71" s="86">
        <v>153.0</v>
      </c>
      <c r="AE71" s="86">
        <v>179.0</v>
      </c>
      <c r="AF71" s="87"/>
      <c r="AG71" s="88" t="s">
        <v>1317</v>
      </c>
      <c r="AH71" s="96" t="s">
        <v>1318</v>
      </c>
      <c r="AI71" s="54">
        <v>83.0</v>
      </c>
      <c r="AJ71" s="72">
        <v>62.0</v>
      </c>
      <c r="AK71" s="90">
        <v>122.0</v>
      </c>
      <c r="AL71" s="90">
        <v>163.0</v>
      </c>
      <c r="AM71" s="54">
        <v>23.0</v>
      </c>
      <c r="AN71" s="54">
        <v>194.0</v>
      </c>
      <c r="AO71" s="83">
        <f t="shared" si="3"/>
        <v>108.5</v>
      </c>
      <c r="AP71" s="72">
        <v>0.0</v>
      </c>
      <c r="AQ71" s="72">
        <v>6.0</v>
      </c>
      <c r="AR71" s="104">
        <v>75.0</v>
      </c>
      <c r="AS71" s="54">
        <v>4.0</v>
      </c>
      <c r="AT71" s="86">
        <v>158.0</v>
      </c>
      <c r="AU71" s="86">
        <v>298.0</v>
      </c>
      <c r="AV71" s="87"/>
      <c r="AW71" s="105">
        <v>75.0</v>
      </c>
      <c r="AX71" s="72">
        <v>75.0</v>
      </c>
      <c r="AY71" s="72">
        <v>4.0</v>
      </c>
      <c r="AZ71" s="68" t="s">
        <v>1295</v>
      </c>
      <c r="BA71" s="60" t="s">
        <v>294</v>
      </c>
      <c r="BB71" s="68"/>
    </row>
    <row r="72">
      <c r="A72" s="183" t="s">
        <v>1320</v>
      </c>
      <c r="B72" s="185" t="s">
        <v>1321</v>
      </c>
      <c r="C72" s="186">
        <v>24.0</v>
      </c>
      <c r="D72" s="188">
        <v>0.0</v>
      </c>
      <c r="E72" s="189">
        <v>60.0</v>
      </c>
      <c r="F72" s="189">
        <v>45.0</v>
      </c>
      <c r="G72" s="186">
        <v>14.0</v>
      </c>
      <c r="H72" s="186">
        <v>63.0</v>
      </c>
      <c r="I72" s="191">
        <f t="shared" si="1"/>
        <v>38.5</v>
      </c>
      <c r="J72" s="188">
        <v>20.0</v>
      </c>
      <c r="K72" s="188">
        <v>6.0</v>
      </c>
      <c r="L72" s="195">
        <v>50.0</v>
      </c>
      <c r="M72" s="186">
        <v>4.0</v>
      </c>
      <c r="N72" s="196">
        <v>149.0</v>
      </c>
      <c r="O72" s="196">
        <v>72.0</v>
      </c>
      <c r="P72" s="198"/>
      <c r="Q72" s="200" t="s">
        <v>1322</v>
      </c>
      <c r="R72" s="185" t="s">
        <v>1323</v>
      </c>
      <c r="S72" s="186">
        <v>47.0</v>
      </c>
      <c r="T72" s="188">
        <v>25.0</v>
      </c>
      <c r="U72" s="189">
        <v>110.0</v>
      </c>
      <c r="V72" s="189">
        <v>88.0</v>
      </c>
      <c r="W72" s="186">
        <v>33.0</v>
      </c>
      <c r="X72" s="186">
        <v>163.0</v>
      </c>
      <c r="Y72" s="191">
        <f t="shared" si="2"/>
        <v>98</v>
      </c>
      <c r="Z72" s="188">
        <v>20.0</v>
      </c>
      <c r="AA72" s="188">
        <v>6.0</v>
      </c>
      <c r="AB72" s="195">
        <v>50.0</v>
      </c>
      <c r="AC72" s="186">
        <v>4.0</v>
      </c>
      <c r="AD72" s="196">
        <v>154.0</v>
      </c>
      <c r="AE72" s="196">
        <v>180.0</v>
      </c>
      <c r="AF72" s="198"/>
      <c r="AG72" s="200" t="s">
        <v>1325</v>
      </c>
      <c r="AH72" s="214" t="s">
        <v>1326</v>
      </c>
      <c r="AI72" s="186">
        <v>85.0</v>
      </c>
      <c r="AJ72" s="188">
        <v>66.0</v>
      </c>
      <c r="AK72" s="189">
        <v>165.0</v>
      </c>
      <c r="AL72" s="189">
        <v>106.0</v>
      </c>
      <c r="AM72" s="186">
        <v>41.0</v>
      </c>
      <c r="AN72" s="186">
        <v>223.0</v>
      </c>
      <c r="AO72" s="191">
        <f t="shared" si="3"/>
        <v>132</v>
      </c>
      <c r="AP72" s="188">
        <v>20.0</v>
      </c>
      <c r="AQ72" s="188">
        <v>6.0</v>
      </c>
      <c r="AR72" s="219">
        <v>75.0</v>
      </c>
      <c r="AS72" s="186">
        <v>4.0</v>
      </c>
      <c r="AT72" s="196">
        <v>159.0</v>
      </c>
      <c r="AU72" s="196">
        <v>299.0</v>
      </c>
      <c r="AV72" s="198"/>
      <c r="AW72" s="220">
        <v>75.0</v>
      </c>
      <c r="AX72" s="188">
        <v>75.0</v>
      </c>
      <c r="AY72" s="188">
        <v>4.0</v>
      </c>
      <c r="AZ72" s="221" t="s">
        <v>1295</v>
      </c>
      <c r="BA72" s="224" t="s">
        <v>294</v>
      </c>
      <c r="BB72" s="221"/>
    </row>
    <row r="73">
      <c r="A73" s="116" t="s">
        <v>1327</v>
      </c>
      <c r="B73" s="117" t="s">
        <v>1038</v>
      </c>
      <c r="C73" s="137">
        <v>5.0</v>
      </c>
      <c r="D73" s="228">
        <v>0.0</v>
      </c>
      <c r="E73" s="240">
        <v>40.0</v>
      </c>
      <c r="F73" s="229"/>
      <c r="G73" s="137">
        <v>1.0</v>
      </c>
      <c r="H73" s="137">
        <v>27.0</v>
      </c>
      <c r="I73" s="231">
        <f t="shared" si="1"/>
        <v>14</v>
      </c>
      <c r="J73" s="228">
        <v>10.0</v>
      </c>
      <c r="K73" s="233">
        <v>3.0</v>
      </c>
      <c r="L73" s="234">
        <v>100.0</v>
      </c>
      <c r="M73" s="137">
        <v>4.0</v>
      </c>
      <c r="N73" s="236">
        <v>127.0</v>
      </c>
      <c r="O73" s="236">
        <v>73.0</v>
      </c>
      <c r="P73" s="237"/>
      <c r="Q73" s="238" t="s">
        <v>1328</v>
      </c>
      <c r="R73" s="117" t="s">
        <v>1329</v>
      </c>
      <c r="S73" s="137">
        <v>33.0</v>
      </c>
      <c r="T73" s="228">
        <v>21.0</v>
      </c>
      <c r="U73" s="240">
        <v>80.0</v>
      </c>
      <c r="V73" s="229"/>
      <c r="W73" s="137">
        <v>9.0</v>
      </c>
      <c r="X73" s="137">
        <v>83.0</v>
      </c>
      <c r="Y73" s="231">
        <f t="shared" si="2"/>
        <v>46</v>
      </c>
      <c r="Z73" s="228">
        <v>10.0</v>
      </c>
      <c r="AA73" s="228">
        <v>4.0</v>
      </c>
      <c r="AB73" s="234">
        <v>100.0</v>
      </c>
      <c r="AC73" s="137">
        <v>4.0</v>
      </c>
      <c r="AD73" s="236">
        <v>133.0</v>
      </c>
      <c r="AE73" s="236">
        <v>181.0</v>
      </c>
      <c r="AF73" s="237"/>
      <c r="AG73" s="238" t="s">
        <v>1330</v>
      </c>
      <c r="AH73" s="244" t="s">
        <v>1331</v>
      </c>
      <c r="AI73" s="137">
        <v>60.0</v>
      </c>
      <c r="AJ73" s="228">
        <v>45.0</v>
      </c>
      <c r="AK73" s="240">
        <v>195.0</v>
      </c>
      <c r="AL73" s="240">
        <v>75.0</v>
      </c>
      <c r="AM73" s="137">
        <v>35.0</v>
      </c>
      <c r="AN73" s="137">
        <v>181.0</v>
      </c>
      <c r="AO73" s="231">
        <f t="shared" si="3"/>
        <v>108</v>
      </c>
      <c r="AP73" s="576">
        <v>0.0</v>
      </c>
      <c r="AQ73" s="228">
        <v>4.0</v>
      </c>
      <c r="AR73" s="234">
        <v>100.0</v>
      </c>
      <c r="AS73" s="137">
        <v>4.0</v>
      </c>
      <c r="AT73" s="236">
        <v>139.0</v>
      </c>
      <c r="AU73" s="236">
        <v>300.0</v>
      </c>
      <c r="AV73" s="237"/>
      <c r="AW73" s="250">
        <v>75.0</v>
      </c>
      <c r="AX73" s="228">
        <v>75.0</v>
      </c>
      <c r="AY73" s="119">
        <v>4.0</v>
      </c>
      <c r="AZ73" s="155" t="s">
        <v>1332</v>
      </c>
      <c r="BA73" s="144" t="s">
        <v>294</v>
      </c>
      <c r="BB73" s="155"/>
    </row>
    <row r="74">
      <c r="A74" s="37" t="s">
        <v>1333</v>
      </c>
      <c r="B74" s="38" t="s">
        <v>1334</v>
      </c>
      <c r="C74" s="54">
        <v>11.0</v>
      </c>
      <c r="D74" s="72">
        <v>0.0</v>
      </c>
      <c r="E74" s="90">
        <v>50.0</v>
      </c>
      <c r="F74" s="74"/>
      <c r="G74" s="54">
        <v>6.0</v>
      </c>
      <c r="H74" s="54">
        <v>21.0</v>
      </c>
      <c r="I74" s="83">
        <f t="shared" si="1"/>
        <v>13.5</v>
      </c>
      <c r="J74" s="72">
        <v>0.0</v>
      </c>
      <c r="K74" s="72">
        <v>4.0</v>
      </c>
      <c r="L74" s="85">
        <v>100.0</v>
      </c>
      <c r="M74" s="54">
        <v>4.0</v>
      </c>
      <c r="N74" s="86">
        <v>128.0</v>
      </c>
      <c r="O74" s="86">
        <v>74.0</v>
      </c>
      <c r="P74" s="87"/>
      <c r="Q74" s="88" t="s">
        <v>1335</v>
      </c>
      <c r="R74" s="38" t="s">
        <v>1336</v>
      </c>
      <c r="S74" s="54">
        <v>37.0</v>
      </c>
      <c r="T74" s="72">
        <v>25.0</v>
      </c>
      <c r="U74" s="90">
        <v>95.0</v>
      </c>
      <c r="V74" s="74"/>
      <c r="W74" s="54">
        <v>20.0</v>
      </c>
      <c r="X74" s="54">
        <v>76.0</v>
      </c>
      <c r="Y74" s="83">
        <f t="shared" si="2"/>
        <v>48</v>
      </c>
      <c r="Z74" s="72">
        <v>0.0</v>
      </c>
      <c r="AA74" s="72">
        <v>4.0</v>
      </c>
      <c r="AB74" s="85">
        <v>100.0</v>
      </c>
      <c r="AC74" s="54">
        <v>4.0</v>
      </c>
      <c r="AD74" s="86">
        <v>134.0</v>
      </c>
      <c r="AE74" s="86">
        <v>182.0</v>
      </c>
      <c r="AF74" s="87"/>
      <c r="AG74" s="88" t="s">
        <v>1337</v>
      </c>
      <c r="AH74" s="96" t="s">
        <v>1338</v>
      </c>
      <c r="AI74" s="54">
        <v>64.0</v>
      </c>
      <c r="AJ74" s="72">
        <v>48.0</v>
      </c>
      <c r="AK74" s="90">
        <v>210.0</v>
      </c>
      <c r="AL74" s="90">
        <v>55.0</v>
      </c>
      <c r="AM74" s="54">
        <v>21.0</v>
      </c>
      <c r="AN74" s="54">
        <v>206.0</v>
      </c>
      <c r="AO74" s="83">
        <f t="shared" si="3"/>
        <v>113.5</v>
      </c>
      <c r="AP74" s="84">
        <v>10.0</v>
      </c>
      <c r="AQ74" s="72">
        <v>4.0</v>
      </c>
      <c r="AR74" s="85">
        <v>100.0</v>
      </c>
      <c r="AS74" s="54">
        <v>4.0</v>
      </c>
      <c r="AT74" s="86">
        <v>140.0</v>
      </c>
      <c r="AU74" s="86">
        <v>301.0</v>
      </c>
      <c r="AV74" s="87"/>
      <c r="AW74" s="105">
        <v>75.0</v>
      </c>
      <c r="AX74" s="72">
        <v>75.0</v>
      </c>
      <c r="AY74" s="43">
        <v>4.0</v>
      </c>
      <c r="AZ74" s="68" t="s">
        <v>1332</v>
      </c>
      <c r="BA74" s="60" t="s">
        <v>294</v>
      </c>
      <c r="BB74" s="68"/>
    </row>
    <row r="75">
      <c r="A75" s="37" t="s">
        <v>1339</v>
      </c>
      <c r="B75" s="38" t="s">
        <v>1340</v>
      </c>
      <c r="C75" s="54">
        <v>15.0</v>
      </c>
      <c r="D75" s="72">
        <v>0.0</v>
      </c>
      <c r="E75" s="90">
        <v>41.0</v>
      </c>
      <c r="F75" s="90">
        <v>41.0</v>
      </c>
      <c r="G75" s="54">
        <v>8.0</v>
      </c>
      <c r="H75" s="54">
        <v>20.0</v>
      </c>
      <c r="I75" s="83">
        <f t="shared" si="1"/>
        <v>14</v>
      </c>
      <c r="J75" s="72">
        <v>-10.0</v>
      </c>
      <c r="K75" s="72">
        <v>5.0</v>
      </c>
      <c r="L75" s="85">
        <v>130.0</v>
      </c>
      <c r="M75" s="54">
        <v>4.0</v>
      </c>
      <c r="N75" s="86">
        <v>129.0</v>
      </c>
      <c r="O75" s="86">
        <v>75.0</v>
      </c>
      <c r="P75" s="87"/>
      <c r="Q75" s="88" t="s">
        <v>1342</v>
      </c>
      <c r="R75" s="38" t="s">
        <v>1343</v>
      </c>
      <c r="S75" s="54">
        <v>40.0</v>
      </c>
      <c r="T75" s="72">
        <v>25.0</v>
      </c>
      <c r="U75" s="90">
        <v>82.0</v>
      </c>
      <c r="V75" s="90">
        <v>82.0</v>
      </c>
      <c r="W75" s="54">
        <v>25.0</v>
      </c>
      <c r="X75" s="54">
        <v>64.0</v>
      </c>
      <c r="Y75" s="83">
        <f t="shared" si="2"/>
        <v>44.5</v>
      </c>
      <c r="Z75" s="72">
        <v>-10.0</v>
      </c>
      <c r="AA75" s="72">
        <v>5.0</v>
      </c>
      <c r="AB75" s="85">
        <v>130.0</v>
      </c>
      <c r="AC75" s="54">
        <v>4.0</v>
      </c>
      <c r="AD75" s="86">
        <v>135.0</v>
      </c>
      <c r="AE75" s="86">
        <v>183.0</v>
      </c>
      <c r="AF75" s="87"/>
      <c r="AG75" s="88" t="s">
        <v>1345</v>
      </c>
      <c r="AH75" s="96" t="s">
        <v>1346</v>
      </c>
      <c r="AI75" s="54">
        <v>71.0</v>
      </c>
      <c r="AJ75" s="72">
        <v>53.0</v>
      </c>
      <c r="AK75" s="90">
        <v>152.0</v>
      </c>
      <c r="AL75" s="90">
        <v>118.0</v>
      </c>
      <c r="AM75" s="54">
        <v>15.0</v>
      </c>
      <c r="AN75" s="54">
        <v>176.0</v>
      </c>
      <c r="AO75" s="83">
        <f t="shared" si="3"/>
        <v>95.5</v>
      </c>
      <c r="AP75" s="72">
        <v>-10.0</v>
      </c>
      <c r="AQ75" s="72">
        <v>5.0</v>
      </c>
      <c r="AR75" s="85">
        <v>130.0</v>
      </c>
      <c r="AS75" s="54">
        <v>4.0</v>
      </c>
      <c r="AT75" s="86">
        <v>141.0</v>
      </c>
      <c r="AU75" s="86">
        <v>302.0</v>
      </c>
      <c r="AV75" s="87"/>
      <c r="AW75" s="105">
        <v>75.0</v>
      </c>
      <c r="AX75" s="72">
        <v>75.0</v>
      </c>
      <c r="AY75" s="43">
        <v>4.0</v>
      </c>
      <c r="AZ75" s="68" t="s">
        <v>1347</v>
      </c>
      <c r="BA75" s="60" t="s">
        <v>294</v>
      </c>
      <c r="BB75" s="68"/>
    </row>
    <row r="76">
      <c r="A76" s="37" t="s">
        <v>1348</v>
      </c>
      <c r="B76" s="38" t="s">
        <v>1349</v>
      </c>
      <c r="C76" s="54">
        <v>21.0</v>
      </c>
      <c r="D76" s="72">
        <v>0.0</v>
      </c>
      <c r="E76" s="90">
        <v>62.0</v>
      </c>
      <c r="F76" s="74"/>
      <c r="G76" s="54">
        <v>18.0</v>
      </c>
      <c r="H76" s="54">
        <v>39.0</v>
      </c>
      <c r="I76" s="83">
        <f t="shared" si="1"/>
        <v>28.5</v>
      </c>
      <c r="J76" s="72">
        <v>10.0</v>
      </c>
      <c r="K76" s="72">
        <v>5.0</v>
      </c>
      <c r="L76" s="85">
        <v>130.0</v>
      </c>
      <c r="M76" s="54">
        <v>4.0</v>
      </c>
      <c r="N76" s="86">
        <v>130.0</v>
      </c>
      <c r="O76" s="86">
        <v>76.0</v>
      </c>
      <c r="P76" s="87"/>
      <c r="Q76" s="88" t="s">
        <v>1351</v>
      </c>
      <c r="R76" s="38" t="s">
        <v>1352</v>
      </c>
      <c r="S76" s="54">
        <v>35.0</v>
      </c>
      <c r="T76" s="72">
        <v>23.0</v>
      </c>
      <c r="U76" s="90">
        <v>113.0</v>
      </c>
      <c r="V76" s="90">
        <v>67.0</v>
      </c>
      <c r="W76" s="54">
        <v>49.0</v>
      </c>
      <c r="X76" s="54">
        <v>108.0</v>
      </c>
      <c r="Y76" s="83">
        <f t="shared" si="2"/>
        <v>78.5</v>
      </c>
      <c r="Z76" s="72">
        <v>10.0</v>
      </c>
      <c r="AA76" s="72">
        <v>5.0</v>
      </c>
      <c r="AB76" s="85">
        <v>130.0</v>
      </c>
      <c r="AC76" s="54">
        <v>4.0</v>
      </c>
      <c r="AD76" s="86">
        <v>136.0</v>
      </c>
      <c r="AE76" s="86">
        <v>184.0</v>
      </c>
      <c r="AF76" s="87"/>
      <c r="AG76" s="88" t="s">
        <v>1353</v>
      </c>
      <c r="AH76" s="96" t="s">
        <v>1354</v>
      </c>
      <c r="AI76" s="54">
        <v>79.0</v>
      </c>
      <c r="AJ76" s="72">
        <v>59.0</v>
      </c>
      <c r="AK76" s="90">
        <v>165.0</v>
      </c>
      <c r="AL76" s="90">
        <v>103.0</v>
      </c>
      <c r="AM76" s="54">
        <v>41.0</v>
      </c>
      <c r="AN76" s="54">
        <v>188.0</v>
      </c>
      <c r="AO76" s="83">
        <f t="shared" si="3"/>
        <v>114.5</v>
      </c>
      <c r="AP76" s="72">
        <v>10.0</v>
      </c>
      <c r="AQ76" s="72">
        <v>5.0</v>
      </c>
      <c r="AR76" s="85">
        <v>130.0</v>
      </c>
      <c r="AS76" s="54">
        <v>4.0</v>
      </c>
      <c r="AT76" s="86">
        <v>142.0</v>
      </c>
      <c r="AU76" s="86">
        <v>303.0</v>
      </c>
      <c r="AV76" s="87"/>
      <c r="AW76" s="105">
        <v>75.0</v>
      </c>
      <c r="AX76" s="72">
        <v>75.0</v>
      </c>
      <c r="AY76" s="43">
        <v>4.0</v>
      </c>
      <c r="AZ76" s="68" t="s">
        <v>1332</v>
      </c>
      <c r="BA76" s="60" t="s">
        <v>294</v>
      </c>
      <c r="BB76" s="68"/>
    </row>
    <row r="77">
      <c r="A77" s="37" t="s">
        <v>1355</v>
      </c>
      <c r="B77" s="38" t="s">
        <v>1356</v>
      </c>
      <c r="C77" s="54">
        <v>29.0</v>
      </c>
      <c r="D77" s="72">
        <v>0.0</v>
      </c>
      <c r="E77" s="90">
        <v>75.0</v>
      </c>
      <c r="F77" s="90">
        <v>47.0</v>
      </c>
      <c r="G77" s="54">
        <v>12.0</v>
      </c>
      <c r="H77" s="54">
        <v>45.0</v>
      </c>
      <c r="I77" s="83">
        <f t="shared" si="1"/>
        <v>28.5</v>
      </c>
      <c r="J77" s="72">
        <v>0.0</v>
      </c>
      <c r="K77" s="72">
        <v>6.0</v>
      </c>
      <c r="L77" s="85">
        <v>110.0</v>
      </c>
      <c r="M77" s="54">
        <v>4.0</v>
      </c>
      <c r="N77" s="86">
        <v>131.0</v>
      </c>
      <c r="O77" s="86">
        <v>77.0</v>
      </c>
      <c r="P77" s="87"/>
      <c r="Q77" s="88" t="s">
        <v>1357</v>
      </c>
      <c r="R77" s="38" t="s">
        <v>1358</v>
      </c>
      <c r="S77" s="54">
        <v>51.0</v>
      </c>
      <c r="T77" s="72">
        <v>25.0</v>
      </c>
      <c r="U77" s="90">
        <v>133.0</v>
      </c>
      <c r="V77" s="90">
        <v>91.0</v>
      </c>
      <c r="W77" s="54">
        <v>18.0</v>
      </c>
      <c r="X77" s="54">
        <v>122.0</v>
      </c>
      <c r="Y77" s="83">
        <f t="shared" si="2"/>
        <v>70</v>
      </c>
      <c r="Z77" s="72">
        <v>0.0</v>
      </c>
      <c r="AA77" s="72">
        <v>6.0</v>
      </c>
      <c r="AB77" s="85">
        <v>110.0</v>
      </c>
      <c r="AC77" s="54">
        <v>4.0</v>
      </c>
      <c r="AD77" s="86">
        <v>137.0</v>
      </c>
      <c r="AE77" s="86">
        <v>185.0</v>
      </c>
      <c r="AF77" s="87"/>
      <c r="AG77" s="88" t="s">
        <v>1359</v>
      </c>
      <c r="AH77" s="96" t="s">
        <v>1361</v>
      </c>
      <c r="AI77" s="54">
        <v>84.0</v>
      </c>
      <c r="AJ77" s="72">
        <v>63.0</v>
      </c>
      <c r="AK77" s="90">
        <v>179.0</v>
      </c>
      <c r="AL77" s="90">
        <v>99.0</v>
      </c>
      <c r="AM77" s="54">
        <v>58.0</v>
      </c>
      <c r="AN77" s="54">
        <v>159.0</v>
      </c>
      <c r="AO77" s="83">
        <f t="shared" si="3"/>
        <v>108.5</v>
      </c>
      <c r="AP77" s="72">
        <v>0.0</v>
      </c>
      <c r="AQ77" s="72">
        <v>6.0</v>
      </c>
      <c r="AR77" s="85">
        <v>110.0</v>
      </c>
      <c r="AS77" s="54">
        <v>4.0</v>
      </c>
      <c r="AT77" s="86">
        <v>143.0</v>
      </c>
      <c r="AU77" s="86">
        <v>304.0</v>
      </c>
      <c r="AV77" s="87"/>
      <c r="AW77" s="105">
        <v>75.0</v>
      </c>
      <c r="AX77" s="72">
        <v>75.0</v>
      </c>
      <c r="AY77" s="72">
        <v>4.0</v>
      </c>
      <c r="AZ77" s="68" t="s">
        <v>1332</v>
      </c>
      <c r="BA77" s="60" t="s">
        <v>294</v>
      </c>
      <c r="BB77" s="68"/>
    </row>
    <row r="78">
      <c r="A78" s="183" t="s">
        <v>1363</v>
      </c>
      <c r="B78" s="185" t="s">
        <v>1364</v>
      </c>
      <c r="C78" s="186">
        <v>34.0</v>
      </c>
      <c r="D78" s="188">
        <v>0.0</v>
      </c>
      <c r="E78" s="189">
        <v>80.0</v>
      </c>
      <c r="F78" s="189">
        <v>80.0</v>
      </c>
      <c r="G78" s="186">
        <v>15.0</v>
      </c>
      <c r="H78" s="186">
        <v>36.0</v>
      </c>
      <c r="I78" s="191">
        <f t="shared" si="1"/>
        <v>25.5</v>
      </c>
      <c r="J78" s="188">
        <v>-10.0</v>
      </c>
      <c r="K78" s="188">
        <v>6.0</v>
      </c>
      <c r="L78" s="195">
        <v>110.0</v>
      </c>
      <c r="M78" s="186">
        <v>3.0</v>
      </c>
      <c r="N78" s="196">
        <v>132.0</v>
      </c>
      <c r="O78" s="196">
        <v>78.0</v>
      </c>
      <c r="P78" s="198"/>
      <c r="Q78" s="200" t="s">
        <v>1365</v>
      </c>
      <c r="R78" s="185" t="s">
        <v>1367</v>
      </c>
      <c r="S78" s="186">
        <v>55.0</v>
      </c>
      <c r="T78" s="188">
        <v>25.0</v>
      </c>
      <c r="U78" s="189">
        <v>140.0</v>
      </c>
      <c r="V78" s="189">
        <v>140.0</v>
      </c>
      <c r="W78" s="186">
        <v>44.0</v>
      </c>
      <c r="X78" s="186">
        <v>100.0</v>
      </c>
      <c r="Y78" s="191">
        <f t="shared" si="2"/>
        <v>72</v>
      </c>
      <c r="Z78" s="188">
        <v>-10.0</v>
      </c>
      <c r="AA78" s="188">
        <v>6.0</v>
      </c>
      <c r="AB78" s="195">
        <v>110.0</v>
      </c>
      <c r="AC78" s="186">
        <v>3.0</v>
      </c>
      <c r="AD78" s="196">
        <v>138.0</v>
      </c>
      <c r="AE78" s="196">
        <v>186.0</v>
      </c>
      <c r="AF78" s="198"/>
      <c r="AG78" s="200" t="s">
        <v>1368</v>
      </c>
      <c r="AH78" s="214" t="s">
        <v>1369</v>
      </c>
      <c r="AI78" s="186">
        <v>85.0</v>
      </c>
      <c r="AJ78" s="188">
        <v>66.0</v>
      </c>
      <c r="AK78" s="189">
        <v>188.0</v>
      </c>
      <c r="AL78" s="189">
        <v>140.0</v>
      </c>
      <c r="AM78" s="186">
        <v>50.0</v>
      </c>
      <c r="AN78" s="186">
        <v>142.0</v>
      </c>
      <c r="AO78" s="191">
        <f t="shared" si="3"/>
        <v>96</v>
      </c>
      <c r="AP78" s="188">
        <v>-10.0</v>
      </c>
      <c r="AQ78" s="188">
        <v>6.0</v>
      </c>
      <c r="AR78" s="195">
        <v>110.0</v>
      </c>
      <c r="AS78" s="186">
        <v>3.0</v>
      </c>
      <c r="AT78" s="196">
        <v>144.0</v>
      </c>
      <c r="AU78" s="196">
        <v>305.0</v>
      </c>
      <c r="AV78" s="198"/>
      <c r="AW78" s="220">
        <v>75.0</v>
      </c>
      <c r="AX78" s="188">
        <v>75.0</v>
      </c>
      <c r="AY78" s="188">
        <v>4.0</v>
      </c>
      <c r="AZ78" s="221" t="s">
        <v>1347</v>
      </c>
      <c r="BA78" s="224" t="s">
        <v>294</v>
      </c>
      <c r="BB78" s="221"/>
    </row>
    <row r="79">
      <c r="A79" s="116" t="s">
        <v>1370</v>
      </c>
      <c r="B79" s="117" t="s">
        <v>1371</v>
      </c>
      <c r="C79" s="137">
        <v>1.0</v>
      </c>
      <c r="D79" s="228">
        <v>0.0</v>
      </c>
      <c r="E79" s="229"/>
      <c r="F79" s="240">
        <v>15.0</v>
      </c>
      <c r="G79" s="137">
        <v>1.0</v>
      </c>
      <c r="H79" s="137">
        <v>4.0</v>
      </c>
      <c r="I79" s="231">
        <f t="shared" si="1"/>
        <v>2.5</v>
      </c>
      <c r="J79" s="228">
        <v>5.0</v>
      </c>
      <c r="K79" s="233">
        <v>3.0</v>
      </c>
      <c r="L79" s="234"/>
      <c r="M79" s="137">
        <v>2.0</v>
      </c>
      <c r="N79" s="236">
        <v>226.0</v>
      </c>
      <c r="O79" s="236">
        <v>84.0</v>
      </c>
      <c r="P79" s="237"/>
      <c r="Q79" s="238" t="s">
        <v>1372</v>
      </c>
      <c r="R79" s="117" t="s">
        <v>1373</v>
      </c>
      <c r="S79" s="137">
        <v>30.0</v>
      </c>
      <c r="T79" s="228">
        <v>18.0</v>
      </c>
      <c r="U79" s="240">
        <v>25.0</v>
      </c>
      <c r="V79" s="240">
        <v>43.0</v>
      </c>
      <c r="W79" s="137">
        <v>8.0</v>
      </c>
      <c r="X79" s="137">
        <v>25.0</v>
      </c>
      <c r="Y79" s="231">
        <f t="shared" si="2"/>
        <v>16.5</v>
      </c>
      <c r="Z79" s="228">
        <v>5.0</v>
      </c>
      <c r="AA79" s="228">
        <v>4.0</v>
      </c>
      <c r="AB79" s="234"/>
      <c r="AC79" s="137">
        <v>2.0</v>
      </c>
      <c r="AD79" s="236">
        <v>234.0</v>
      </c>
      <c r="AE79" s="236">
        <v>192.0</v>
      </c>
      <c r="AF79" s="237"/>
      <c r="AG79" s="238" t="s">
        <v>1376</v>
      </c>
      <c r="AH79" s="244" t="s">
        <v>1377</v>
      </c>
      <c r="AI79" s="137">
        <v>55.0</v>
      </c>
      <c r="AJ79" s="228">
        <v>41.0</v>
      </c>
      <c r="AK79" s="240">
        <v>64.0</v>
      </c>
      <c r="AL79" s="240">
        <v>143.0</v>
      </c>
      <c r="AM79" s="118">
        <v>34.0</v>
      </c>
      <c r="AN79" s="118">
        <v>73.0</v>
      </c>
      <c r="AO79" s="231">
        <f t="shared" si="3"/>
        <v>53.5</v>
      </c>
      <c r="AP79" s="228">
        <v>5.0</v>
      </c>
      <c r="AQ79" s="228">
        <v>4.0</v>
      </c>
      <c r="AR79" s="234"/>
      <c r="AS79" s="137">
        <v>2.0</v>
      </c>
      <c r="AT79" s="236">
        <v>242.0</v>
      </c>
      <c r="AU79" s="236">
        <v>311.0</v>
      </c>
      <c r="AV79" s="237"/>
      <c r="AW79" s="238"/>
      <c r="AX79" s="228">
        <v>50.0</v>
      </c>
      <c r="AY79" s="229"/>
      <c r="AZ79" s="155" t="s">
        <v>1378</v>
      </c>
      <c r="BA79" s="144" t="s">
        <v>1380</v>
      </c>
      <c r="BB79" s="155"/>
    </row>
    <row r="80">
      <c r="A80" s="37" t="s">
        <v>1381</v>
      </c>
      <c r="B80" s="38" t="s">
        <v>1382</v>
      </c>
      <c r="C80" s="54">
        <v>5.0</v>
      </c>
      <c r="D80" s="72">
        <v>0.0</v>
      </c>
      <c r="E80" s="74"/>
      <c r="F80" s="90">
        <v>28.0</v>
      </c>
      <c r="G80" s="54">
        <v>2.0</v>
      </c>
      <c r="H80" s="54">
        <v>6.0</v>
      </c>
      <c r="I80" s="83">
        <f t="shared" si="1"/>
        <v>4</v>
      </c>
      <c r="J80" s="72">
        <v>-10.0</v>
      </c>
      <c r="K80" s="72">
        <v>4.0</v>
      </c>
      <c r="L80" s="85"/>
      <c r="M80" s="54">
        <v>2.0</v>
      </c>
      <c r="N80" s="86">
        <v>227.0</v>
      </c>
      <c r="O80" s="86">
        <v>85.0</v>
      </c>
      <c r="P80" s="87"/>
      <c r="Q80" s="88" t="s">
        <v>1383</v>
      </c>
      <c r="R80" s="38" t="s">
        <v>1384</v>
      </c>
      <c r="S80" s="54">
        <v>33.0</v>
      </c>
      <c r="T80" s="72">
        <v>21.0</v>
      </c>
      <c r="U80" s="90">
        <v>25.0</v>
      </c>
      <c r="V80" s="90">
        <v>62.0</v>
      </c>
      <c r="W80" s="54">
        <v>11.0</v>
      </c>
      <c r="X80" s="54">
        <v>29.0</v>
      </c>
      <c r="Y80" s="83">
        <f t="shared" si="2"/>
        <v>20</v>
      </c>
      <c r="Z80" s="72">
        <v>-10.0</v>
      </c>
      <c r="AA80" s="72">
        <v>4.0</v>
      </c>
      <c r="AB80" s="85"/>
      <c r="AC80" s="54">
        <v>2.0</v>
      </c>
      <c r="AD80" s="86">
        <v>235.0</v>
      </c>
      <c r="AE80" s="86">
        <v>193.0</v>
      </c>
      <c r="AF80" s="87"/>
      <c r="AG80" s="88" t="s">
        <v>1385</v>
      </c>
      <c r="AH80" s="96" t="s">
        <v>1386</v>
      </c>
      <c r="AI80" s="54">
        <v>60.0</v>
      </c>
      <c r="AJ80" s="72">
        <v>45.0</v>
      </c>
      <c r="AK80" s="90">
        <v>76.0</v>
      </c>
      <c r="AL80" s="90">
        <v>119.0</v>
      </c>
      <c r="AM80" s="39">
        <v>30.0</v>
      </c>
      <c r="AN80" s="39">
        <v>60.0</v>
      </c>
      <c r="AO80" s="83">
        <f t="shared" si="3"/>
        <v>45</v>
      </c>
      <c r="AP80" s="72">
        <v>-10.0</v>
      </c>
      <c r="AQ80" s="72">
        <v>4.0</v>
      </c>
      <c r="AR80" s="85"/>
      <c r="AS80" s="54">
        <v>2.0</v>
      </c>
      <c r="AT80" s="86">
        <v>243.0</v>
      </c>
      <c r="AU80" s="86">
        <v>312.0</v>
      </c>
      <c r="AV80" s="87"/>
      <c r="AW80" s="88"/>
      <c r="AX80" s="72">
        <v>50.0</v>
      </c>
      <c r="AY80" s="74"/>
      <c r="AZ80" s="68" t="s">
        <v>1378</v>
      </c>
      <c r="BA80" s="60" t="s">
        <v>1380</v>
      </c>
      <c r="BB80" s="68"/>
    </row>
    <row r="81">
      <c r="A81" s="37" t="s">
        <v>1388</v>
      </c>
      <c r="B81" s="38" t="s">
        <v>1389</v>
      </c>
      <c r="C81" s="54">
        <v>8.0</v>
      </c>
      <c r="D81" s="72">
        <v>0.0</v>
      </c>
      <c r="E81" s="90">
        <v>22.0</v>
      </c>
      <c r="F81" s="90">
        <v>19.0</v>
      </c>
      <c r="G81" s="54">
        <v>5.0</v>
      </c>
      <c r="H81" s="54">
        <v>10.0</v>
      </c>
      <c r="I81" s="83">
        <f t="shared" si="1"/>
        <v>7.5</v>
      </c>
      <c r="J81" s="72">
        <v>0.0</v>
      </c>
      <c r="K81" s="72">
        <v>5.0</v>
      </c>
      <c r="L81" s="85"/>
      <c r="M81" s="54">
        <v>2.0</v>
      </c>
      <c r="N81" s="86">
        <v>228.0</v>
      </c>
      <c r="O81" s="86">
        <v>86.0</v>
      </c>
      <c r="P81" s="87"/>
      <c r="Q81" s="88" t="s">
        <v>1391</v>
      </c>
      <c r="R81" s="38" t="s">
        <v>1392</v>
      </c>
      <c r="S81" s="54">
        <v>35.0</v>
      </c>
      <c r="T81" s="72">
        <v>23.0</v>
      </c>
      <c r="U81" s="90">
        <v>53.0</v>
      </c>
      <c r="V81" s="90">
        <v>49.0</v>
      </c>
      <c r="W81" s="54">
        <v>13.0</v>
      </c>
      <c r="X81" s="54">
        <v>38.0</v>
      </c>
      <c r="Y81" s="83">
        <f t="shared" si="2"/>
        <v>25.5</v>
      </c>
      <c r="Z81" s="72">
        <v>0.0</v>
      </c>
      <c r="AA81" s="72">
        <v>5.0</v>
      </c>
      <c r="AB81" s="85"/>
      <c r="AC81" s="54">
        <v>2.0</v>
      </c>
      <c r="AD81" s="86">
        <v>236.0</v>
      </c>
      <c r="AE81" s="86">
        <v>194.0</v>
      </c>
      <c r="AF81" s="87"/>
      <c r="AG81" s="88" t="s">
        <v>1394</v>
      </c>
      <c r="AH81" s="96" t="s">
        <v>1395</v>
      </c>
      <c r="AI81" s="54">
        <v>63.0</v>
      </c>
      <c r="AJ81" s="72">
        <v>47.0</v>
      </c>
      <c r="AK81" s="90">
        <v>52.0</v>
      </c>
      <c r="AL81" s="90">
        <v>188.0</v>
      </c>
      <c r="AM81" s="39">
        <v>22.0</v>
      </c>
      <c r="AN81" s="39">
        <v>86.0</v>
      </c>
      <c r="AO81" s="83">
        <f t="shared" si="3"/>
        <v>54</v>
      </c>
      <c r="AP81" s="72">
        <v>0.0</v>
      </c>
      <c r="AQ81" s="166">
        <v>6.0</v>
      </c>
      <c r="AR81" s="85"/>
      <c r="AS81" s="54">
        <v>2.0</v>
      </c>
      <c r="AT81" s="86">
        <v>244.0</v>
      </c>
      <c r="AU81" s="86">
        <v>313.0</v>
      </c>
      <c r="AV81" s="87"/>
      <c r="AW81" s="88"/>
      <c r="AX81" s="72">
        <v>50.0</v>
      </c>
      <c r="AY81" s="74"/>
      <c r="AZ81" s="68" t="s">
        <v>1378</v>
      </c>
      <c r="BA81" s="60" t="s">
        <v>1380</v>
      </c>
      <c r="BB81" s="68"/>
    </row>
    <row r="82">
      <c r="A82" s="37" t="s">
        <v>1397</v>
      </c>
      <c r="B82" s="38" t="s">
        <v>1398</v>
      </c>
      <c r="C82" s="54">
        <v>12.0</v>
      </c>
      <c r="D82" s="72">
        <v>0.0</v>
      </c>
      <c r="E82" s="90">
        <v>25.0</v>
      </c>
      <c r="F82" s="90">
        <v>35.0</v>
      </c>
      <c r="G82" s="54">
        <v>5.0</v>
      </c>
      <c r="H82" s="54">
        <v>9.0</v>
      </c>
      <c r="I82" s="83">
        <f t="shared" si="1"/>
        <v>7</v>
      </c>
      <c r="J82" s="72">
        <v>-10.0</v>
      </c>
      <c r="K82" s="72">
        <v>4.0</v>
      </c>
      <c r="L82" s="85"/>
      <c r="M82" s="54">
        <v>2.0</v>
      </c>
      <c r="N82" s="86">
        <v>229.0</v>
      </c>
      <c r="O82" s="86">
        <v>87.0</v>
      </c>
      <c r="P82" s="87"/>
      <c r="Q82" s="88" t="s">
        <v>1399</v>
      </c>
      <c r="R82" s="38" t="s">
        <v>1400</v>
      </c>
      <c r="S82" s="54">
        <v>39.0</v>
      </c>
      <c r="T82" s="72">
        <v>25.0</v>
      </c>
      <c r="U82" s="90">
        <v>58.0</v>
      </c>
      <c r="V82" s="90">
        <v>73.0</v>
      </c>
      <c r="W82" s="54">
        <v>14.0</v>
      </c>
      <c r="X82" s="54">
        <v>35.0</v>
      </c>
      <c r="Y82" s="83">
        <f t="shared" si="2"/>
        <v>24.5</v>
      </c>
      <c r="Z82" s="72">
        <v>-10.0</v>
      </c>
      <c r="AA82" s="72">
        <v>4.0</v>
      </c>
      <c r="AB82" s="85"/>
      <c r="AC82" s="54">
        <v>2.0</v>
      </c>
      <c r="AD82" s="86">
        <v>237.0</v>
      </c>
      <c r="AE82" s="86">
        <v>195.0</v>
      </c>
      <c r="AF82" s="87"/>
      <c r="AG82" s="88" t="s">
        <v>1401</v>
      </c>
      <c r="AH82" s="96" t="s">
        <v>1402</v>
      </c>
      <c r="AI82" s="54">
        <v>68.0</v>
      </c>
      <c r="AJ82" s="72">
        <v>51.0</v>
      </c>
      <c r="AK82" s="90">
        <v>121.0</v>
      </c>
      <c r="AL82" s="90">
        <v>107.0</v>
      </c>
      <c r="AM82" s="39">
        <v>17.0</v>
      </c>
      <c r="AN82" s="39">
        <v>76.0</v>
      </c>
      <c r="AO82" s="83">
        <f t="shared" si="3"/>
        <v>46.5</v>
      </c>
      <c r="AP82" s="72">
        <v>-10.0</v>
      </c>
      <c r="AQ82" s="72">
        <v>4.0</v>
      </c>
      <c r="AR82" s="85"/>
      <c r="AS82" s="54">
        <v>2.0</v>
      </c>
      <c r="AT82" s="86">
        <v>245.0</v>
      </c>
      <c r="AU82" s="86">
        <v>314.0</v>
      </c>
      <c r="AV82" s="87"/>
      <c r="AW82" s="88"/>
      <c r="AX82" s="72">
        <v>50.0</v>
      </c>
      <c r="AY82" s="74"/>
      <c r="AZ82" s="68" t="s">
        <v>1378</v>
      </c>
      <c r="BA82" s="60" t="s">
        <v>1380</v>
      </c>
      <c r="BB82" s="68"/>
    </row>
    <row r="83">
      <c r="A83" s="37" t="s">
        <v>1403</v>
      </c>
      <c r="B83" s="38" t="s">
        <v>1404</v>
      </c>
      <c r="C83" s="54">
        <v>18.0</v>
      </c>
      <c r="D83" s="72">
        <v>0.0</v>
      </c>
      <c r="E83" s="90">
        <v>30.0</v>
      </c>
      <c r="F83" s="90">
        <v>40.0</v>
      </c>
      <c r="G83" s="54">
        <v>6.0</v>
      </c>
      <c r="H83" s="54">
        <v>12.0</v>
      </c>
      <c r="I83" s="83">
        <f t="shared" si="1"/>
        <v>9</v>
      </c>
      <c r="J83" s="72">
        <v>0.0</v>
      </c>
      <c r="K83" s="72">
        <v>5.0</v>
      </c>
      <c r="L83" s="85"/>
      <c r="M83" s="54">
        <v>2.0</v>
      </c>
      <c r="N83" s="86">
        <v>230.0</v>
      </c>
      <c r="O83" s="86">
        <v>88.0</v>
      </c>
      <c r="P83" s="87"/>
      <c r="Q83" s="88" t="s">
        <v>1405</v>
      </c>
      <c r="R83" s="38" t="s">
        <v>1406</v>
      </c>
      <c r="S83" s="54">
        <v>43.0</v>
      </c>
      <c r="T83" s="72">
        <v>25.0</v>
      </c>
      <c r="U83" s="90">
        <v>65.0</v>
      </c>
      <c r="V83" s="90">
        <v>80.0</v>
      </c>
      <c r="W83" s="54">
        <v>17.0</v>
      </c>
      <c r="X83" s="54">
        <v>40.0</v>
      </c>
      <c r="Y83" s="83">
        <f t="shared" si="2"/>
        <v>28.5</v>
      </c>
      <c r="Z83" s="72">
        <v>0.0</v>
      </c>
      <c r="AA83" s="72">
        <v>5.0</v>
      </c>
      <c r="AB83" s="85"/>
      <c r="AC83" s="54">
        <v>2.0</v>
      </c>
      <c r="AD83" s="86">
        <v>238.0</v>
      </c>
      <c r="AE83" s="86">
        <v>196.0</v>
      </c>
      <c r="AF83" s="87"/>
      <c r="AG83" s="88" t="s">
        <v>1407</v>
      </c>
      <c r="AH83" s="96" t="s">
        <v>1408</v>
      </c>
      <c r="AI83" s="54">
        <v>72.0</v>
      </c>
      <c r="AJ83" s="72">
        <v>54.0</v>
      </c>
      <c r="AK83" s="90">
        <v>89.0</v>
      </c>
      <c r="AL83" s="90">
        <v>132.0</v>
      </c>
      <c r="AM83" s="39">
        <v>48.0</v>
      </c>
      <c r="AN83" s="39">
        <v>58.0</v>
      </c>
      <c r="AO83" s="83">
        <f t="shared" si="3"/>
        <v>53</v>
      </c>
      <c r="AP83" s="72">
        <v>0.0</v>
      </c>
      <c r="AQ83" s="72">
        <v>5.0</v>
      </c>
      <c r="AR83" s="85"/>
      <c r="AS83" s="54">
        <v>2.0</v>
      </c>
      <c r="AT83" s="86">
        <v>246.0</v>
      </c>
      <c r="AU83" s="86">
        <v>315.0</v>
      </c>
      <c r="AV83" s="87"/>
      <c r="AW83" s="88"/>
      <c r="AX83" s="72">
        <v>50.0</v>
      </c>
      <c r="AY83" s="74"/>
      <c r="AZ83" s="68" t="s">
        <v>1378</v>
      </c>
      <c r="BA83" s="60" t="s">
        <v>1380</v>
      </c>
      <c r="BB83" s="68"/>
    </row>
    <row r="84">
      <c r="A84" s="37" t="s">
        <v>1410</v>
      </c>
      <c r="B84" s="38" t="s">
        <v>1411</v>
      </c>
      <c r="C84" s="54">
        <v>23.0</v>
      </c>
      <c r="D84" s="72">
        <v>0.0</v>
      </c>
      <c r="E84" s="90">
        <v>40.0</v>
      </c>
      <c r="F84" s="90">
        <v>50.0</v>
      </c>
      <c r="G84" s="54">
        <v>7.0</v>
      </c>
      <c r="H84" s="54">
        <v>18.0</v>
      </c>
      <c r="I84" s="83">
        <f t="shared" si="1"/>
        <v>12.5</v>
      </c>
      <c r="J84" s="72">
        <v>10.0</v>
      </c>
      <c r="K84" s="72">
        <v>6.0</v>
      </c>
      <c r="L84" s="85"/>
      <c r="M84" s="54">
        <v>2.0</v>
      </c>
      <c r="N84" s="86">
        <v>231.0</v>
      </c>
      <c r="O84" s="86">
        <v>89.0</v>
      </c>
      <c r="P84" s="87"/>
      <c r="Q84" s="56" t="s">
        <v>1413</v>
      </c>
      <c r="R84" s="38" t="s">
        <v>1414</v>
      </c>
      <c r="S84" s="54">
        <v>46.0</v>
      </c>
      <c r="T84" s="72">
        <v>25.0</v>
      </c>
      <c r="U84" s="90">
        <v>80.0</v>
      </c>
      <c r="V84" s="90">
        <v>95.0</v>
      </c>
      <c r="W84" s="54">
        <v>13.0</v>
      </c>
      <c r="X84" s="54">
        <v>56.0</v>
      </c>
      <c r="Y84" s="83">
        <f t="shared" si="2"/>
        <v>34.5</v>
      </c>
      <c r="Z84" s="72">
        <v>10.0</v>
      </c>
      <c r="AA84" s="72">
        <v>6.0</v>
      </c>
      <c r="AB84" s="85"/>
      <c r="AC84" s="54">
        <v>2.0</v>
      </c>
      <c r="AD84" s="86">
        <v>239.0</v>
      </c>
      <c r="AE84" s="86">
        <v>197.0</v>
      </c>
      <c r="AF84" s="87"/>
      <c r="AG84" s="88" t="s">
        <v>1415</v>
      </c>
      <c r="AH84" s="96" t="s">
        <v>1416</v>
      </c>
      <c r="AI84" s="54">
        <v>77.0</v>
      </c>
      <c r="AJ84" s="72">
        <v>57.0</v>
      </c>
      <c r="AK84" s="90">
        <v>97.0</v>
      </c>
      <c r="AL84" s="90">
        <v>121.0</v>
      </c>
      <c r="AM84" s="39">
        <v>23.0</v>
      </c>
      <c r="AN84" s="39">
        <v>91.0</v>
      </c>
      <c r="AO84" s="83">
        <f t="shared" si="3"/>
        <v>57</v>
      </c>
      <c r="AP84" s="72">
        <v>10.0</v>
      </c>
      <c r="AQ84" s="72">
        <v>6.0</v>
      </c>
      <c r="AR84" s="85"/>
      <c r="AS84" s="54">
        <v>2.0</v>
      </c>
      <c r="AT84" s="86">
        <v>247.0</v>
      </c>
      <c r="AU84" s="86">
        <v>316.0</v>
      </c>
      <c r="AV84" s="87"/>
      <c r="AW84" s="88"/>
      <c r="AX84" s="72">
        <v>50.0</v>
      </c>
      <c r="AY84" s="74"/>
      <c r="AZ84" s="68" t="s">
        <v>1378</v>
      </c>
      <c r="BA84" s="60" t="s">
        <v>1380</v>
      </c>
      <c r="BB84" s="68"/>
    </row>
    <row r="85">
      <c r="A85" s="37" t="s">
        <v>1418</v>
      </c>
      <c r="B85" s="38" t="s">
        <v>1419</v>
      </c>
      <c r="C85" s="54">
        <v>27.0</v>
      </c>
      <c r="D85" s="72">
        <v>0.0</v>
      </c>
      <c r="E85" s="90">
        <v>35.0</v>
      </c>
      <c r="F85" s="90">
        <v>55.0</v>
      </c>
      <c r="G85" s="54">
        <v>6.0</v>
      </c>
      <c r="H85" s="54">
        <v>14.0</v>
      </c>
      <c r="I85" s="83">
        <f t="shared" si="1"/>
        <v>10</v>
      </c>
      <c r="J85" s="72">
        <v>0.0</v>
      </c>
      <c r="K85" s="72">
        <v>5.0</v>
      </c>
      <c r="L85" s="85"/>
      <c r="M85" s="54">
        <v>2.0</v>
      </c>
      <c r="N85" s="86">
        <v>232.0</v>
      </c>
      <c r="O85" s="86">
        <v>90.0</v>
      </c>
      <c r="P85" s="87"/>
      <c r="Q85" s="88" t="s">
        <v>1420</v>
      </c>
      <c r="R85" s="38" t="s">
        <v>1421</v>
      </c>
      <c r="S85" s="54">
        <v>49.0</v>
      </c>
      <c r="T85" s="72">
        <v>25.0</v>
      </c>
      <c r="U85" s="90">
        <v>73.0</v>
      </c>
      <c r="V85" s="90">
        <v>103.0</v>
      </c>
      <c r="W85" s="54">
        <v>19.0</v>
      </c>
      <c r="X85" s="54">
        <v>46.0</v>
      </c>
      <c r="Y85" s="83">
        <f t="shared" si="2"/>
        <v>32.5</v>
      </c>
      <c r="Z85" s="72">
        <v>0.0</v>
      </c>
      <c r="AA85" s="72">
        <v>5.0</v>
      </c>
      <c r="AB85" s="85"/>
      <c r="AC85" s="54">
        <v>2.0</v>
      </c>
      <c r="AD85" s="86">
        <v>240.0</v>
      </c>
      <c r="AE85" s="86">
        <v>198.0</v>
      </c>
      <c r="AF85" s="87"/>
      <c r="AG85" s="88" t="s">
        <v>1422</v>
      </c>
      <c r="AH85" s="96" t="s">
        <v>1423</v>
      </c>
      <c r="AI85" s="54">
        <v>80.0</v>
      </c>
      <c r="AJ85" s="72">
        <v>60.0</v>
      </c>
      <c r="AK85" s="90">
        <v>72.0</v>
      </c>
      <c r="AL85" s="90">
        <v>146.0</v>
      </c>
      <c r="AM85" s="39">
        <v>29.0</v>
      </c>
      <c r="AN85" s="39">
        <v>77.0</v>
      </c>
      <c r="AO85" s="83">
        <f t="shared" si="3"/>
        <v>53</v>
      </c>
      <c r="AP85" s="72">
        <v>0.0</v>
      </c>
      <c r="AQ85" s="72">
        <v>5.0</v>
      </c>
      <c r="AR85" s="85"/>
      <c r="AS85" s="54">
        <v>2.0</v>
      </c>
      <c r="AT85" s="86">
        <v>248.0</v>
      </c>
      <c r="AU85" s="86">
        <v>317.0</v>
      </c>
      <c r="AV85" s="87"/>
      <c r="AW85" s="88"/>
      <c r="AX85" s="72">
        <v>50.0</v>
      </c>
      <c r="AY85" s="74"/>
      <c r="AZ85" s="68" t="s">
        <v>1378</v>
      </c>
      <c r="BA85" s="60" t="s">
        <v>1380</v>
      </c>
      <c r="BB85" s="68"/>
    </row>
    <row r="86">
      <c r="A86" s="183" t="s">
        <v>1424</v>
      </c>
      <c r="B86" s="185" t="s">
        <v>1425</v>
      </c>
      <c r="C86" s="186">
        <v>31.0</v>
      </c>
      <c r="D86" s="188">
        <v>0.0</v>
      </c>
      <c r="E86" s="189">
        <v>50.0</v>
      </c>
      <c r="F86" s="189">
        <v>65.0</v>
      </c>
      <c r="G86" s="186">
        <v>3.0</v>
      </c>
      <c r="H86" s="186">
        <v>23.0</v>
      </c>
      <c r="I86" s="191">
        <f t="shared" si="1"/>
        <v>13</v>
      </c>
      <c r="J86" s="188">
        <v>10.0</v>
      </c>
      <c r="K86" s="188">
        <v>6.0</v>
      </c>
      <c r="L86" s="195"/>
      <c r="M86" s="186">
        <v>2.0</v>
      </c>
      <c r="N86" s="196">
        <v>233.0</v>
      </c>
      <c r="O86" s="196">
        <v>91.0</v>
      </c>
      <c r="P86" s="198"/>
      <c r="Q86" s="200" t="s">
        <v>1426</v>
      </c>
      <c r="R86" s="185" t="s">
        <v>1427</v>
      </c>
      <c r="S86" s="186">
        <v>52.0</v>
      </c>
      <c r="T86" s="188">
        <v>25.0</v>
      </c>
      <c r="U86" s="189">
        <v>95.0</v>
      </c>
      <c r="V86" s="189">
        <v>118.0</v>
      </c>
      <c r="W86" s="186">
        <v>8.0</v>
      </c>
      <c r="X86" s="186">
        <v>63.0</v>
      </c>
      <c r="Y86" s="191">
        <f t="shared" si="2"/>
        <v>35.5</v>
      </c>
      <c r="Z86" s="188">
        <v>10.0</v>
      </c>
      <c r="AA86" s="188">
        <v>6.0</v>
      </c>
      <c r="AB86" s="195"/>
      <c r="AC86" s="186">
        <v>2.0</v>
      </c>
      <c r="AD86" s="196">
        <v>241.0</v>
      </c>
      <c r="AE86" s="196">
        <v>199.0</v>
      </c>
      <c r="AF86" s="198"/>
      <c r="AG86" s="200" t="s">
        <v>1428</v>
      </c>
      <c r="AH86" s="214" t="s">
        <v>1429</v>
      </c>
      <c r="AI86" s="186">
        <v>85.0</v>
      </c>
      <c r="AJ86" s="188">
        <v>63.0</v>
      </c>
      <c r="AK86" s="189">
        <v>134.0</v>
      </c>
      <c r="AL86" s="189">
        <v>167.0</v>
      </c>
      <c r="AM86" s="583">
        <v>14.0</v>
      </c>
      <c r="AN86" s="583">
        <v>100.0</v>
      </c>
      <c r="AO86" s="191">
        <f t="shared" si="3"/>
        <v>57</v>
      </c>
      <c r="AP86" s="188">
        <v>10.0</v>
      </c>
      <c r="AQ86" s="188">
        <v>6.0</v>
      </c>
      <c r="AR86" s="195"/>
      <c r="AS86" s="186">
        <v>2.0</v>
      </c>
      <c r="AT86" s="196">
        <v>249.0</v>
      </c>
      <c r="AU86" s="196">
        <v>318.0</v>
      </c>
      <c r="AV86" s="198"/>
      <c r="AW86" s="200"/>
      <c r="AX86" s="188">
        <v>50.0</v>
      </c>
      <c r="AY86" s="190"/>
      <c r="AZ86" s="221" t="s">
        <v>1378</v>
      </c>
      <c r="BA86" s="224" t="s">
        <v>1380</v>
      </c>
      <c r="BB86" s="221"/>
    </row>
    <row r="87">
      <c r="A87" s="116" t="s">
        <v>1430</v>
      </c>
      <c r="B87" s="117" t="s">
        <v>1431</v>
      </c>
      <c r="C87" s="137">
        <v>18.0</v>
      </c>
      <c r="D87" s="228">
        <v>14.0</v>
      </c>
      <c r="E87" s="240">
        <v>30.0</v>
      </c>
      <c r="F87" s="240">
        <v>45.0</v>
      </c>
      <c r="G87" s="137">
        <v>8.0</v>
      </c>
      <c r="H87" s="137">
        <v>14.0</v>
      </c>
      <c r="I87" s="231">
        <f t="shared" si="1"/>
        <v>11</v>
      </c>
      <c r="J87" s="228">
        <v>0.0</v>
      </c>
      <c r="K87" s="228">
        <v>5.0</v>
      </c>
      <c r="L87" s="234"/>
      <c r="M87" s="137">
        <v>3.0</v>
      </c>
      <c r="N87" s="236">
        <v>250.0</v>
      </c>
      <c r="O87" s="236">
        <v>328.0</v>
      </c>
      <c r="P87" s="237"/>
      <c r="Q87" s="238" t="s">
        <v>1432</v>
      </c>
      <c r="R87" s="117" t="s">
        <v>1433</v>
      </c>
      <c r="S87" s="137">
        <v>39.0</v>
      </c>
      <c r="T87" s="228">
        <v>29.0</v>
      </c>
      <c r="U87" s="240">
        <v>56.0</v>
      </c>
      <c r="V87" s="240">
        <v>77.0</v>
      </c>
      <c r="W87" s="137">
        <v>19.0</v>
      </c>
      <c r="X87" s="137">
        <v>38.0</v>
      </c>
      <c r="Y87" s="231">
        <f t="shared" si="2"/>
        <v>28.5</v>
      </c>
      <c r="Z87" s="228">
        <v>0.0</v>
      </c>
      <c r="AA87" s="228">
        <v>5.0</v>
      </c>
      <c r="AB87" s="234"/>
      <c r="AC87" s="137">
        <v>3.0</v>
      </c>
      <c r="AD87" s="236">
        <v>252.0</v>
      </c>
      <c r="AE87" s="236">
        <v>339.0</v>
      </c>
      <c r="AF87" s="237"/>
      <c r="AG87" s="238" t="s">
        <v>1435</v>
      </c>
      <c r="AH87" s="244" t="s">
        <v>1437</v>
      </c>
      <c r="AI87" s="137">
        <v>53.0</v>
      </c>
      <c r="AJ87" s="228">
        <v>39.0</v>
      </c>
      <c r="AK87" s="240">
        <v>87.0</v>
      </c>
      <c r="AL87" s="240">
        <v>187.0</v>
      </c>
      <c r="AM87" s="118">
        <v>31.0</v>
      </c>
      <c r="AN87" s="118">
        <v>74.0</v>
      </c>
      <c r="AO87" s="231">
        <f t="shared" si="3"/>
        <v>52.5</v>
      </c>
      <c r="AP87" s="228">
        <v>-10.0</v>
      </c>
      <c r="AQ87" s="228">
        <v>5.0</v>
      </c>
      <c r="AR87" s="234"/>
      <c r="AS87" s="137">
        <v>3.0</v>
      </c>
      <c r="AT87" s="236">
        <v>254.0</v>
      </c>
      <c r="AU87" s="236">
        <v>350.0</v>
      </c>
      <c r="AV87" s="237"/>
      <c r="AW87" s="238"/>
      <c r="AX87" s="228">
        <v>50.0</v>
      </c>
      <c r="AY87" s="229"/>
      <c r="AZ87" s="155" t="s">
        <v>1438</v>
      </c>
      <c r="BA87" s="144" t="s">
        <v>1380</v>
      </c>
      <c r="BB87" s="564" t="s">
        <v>1439</v>
      </c>
    </row>
    <row r="88">
      <c r="A88" s="37" t="s">
        <v>1440</v>
      </c>
      <c r="B88" s="38" t="s">
        <v>1441</v>
      </c>
      <c r="C88" s="54">
        <v>27.0</v>
      </c>
      <c r="D88" s="72">
        <v>20.0</v>
      </c>
      <c r="E88" s="90">
        <v>35.0</v>
      </c>
      <c r="F88" s="90">
        <v>60.0</v>
      </c>
      <c r="G88" s="54">
        <v>10.0</v>
      </c>
      <c r="H88" s="54">
        <v>21.0</v>
      </c>
      <c r="I88" s="83">
        <f t="shared" si="1"/>
        <v>15.5</v>
      </c>
      <c r="J88" s="72">
        <v>10.0</v>
      </c>
      <c r="K88" s="72">
        <v>5.0</v>
      </c>
      <c r="L88" s="85"/>
      <c r="M88" s="54">
        <v>3.0</v>
      </c>
      <c r="N88" s="86">
        <v>251.0</v>
      </c>
      <c r="O88" s="86">
        <v>329.0</v>
      </c>
      <c r="P88" s="87"/>
      <c r="Q88" s="88" t="s">
        <v>1443</v>
      </c>
      <c r="R88" s="38" t="s">
        <v>1444</v>
      </c>
      <c r="S88" s="54">
        <v>47.0</v>
      </c>
      <c r="T88" s="72">
        <v>35.0</v>
      </c>
      <c r="U88" s="90">
        <v>73.0</v>
      </c>
      <c r="V88" s="90">
        <v>110.0</v>
      </c>
      <c r="W88" s="54">
        <v>22.0</v>
      </c>
      <c r="X88" s="54">
        <v>53.0</v>
      </c>
      <c r="Y88" s="83">
        <f t="shared" si="2"/>
        <v>37.5</v>
      </c>
      <c r="Z88" s="72">
        <v>10.0</v>
      </c>
      <c r="AA88" s="72">
        <v>5.0</v>
      </c>
      <c r="AB88" s="85"/>
      <c r="AC88" s="54">
        <v>3.0</v>
      </c>
      <c r="AD88" s="86">
        <v>253.0</v>
      </c>
      <c r="AE88" s="86">
        <v>340.0</v>
      </c>
      <c r="AF88" s="87"/>
      <c r="AG88" s="584" t="s">
        <v>1445</v>
      </c>
      <c r="AH88" s="96" t="s">
        <v>1446</v>
      </c>
      <c r="AI88" s="54">
        <v>78.0</v>
      </c>
      <c r="AJ88" s="72">
        <v>58.0</v>
      </c>
      <c r="AK88" s="90">
        <v>108.0</v>
      </c>
      <c r="AL88" s="90">
        <v>152.0</v>
      </c>
      <c r="AM88" s="39">
        <v>20.0</v>
      </c>
      <c r="AN88" s="39">
        <v>104.0</v>
      </c>
      <c r="AO88" s="83">
        <f t="shared" si="3"/>
        <v>62</v>
      </c>
      <c r="AP88" s="72">
        <v>10.0</v>
      </c>
      <c r="AQ88" s="72">
        <v>5.0</v>
      </c>
      <c r="AR88" s="85"/>
      <c r="AS88" s="54">
        <v>3.0</v>
      </c>
      <c r="AT88" s="86">
        <v>255.0</v>
      </c>
      <c r="AU88" s="86">
        <v>351.0</v>
      </c>
      <c r="AV88" s="87"/>
      <c r="AW88" s="88"/>
      <c r="AX88" s="72">
        <v>50.0</v>
      </c>
      <c r="AY88" s="74"/>
      <c r="AZ88" s="68" t="s">
        <v>1438</v>
      </c>
      <c r="BA88" s="60" t="s">
        <v>1380</v>
      </c>
      <c r="BB88" s="567" t="s">
        <v>1439</v>
      </c>
    </row>
    <row r="89">
      <c r="A89" s="116" t="s">
        <v>1448</v>
      </c>
      <c r="B89" s="117" t="s">
        <v>1449</v>
      </c>
      <c r="C89" s="137">
        <v>6.0</v>
      </c>
      <c r="D89" s="228">
        <v>0.0</v>
      </c>
      <c r="E89" s="240">
        <v>21.0</v>
      </c>
      <c r="F89" s="240">
        <v>27.0</v>
      </c>
      <c r="G89" s="137">
        <v>8.0</v>
      </c>
      <c r="H89" s="137">
        <v>11.0</v>
      </c>
      <c r="I89" s="231">
        <f t="shared" si="1"/>
        <v>9.5</v>
      </c>
      <c r="J89" s="228">
        <v>-10.0</v>
      </c>
      <c r="K89" s="233">
        <v>3.0</v>
      </c>
      <c r="L89" s="234"/>
      <c r="M89" s="137">
        <v>2.0</v>
      </c>
      <c r="N89" s="236">
        <v>214.0</v>
      </c>
      <c r="O89" s="236">
        <v>92.0</v>
      </c>
      <c r="P89" s="237"/>
      <c r="Q89" s="238" t="s">
        <v>1451</v>
      </c>
      <c r="R89" s="117" t="s">
        <v>1452</v>
      </c>
      <c r="S89" s="137">
        <v>34.0</v>
      </c>
      <c r="T89" s="228">
        <v>22.0</v>
      </c>
      <c r="U89" s="240">
        <v>52.0</v>
      </c>
      <c r="V89" s="240">
        <v>61.0</v>
      </c>
      <c r="W89" s="137">
        <v>20.0</v>
      </c>
      <c r="X89" s="137">
        <v>38.0</v>
      </c>
      <c r="Y89" s="231">
        <f t="shared" si="2"/>
        <v>29</v>
      </c>
      <c r="Z89" s="228">
        <v>-10.0</v>
      </c>
      <c r="AA89" s="228">
        <v>4.0</v>
      </c>
      <c r="AB89" s="234"/>
      <c r="AC89" s="137">
        <v>2.0</v>
      </c>
      <c r="AD89" s="236">
        <v>218.0</v>
      </c>
      <c r="AE89" s="236">
        <v>200.0</v>
      </c>
      <c r="AF89" s="237"/>
      <c r="AG89" s="238" t="s">
        <v>1453</v>
      </c>
      <c r="AH89" s="244" t="s">
        <v>1454</v>
      </c>
      <c r="AI89" s="137">
        <v>57.0</v>
      </c>
      <c r="AJ89" s="228">
        <v>42.0</v>
      </c>
      <c r="AK89" s="240">
        <v>83.0</v>
      </c>
      <c r="AL89" s="240">
        <v>155.0</v>
      </c>
      <c r="AM89" s="137">
        <v>40.0</v>
      </c>
      <c r="AN89" s="137">
        <v>99.0</v>
      </c>
      <c r="AO89" s="231">
        <f t="shared" si="3"/>
        <v>69.5</v>
      </c>
      <c r="AP89" s="228">
        <v>-10.0</v>
      </c>
      <c r="AQ89" s="228">
        <v>4.0</v>
      </c>
      <c r="AR89" s="234"/>
      <c r="AS89" s="137">
        <v>2.0</v>
      </c>
      <c r="AT89" s="236">
        <v>222.0</v>
      </c>
      <c r="AU89" s="236">
        <v>319.0</v>
      </c>
      <c r="AV89" s="237"/>
      <c r="AW89" s="238"/>
      <c r="AX89" s="228">
        <v>50.0</v>
      </c>
      <c r="AY89" s="229"/>
      <c r="AZ89" s="155" t="s">
        <v>1456</v>
      </c>
      <c r="BA89" s="144" t="s">
        <v>1380</v>
      </c>
      <c r="BB89" s="244" t="s">
        <v>1457</v>
      </c>
    </row>
    <row r="90">
      <c r="A90" s="37" t="s">
        <v>458</v>
      </c>
      <c r="B90" s="38" t="s">
        <v>1458</v>
      </c>
      <c r="C90" s="54">
        <v>15.0</v>
      </c>
      <c r="D90" s="72">
        <v>0.0</v>
      </c>
      <c r="E90" s="90">
        <v>40.0</v>
      </c>
      <c r="F90" s="90">
        <v>33.0</v>
      </c>
      <c r="G90" s="54">
        <v>11.0</v>
      </c>
      <c r="H90" s="54">
        <v>19.0</v>
      </c>
      <c r="I90" s="83">
        <f t="shared" si="1"/>
        <v>15</v>
      </c>
      <c r="J90" s="72">
        <v>0.0</v>
      </c>
      <c r="K90" s="72">
        <v>4.0</v>
      </c>
      <c r="L90" s="85"/>
      <c r="M90" s="54">
        <v>2.0</v>
      </c>
      <c r="N90" s="86">
        <v>215.0</v>
      </c>
      <c r="O90" s="86">
        <v>93.0</v>
      </c>
      <c r="P90" s="87"/>
      <c r="Q90" s="88" t="s">
        <v>1459</v>
      </c>
      <c r="R90" s="38" t="s">
        <v>1460</v>
      </c>
      <c r="S90" s="54">
        <v>40.0</v>
      </c>
      <c r="T90" s="72">
        <v>25.0</v>
      </c>
      <c r="U90" s="90">
        <v>80.0</v>
      </c>
      <c r="V90" s="90">
        <v>70.0</v>
      </c>
      <c r="W90" s="54">
        <v>28.0</v>
      </c>
      <c r="X90" s="54">
        <v>60.0</v>
      </c>
      <c r="Y90" s="83">
        <f t="shared" si="2"/>
        <v>44</v>
      </c>
      <c r="Z90" s="72">
        <v>0.0</v>
      </c>
      <c r="AA90" s="72">
        <v>4.0</v>
      </c>
      <c r="AB90" s="85"/>
      <c r="AC90" s="54">
        <v>2.0</v>
      </c>
      <c r="AD90" s="86">
        <v>219.0</v>
      </c>
      <c r="AE90" s="86">
        <v>201.0</v>
      </c>
      <c r="AF90" s="87"/>
      <c r="AG90" s="88" t="s">
        <v>1461</v>
      </c>
      <c r="AH90" s="96" t="s">
        <v>1462</v>
      </c>
      <c r="AI90" s="54">
        <v>67.0</v>
      </c>
      <c r="AJ90" s="72">
        <v>50.0</v>
      </c>
      <c r="AK90" s="90">
        <v>117.0</v>
      </c>
      <c r="AL90" s="90">
        <v>105.0</v>
      </c>
      <c r="AM90" s="54">
        <v>39.0</v>
      </c>
      <c r="AN90" s="54">
        <v>120.0</v>
      </c>
      <c r="AO90" s="83">
        <f t="shared" si="3"/>
        <v>79.5</v>
      </c>
      <c r="AP90" s="72">
        <v>0.0</v>
      </c>
      <c r="AQ90" s="72">
        <v>4.0</v>
      </c>
      <c r="AR90" s="85"/>
      <c r="AS90" s="54">
        <v>2.0</v>
      </c>
      <c r="AT90" s="86">
        <v>223.0</v>
      </c>
      <c r="AU90" s="86">
        <v>320.0</v>
      </c>
      <c r="AV90" s="87"/>
      <c r="AW90" s="88"/>
      <c r="AX90" s="72">
        <v>50.0</v>
      </c>
      <c r="AY90" s="74"/>
      <c r="AZ90" s="68" t="s">
        <v>1456</v>
      </c>
      <c r="BA90" s="60" t="s">
        <v>1380</v>
      </c>
      <c r="BB90" s="96" t="s">
        <v>1457</v>
      </c>
    </row>
    <row r="91">
      <c r="A91" s="37" t="s">
        <v>1465</v>
      </c>
      <c r="B91" s="38" t="s">
        <v>1466</v>
      </c>
      <c r="C91" s="54">
        <v>24.0</v>
      </c>
      <c r="D91" s="72">
        <v>0.0</v>
      </c>
      <c r="E91" s="90">
        <v>60.0</v>
      </c>
      <c r="F91" s="90">
        <v>40.0</v>
      </c>
      <c r="G91" s="54">
        <v>20.0</v>
      </c>
      <c r="H91" s="54">
        <v>33.0</v>
      </c>
      <c r="I91" s="83">
        <f t="shared" si="1"/>
        <v>26.5</v>
      </c>
      <c r="J91" s="72">
        <v>10.0</v>
      </c>
      <c r="K91" s="72">
        <v>6.0</v>
      </c>
      <c r="L91" s="85"/>
      <c r="M91" s="54">
        <v>2.0</v>
      </c>
      <c r="N91" s="86">
        <v>216.0</v>
      </c>
      <c r="O91" s="86">
        <v>94.0</v>
      </c>
      <c r="P91" s="87"/>
      <c r="Q91" s="56" t="s">
        <v>1467</v>
      </c>
      <c r="R91" s="38" t="s">
        <v>1468</v>
      </c>
      <c r="S91" s="54">
        <v>47.0</v>
      </c>
      <c r="T91" s="72">
        <v>25.0</v>
      </c>
      <c r="U91" s="90">
        <v>110.0</v>
      </c>
      <c r="V91" s="90">
        <v>80.0</v>
      </c>
      <c r="W91" s="54">
        <v>47.0</v>
      </c>
      <c r="X91" s="54">
        <v>78.0</v>
      </c>
      <c r="Y91" s="83">
        <f t="shared" si="2"/>
        <v>62.5</v>
      </c>
      <c r="Z91" s="72">
        <v>10.0</v>
      </c>
      <c r="AA91" s="72">
        <v>6.0</v>
      </c>
      <c r="AB91" s="85"/>
      <c r="AC91" s="54">
        <v>2.0</v>
      </c>
      <c r="AD91" s="86">
        <v>220.0</v>
      </c>
      <c r="AE91" s="86">
        <v>202.0</v>
      </c>
      <c r="AF91" s="87"/>
      <c r="AG91" s="584" t="s">
        <v>1470</v>
      </c>
      <c r="AH91" s="96" t="s">
        <v>1471</v>
      </c>
      <c r="AI91" s="54">
        <v>75.0</v>
      </c>
      <c r="AJ91" s="72">
        <v>56.0</v>
      </c>
      <c r="AK91" s="90">
        <v>163.0</v>
      </c>
      <c r="AL91" s="90">
        <v>77.0</v>
      </c>
      <c r="AM91" s="54">
        <v>47.0</v>
      </c>
      <c r="AN91" s="54">
        <v>125.0</v>
      </c>
      <c r="AO91" s="83">
        <f t="shared" si="3"/>
        <v>86</v>
      </c>
      <c r="AP91" s="72">
        <v>10.0</v>
      </c>
      <c r="AQ91" s="72">
        <v>6.0</v>
      </c>
      <c r="AR91" s="85"/>
      <c r="AS91" s="54">
        <v>2.0</v>
      </c>
      <c r="AT91" s="86">
        <v>224.0</v>
      </c>
      <c r="AU91" s="86">
        <v>321.0</v>
      </c>
      <c r="AV91" s="87"/>
      <c r="AW91" s="88"/>
      <c r="AX91" s="72">
        <v>50.0</v>
      </c>
      <c r="AY91" s="74"/>
      <c r="AZ91" s="68" t="s">
        <v>1456</v>
      </c>
      <c r="BA91" s="60" t="s">
        <v>1380</v>
      </c>
      <c r="BB91" s="96" t="s">
        <v>1457</v>
      </c>
    </row>
    <row r="92">
      <c r="A92" s="585" t="s">
        <v>1473</v>
      </c>
      <c r="B92" s="185" t="s">
        <v>1474</v>
      </c>
      <c r="C92" s="186">
        <v>33.0</v>
      </c>
      <c r="D92" s="188">
        <v>0.0</v>
      </c>
      <c r="E92" s="189">
        <v>40.0</v>
      </c>
      <c r="F92" s="189">
        <v>50.0</v>
      </c>
      <c r="G92" s="186">
        <v>9.0</v>
      </c>
      <c r="H92" s="186">
        <v>18.0</v>
      </c>
      <c r="I92" s="191">
        <f t="shared" si="1"/>
        <v>13.5</v>
      </c>
      <c r="J92" s="188">
        <v>-40.0</v>
      </c>
      <c r="K92" s="188">
        <v>5.0</v>
      </c>
      <c r="L92" s="195"/>
      <c r="M92" s="186">
        <v>2.0</v>
      </c>
      <c r="N92" s="196">
        <v>217.0</v>
      </c>
      <c r="O92" s="196">
        <v>95.0</v>
      </c>
      <c r="P92" s="198"/>
      <c r="Q92" s="200" t="s">
        <v>1475</v>
      </c>
      <c r="R92" s="185" t="s">
        <v>1476</v>
      </c>
      <c r="S92" s="186">
        <v>54.0</v>
      </c>
      <c r="T92" s="188">
        <v>25.0</v>
      </c>
      <c r="U92" s="189">
        <v>80.0</v>
      </c>
      <c r="V92" s="189">
        <v>95.0</v>
      </c>
      <c r="W92" s="186">
        <v>22.0</v>
      </c>
      <c r="X92" s="186">
        <v>50.0</v>
      </c>
      <c r="Y92" s="191">
        <f t="shared" si="2"/>
        <v>36</v>
      </c>
      <c r="Z92" s="188">
        <v>-60.0</v>
      </c>
      <c r="AA92" s="188">
        <v>5.0</v>
      </c>
      <c r="AB92" s="195"/>
      <c r="AC92" s="186">
        <v>2.0</v>
      </c>
      <c r="AD92" s="196">
        <v>221.0</v>
      </c>
      <c r="AE92" s="196">
        <v>203.0</v>
      </c>
      <c r="AF92" s="198"/>
      <c r="AG92" s="200" t="s">
        <v>1477</v>
      </c>
      <c r="AH92" s="214" t="s">
        <v>1478</v>
      </c>
      <c r="AI92" s="186">
        <v>84.0</v>
      </c>
      <c r="AJ92" s="188">
        <v>63.0</v>
      </c>
      <c r="AK92" s="189">
        <v>141.0</v>
      </c>
      <c r="AL92" s="189">
        <v>98.0</v>
      </c>
      <c r="AM92" s="186">
        <v>43.0</v>
      </c>
      <c r="AN92" s="186">
        <v>66.0</v>
      </c>
      <c r="AO92" s="191">
        <f t="shared" si="3"/>
        <v>54.5</v>
      </c>
      <c r="AP92" s="188">
        <v>-60.0</v>
      </c>
      <c r="AQ92" s="188">
        <v>5.0</v>
      </c>
      <c r="AR92" s="195"/>
      <c r="AS92" s="186">
        <v>2.0</v>
      </c>
      <c r="AT92" s="196">
        <v>225.0</v>
      </c>
      <c r="AU92" s="196">
        <v>322.0</v>
      </c>
      <c r="AV92" s="198"/>
      <c r="AW92" s="200"/>
      <c r="AX92" s="188">
        <v>50.0</v>
      </c>
      <c r="AY92" s="190"/>
      <c r="AZ92" s="221" t="s">
        <v>1456</v>
      </c>
      <c r="BA92" s="224" t="s">
        <v>1380</v>
      </c>
      <c r="BB92" s="214" t="s">
        <v>1457</v>
      </c>
    </row>
    <row r="93">
      <c r="A93" s="116" t="s">
        <v>676</v>
      </c>
      <c r="B93" s="117" t="s">
        <v>1480</v>
      </c>
      <c r="C93" s="137">
        <v>1.0</v>
      </c>
      <c r="D93" s="228">
        <v>0.0</v>
      </c>
      <c r="E93" s="240">
        <v>20.0</v>
      </c>
      <c r="F93" s="240">
        <v>20.0</v>
      </c>
      <c r="G93" s="137">
        <v>5.0</v>
      </c>
      <c r="H93" s="137">
        <v>8.0</v>
      </c>
      <c r="I93" s="231">
        <f t="shared" si="1"/>
        <v>6.5</v>
      </c>
      <c r="J93" s="576">
        <v>-10.0</v>
      </c>
      <c r="K93" s="233">
        <v>2.0</v>
      </c>
      <c r="L93" s="234">
        <v>96.0</v>
      </c>
      <c r="M93" s="137">
        <v>2.0</v>
      </c>
      <c r="N93" s="236">
        <v>268.0</v>
      </c>
      <c r="O93" s="236">
        <v>207.0</v>
      </c>
      <c r="P93" s="237"/>
      <c r="Q93" s="238" t="s">
        <v>1482</v>
      </c>
      <c r="R93" s="117" t="s">
        <v>1483</v>
      </c>
      <c r="S93" s="137">
        <v>28.0</v>
      </c>
      <c r="T93" s="228">
        <v>21.0</v>
      </c>
      <c r="U93" s="240">
        <v>57.0</v>
      </c>
      <c r="V93" s="240">
        <v>57.0</v>
      </c>
      <c r="W93" s="137">
        <v>15.0</v>
      </c>
      <c r="X93" s="137">
        <v>35.0</v>
      </c>
      <c r="Y93" s="231">
        <f t="shared" si="2"/>
        <v>25</v>
      </c>
      <c r="Z93" s="228">
        <v>0.0</v>
      </c>
      <c r="AA93" s="228">
        <v>3.0</v>
      </c>
      <c r="AB93" s="234">
        <v>96.0</v>
      </c>
      <c r="AC93" s="137">
        <v>2.0</v>
      </c>
      <c r="AD93" s="236">
        <v>275.0</v>
      </c>
      <c r="AE93" s="236">
        <v>214.0</v>
      </c>
      <c r="AF93" s="237"/>
      <c r="AG93" s="238" t="s">
        <v>1484</v>
      </c>
      <c r="AH93" s="244" t="s">
        <v>1485</v>
      </c>
      <c r="AI93" s="137">
        <v>59.0</v>
      </c>
      <c r="AJ93" s="228">
        <v>44.0</v>
      </c>
      <c r="AK93" s="240">
        <v>99.0</v>
      </c>
      <c r="AL93" s="240">
        <v>99.0</v>
      </c>
      <c r="AM93" s="137">
        <v>54.0</v>
      </c>
      <c r="AN93" s="137">
        <v>71.0</v>
      </c>
      <c r="AO93" s="231">
        <f t="shared" si="3"/>
        <v>62.5</v>
      </c>
      <c r="AP93" s="228">
        <v>0.0</v>
      </c>
      <c r="AQ93" s="228">
        <v>3.0</v>
      </c>
      <c r="AR93" s="234">
        <v>96.0</v>
      </c>
      <c r="AS93" s="137">
        <v>2.0</v>
      </c>
      <c r="AT93" s="236">
        <v>282.0</v>
      </c>
      <c r="AU93" s="236">
        <v>221.0</v>
      </c>
      <c r="AV93" s="237"/>
      <c r="AW93" s="250">
        <v>75.0</v>
      </c>
      <c r="AX93" s="228">
        <v>75.0</v>
      </c>
      <c r="AY93" s="228">
        <v>2.0</v>
      </c>
      <c r="AZ93" s="155" t="s">
        <v>1486</v>
      </c>
      <c r="BA93" s="144" t="s">
        <v>177</v>
      </c>
      <c r="BB93" s="144" t="s">
        <v>1487</v>
      </c>
    </row>
    <row r="94">
      <c r="A94" s="37" t="s">
        <v>1488</v>
      </c>
      <c r="B94" s="38" t="s">
        <v>1489</v>
      </c>
      <c r="C94" s="54">
        <v>9.0</v>
      </c>
      <c r="D94" s="72">
        <v>0.0</v>
      </c>
      <c r="E94" s="90">
        <v>33.0</v>
      </c>
      <c r="F94" s="90">
        <v>33.0</v>
      </c>
      <c r="G94" s="54">
        <v>6.0</v>
      </c>
      <c r="H94" s="54">
        <v>10.0</v>
      </c>
      <c r="I94" s="83">
        <f t="shared" si="1"/>
        <v>8</v>
      </c>
      <c r="J94" s="84">
        <v>0.0</v>
      </c>
      <c r="K94" s="84">
        <v>2.0</v>
      </c>
      <c r="L94" s="586">
        <v>104.0</v>
      </c>
      <c r="M94" s="54">
        <v>2.0</v>
      </c>
      <c r="N94" s="86">
        <v>269.0</v>
      </c>
      <c r="O94" s="86">
        <v>208.0</v>
      </c>
      <c r="P94" s="87"/>
      <c r="Q94" s="88" t="s">
        <v>1490</v>
      </c>
      <c r="R94" s="38" t="s">
        <v>1491</v>
      </c>
      <c r="S94" s="54">
        <v>32.0</v>
      </c>
      <c r="T94" s="72">
        <v>24.0</v>
      </c>
      <c r="U94" s="90">
        <v>66.0</v>
      </c>
      <c r="V94" s="90">
        <v>66.0</v>
      </c>
      <c r="W94" s="54">
        <v>20.0</v>
      </c>
      <c r="X94" s="54">
        <v>46.0</v>
      </c>
      <c r="Y94" s="83">
        <f t="shared" si="2"/>
        <v>33</v>
      </c>
      <c r="Z94" s="72">
        <v>-10.0</v>
      </c>
      <c r="AA94" s="72">
        <v>3.0</v>
      </c>
      <c r="AB94" s="85">
        <v>112.0</v>
      </c>
      <c r="AC94" s="54">
        <v>2.0</v>
      </c>
      <c r="AD94" s="86">
        <v>276.0</v>
      </c>
      <c r="AE94" s="86">
        <v>215.0</v>
      </c>
      <c r="AF94" s="87"/>
      <c r="AG94" s="88" t="s">
        <v>1492</v>
      </c>
      <c r="AH94" s="96" t="s">
        <v>1493</v>
      </c>
      <c r="AI94" s="54">
        <v>62.0</v>
      </c>
      <c r="AJ94" s="72">
        <v>46.0</v>
      </c>
      <c r="AK94" s="90">
        <v>105.0</v>
      </c>
      <c r="AL94" s="90">
        <v>105.0</v>
      </c>
      <c r="AM94" s="54">
        <v>46.0</v>
      </c>
      <c r="AN94" s="54">
        <v>63.0</v>
      </c>
      <c r="AO94" s="83">
        <f t="shared" si="3"/>
        <v>54.5</v>
      </c>
      <c r="AP94" s="72">
        <v>-10.0</v>
      </c>
      <c r="AQ94" s="72">
        <v>3.0</v>
      </c>
      <c r="AR94" s="85">
        <v>112.0</v>
      </c>
      <c r="AS94" s="54">
        <v>2.0</v>
      </c>
      <c r="AT94" s="86">
        <v>283.0</v>
      </c>
      <c r="AU94" s="86">
        <v>222.0</v>
      </c>
      <c r="AV94" s="87"/>
      <c r="AW94" s="105">
        <v>75.0</v>
      </c>
      <c r="AX94" s="72">
        <v>75.0</v>
      </c>
      <c r="AY94" s="72">
        <v>2.0</v>
      </c>
      <c r="AZ94" s="68" t="s">
        <v>1486</v>
      </c>
      <c r="BA94" s="60" t="s">
        <v>177</v>
      </c>
      <c r="BB94" s="60" t="s">
        <v>1487</v>
      </c>
    </row>
    <row r="95">
      <c r="A95" s="37" t="s">
        <v>1494</v>
      </c>
      <c r="B95" s="38" t="s">
        <v>1495</v>
      </c>
      <c r="C95" s="54">
        <v>12.0</v>
      </c>
      <c r="D95" s="72">
        <v>0.0</v>
      </c>
      <c r="E95" s="90">
        <v>37.0</v>
      </c>
      <c r="F95" s="90">
        <v>37.0</v>
      </c>
      <c r="G95" s="54">
        <v>3.0</v>
      </c>
      <c r="H95" s="54">
        <v>17.0</v>
      </c>
      <c r="I95" s="83">
        <f t="shared" si="1"/>
        <v>10</v>
      </c>
      <c r="J95" s="72">
        <v>10.0</v>
      </c>
      <c r="K95" s="84">
        <v>2.0</v>
      </c>
      <c r="L95" s="586">
        <v>112.0</v>
      </c>
      <c r="M95" s="54">
        <v>2.0</v>
      </c>
      <c r="N95" s="86">
        <v>270.0</v>
      </c>
      <c r="O95" s="86">
        <v>209.0</v>
      </c>
      <c r="P95" s="87"/>
      <c r="Q95" s="88" t="s">
        <v>1497</v>
      </c>
      <c r="R95" s="38" t="s">
        <v>1498</v>
      </c>
      <c r="S95" s="54">
        <v>36.0</v>
      </c>
      <c r="T95" s="72">
        <v>27.0</v>
      </c>
      <c r="U95" s="90">
        <v>69.0</v>
      </c>
      <c r="V95" s="90">
        <v>69.0</v>
      </c>
      <c r="W95" s="54">
        <v>12.0</v>
      </c>
      <c r="X95" s="54">
        <v>53.0</v>
      </c>
      <c r="Y95" s="83">
        <f t="shared" si="2"/>
        <v>32.5</v>
      </c>
      <c r="Z95" s="72">
        <v>10.0</v>
      </c>
      <c r="AA95" s="72">
        <v>3.0</v>
      </c>
      <c r="AB95" s="85">
        <v>128.0</v>
      </c>
      <c r="AC95" s="54">
        <v>2.0</v>
      </c>
      <c r="AD95" s="86">
        <v>277.0</v>
      </c>
      <c r="AE95" s="86">
        <v>216.0</v>
      </c>
      <c r="AF95" s="87"/>
      <c r="AG95" s="88" t="s">
        <v>1500</v>
      </c>
      <c r="AH95" s="96" t="s">
        <v>1501</v>
      </c>
      <c r="AI95" s="54">
        <v>68.0</v>
      </c>
      <c r="AJ95" s="72">
        <v>51.0</v>
      </c>
      <c r="AK95" s="90">
        <v>108.0</v>
      </c>
      <c r="AL95" s="90">
        <v>108.0</v>
      </c>
      <c r="AM95" s="54">
        <v>60.0</v>
      </c>
      <c r="AN95" s="54">
        <v>73.0</v>
      </c>
      <c r="AO95" s="83">
        <f t="shared" si="3"/>
        <v>66.5</v>
      </c>
      <c r="AP95" s="72">
        <v>10.0</v>
      </c>
      <c r="AQ95" s="72">
        <v>3.0</v>
      </c>
      <c r="AR95" s="85">
        <v>128.0</v>
      </c>
      <c r="AS95" s="54">
        <v>2.0</v>
      </c>
      <c r="AT95" s="86">
        <v>284.0</v>
      </c>
      <c r="AU95" s="86">
        <v>223.0</v>
      </c>
      <c r="AV95" s="87"/>
      <c r="AW95" s="105">
        <v>75.0</v>
      </c>
      <c r="AX95" s="72">
        <v>75.0</v>
      </c>
      <c r="AY95" s="72">
        <v>2.0</v>
      </c>
      <c r="AZ95" s="68" t="s">
        <v>1486</v>
      </c>
      <c r="BA95" s="60" t="s">
        <v>177</v>
      </c>
      <c r="BB95" s="60" t="s">
        <v>1487</v>
      </c>
    </row>
    <row r="96">
      <c r="A96" s="37" t="s">
        <v>1503</v>
      </c>
      <c r="B96" s="38" t="s">
        <v>1504</v>
      </c>
      <c r="C96" s="54">
        <v>15.0</v>
      </c>
      <c r="D96" s="72">
        <v>0.0</v>
      </c>
      <c r="E96" s="90">
        <v>42.0</v>
      </c>
      <c r="F96" s="90">
        <v>42.0</v>
      </c>
      <c r="G96" s="54">
        <v>8.0</v>
      </c>
      <c r="H96" s="54">
        <v>17.0</v>
      </c>
      <c r="I96" s="83">
        <f t="shared" si="1"/>
        <v>12.5</v>
      </c>
      <c r="J96" s="84">
        <v>0.0</v>
      </c>
      <c r="K96" s="84">
        <v>2.0</v>
      </c>
      <c r="L96" s="85">
        <v>144.0</v>
      </c>
      <c r="M96" s="54">
        <v>2.0</v>
      </c>
      <c r="N96" s="86">
        <v>271.0</v>
      </c>
      <c r="O96" s="86">
        <v>210.0</v>
      </c>
      <c r="P96" s="87"/>
      <c r="Q96" s="88" t="s">
        <v>1505</v>
      </c>
      <c r="R96" s="38" t="s">
        <v>1506</v>
      </c>
      <c r="S96" s="54">
        <v>41.0</v>
      </c>
      <c r="T96" s="72">
        <v>30.0</v>
      </c>
      <c r="U96" s="90">
        <v>73.0</v>
      </c>
      <c r="V96" s="90">
        <v>73.0</v>
      </c>
      <c r="W96" s="54">
        <v>23.0</v>
      </c>
      <c r="X96" s="54">
        <v>46.0</v>
      </c>
      <c r="Y96" s="83">
        <f t="shared" si="2"/>
        <v>34.5</v>
      </c>
      <c r="Z96" s="72">
        <v>-10.0</v>
      </c>
      <c r="AA96" s="72">
        <v>3.0</v>
      </c>
      <c r="AB96" s="85">
        <v>144.0</v>
      </c>
      <c r="AC96" s="54">
        <v>2.0</v>
      </c>
      <c r="AD96" s="86">
        <v>278.0</v>
      </c>
      <c r="AE96" s="86">
        <v>217.0</v>
      </c>
      <c r="AF96" s="87"/>
      <c r="AG96" s="88" t="s">
        <v>1508</v>
      </c>
      <c r="AH96" s="96" t="s">
        <v>1509</v>
      </c>
      <c r="AI96" s="54">
        <v>73.0</v>
      </c>
      <c r="AJ96" s="72">
        <v>54.0</v>
      </c>
      <c r="AK96" s="90">
        <v>110.0</v>
      </c>
      <c r="AL96" s="90">
        <v>110.0</v>
      </c>
      <c r="AM96" s="54">
        <v>45.0</v>
      </c>
      <c r="AN96" s="54">
        <v>53.0</v>
      </c>
      <c r="AO96" s="83">
        <f t="shared" si="3"/>
        <v>49</v>
      </c>
      <c r="AP96" s="72">
        <v>-10.0</v>
      </c>
      <c r="AQ96" s="72">
        <v>3.0</v>
      </c>
      <c r="AR96" s="85">
        <v>144.0</v>
      </c>
      <c r="AS96" s="54">
        <v>2.0</v>
      </c>
      <c r="AT96" s="86">
        <v>285.0</v>
      </c>
      <c r="AU96" s="86">
        <v>224.0</v>
      </c>
      <c r="AV96" s="87"/>
      <c r="AW96" s="105">
        <v>75.0</v>
      </c>
      <c r="AX96" s="72">
        <v>75.0</v>
      </c>
      <c r="AY96" s="72">
        <v>2.0</v>
      </c>
      <c r="AZ96" s="68" t="s">
        <v>1486</v>
      </c>
      <c r="BA96" s="60" t="s">
        <v>177</v>
      </c>
      <c r="BB96" s="60" t="s">
        <v>1487</v>
      </c>
    </row>
    <row r="97">
      <c r="A97" s="37" t="s">
        <v>1510</v>
      </c>
      <c r="B97" s="38" t="s">
        <v>1511</v>
      </c>
      <c r="C97" s="54">
        <v>18.0</v>
      </c>
      <c r="D97" s="72">
        <v>0.0</v>
      </c>
      <c r="E97" s="90">
        <v>46.0</v>
      </c>
      <c r="F97" s="90">
        <v>46.0</v>
      </c>
      <c r="G97" s="54">
        <v>9.0</v>
      </c>
      <c r="H97" s="54">
        <v>16.0</v>
      </c>
      <c r="I97" s="83">
        <f t="shared" si="1"/>
        <v>12.5</v>
      </c>
      <c r="J97" s="84">
        <v>-10.0</v>
      </c>
      <c r="K97" s="72">
        <v>3.0</v>
      </c>
      <c r="L97" s="104">
        <v>128.0</v>
      </c>
      <c r="M97" s="54">
        <v>2.0</v>
      </c>
      <c r="N97" s="86">
        <v>272.0</v>
      </c>
      <c r="O97" s="86">
        <v>211.0</v>
      </c>
      <c r="P97" s="87"/>
      <c r="Q97" s="88" t="s">
        <v>1514</v>
      </c>
      <c r="R97" s="38" t="s">
        <v>1515</v>
      </c>
      <c r="S97" s="54">
        <v>45.0</v>
      </c>
      <c r="T97" s="72">
        <v>33.0</v>
      </c>
      <c r="U97" s="90">
        <v>76.0</v>
      </c>
      <c r="V97" s="90">
        <v>76.0</v>
      </c>
      <c r="W97" s="54">
        <v>23.0</v>
      </c>
      <c r="X97" s="54">
        <v>53.0</v>
      </c>
      <c r="Y97" s="83">
        <f t="shared" si="2"/>
        <v>38</v>
      </c>
      <c r="Z97" s="72">
        <v>-20.0</v>
      </c>
      <c r="AA97" s="72">
        <v>3.0</v>
      </c>
      <c r="AB97" s="85">
        <v>104.0</v>
      </c>
      <c r="AC97" s="54">
        <v>2.0</v>
      </c>
      <c r="AD97" s="86">
        <v>279.0</v>
      </c>
      <c r="AE97" s="86">
        <v>218.0</v>
      </c>
      <c r="AF97" s="87"/>
      <c r="AG97" s="88" t="s">
        <v>1516</v>
      </c>
      <c r="AH97" s="96" t="s">
        <v>1517</v>
      </c>
      <c r="AI97" s="54">
        <v>78.0</v>
      </c>
      <c r="AJ97" s="72">
        <v>58.0</v>
      </c>
      <c r="AK97" s="90">
        <v>113.0</v>
      </c>
      <c r="AL97" s="90">
        <v>113.0</v>
      </c>
      <c r="AM97" s="54">
        <v>30.0</v>
      </c>
      <c r="AN97" s="54">
        <v>73.0</v>
      </c>
      <c r="AO97" s="83">
        <f t="shared" si="3"/>
        <v>51.5</v>
      </c>
      <c r="AP97" s="72">
        <v>-20.0</v>
      </c>
      <c r="AQ97" s="72">
        <v>3.0</v>
      </c>
      <c r="AR97" s="85">
        <v>104.0</v>
      </c>
      <c r="AS97" s="54">
        <v>2.0</v>
      </c>
      <c r="AT97" s="86">
        <v>286.0</v>
      </c>
      <c r="AU97" s="86">
        <v>225.0</v>
      </c>
      <c r="AV97" s="87"/>
      <c r="AW97" s="105">
        <v>75.0</v>
      </c>
      <c r="AX97" s="72">
        <v>75.0</v>
      </c>
      <c r="AY97" s="72">
        <v>2.0</v>
      </c>
      <c r="AZ97" s="68" t="s">
        <v>1486</v>
      </c>
      <c r="BA97" s="60" t="s">
        <v>177</v>
      </c>
      <c r="BB97" s="60" t="s">
        <v>1487</v>
      </c>
    </row>
    <row r="98">
      <c r="A98" s="37" t="s">
        <v>1519</v>
      </c>
      <c r="B98" s="38" t="s">
        <v>1520</v>
      </c>
      <c r="C98" s="54">
        <v>21.0</v>
      </c>
      <c r="D98" s="72">
        <v>0.0</v>
      </c>
      <c r="E98" s="90">
        <v>50.0</v>
      </c>
      <c r="F98" s="90">
        <v>50.0</v>
      </c>
      <c r="G98" s="54">
        <v>11.0</v>
      </c>
      <c r="H98" s="54">
        <v>15.0</v>
      </c>
      <c r="I98" s="83">
        <f t="shared" si="1"/>
        <v>13</v>
      </c>
      <c r="J98" s="84">
        <v>-20.0</v>
      </c>
      <c r="K98" s="72">
        <v>3.0</v>
      </c>
      <c r="L98" s="85">
        <v>138.0</v>
      </c>
      <c r="M98" s="54">
        <v>2.0</v>
      </c>
      <c r="N98" s="86">
        <v>273.0</v>
      </c>
      <c r="O98" s="86">
        <v>212.0</v>
      </c>
      <c r="P98" s="87"/>
      <c r="Q98" s="88" t="s">
        <v>1521</v>
      </c>
      <c r="R98" s="38" t="s">
        <v>1522</v>
      </c>
      <c r="S98" s="54">
        <v>50.0</v>
      </c>
      <c r="T98" s="72">
        <v>37.0</v>
      </c>
      <c r="U98" s="90">
        <v>79.0</v>
      </c>
      <c r="V98" s="90">
        <v>79.0</v>
      </c>
      <c r="W98" s="54">
        <v>25.0</v>
      </c>
      <c r="X98" s="54">
        <v>45.0</v>
      </c>
      <c r="Y98" s="83">
        <f t="shared" si="2"/>
        <v>35</v>
      </c>
      <c r="Z98" s="72">
        <v>-30.0</v>
      </c>
      <c r="AA98" s="72">
        <v>3.0</v>
      </c>
      <c r="AB98" s="85">
        <v>138.0</v>
      </c>
      <c r="AC98" s="54">
        <v>2.0</v>
      </c>
      <c r="AD98" s="86">
        <v>280.0</v>
      </c>
      <c r="AE98" s="86">
        <v>219.0</v>
      </c>
      <c r="AF98" s="87"/>
      <c r="AG98" s="88" t="s">
        <v>1523</v>
      </c>
      <c r="AH98" s="96" t="s">
        <v>1524</v>
      </c>
      <c r="AI98" s="54">
        <v>81.0</v>
      </c>
      <c r="AJ98" s="72">
        <v>60.0</v>
      </c>
      <c r="AK98" s="90">
        <v>115.0</v>
      </c>
      <c r="AL98" s="90">
        <v>115.0</v>
      </c>
      <c r="AM98" s="54">
        <v>33.0</v>
      </c>
      <c r="AN98" s="54">
        <v>60.0</v>
      </c>
      <c r="AO98" s="83">
        <f t="shared" si="3"/>
        <v>46.5</v>
      </c>
      <c r="AP98" s="72">
        <v>-30.0</v>
      </c>
      <c r="AQ98" s="72">
        <v>3.0</v>
      </c>
      <c r="AR98" s="85">
        <v>138.0</v>
      </c>
      <c r="AS98" s="54">
        <v>2.0</v>
      </c>
      <c r="AT98" s="86">
        <v>287.0</v>
      </c>
      <c r="AU98" s="86">
        <v>226.0</v>
      </c>
      <c r="AV98" s="87"/>
      <c r="AW98" s="105">
        <v>75.0</v>
      </c>
      <c r="AX98" s="72">
        <v>75.0</v>
      </c>
      <c r="AY98" s="72">
        <v>2.0</v>
      </c>
      <c r="AZ98" s="68" t="s">
        <v>1486</v>
      </c>
      <c r="BA98" s="60" t="s">
        <v>177</v>
      </c>
      <c r="BB98" s="60" t="s">
        <v>1487</v>
      </c>
    </row>
    <row r="99">
      <c r="A99" s="183" t="s">
        <v>1525</v>
      </c>
      <c r="B99" s="185" t="s">
        <v>1527</v>
      </c>
      <c r="C99" s="186">
        <v>24.0</v>
      </c>
      <c r="D99" s="188">
        <v>0.0</v>
      </c>
      <c r="E99" s="189">
        <v>55.0</v>
      </c>
      <c r="F99" s="189">
        <v>55.0</v>
      </c>
      <c r="G99" s="186">
        <v>10.0</v>
      </c>
      <c r="H99" s="186">
        <v>19.0</v>
      </c>
      <c r="I99" s="191">
        <f t="shared" si="1"/>
        <v>14.5</v>
      </c>
      <c r="J99" s="588">
        <v>-10.0</v>
      </c>
      <c r="K99" s="188">
        <v>3.0</v>
      </c>
      <c r="L99" s="195">
        <v>136.0</v>
      </c>
      <c r="M99" s="186">
        <v>2.0</v>
      </c>
      <c r="N99" s="196">
        <v>274.0</v>
      </c>
      <c r="O99" s="196">
        <v>213.0</v>
      </c>
      <c r="P99" s="198"/>
      <c r="Q99" s="200" t="s">
        <v>1529</v>
      </c>
      <c r="R99" s="185" t="s">
        <v>1530</v>
      </c>
      <c r="S99" s="186">
        <v>54.0</v>
      </c>
      <c r="T99" s="188">
        <v>40.0</v>
      </c>
      <c r="U99" s="189">
        <v>82.0</v>
      </c>
      <c r="V99" s="189">
        <v>82.0</v>
      </c>
      <c r="W99" s="186">
        <v>28.0</v>
      </c>
      <c r="X99" s="186">
        <v>58.0</v>
      </c>
      <c r="Y99" s="191">
        <f t="shared" si="2"/>
        <v>43</v>
      </c>
      <c r="Z99" s="188">
        <v>0.0</v>
      </c>
      <c r="AA99" s="188">
        <v>3.0</v>
      </c>
      <c r="AB99" s="195">
        <v>136.0</v>
      </c>
      <c r="AC99" s="186">
        <v>2.0</v>
      </c>
      <c r="AD99" s="196">
        <v>281.0</v>
      </c>
      <c r="AE99" s="196">
        <v>220.0</v>
      </c>
      <c r="AF99" s="198"/>
      <c r="AG99" s="590" t="s">
        <v>1531</v>
      </c>
      <c r="AH99" s="214" t="s">
        <v>1532</v>
      </c>
      <c r="AI99" s="186">
        <v>85.0</v>
      </c>
      <c r="AJ99" s="188">
        <v>64.0</v>
      </c>
      <c r="AK99" s="189">
        <v>118.0</v>
      </c>
      <c r="AL99" s="189">
        <v>118.0</v>
      </c>
      <c r="AM99" s="186">
        <v>55.0</v>
      </c>
      <c r="AN99" s="186">
        <v>70.0</v>
      </c>
      <c r="AO99" s="191">
        <f t="shared" si="3"/>
        <v>62.5</v>
      </c>
      <c r="AP99" s="188">
        <v>0.0</v>
      </c>
      <c r="AQ99" s="188">
        <v>3.0</v>
      </c>
      <c r="AR99" s="195">
        <v>136.0</v>
      </c>
      <c r="AS99" s="186">
        <v>2.0</v>
      </c>
      <c r="AT99" s="196">
        <v>288.0</v>
      </c>
      <c r="AU99" s="196">
        <v>227.0</v>
      </c>
      <c r="AV99" s="198"/>
      <c r="AW99" s="220">
        <v>75.0</v>
      </c>
      <c r="AX99" s="188">
        <v>75.0</v>
      </c>
      <c r="AY99" s="188">
        <v>2.0</v>
      </c>
      <c r="AZ99" s="221" t="s">
        <v>1486</v>
      </c>
      <c r="BA99" s="224" t="s">
        <v>177</v>
      </c>
      <c r="BB99" s="224" t="s">
        <v>1487</v>
      </c>
    </row>
    <row r="100">
      <c r="A100" s="116" t="s">
        <v>656</v>
      </c>
      <c r="B100" s="117" t="s">
        <v>1534</v>
      </c>
      <c r="C100" s="137">
        <v>3.0</v>
      </c>
      <c r="D100" s="228">
        <v>0.0</v>
      </c>
      <c r="E100" s="240">
        <v>25.0</v>
      </c>
      <c r="F100" s="229"/>
      <c r="G100" s="137">
        <v>6.0</v>
      </c>
      <c r="H100" s="137">
        <v>11.0</v>
      </c>
      <c r="I100" s="231">
        <f t="shared" si="1"/>
        <v>8.5</v>
      </c>
      <c r="J100" s="228">
        <v>0.0</v>
      </c>
      <c r="K100" s="233">
        <v>2.0</v>
      </c>
      <c r="L100" s="234">
        <v>100.0</v>
      </c>
      <c r="M100" s="137">
        <v>2.0</v>
      </c>
      <c r="N100" s="236">
        <v>289.0</v>
      </c>
      <c r="O100" s="236">
        <v>16.0</v>
      </c>
      <c r="P100" s="237"/>
      <c r="Q100" s="238" t="s">
        <v>1535</v>
      </c>
      <c r="R100" s="117" t="s">
        <v>1536</v>
      </c>
      <c r="S100" s="137">
        <v>31.0</v>
      </c>
      <c r="T100" s="228">
        <v>19.0</v>
      </c>
      <c r="U100" s="240">
        <v>58.0</v>
      </c>
      <c r="V100" s="229"/>
      <c r="W100" s="137">
        <v>18.0</v>
      </c>
      <c r="X100" s="137">
        <v>35.0</v>
      </c>
      <c r="Y100" s="231">
        <f t="shared" si="2"/>
        <v>26.5</v>
      </c>
      <c r="Z100" s="228">
        <v>0.0</v>
      </c>
      <c r="AA100" s="228">
        <v>3.0</v>
      </c>
      <c r="AB100" s="234">
        <v>100.0</v>
      </c>
      <c r="AC100" s="137">
        <v>2.0</v>
      </c>
      <c r="AD100" s="236">
        <v>292.0</v>
      </c>
      <c r="AE100" s="236">
        <v>124.0</v>
      </c>
      <c r="AF100" s="237"/>
      <c r="AG100" s="238" t="s">
        <v>1537</v>
      </c>
      <c r="AH100" s="244" t="s">
        <v>1538</v>
      </c>
      <c r="AI100" s="137">
        <v>62.0</v>
      </c>
      <c r="AJ100" s="228">
        <v>46.0</v>
      </c>
      <c r="AK100" s="240">
        <v>125.0</v>
      </c>
      <c r="AL100" s="240">
        <v>65.0</v>
      </c>
      <c r="AM100" s="137">
        <v>50.0</v>
      </c>
      <c r="AN100" s="137">
        <v>65.0</v>
      </c>
      <c r="AO100" s="231">
        <f t="shared" si="3"/>
        <v>57.5</v>
      </c>
      <c r="AP100" s="228">
        <v>0.0</v>
      </c>
      <c r="AQ100" s="228">
        <v>3.0</v>
      </c>
      <c r="AR100" s="234">
        <v>100.0</v>
      </c>
      <c r="AS100" s="137">
        <v>2.0</v>
      </c>
      <c r="AT100" s="236">
        <v>295.0</v>
      </c>
      <c r="AU100" s="236">
        <v>243.0</v>
      </c>
      <c r="AV100" s="237"/>
      <c r="AW100" s="250">
        <v>100.0</v>
      </c>
      <c r="AX100" s="229"/>
      <c r="AY100" s="228">
        <v>2.0</v>
      </c>
      <c r="AZ100" s="155" t="s">
        <v>1539</v>
      </c>
      <c r="BA100" s="144" t="s">
        <v>177</v>
      </c>
      <c r="BB100" s="144" t="s">
        <v>1540</v>
      </c>
    </row>
    <row r="101">
      <c r="A101" s="37" t="s">
        <v>1542</v>
      </c>
      <c r="B101" s="38" t="s">
        <v>1543</v>
      </c>
      <c r="C101" s="54">
        <v>15.0</v>
      </c>
      <c r="D101" s="72">
        <v>0.0</v>
      </c>
      <c r="E101" s="90">
        <v>37.0</v>
      </c>
      <c r="F101" s="74"/>
      <c r="G101" s="54">
        <v>8.0</v>
      </c>
      <c r="H101" s="54">
        <v>18.0</v>
      </c>
      <c r="I101" s="83">
        <f t="shared" si="1"/>
        <v>13</v>
      </c>
      <c r="J101" s="72">
        <v>10.0</v>
      </c>
      <c r="K101" s="72">
        <v>3.0</v>
      </c>
      <c r="L101" s="85">
        <v>120.0</v>
      </c>
      <c r="M101" s="54">
        <v>4.0</v>
      </c>
      <c r="N101" s="86">
        <v>290.0</v>
      </c>
      <c r="O101" s="86">
        <v>17.0</v>
      </c>
      <c r="P101" s="87"/>
      <c r="Q101" s="584" t="s">
        <v>1544</v>
      </c>
      <c r="R101" s="38" t="s">
        <v>1545</v>
      </c>
      <c r="S101" s="54">
        <v>40.0</v>
      </c>
      <c r="T101" s="72">
        <v>25.0</v>
      </c>
      <c r="U101" s="90">
        <v>76.0</v>
      </c>
      <c r="V101" s="74"/>
      <c r="W101" s="54">
        <v>20.0</v>
      </c>
      <c r="X101" s="54">
        <v>52.0</v>
      </c>
      <c r="Y101" s="83">
        <f t="shared" si="2"/>
        <v>36</v>
      </c>
      <c r="Z101" s="72">
        <v>10.0</v>
      </c>
      <c r="AA101" s="72">
        <v>3.0</v>
      </c>
      <c r="AB101" s="85">
        <v>120.0</v>
      </c>
      <c r="AC101" s="54">
        <v>4.0</v>
      </c>
      <c r="AD101" s="86">
        <v>293.0</v>
      </c>
      <c r="AE101" s="86">
        <v>125.0</v>
      </c>
      <c r="AF101" s="87"/>
      <c r="AG101" s="88" t="s">
        <v>1546</v>
      </c>
      <c r="AH101" s="96" t="s">
        <v>1547</v>
      </c>
      <c r="AI101" s="54">
        <v>76.0</v>
      </c>
      <c r="AJ101" s="72">
        <v>57.0</v>
      </c>
      <c r="AK101" s="90">
        <v>108.0</v>
      </c>
      <c r="AL101" s="90">
        <v>69.0</v>
      </c>
      <c r="AM101" s="54">
        <v>56.0</v>
      </c>
      <c r="AN101" s="54">
        <v>68.0</v>
      </c>
      <c r="AO101" s="83">
        <f t="shared" si="3"/>
        <v>62</v>
      </c>
      <c r="AP101" s="72">
        <v>10.0</v>
      </c>
      <c r="AQ101" s="72">
        <v>3.0</v>
      </c>
      <c r="AR101" s="85">
        <v>120.0</v>
      </c>
      <c r="AS101" s="54">
        <v>4.0</v>
      </c>
      <c r="AT101" s="86">
        <v>296.0</v>
      </c>
      <c r="AU101" s="86">
        <v>244.0</v>
      </c>
      <c r="AV101" s="87"/>
      <c r="AW101" s="105">
        <v>100.0</v>
      </c>
      <c r="AX101" s="74"/>
      <c r="AY101" s="72">
        <v>2.0</v>
      </c>
      <c r="AZ101" s="68" t="s">
        <v>1539</v>
      </c>
      <c r="BA101" s="60" t="s">
        <v>177</v>
      </c>
      <c r="BB101" s="60" t="s">
        <v>1540</v>
      </c>
    </row>
    <row r="102">
      <c r="A102" s="183" t="s">
        <v>1548</v>
      </c>
      <c r="B102" s="185" t="s">
        <v>1549</v>
      </c>
      <c r="C102" s="186">
        <v>21.0</v>
      </c>
      <c r="D102" s="188">
        <v>0.0</v>
      </c>
      <c r="E102" s="189">
        <v>55.0</v>
      </c>
      <c r="F102" s="190"/>
      <c r="G102" s="186">
        <v>12.0</v>
      </c>
      <c r="H102" s="186">
        <v>19.0</v>
      </c>
      <c r="I102" s="191">
        <f t="shared" si="1"/>
        <v>15.5</v>
      </c>
      <c r="J102" s="188">
        <v>-10.0</v>
      </c>
      <c r="K102" s="188">
        <v>5.0</v>
      </c>
      <c r="L102" s="195">
        <v>140.0</v>
      </c>
      <c r="M102" s="186">
        <v>4.0</v>
      </c>
      <c r="N102" s="196">
        <v>291.0</v>
      </c>
      <c r="O102" s="196">
        <v>18.0</v>
      </c>
      <c r="P102" s="198"/>
      <c r="Q102" s="200" t="s">
        <v>1551</v>
      </c>
      <c r="R102" s="185" t="s">
        <v>1552</v>
      </c>
      <c r="S102" s="186">
        <v>45.0</v>
      </c>
      <c r="T102" s="188">
        <v>25.0</v>
      </c>
      <c r="U102" s="189">
        <v>103.0</v>
      </c>
      <c r="V102" s="190"/>
      <c r="W102" s="186">
        <v>24.0</v>
      </c>
      <c r="X102" s="186">
        <v>46.0</v>
      </c>
      <c r="Y102" s="191">
        <f t="shared" si="2"/>
        <v>35</v>
      </c>
      <c r="Z102" s="188">
        <v>-10.0</v>
      </c>
      <c r="AA102" s="188">
        <v>5.0</v>
      </c>
      <c r="AB102" s="195">
        <v>140.0</v>
      </c>
      <c r="AC102" s="186">
        <v>4.0</v>
      </c>
      <c r="AD102" s="196">
        <v>294.0</v>
      </c>
      <c r="AE102" s="196">
        <v>126.0</v>
      </c>
      <c r="AF102" s="198"/>
      <c r="AG102" s="200" t="s">
        <v>1553</v>
      </c>
      <c r="AH102" s="214" t="s">
        <v>1554</v>
      </c>
      <c r="AI102" s="186">
        <v>85.0</v>
      </c>
      <c r="AJ102" s="188">
        <v>66.0</v>
      </c>
      <c r="AK102" s="189">
        <v>97.0</v>
      </c>
      <c r="AL102" s="189">
        <v>70.0</v>
      </c>
      <c r="AM102" s="186">
        <v>46.0</v>
      </c>
      <c r="AN102" s="186">
        <v>54.0</v>
      </c>
      <c r="AO102" s="191">
        <f t="shared" si="3"/>
        <v>50</v>
      </c>
      <c r="AP102" s="188">
        <v>-10.0</v>
      </c>
      <c r="AQ102" s="188">
        <v>5.0</v>
      </c>
      <c r="AR102" s="195">
        <v>140.0</v>
      </c>
      <c r="AS102" s="186">
        <v>4.0</v>
      </c>
      <c r="AT102" s="196">
        <v>297.0</v>
      </c>
      <c r="AU102" s="196">
        <v>245.0</v>
      </c>
      <c r="AV102" s="198"/>
      <c r="AW102" s="220">
        <v>100.0</v>
      </c>
      <c r="AX102" s="190"/>
      <c r="AY102" s="188">
        <v>2.0</v>
      </c>
      <c r="AZ102" s="221" t="s">
        <v>1539</v>
      </c>
      <c r="BA102" s="224" t="s">
        <v>177</v>
      </c>
      <c r="BB102" s="224" t="s">
        <v>1540</v>
      </c>
    </row>
    <row r="103">
      <c r="A103" s="116" t="s">
        <v>1555</v>
      </c>
      <c r="B103" s="117" t="s">
        <v>1556</v>
      </c>
      <c r="C103" s="137">
        <v>1.0</v>
      </c>
      <c r="D103" s="228">
        <v>0.0</v>
      </c>
      <c r="E103" s="229"/>
      <c r="F103" s="229"/>
      <c r="G103" s="137">
        <v>1.0</v>
      </c>
      <c r="H103" s="137">
        <v>5.0</v>
      </c>
      <c r="I103" s="231">
        <f t="shared" si="1"/>
        <v>3</v>
      </c>
      <c r="J103" s="228">
        <v>-10.0</v>
      </c>
      <c r="K103" s="233">
        <v>2.0</v>
      </c>
      <c r="L103" s="234">
        <v>40.0</v>
      </c>
      <c r="M103" s="137">
        <v>2.0</v>
      </c>
      <c r="N103" s="236">
        <v>298.0</v>
      </c>
      <c r="O103" s="236">
        <v>79.0</v>
      </c>
      <c r="P103" s="237"/>
      <c r="Q103" s="238" t="s">
        <v>1557</v>
      </c>
      <c r="R103" s="117" t="s">
        <v>1558</v>
      </c>
      <c r="S103" s="137">
        <v>30.0</v>
      </c>
      <c r="T103" s="228">
        <v>18.0</v>
      </c>
      <c r="U103" s="240">
        <v>25.0</v>
      </c>
      <c r="V103" s="229"/>
      <c r="W103" s="137">
        <v>9.0</v>
      </c>
      <c r="X103" s="137">
        <v>30.0</v>
      </c>
      <c r="Y103" s="231">
        <f t="shared" si="2"/>
        <v>19.5</v>
      </c>
      <c r="Z103" s="228">
        <v>-10.0</v>
      </c>
      <c r="AA103" s="228">
        <v>3.0</v>
      </c>
      <c r="AB103" s="234">
        <v>40.0</v>
      </c>
      <c r="AC103" s="137">
        <v>2.0</v>
      </c>
      <c r="AD103" s="236">
        <v>303.0</v>
      </c>
      <c r="AE103" s="236">
        <v>187.0</v>
      </c>
      <c r="AF103" s="237"/>
      <c r="AG103" s="238" t="s">
        <v>1561</v>
      </c>
      <c r="AH103" s="244" t="s">
        <v>1562</v>
      </c>
      <c r="AI103" s="137">
        <v>58.0</v>
      </c>
      <c r="AJ103" s="228">
        <v>43.0</v>
      </c>
      <c r="AK103" s="240">
        <v>25.0</v>
      </c>
      <c r="AL103" s="229"/>
      <c r="AM103" s="137">
        <v>86.0</v>
      </c>
      <c r="AN103" s="137">
        <v>106.0</v>
      </c>
      <c r="AO103" s="231">
        <f t="shared" si="3"/>
        <v>96</v>
      </c>
      <c r="AP103" s="228">
        <v>-10.0</v>
      </c>
      <c r="AQ103" s="228">
        <v>3.0</v>
      </c>
      <c r="AR103" s="248">
        <v>80.0</v>
      </c>
      <c r="AS103" s="137">
        <v>2.0</v>
      </c>
      <c r="AT103" s="236">
        <v>308.0</v>
      </c>
      <c r="AU103" s="236">
        <v>306.0</v>
      </c>
      <c r="AV103" s="237"/>
      <c r="AW103" s="250">
        <v>110.0</v>
      </c>
      <c r="AX103" s="229"/>
      <c r="AY103" s="228">
        <v>2.0</v>
      </c>
      <c r="AZ103" s="155" t="s">
        <v>1564</v>
      </c>
      <c r="BA103" s="144" t="s">
        <v>294</v>
      </c>
      <c r="BB103" s="244" t="s">
        <v>1565</v>
      </c>
    </row>
    <row r="104">
      <c r="A104" s="37" t="s">
        <v>1566</v>
      </c>
      <c r="B104" s="38" t="s">
        <v>1567</v>
      </c>
      <c r="C104" s="54">
        <v>8.0</v>
      </c>
      <c r="D104" s="72">
        <v>0.0</v>
      </c>
      <c r="E104" s="74"/>
      <c r="F104" s="74"/>
      <c r="G104" s="54">
        <v>2.0</v>
      </c>
      <c r="H104" s="54">
        <v>8.0</v>
      </c>
      <c r="I104" s="83">
        <f t="shared" si="1"/>
        <v>5</v>
      </c>
      <c r="J104" s="72">
        <v>0.0</v>
      </c>
      <c r="K104" s="72">
        <v>3.0</v>
      </c>
      <c r="L104" s="85">
        <v>60.0</v>
      </c>
      <c r="M104" s="54">
        <v>2.0</v>
      </c>
      <c r="N104" s="86">
        <v>299.0</v>
      </c>
      <c r="O104" s="86">
        <v>80.0</v>
      </c>
      <c r="P104" s="87"/>
      <c r="Q104" s="88" t="s">
        <v>1568</v>
      </c>
      <c r="R104" s="38" t="s">
        <v>1569</v>
      </c>
      <c r="S104" s="54">
        <v>35.0</v>
      </c>
      <c r="T104" s="72">
        <v>23.0</v>
      </c>
      <c r="U104" s="90">
        <v>25.0</v>
      </c>
      <c r="V104" s="74"/>
      <c r="W104" s="54">
        <v>12.0</v>
      </c>
      <c r="X104" s="54">
        <v>38.0</v>
      </c>
      <c r="Y104" s="83">
        <f t="shared" si="2"/>
        <v>25</v>
      </c>
      <c r="Z104" s="72">
        <v>0.0</v>
      </c>
      <c r="AA104" s="72">
        <v>3.0</v>
      </c>
      <c r="AB104" s="85">
        <v>60.0</v>
      </c>
      <c r="AC104" s="54">
        <v>2.0</v>
      </c>
      <c r="AD104" s="86">
        <v>304.0</v>
      </c>
      <c r="AE104" s="86">
        <v>188.0</v>
      </c>
      <c r="AF104" s="87"/>
      <c r="AG104" s="88" t="s">
        <v>1571</v>
      </c>
      <c r="AH104" s="96" t="s">
        <v>1572</v>
      </c>
      <c r="AI104" s="54">
        <v>66.0</v>
      </c>
      <c r="AJ104" s="72">
        <v>49.0</v>
      </c>
      <c r="AK104" s="90">
        <v>63.0</v>
      </c>
      <c r="AL104" s="90">
        <v>35.0</v>
      </c>
      <c r="AM104" s="54">
        <v>94.0</v>
      </c>
      <c r="AN104" s="54">
        <v>134.0</v>
      </c>
      <c r="AO104" s="83">
        <f t="shared" si="3"/>
        <v>114</v>
      </c>
      <c r="AP104" s="84">
        <v>10.0</v>
      </c>
      <c r="AQ104" s="72">
        <v>3.0</v>
      </c>
      <c r="AR104" s="104">
        <v>90.0</v>
      </c>
      <c r="AS104" s="54">
        <v>2.0</v>
      </c>
      <c r="AT104" s="86">
        <v>309.0</v>
      </c>
      <c r="AU104" s="86">
        <v>307.0</v>
      </c>
      <c r="AV104" s="87"/>
      <c r="AW104" s="105">
        <v>110.0</v>
      </c>
      <c r="AX104" s="74"/>
      <c r="AY104" s="72">
        <v>3.0</v>
      </c>
      <c r="AZ104" s="68" t="s">
        <v>1564</v>
      </c>
      <c r="BA104" s="60" t="s">
        <v>294</v>
      </c>
      <c r="BB104" s="96" t="s">
        <v>1565</v>
      </c>
    </row>
    <row r="105">
      <c r="A105" s="37" t="s">
        <v>1574</v>
      </c>
      <c r="B105" s="38" t="s">
        <v>1575</v>
      </c>
      <c r="C105" s="54">
        <v>12.0</v>
      </c>
      <c r="D105" s="72">
        <v>0.0</v>
      </c>
      <c r="E105" s="74"/>
      <c r="F105" s="74"/>
      <c r="G105" s="54">
        <v>4.0</v>
      </c>
      <c r="H105" s="54">
        <v>12.0</v>
      </c>
      <c r="I105" s="83">
        <f t="shared" si="1"/>
        <v>8</v>
      </c>
      <c r="J105" s="72">
        <v>10.0</v>
      </c>
      <c r="K105" s="72">
        <v>4.0</v>
      </c>
      <c r="L105" s="85">
        <v>70.0</v>
      </c>
      <c r="M105" s="54">
        <v>2.0</v>
      </c>
      <c r="N105" s="86">
        <v>300.0</v>
      </c>
      <c r="O105" s="86">
        <v>81.0</v>
      </c>
      <c r="P105" s="87"/>
      <c r="Q105" s="88" t="s">
        <v>1576</v>
      </c>
      <c r="R105" s="38" t="s">
        <v>1578</v>
      </c>
      <c r="S105" s="54">
        <v>38.0</v>
      </c>
      <c r="T105" s="72">
        <v>25.0</v>
      </c>
      <c r="U105" s="90">
        <v>25.0</v>
      </c>
      <c r="V105" s="74"/>
      <c r="W105" s="54">
        <v>15.0</v>
      </c>
      <c r="X105" s="54">
        <v>46.0</v>
      </c>
      <c r="Y105" s="83">
        <f t="shared" si="2"/>
        <v>30.5</v>
      </c>
      <c r="Z105" s="72">
        <v>10.0</v>
      </c>
      <c r="AA105" s="72">
        <v>4.0</v>
      </c>
      <c r="AB105" s="85">
        <v>70.0</v>
      </c>
      <c r="AC105" s="54">
        <v>2.0</v>
      </c>
      <c r="AD105" s="86">
        <v>305.0</v>
      </c>
      <c r="AE105" s="86">
        <v>189.0</v>
      </c>
      <c r="AF105" s="87"/>
      <c r="AG105" s="88" t="s">
        <v>1580</v>
      </c>
      <c r="AH105" s="96" t="s">
        <v>1581</v>
      </c>
      <c r="AI105" s="54">
        <v>74.0</v>
      </c>
      <c r="AJ105" s="72">
        <v>55.0</v>
      </c>
      <c r="AK105" s="90">
        <v>44.0</v>
      </c>
      <c r="AL105" s="90">
        <v>37.0</v>
      </c>
      <c r="AM105" s="54">
        <v>100.0</v>
      </c>
      <c r="AN105" s="54">
        <v>116.0</v>
      </c>
      <c r="AO105" s="83">
        <f t="shared" si="3"/>
        <v>108</v>
      </c>
      <c r="AP105" s="166">
        <v>0.0</v>
      </c>
      <c r="AQ105" s="72">
        <v>4.0</v>
      </c>
      <c r="AR105" s="104">
        <v>105.0</v>
      </c>
      <c r="AS105" s="54">
        <v>2.0</v>
      </c>
      <c r="AT105" s="86">
        <v>310.0</v>
      </c>
      <c r="AU105" s="86">
        <v>308.0</v>
      </c>
      <c r="AV105" s="87"/>
      <c r="AW105" s="105">
        <v>110.0</v>
      </c>
      <c r="AX105" s="74"/>
      <c r="AY105" s="72">
        <v>3.0</v>
      </c>
      <c r="AZ105" s="68" t="s">
        <v>1564</v>
      </c>
      <c r="BA105" s="60" t="s">
        <v>294</v>
      </c>
      <c r="BB105" s="96" t="s">
        <v>1565</v>
      </c>
    </row>
    <row r="106">
      <c r="A106" s="37" t="s">
        <v>1582</v>
      </c>
      <c r="B106" s="38" t="s">
        <v>1583</v>
      </c>
      <c r="C106" s="54">
        <v>17.0</v>
      </c>
      <c r="D106" s="72">
        <v>0.0</v>
      </c>
      <c r="E106" s="74"/>
      <c r="F106" s="74"/>
      <c r="G106" s="54">
        <v>6.0</v>
      </c>
      <c r="H106" s="54">
        <v>13.0</v>
      </c>
      <c r="I106" s="83">
        <f t="shared" si="1"/>
        <v>9.5</v>
      </c>
      <c r="J106" s="72">
        <v>0.0</v>
      </c>
      <c r="K106" s="72">
        <v>4.0</v>
      </c>
      <c r="L106" s="85">
        <v>80.0</v>
      </c>
      <c r="M106" s="54">
        <v>2.0</v>
      </c>
      <c r="N106" s="86">
        <v>301.0</v>
      </c>
      <c r="O106" s="86">
        <v>82.0</v>
      </c>
      <c r="P106" s="87"/>
      <c r="Q106" s="88" t="s">
        <v>1585</v>
      </c>
      <c r="R106" s="38" t="s">
        <v>1586</v>
      </c>
      <c r="S106" s="54">
        <v>42.0</v>
      </c>
      <c r="T106" s="72">
        <v>25.0</v>
      </c>
      <c r="U106" s="90">
        <v>25.0</v>
      </c>
      <c r="V106" s="74"/>
      <c r="W106" s="54">
        <v>21.0</v>
      </c>
      <c r="X106" s="54">
        <v>48.0</v>
      </c>
      <c r="Y106" s="83">
        <f t="shared" si="2"/>
        <v>34.5</v>
      </c>
      <c r="Z106" s="72">
        <v>0.0</v>
      </c>
      <c r="AA106" s="72">
        <v>4.0</v>
      </c>
      <c r="AB106" s="85">
        <v>80.0</v>
      </c>
      <c r="AC106" s="54">
        <v>2.0</v>
      </c>
      <c r="AD106" s="86">
        <v>306.0</v>
      </c>
      <c r="AE106" s="86">
        <v>190.0</v>
      </c>
      <c r="AF106" s="87"/>
      <c r="AG106" s="88" t="s">
        <v>1587</v>
      </c>
      <c r="AH106" s="96" t="s">
        <v>1588</v>
      </c>
      <c r="AI106" s="54">
        <v>83.0</v>
      </c>
      <c r="AJ106" s="72">
        <v>62.0</v>
      </c>
      <c r="AK106" s="90">
        <v>52.0</v>
      </c>
      <c r="AL106" s="90">
        <v>27.0</v>
      </c>
      <c r="AM106" s="54">
        <v>81.0</v>
      </c>
      <c r="AN106" s="54">
        <v>135.0</v>
      </c>
      <c r="AO106" s="83">
        <f t="shared" si="3"/>
        <v>108</v>
      </c>
      <c r="AP106" s="72">
        <v>0.0</v>
      </c>
      <c r="AQ106" s="72">
        <v>4.0</v>
      </c>
      <c r="AR106" s="104">
        <v>120.0</v>
      </c>
      <c r="AS106" s="54">
        <v>2.0</v>
      </c>
      <c r="AT106" s="86">
        <v>311.0</v>
      </c>
      <c r="AU106" s="86">
        <v>309.0</v>
      </c>
      <c r="AV106" s="87"/>
      <c r="AW106" s="105">
        <v>110.0</v>
      </c>
      <c r="AX106" s="74"/>
      <c r="AY106" s="72">
        <v>3.0</v>
      </c>
      <c r="AZ106" s="68" t="s">
        <v>1564</v>
      </c>
      <c r="BA106" s="60" t="s">
        <v>294</v>
      </c>
      <c r="BB106" s="96" t="s">
        <v>1565</v>
      </c>
    </row>
    <row r="107">
      <c r="A107" s="183" t="s">
        <v>1590</v>
      </c>
      <c r="B107" s="185" t="s">
        <v>1591</v>
      </c>
      <c r="C107" s="186">
        <v>24.0</v>
      </c>
      <c r="D107" s="188">
        <v>0.0</v>
      </c>
      <c r="E107" s="190"/>
      <c r="F107" s="190"/>
      <c r="G107" s="186">
        <v>12.0</v>
      </c>
      <c r="H107" s="186">
        <v>28.0</v>
      </c>
      <c r="I107" s="191">
        <f t="shared" si="1"/>
        <v>20</v>
      </c>
      <c r="J107" s="188">
        <v>20.0</v>
      </c>
      <c r="K107" s="188">
        <v>6.0</v>
      </c>
      <c r="L107" s="195">
        <v>100.0</v>
      </c>
      <c r="M107" s="186">
        <v>2.0</v>
      </c>
      <c r="N107" s="196">
        <v>302.0</v>
      </c>
      <c r="O107" s="196">
        <v>83.0</v>
      </c>
      <c r="P107" s="198"/>
      <c r="Q107" s="200" t="s">
        <v>1592</v>
      </c>
      <c r="R107" s="185" t="s">
        <v>1593</v>
      </c>
      <c r="S107" s="186">
        <v>47.0</v>
      </c>
      <c r="T107" s="188">
        <v>25.0</v>
      </c>
      <c r="U107" s="189">
        <v>25.0</v>
      </c>
      <c r="V107" s="190"/>
      <c r="W107" s="186">
        <v>35.0</v>
      </c>
      <c r="X107" s="186">
        <v>84.0</v>
      </c>
      <c r="Y107" s="191">
        <f t="shared" si="2"/>
        <v>59.5</v>
      </c>
      <c r="Z107" s="188">
        <v>20.0</v>
      </c>
      <c r="AA107" s="188">
        <v>6.0</v>
      </c>
      <c r="AB107" s="195">
        <v>100.0</v>
      </c>
      <c r="AC107" s="186">
        <v>2.0</v>
      </c>
      <c r="AD107" s="196">
        <v>307.0</v>
      </c>
      <c r="AE107" s="196">
        <v>191.0</v>
      </c>
      <c r="AF107" s="198"/>
      <c r="AG107" s="200" t="s">
        <v>1594</v>
      </c>
      <c r="AH107" s="214" t="s">
        <v>1595</v>
      </c>
      <c r="AI107" s="186">
        <v>85.0</v>
      </c>
      <c r="AJ107" s="188">
        <v>66.0</v>
      </c>
      <c r="AK107" s="189">
        <v>34.0</v>
      </c>
      <c r="AL107" s="190"/>
      <c r="AM107" s="186">
        <v>104.0</v>
      </c>
      <c r="AN107" s="186">
        <v>124.0</v>
      </c>
      <c r="AO107" s="191">
        <f t="shared" si="3"/>
        <v>114</v>
      </c>
      <c r="AP107" s="588">
        <v>10.0</v>
      </c>
      <c r="AQ107" s="188">
        <v>6.0</v>
      </c>
      <c r="AR107" s="620">
        <v>78.0</v>
      </c>
      <c r="AS107" s="186">
        <v>2.0</v>
      </c>
      <c r="AT107" s="196">
        <v>312.0</v>
      </c>
      <c r="AU107" s="196">
        <v>310.0</v>
      </c>
      <c r="AV107" s="198"/>
      <c r="AW107" s="220">
        <v>110.0</v>
      </c>
      <c r="AX107" s="190"/>
      <c r="AY107" s="188">
        <v>3.0</v>
      </c>
      <c r="AZ107" s="221" t="s">
        <v>1564</v>
      </c>
      <c r="BA107" s="224" t="s">
        <v>294</v>
      </c>
      <c r="BB107" s="214" t="s">
        <v>1565</v>
      </c>
    </row>
    <row r="108">
      <c r="A108" s="116" t="s">
        <v>720</v>
      </c>
      <c r="B108" s="117" t="s">
        <v>1601</v>
      </c>
      <c r="C108" s="137">
        <v>2.0</v>
      </c>
      <c r="D108" s="228">
        <v>0.0</v>
      </c>
      <c r="E108" s="229"/>
      <c r="F108" s="229"/>
      <c r="G108" s="137">
        <v>2.0</v>
      </c>
      <c r="H108" s="137">
        <v>4.0</v>
      </c>
      <c r="I108" s="231">
        <f t="shared" si="1"/>
        <v>3</v>
      </c>
      <c r="J108" s="228">
        <v>0.0</v>
      </c>
      <c r="K108" s="233">
        <v>1.0</v>
      </c>
      <c r="L108" s="234">
        <v>30.0</v>
      </c>
      <c r="M108" s="137">
        <v>1.0</v>
      </c>
      <c r="N108" s="236">
        <v>313.0</v>
      </c>
      <c r="O108" s="236">
        <v>11.0</v>
      </c>
      <c r="P108" s="237"/>
      <c r="Q108" s="238" t="s">
        <v>1604</v>
      </c>
      <c r="R108" s="117" t="s">
        <v>1605</v>
      </c>
      <c r="S108" s="137">
        <v>31.0</v>
      </c>
      <c r="T108" s="228">
        <v>19.0</v>
      </c>
      <c r="U108" s="240">
        <v>25.0</v>
      </c>
      <c r="V108" s="229"/>
      <c r="W108" s="137">
        <v>8.0</v>
      </c>
      <c r="X108" s="137">
        <v>18.0</v>
      </c>
      <c r="Y108" s="231">
        <f t="shared" si="2"/>
        <v>13</v>
      </c>
      <c r="Z108" s="228">
        <v>0.0</v>
      </c>
      <c r="AA108" s="233">
        <v>1.0</v>
      </c>
      <c r="AB108" s="234">
        <v>30.0</v>
      </c>
      <c r="AC108" s="137">
        <v>1.0</v>
      </c>
      <c r="AD108" s="236">
        <v>317.0</v>
      </c>
      <c r="AE108" s="236">
        <v>119.0</v>
      </c>
      <c r="AF108" s="237"/>
      <c r="AG108" s="238" t="s">
        <v>1606</v>
      </c>
      <c r="AH108" s="244" t="s">
        <v>1607</v>
      </c>
      <c r="AI108" s="137">
        <v>55.0</v>
      </c>
      <c r="AJ108" s="228">
        <v>41.0</v>
      </c>
      <c r="AK108" s="240">
        <v>25.0</v>
      </c>
      <c r="AL108" s="229"/>
      <c r="AM108" s="137">
        <v>18.0</v>
      </c>
      <c r="AN108" s="137">
        <v>33.0</v>
      </c>
      <c r="AO108" s="231">
        <f t="shared" si="3"/>
        <v>25.5</v>
      </c>
      <c r="AP108" s="228">
        <v>0.0</v>
      </c>
      <c r="AQ108" s="228">
        <v>2.0</v>
      </c>
      <c r="AR108" s="248">
        <v>44.0</v>
      </c>
      <c r="AS108" s="137">
        <v>1.0</v>
      </c>
      <c r="AT108" s="236">
        <v>321.0</v>
      </c>
      <c r="AU108" s="236">
        <v>238.0</v>
      </c>
      <c r="AV108" s="237"/>
      <c r="AW108" s="250">
        <v>100.0</v>
      </c>
      <c r="AX108" s="229"/>
      <c r="AY108" s="413">
        <v>0.0</v>
      </c>
      <c r="AZ108" s="155" t="s">
        <v>1608</v>
      </c>
      <c r="BA108" s="144" t="s">
        <v>43</v>
      </c>
      <c r="BB108" s="144" t="s">
        <v>500</v>
      </c>
    </row>
    <row r="109">
      <c r="A109" s="37" t="s">
        <v>1609</v>
      </c>
      <c r="B109" s="38" t="s">
        <v>1610</v>
      </c>
      <c r="C109" s="54">
        <v>12.0</v>
      </c>
      <c r="D109" s="72">
        <v>0.0</v>
      </c>
      <c r="E109" s="74"/>
      <c r="F109" s="74"/>
      <c r="G109" s="54">
        <v>2.0</v>
      </c>
      <c r="H109" s="54">
        <v>8.0</v>
      </c>
      <c r="I109" s="83">
        <f t="shared" si="1"/>
        <v>5</v>
      </c>
      <c r="J109" s="72">
        <v>10.0</v>
      </c>
      <c r="K109" s="84">
        <v>1.0</v>
      </c>
      <c r="L109" s="85">
        <v>30.0</v>
      </c>
      <c r="M109" s="54">
        <v>1.0</v>
      </c>
      <c r="N109" s="86">
        <v>314.0</v>
      </c>
      <c r="O109" s="86">
        <v>12.0</v>
      </c>
      <c r="P109" s="87"/>
      <c r="Q109" s="88" t="s">
        <v>1611</v>
      </c>
      <c r="R109" s="38" t="s">
        <v>1612</v>
      </c>
      <c r="S109" s="54">
        <v>38.0</v>
      </c>
      <c r="T109" s="72">
        <v>25.0</v>
      </c>
      <c r="U109" s="90">
        <v>25.0</v>
      </c>
      <c r="V109" s="74"/>
      <c r="W109" s="54">
        <v>8.0</v>
      </c>
      <c r="X109" s="54">
        <v>24.0</v>
      </c>
      <c r="Y109" s="83">
        <f t="shared" si="2"/>
        <v>16</v>
      </c>
      <c r="Z109" s="72">
        <v>10.0</v>
      </c>
      <c r="AA109" s="72">
        <v>2.0</v>
      </c>
      <c r="AB109" s="85">
        <v>30.0</v>
      </c>
      <c r="AC109" s="54">
        <v>1.0</v>
      </c>
      <c r="AD109" s="86">
        <v>318.0</v>
      </c>
      <c r="AE109" s="86">
        <v>120.0</v>
      </c>
      <c r="AF109" s="87"/>
      <c r="AG109" s="88" t="s">
        <v>1613</v>
      </c>
      <c r="AH109" s="96" t="s">
        <v>1614</v>
      </c>
      <c r="AI109" s="54">
        <v>65.0</v>
      </c>
      <c r="AJ109" s="72">
        <v>48.0</v>
      </c>
      <c r="AK109" s="90">
        <v>25.0</v>
      </c>
      <c r="AL109" s="74"/>
      <c r="AM109" s="54">
        <v>20.0</v>
      </c>
      <c r="AN109" s="54">
        <v>40.0</v>
      </c>
      <c r="AO109" s="83">
        <f t="shared" si="3"/>
        <v>30</v>
      </c>
      <c r="AP109" s="72">
        <v>10.0</v>
      </c>
      <c r="AQ109" s="72">
        <v>2.0</v>
      </c>
      <c r="AR109" s="586">
        <v>28.0</v>
      </c>
      <c r="AS109" s="54">
        <v>1.0</v>
      </c>
      <c r="AT109" s="86">
        <v>322.0</v>
      </c>
      <c r="AU109" s="86">
        <v>239.0</v>
      </c>
      <c r="AV109" s="87"/>
      <c r="AW109" s="105">
        <v>100.0</v>
      </c>
      <c r="AX109" s="74"/>
      <c r="AY109" s="420">
        <v>0.0</v>
      </c>
      <c r="AZ109" s="68" t="s">
        <v>1608</v>
      </c>
      <c r="BA109" s="60" t="s">
        <v>43</v>
      </c>
      <c r="BB109" s="60" t="s">
        <v>500</v>
      </c>
    </row>
    <row r="110">
      <c r="A110" s="37" t="s">
        <v>1615</v>
      </c>
      <c r="B110" s="38" t="s">
        <v>1616</v>
      </c>
      <c r="C110" s="54">
        <v>18.0</v>
      </c>
      <c r="D110" s="72">
        <v>0.0</v>
      </c>
      <c r="E110" s="74"/>
      <c r="F110" s="74"/>
      <c r="G110" s="54">
        <v>3.0</v>
      </c>
      <c r="H110" s="54">
        <v>7.0</v>
      </c>
      <c r="I110" s="83">
        <f t="shared" si="1"/>
        <v>5</v>
      </c>
      <c r="J110" s="72">
        <v>-20.0</v>
      </c>
      <c r="K110" s="72">
        <v>2.0</v>
      </c>
      <c r="L110" s="85">
        <v>30.0</v>
      </c>
      <c r="M110" s="54">
        <v>1.0</v>
      </c>
      <c r="N110" s="86">
        <v>315.0</v>
      </c>
      <c r="O110" s="86">
        <v>13.0</v>
      </c>
      <c r="P110" s="87"/>
      <c r="Q110" s="88" t="s">
        <v>1617</v>
      </c>
      <c r="R110" s="38" t="s">
        <v>1618</v>
      </c>
      <c r="S110" s="54">
        <v>43.0</v>
      </c>
      <c r="T110" s="72">
        <v>25.0</v>
      </c>
      <c r="U110" s="90">
        <v>25.0</v>
      </c>
      <c r="V110" s="74"/>
      <c r="W110" s="54">
        <v>10.0</v>
      </c>
      <c r="X110" s="54">
        <v>22.0</v>
      </c>
      <c r="Y110" s="83">
        <f t="shared" si="2"/>
        <v>16</v>
      </c>
      <c r="Z110" s="72">
        <v>-20.0</v>
      </c>
      <c r="AA110" s="72">
        <v>2.0</v>
      </c>
      <c r="AB110" s="85">
        <v>30.0</v>
      </c>
      <c r="AC110" s="54">
        <v>1.0</v>
      </c>
      <c r="AD110" s="86">
        <v>319.0</v>
      </c>
      <c r="AE110" s="86">
        <v>121.0</v>
      </c>
      <c r="AF110" s="87"/>
      <c r="AG110" s="88" t="s">
        <v>1619</v>
      </c>
      <c r="AH110" s="96" t="s">
        <v>1620</v>
      </c>
      <c r="AI110" s="54">
        <v>75.0</v>
      </c>
      <c r="AJ110" s="72">
        <v>56.0</v>
      </c>
      <c r="AK110" s="90">
        <v>25.0</v>
      </c>
      <c r="AL110" s="74"/>
      <c r="AM110" s="54">
        <v>10.0</v>
      </c>
      <c r="AN110" s="54">
        <v>31.0</v>
      </c>
      <c r="AO110" s="83">
        <f t="shared" si="3"/>
        <v>20.5</v>
      </c>
      <c r="AP110" s="72">
        <v>-20.0</v>
      </c>
      <c r="AQ110" s="72">
        <v>2.0</v>
      </c>
      <c r="AR110" s="104">
        <v>34.0</v>
      </c>
      <c r="AS110" s="54">
        <v>1.0</v>
      </c>
      <c r="AT110" s="86">
        <v>323.0</v>
      </c>
      <c r="AU110" s="86">
        <v>240.0</v>
      </c>
      <c r="AV110" s="87"/>
      <c r="AW110" s="105">
        <v>100.0</v>
      </c>
      <c r="AX110" s="74"/>
      <c r="AY110" s="420">
        <v>0.0</v>
      </c>
      <c r="AZ110" s="68" t="s">
        <v>1608</v>
      </c>
      <c r="BA110" s="60" t="s">
        <v>43</v>
      </c>
      <c r="BB110" s="60" t="s">
        <v>500</v>
      </c>
    </row>
    <row r="111">
      <c r="A111" s="183" t="s">
        <v>1621</v>
      </c>
      <c r="B111" s="185" t="s">
        <v>1622</v>
      </c>
      <c r="C111" s="186">
        <v>26.0</v>
      </c>
      <c r="D111" s="188">
        <v>0.0</v>
      </c>
      <c r="E111" s="190"/>
      <c r="F111" s="190"/>
      <c r="G111" s="186">
        <v>5.0</v>
      </c>
      <c r="H111" s="186">
        <v>11.0</v>
      </c>
      <c r="I111" s="191">
        <f t="shared" si="1"/>
        <v>8</v>
      </c>
      <c r="J111" s="188">
        <v>0.0</v>
      </c>
      <c r="K111" s="188">
        <v>2.0</v>
      </c>
      <c r="L111" s="195">
        <v>30.0</v>
      </c>
      <c r="M111" s="186">
        <v>1.0</v>
      </c>
      <c r="N111" s="196">
        <v>316.0</v>
      </c>
      <c r="O111" s="196">
        <v>14.0</v>
      </c>
      <c r="P111" s="198"/>
      <c r="Q111" s="200" t="s">
        <v>1623</v>
      </c>
      <c r="R111" s="185" t="s">
        <v>1624</v>
      </c>
      <c r="S111" s="186">
        <v>49.0</v>
      </c>
      <c r="T111" s="188">
        <v>25.0</v>
      </c>
      <c r="U111" s="189">
        <v>25.0</v>
      </c>
      <c r="V111" s="190"/>
      <c r="W111" s="186">
        <v>13.0</v>
      </c>
      <c r="X111" s="186">
        <v>29.0</v>
      </c>
      <c r="Y111" s="191">
        <f t="shared" si="2"/>
        <v>21</v>
      </c>
      <c r="Z111" s="188">
        <v>0.0</v>
      </c>
      <c r="AA111" s="188">
        <v>2.0</v>
      </c>
      <c r="AB111" s="195">
        <v>30.0</v>
      </c>
      <c r="AC111" s="186">
        <v>1.0</v>
      </c>
      <c r="AD111" s="196">
        <v>320.0</v>
      </c>
      <c r="AE111" s="196">
        <v>122.0</v>
      </c>
      <c r="AF111" s="198"/>
      <c r="AG111" s="200" t="s">
        <v>1625</v>
      </c>
      <c r="AH111" s="214" t="s">
        <v>1626</v>
      </c>
      <c r="AI111" s="186">
        <v>86.0</v>
      </c>
      <c r="AJ111" s="188">
        <v>64.0</v>
      </c>
      <c r="AK111" s="189">
        <v>25.0</v>
      </c>
      <c r="AL111" s="190"/>
      <c r="AM111" s="186">
        <v>22.0</v>
      </c>
      <c r="AN111" s="186">
        <v>28.0</v>
      </c>
      <c r="AO111" s="191">
        <f t="shared" si="3"/>
        <v>25</v>
      </c>
      <c r="AP111" s="188">
        <v>0.0</v>
      </c>
      <c r="AQ111" s="188">
        <v>2.0</v>
      </c>
      <c r="AR111" s="219">
        <v>36.0</v>
      </c>
      <c r="AS111" s="186">
        <v>1.0</v>
      </c>
      <c r="AT111" s="196">
        <v>324.0</v>
      </c>
      <c r="AU111" s="196">
        <v>241.0</v>
      </c>
      <c r="AV111" s="198"/>
      <c r="AW111" s="220">
        <v>100.0</v>
      </c>
      <c r="AX111" s="190"/>
      <c r="AY111" s="630">
        <v>0.0</v>
      </c>
      <c r="AZ111" s="221" t="s">
        <v>1608</v>
      </c>
      <c r="BA111" s="224" t="s">
        <v>43</v>
      </c>
      <c r="BB111" s="224" t="s">
        <v>500</v>
      </c>
    </row>
    <row r="112">
      <c r="A112" s="116" t="s">
        <v>1627</v>
      </c>
      <c r="B112" s="117" t="s">
        <v>1628</v>
      </c>
      <c r="C112" s="137">
        <v>1.0</v>
      </c>
      <c r="D112" s="228">
        <v>0.0</v>
      </c>
      <c r="E112" s="229"/>
      <c r="F112" s="229"/>
      <c r="G112" s="137">
        <v>2.0</v>
      </c>
      <c r="H112" s="137">
        <v>5.0</v>
      </c>
      <c r="I112" s="231">
        <f t="shared" si="1"/>
        <v>3.5</v>
      </c>
      <c r="J112" s="228">
        <v>-10.0</v>
      </c>
      <c r="K112" s="228">
        <v>2.0</v>
      </c>
      <c r="L112" s="234">
        <v>40.0</v>
      </c>
      <c r="M112" s="137">
        <v>2.0</v>
      </c>
      <c r="N112" s="236">
        <v>325.0</v>
      </c>
      <c r="O112" s="236">
        <v>323.0</v>
      </c>
      <c r="P112" s="237"/>
      <c r="Q112" s="238" t="s">
        <v>1629</v>
      </c>
      <c r="R112" s="117" t="s">
        <v>1630</v>
      </c>
      <c r="S112" s="137">
        <v>32.0</v>
      </c>
      <c r="T112" s="228">
        <v>24.0</v>
      </c>
      <c r="U112" s="229"/>
      <c r="V112" s="229"/>
      <c r="W112" s="137">
        <v>8.0</v>
      </c>
      <c r="X112" s="137">
        <v>21.0</v>
      </c>
      <c r="Y112" s="231">
        <f t="shared" si="2"/>
        <v>14.5</v>
      </c>
      <c r="Z112" s="228">
        <v>-10.0</v>
      </c>
      <c r="AA112" s="228">
        <v>2.0</v>
      </c>
      <c r="AB112" s="234">
        <v>40.0</v>
      </c>
      <c r="AC112" s="137">
        <v>2.0</v>
      </c>
      <c r="AD112" s="236">
        <v>330.0</v>
      </c>
      <c r="AE112" s="236">
        <v>334.0</v>
      </c>
      <c r="AF112" s="237"/>
      <c r="AG112" s="238" t="s">
        <v>1631</v>
      </c>
      <c r="AH112" s="244" t="s">
        <v>1632</v>
      </c>
      <c r="AI112" s="137">
        <v>59.0</v>
      </c>
      <c r="AJ112" s="228">
        <v>44.0</v>
      </c>
      <c r="AK112" s="229"/>
      <c r="AL112" s="229"/>
      <c r="AM112" s="137">
        <v>21.0</v>
      </c>
      <c r="AN112" s="137">
        <v>46.0</v>
      </c>
      <c r="AO112" s="231">
        <f t="shared" si="3"/>
        <v>33.5</v>
      </c>
      <c r="AP112" s="228">
        <v>-10.0</v>
      </c>
      <c r="AQ112" s="228">
        <v>2.0</v>
      </c>
      <c r="AR112" s="234">
        <v>40.0</v>
      </c>
      <c r="AS112" s="137">
        <v>2.0</v>
      </c>
      <c r="AT112" s="236">
        <v>335.0</v>
      </c>
      <c r="AU112" s="236">
        <v>345.0</v>
      </c>
      <c r="AV112" s="237"/>
      <c r="AW112" s="250">
        <v>100.0</v>
      </c>
      <c r="AX112" s="229"/>
      <c r="AY112" s="413">
        <v>0.0</v>
      </c>
      <c r="AZ112" s="155" t="s">
        <v>1633</v>
      </c>
      <c r="BA112" s="144" t="s">
        <v>43</v>
      </c>
      <c r="BB112" s="144" t="s">
        <v>1634</v>
      </c>
    </row>
    <row r="113">
      <c r="A113" s="37" t="s">
        <v>1635</v>
      </c>
      <c r="B113" s="38" t="s">
        <v>1636</v>
      </c>
      <c r="C113" s="54">
        <v>8.0</v>
      </c>
      <c r="D113" s="72">
        <v>0.0</v>
      </c>
      <c r="E113" s="74"/>
      <c r="F113" s="74"/>
      <c r="G113" s="54">
        <v>3.0</v>
      </c>
      <c r="H113" s="54">
        <v>8.0</v>
      </c>
      <c r="I113" s="83">
        <f t="shared" si="1"/>
        <v>5.5</v>
      </c>
      <c r="J113" s="72">
        <v>-10.0</v>
      </c>
      <c r="K113" s="72">
        <v>2.0</v>
      </c>
      <c r="L113" s="85">
        <v>60.0</v>
      </c>
      <c r="M113" s="54">
        <v>3.0</v>
      </c>
      <c r="N113" s="86">
        <v>326.0</v>
      </c>
      <c r="O113" s="86">
        <v>324.0</v>
      </c>
      <c r="P113" s="87"/>
      <c r="Q113" s="88" t="s">
        <v>1637</v>
      </c>
      <c r="R113" s="38" t="s">
        <v>1638</v>
      </c>
      <c r="S113" s="54">
        <v>37.0</v>
      </c>
      <c r="T113" s="72">
        <v>27.0</v>
      </c>
      <c r="U113" s="74"/>
      <c r="V113" s="74"/>
      <c r="W113" s="54">
        <v>10.0</v>
      </c>
      <c r="X113" s="54">
        <v>26.0</v>
      </c>
      <c r="Y113" s="83">
        <f t="shared" si="2"/>
        <v>18</v>
      </c>
      <c r="Z113" s="72">
        <v>-10.0</v>
      </c>
      <c r="AA113" s="72">
        <v>2.0</v>
      </c>
      <c r="AB113" s="85">
        <v>60.0</v>
      </c>
      <c r="AC113" s="54">
        <v>3.0</v>
      </c>
      <c r="AD113" s="86">
        <v>331.0</v>
      </c>
      <c r="AE113" s="86">
        <v>335.0</v>
      </c>
      <c r="AF113" s="87"/>
      <c r="AG113" s="88" t="s">
        <v>1639</v>
      </c>
      <c r="AH113" s="96" t="s">
        <v>1640</v>
      </c>
      <c r="AI113" s="54">
        <v>67.0</v>
      </c>
      <c r="AJ113" s="72">
        <v>50.0</v>
      </c>
      <c r="AK113" s="74"/>
      <c r="AL113" s="74"/>
      <c r="AM113" s="54">
        <v>18.0</v>
      </c>
      <c r="AN113" s="54">
        <v>50.0</v>
      </c>
      <c r="AO113" s="83">
        <f t="shared" si="3"/>
        <v>34</v>
      </c>
      <c r="AP113" s="72">
        <v>-10.0</v>
      </c>
      <c r="AQ113" s="72">
        <v>2.0</v>
      </c>
      <c r="AR113" s="85">
        <v>60.0</v>
      </c>
      <c r="AS113" s="54">
        <v>3.0</v>
      </c>
      <c r="AT113" s="86">
        <v>336.0</v>
      </c>
      <c r="AU113" s="86">
        <v>346.0</v>
      </c>
      <c r="AV113" s="87"/>
      <c r="AW113" s="105">
        <v>100.0</v>
      </c>
      <c r="AX113" s="74"/>
      <c r="AY113" s="420">
        <v>0.0</v>
      </c>
      <c r="AZ113" s="68" t="s">
        <v>1633</v>
      </c>
      <c r="BA113" s="60" t="s">
        <v>43</v>
      </c>
      <c r="BB113" s="60" t="s">
        <v>1634</v>
      </c>
    </row>
    <row r="114">
      <c r="A114" s="37" t="s">
        <v>1641</v>
      </c>
      <c r="B114" s="38" t="s">
        <v>1642</v>
      </c>
      <c r="C114" s="54">
        <v>12.0</v>
      </c>
      <c r="D114" s="72">
        <v>8.0</v>
      </c>
      <c r="E114" s="74"/>
      <c r="F114" s="74"/>
      <c r="G114" s="54">
        <v>4.0</v>
      </c>
      <c r="H114" s="54">
        <v>10.0</v>
      </c>
      <c r="I114" s="83">
        <f t="shared" si="1"/>
        <v>7</v>
      </c>
      <c r="J114" s="72">
        <v>0.0</v>
      </c>
      <c r="K114" s="72">
        <v>2.0</v>
      </c>
      <c r="L114" s="85">
        <v>70.0</v>
      </c>
      <c r="M114" s="54">
        <v>3.0</v>
      </c>
      <c r="N114" s="86">
        <v>327.0</v>
      </c>
      <c r="O114" s="86">
        <v>325.0</v>
      </c>
      <c r="P114" s="87"/>
      <c r="Q114" s="88" t="s">
        <v>1643</v>
      </c>
      <c r="R114" s="38" t="s">
        <v>1644</v>
      </c>
      <c r="S114" s="54">
        <v>41.0</v>
      </c>
      <c r="T114" s="72">
        <v>30.0</v>
      </c>
      <c r="U114" s="74"/>
      <c r="V114" s="74"/>
      <c r="W114" s="54">
        <v>11.0</v>
      </c>
      <c r="X114" s="54">
        <v>29.0</v>
      </c>
      <c r="Y114" s="83">
        <f t="shared" si="2"/>
        <v>20</v>
      </c>
      <c r="Z114" s="72">
        <v>0.0</v>
      </c>
      <c r="AA114" s="72">
        <v>2.0</v>
      </c>
      <c r="AB114" s="85">
        <v>70.0</v>
      </c>
      <c r="AC114" s="54">
        <v>3.0</v>
      </c>
      <c r="AD114" s="86">
        <v>332.0</v>
      </c>
      <c r="AE114" s="86">
        <v>336.0</v>
      </c>
      <c r="AF114" s="87"/>
      <c r="AG114" s="88" t="s">
        <v>1645</v>
      </c>
      <c r="AH114" s="96" t="s">
        <v>1646</v>
      </c>
      <c r="AI114" s="54">
        <v>75.0</v>
      </c>
      <c r="AJ114" s="72">
        <v>56.0</v>
      </c>
      <c r="AK114" s="74"/>
      <c r="AL114" s="74"/>
      <c r="AM114" s="54">
        <v>23.0</v>
      </c>
      <c r="AN114" s="54">
        <v>55.0</v>
      </c>
      <c r="AO114" s="83">
        <f t="shared" si="3"/>
        <v>39</v>
      </c>
      <c r="AP114" s="72">
        <v>0.0</v>
      </c>
      <c r="AQ114" s="72">
        <v>2.0</v>
      </c>
      <c r="AR114" s="85">
        <v>70.0</v>
      </c>
      <c r="AS114" s="54">
        <v>3.0</v>
      </c>
      <c r="AT114" s="86">
        <v>337.0</v>
      </c>
      <c r="AU114" s="86">
        <v>347.0</v>
      </c>
      <c r="AV114" s="87"/>
      <c r="AW114" s="105">
        <v>100.0</v>
      </c>
      <c r="AX114" s="74"/>
      <c r="AY114" s="420">
        <v>0.0</v>
      </c>
      <c r="AZ114" s="68" t="s">
        <v>1633</v>
      </c>
      <c r="BA114" s="60" t="s">
        <v>43</v>
      </c>
      <c r="BB114" s="60" t="s">
        <v>1634</v>
      </c>
    </row>
    <row r="115">
      <c r="A115" s="37" t="s">
        <v>1648</v>
      </c>
      <c r="B115" s="38" t="s">
        <v>1649</v>
      </c>
      <c r="C115" s="54">
        <v>17.0</v>
      </c>
      <c r="D115" s="72">
        <v>13.0</v>
      </c>
      <c r="E115" s="74"/>
      <c r="F115" s="74"/>
      <c r="G115" s="54">
        <v>5.0</v>
      </c>
      <c r="H115" s="54">
        <v>12.0</v>
      </c>
      <c r="I115" s="83">
        <f t="shared" si="1"/>
        <v>8.5</v>
      </c>
      <c r="J115" s="72">
        <v>0.0</v>
      </c>
      <c r="K115" s="72">
        <v>2.0</v>
      </c>
      <c r="L115" s="85">
        <v>80.0</v>
      </c>
      <c r="M115" s="54">
        <v>4.0</v>
      </c>
      <c r="N115" s="86">
        <v>328.0</v>
      </c>
      <c r="O115" s="86">
        <v>326.0</v>
      </c>
      <c r="P115" s="87"/>
      <c r="Q115" s="88" t="s">
        <v>1650</v>
      </c>
      <c r="R115" s="38" t="s">
        <v>1651</v>
      </c>
      <c r="S115" s="54">
        <v>46.0</v>
      </c>
      <c r="T115" s="72">
        <v>34.0</v>
      </c>
      <c r="U115" s="74"/>
      <c r="V115" s="74"/>
      <c r="W115" s="54">
        <v>13.0</v>
      </c>
      <c r="X115" s="54">
        <v>32.0</v>
      </c>
      <c r="Y115" s="83">
        <f t="shared" si="2"/>
        <v>22.5</v>
      </c>
      <c r="Z115" s="72">
        <v>0.0</v>
      </c>
      <c r="AA115" s="72">
        <v>2.0</v>
      </c>
      <c r="AB115" s="85">
        <v>80.0</v>
      </c>
      <c r="AC115" s="54">
        <v>4.0</v>
      </c>
      <c r="AD115" s="86">
        <v>333.0</v>
      </c>
      <c r="AE115" s="86">
        <v>337.0</v>
      </c>
      <c r="AF115" s="87"/>
      <c r="AG115" s="88" t="s">
        <v>1652</v>
      </c>
      <c r="AH115" s="96" t="s">
        <v>1653</v>
      </c>
      <c r="AI115" s="54">
        <v>84.0</v>
      </c>
      <c r="AJ115" s="72">
        <v>63.0</v>
      </c>
      <c r="AK115" s="74"/>
      <c r="AL115" s="74"/>
      <c r="AM115" s="54">
        <v>12.0</v>
      </c>
      <c r="AN115" s="54">
        <v>66.0</v>
      </c>
      <c r="AO115" s="83">
        <f t="shared" si="3"/>
        <v>39</v>
      </c>
      <c r="AP115" s="72">
        <v>0.0</v>
      </c>
      <c r="AQ115" s="72">
        <v>2.0</v>
      </c>
      <c r="AR115" s="85">
        <v>80.0</v>
      </c>
      <c r="AS115" s="54">
        <v>4.0</v>
      </c>
      <c r="AT115" s="86">
        <v>338.0</v>
      </c>
      <c r="AU115" s="86">
        <v>348.0</v>
      </c>
      <c r="AV115" s="87"/>
      <c r="AW115" s="105">
        <v>100.0</v>
      </c>
      <c r="AX115" s="74"/>
      <c r="AY115" s="420">
        <v>0.0</v>
      </c>
      <c r="AZ115" s="68" t="s">
        <v>1633</v>
      </c>
      <c r="BA115" s="60" t="s">
        <v>43</v>
      </c>
      <c r="BB115" s="60" t="s">
        <v>1634</v>
      </c>
    </row>
    <row r="116">
      <c r="A116" s="37" t="s">
        <v>1654</v>
      </c>
      <c r="B116" s="38" t="s">
        <v>1655</v>
      </c>
      <c r="C116" s="54">
        <v>24.0</v>
      </c>
      <c r="D116" s="72">
        <v>18.0</v>
      </c>
      <c r="E116" s="74"/>
      <c r="F116" s="74"/>
      <c r="G116" s="54">
        <v>8.0</v>
      </c>
      <c r="H116" s="54">
        <v>18.0</v>
      </c>
      <c r="I116" s="83">
        <f t="shared" si="1"/>
        <v>13</v>
      </c>
      <c r="J116" s="72">
        <v>10.0</v>
      </c>
      <c r="K116" s="72">
        <v>3.0</v>
      </c>
      <c r="L116" s="85">
        <v>100.0</v>
      </c>
      <c r="M116" s="54">
        <v>5.0</v>
      </c>
      <c r="N116" s="86">
        <v>329.0</v>
      </c>
      <c r="O116" s="86">
        <v>327.0</v>
      </c>
      <c r="P116" s="87"/>
      <c r="Q116" s="88" t="s">
        <v>1656</v>
      </c>
      <c r="R116" s="38" t="s">
        <v>1657</v>
      </c>
      <c r="S116" s="54">
        <v>50.0</v>
      </c>
      <c r="T116" s="72">
        <v>37.0</v>
      </c>
      <c r="U116" s="74"/>
      <c r="V116" s="74"/>
      <c r="W116" s="54">
        <v>18.0</v>
      </c>
      <c r="X116" s="54">
        <v>42.0</v>
      </c>
      <c r="Y116" s="83">
        <f t="shared" si="2"/>
        <v>30</v>
      </c>
      <c r="Z116" s="72">
        <v>10.0</v>
      </c>
      <c r="AA116" s="72">
        <v>3.0</v>
      </c>
      <c r="AB116" s="85">
        <v>100.0</v>
      </c>
      <c r="AC116" s="54">
        <v>5.0</v>
      </c>
      <c r="AD116" s="86">
        <v>334.0</v>
      </c>
      <c r="AE116" s="86">
        <v>338.0</v>
      </c>
      <c r="AF116" s="87"/>
      <c r="AG116" s="584" t="s">
        <v>1659</v>
      </c>
      <c r="AH116" s="96" t="s">
        <v>1660</v>
      </c>
      <c r="AI116" s="54">
        <v>85.0</v>
      </c>
      <c r="AJ116" s="72">
        <v>66.0</v>
      </c>
      <c r="AK116" s="74"/>
      <c r="AL116" s="74"/>
      <c r="AM116" s="54">
        <v>30.0</v>
      </c>
      <c r="AN116" s="54">
        <v>53.0</v>
      </c>
      <c r="AO116" s="83">
        <f t="shared" si="3"/>
        <v>41.5</v>
      </c>
      <c r="AP116" s="72">
        <v>10.0</v>
      </c>
      <c r="AQ116" s="72">
        <v>3.0</v>
      </c>
      <c r="AR116" s="85">
        <v>100.0</v>
      </c>
      <c r="AS116" s="54">
        <v>5.0</v>
      </c>
      <c r="AT116" s="86">
        <v>339.0</v>
      </c>
      <c r="AU116" s="86">
        <v>349.0</v>
      </c>
      <c r="AV116" s="87"/>
      <c r="AW116" s="105">
        <v>100.0</v>
      </c>
      <c r="AX116" s="74"/>
      <c r="AY116" s="420">
        <v>0.0</v>
      </c>
      <c r="AZ116" s="68" t="s">
        <v>1633</v>
      </c>
      <c r="BA116" s="60" t="s">
        <v>43</v>
      </c>
      <c r="BB116" s="60" t="s">
        <v>1634</v>
      </c>
    </row>
  </sheetData>
  <autoFilter ref="$A$1:$BB$116"/>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38"/>
    <col customWidth="1" min="2" max="2" width="2.0"/>
    <col customWidth="1" min="3" max="75" width="3.0"/>
  </cols>
  <sheetData>
    <row r="1">
      <c r="A1" s="48" t="s">
        <v>10</v>
      </c>
      <c r="J1" s="55"/>
      <c r="K1" s="55"/>
      <c r="L1" s="57"/>
      <c r="M1" s="57"/>
      <c r="N1" s="57"/>
      <c r="O1" s="57"/>
      <c r="P1" s="57"/>
      <c r="Q1" s="57"/>
      <c r="R1" s="57"/>
      <c r="S1" s="57"/>
      <c r="T1" s="57"/>
      <c r="U1" s="57"/>
      <c r="V1" s="57"/>
      <c r="W1" s="57"/>
      <c r="X1" s="57"/>
      <c r="Y1" s="57"/>
      <c r="Z1" s="57"/>
      <c r="AA1" s="57"/>
      <c r="AB1" s="57"/>
      <c r="AC1" s="57"/>
      <c r="AD1" s="57"/>
      <c r="AE1" s="57"/>
      <c r="AF1" s="57"/>
      <c r="AG1" s="57"/>
      <c r="AH1" s="57"/>
      <c r="AI1" s="57"/>
      <c r="AJ1" s="57"/>
      <c r="AK1" s="57"/>
      <c r="AL1" s="57"/>
      <c r="AM1" s="57"/>
      <c r="AN1" s="57"/>
      <c r="AO1" s="57"/>
      <c r="AP1" s="57"/>
      <c r="AQ1" s="57"/>
      <c r="AR1" s="57"/>
      <c r="AS1" s="57"/>
      <c r="AT1" s="57"/>
      <c r="AU1" s="69"/>
      <c r="AV1" s="69"/>
      <c r="AW1" s="69"/>
      <c r="AX1" s="69"/>
      <c r="AY1" s="69"/>
      <c r="AZ1" s="69"/>
      <c r="BA1" s="69"/>
      <c r="BB1" s="69"/>
      <c r="BC1" s="69"/>
      <c r="BD1" s="69"/>
      <c r="BE1" s="69"/>
      <c r="BF1" s="69"/>
      <c r="BG1" s="69"/>
      <c r="BH1" s="69"/>
      <c r="BI1" s="69"/>
      <c r="BJ1" s="69"/>
      <c r="BK1" s="69"/>
      <c r="BL1" s="69"/>
      <c r="BM1" s="69"/>
      <c r="BN1" s="69"/>
      <c r="BO1" s="75"/>
      <c r="BP1" s="75"/>
      <c r="BQ1" s="75"/>
      <c r="BR1" s="75"/>
      <c r="BS1" s="75"/>
      <c r="BT1" s="75"/>
      <c r="BU1" s="75"/>
      <c r="BV1" s="75"/>
      <c r="BW1" s="75"/>
    </row>
    <row r="2">
      <c r="A2" s="76"/>
      <c r="B2" s="77" t="s">
        <v>99</v>
      </c>
      <c r="C2" s="78"/>
      <c r="D2" s="78"/>
      <c r="E2" s="78"/>
      <c r="F2" s="78"/>
      <c r="G2" s="78"/>
      <c r="H2" s="78"/>
      <c r="I2" s="79"/>
      <c r="J2" s="80"/>
      <c r="K2" s="80"/>
      <c r="L2" s="80"/>
      <c r="M2" s="80"/>
      <c r="N2" s="80"/>
      <c r="O2" s="80"/>
      <c r="P2" s="80"/>
      <c r="Q2" s="80"/>
      <c r="R2" s="80"/>
      <c r="S2" s="80"/>
      <c r="T2" s="80"/>
      <c r="U2" s="80"/>
      <c r="V2" s="80"/>
      <c r="W2" s="80"/>
      <c r="X2" s="80"/>
      <c r="Y2" s="80"/>
      <c r="Z2" s="80"/>
      <c r="AA2" s="80"/>
      <c r="AB2" s="80"/>
      <c r="AC2" s="80"/>
      <c r="AD2" s="80"/>
      <c r="AE2" s="80"/>
      <c r="AF2" s="80"/>
      <c r="AG2" s="80"/>
      <c r="AH2" s="80"/>
      <c r="AI2" s="80"/>
      <c r="AJ2" s="80"/>
      <c r="AK2" s="80"/>
      <c r="AL2" s="80"/>
      <c r="AM2" s="80"/>
      <c r="AN2" s="80"/>
      <c r="AO2" s="80"/>
      <c r="AP2" s="80"/>
      <c r="AQ2" s="80"/>
      <c r="AR2" s="80"/>
      <c r="AS2" s="80"/>
      <c r="AT2" s="80"/>
      <c r="AU2" s="80"/>
      <c r="AV2" s="80"/>
      <c r="AW2" s="80"/>
      <c r="AX2" s="80"/>
      <c r="AY2" s="80"/>
      <c r="AZ2" s="80"/>
      <c r="BA2" s="80"/>
      <c r="BB2" s="80"/>
      <c r="BC2" s="80"/>
      <c r="BD2" s="80"/>
      <c r="BE2" s="80"/>
      <c r="BF2" s="80"/>
      <c r="BG2" s="80"/>
      <c r="BH2" s="80"/>
      <c r="BI2" s="80"/>
      <c r="BJ2" s="80"/>
      <c r="BK2" s="80"/>
      <c r="BL2" s="80"/>
      <c r="BM2" s="80"/>
      <c r="BN2" s="80"/>
      <c r="BO2" s="80"/>
      <c r="BP2" s="80"/>
      <c r="BQ2" s="82"/>
      <c r="BR2" s="82"/>
      <c r="BS2" s="82"/>
      <c r="BT2" s="82"/>
      <c r="BU2" s="82"/>
      <c r="BV2" s="82"/>
      <c r="BW2" s="76"/>
    </row>
    <row r="3" ht="3.75" customHeight="1">
      <c r="A3" s="76"/>
      <c r="B3" s="76"/>
      <c r="C3" s="76"/>
      <c r="D3" s="76"/>
      <c r="E3" s="76"/>
      <c r="F3" s="76"/>
      <c r="G3" s="76"/>
      <c r="H3" s="76"/>
      <c r="I3" s="76"/>
      <c r="J3" s="57"/>
      <c r="K3" s="57"/>
      <c r="L3" s="57"/>
      <c r="M3" s="57"/>
      <c r="N3" s="57"/>
      <c r="O3" s="57"/>
      <c r="P3" s="57"/>
      <c r="Q3" s="57"/>
      <c r="R3" s="57"/>
      <c r="S3" s="57"/>
      <c r="T3" s="57"/>
      <c r="U3" s="57"/>
      <c r="V3" s="57"/>
      <c r="W3" s="57"/>
      <c r="X3" s="57"/>
      <c r="Y3" s="57"/>
      <c r="Z3" s="57"/>
      <c r="AA3" s="57"/>
      <c r="AB3" s="57"/>
      <c r="AC3" s="57"/>
      <c r="AD3" s="57"/>
      <c r="AE3" s="57"/>
      <c r="AF3" s="57"/>
      <c r="AG3" s="57"/>
      <c r="AH3" s="57"/>
      <c r="AI3" s="57"/>
      <c r="AJ3" s="57"/>
      <c r="AK3" s="57"/>
      <c r="AL3" s="57"/>
      <c r="AM3" s="57"/>
      <c r="AN3" s="57"/>
      <c r="AO3" s="57"/>
      <c r="AP3" s="57"/>
      <c r="AQ3" s="57"/>
      <c r="AR3" s="57"/>
      <c r="AS3" s="57"/>
      <c r="AT3" s="57"/>
      <c r="AU3" s="57"/>
      <c r="AV3" s="57"/>
      <c r="AW3" s="57"/>
      <c r="AX3" s="57"/>
      <c r="AY3" s="57"/>
      <c r="AZ3" s="57"/>
      <c r="BA3" s="57"/>
      <c r="BB3" s="57"/>
      <c r="BC3" s="57"/>
      <c r="BD3" s="57"/>
      <c r="BE3" s="57"/>
      <c r="BF3" s="57"/>
      <c r="BG3" s="57"/>
      <c r="BH3" s="57"/>
      <c r="BI3" s="57"/>
      <c r="BJ3" s="57"/>
      <c r="BK3" s="57"/>
      <c r="BL3" s="57"/>
      <c r="BM3" s="57"/>
      <c r="BN3" s="57"/>
      <c r="BO3" s="57"/>
      <c r="BP3" s="57"/>
      <c r="BQ3" s="76"/>
      <c r="BR3" s="76"/>
      <c r="BS3" s="76"/>
      <c r="BT3" s="76"/>
      <c r="BU3" s="76"/>
      <c r="BV3" s="76"/>
      <c r="BW3" s="76"/>
    </row>
    <row r="4">
      <c r="A4" s="76"/>
      <c r="B4" s="76"/>
      <c r="C4" s="57" t="s">
        <v>122</v>
      </c>
      <c r="I4" s="91"/>
      <c r="J4" s="55"/>
      <c r="K4" s="92"/>
      <c r="L4" s="93"/>
      <c r="M4" s="94"/>
      <c r="N4" s="93"/>
      <c r="O4" s="94"/>
      <c r="P4" s="93"/>
      <c r="Q4" s="95">
        <v>1.5</v>
      </c>
      <c r="R4" s="97">
        <v>1.8</v>
      </c>
      <c r="S4" s="98"/>
      <c r="T4" s="93"/>
      <c r="U4" s="94"/>
      <c r="V4" s="93"/>
      <c r="W4" s="94"/>
      <c r="X4" s="93"/>
      <c r="Y4" s="94"/>
      <c r="Z4" s="93"/>
      <c r="AA4" s="94"/>
      <c r="AB4" s="97">
        <v>0.1</v>
      </c>
      <c r="AC4" s="99">
        <v>0.9</v>
      </c>
      <c r="AD4" s="100">
        <v>1.7</v>
      </c>
      <c r="AE4" s="99">
        <v>1.1</v>
      </c>
      <c r="AF4" s="101"/>
      <c r="AG4" s="93"/>
      <c r="AH4" s="94"/>
      <c r="AI4" s="93"/>
      <c r="AJ4" s="94"/>
      <c r="AK4" s="93"/>
      <c r="AL4" s="94"/>
      <c r="AM4" s="93"/>
      <c r="AN4" s="94"/>
      <c r="AO4" s="100">
        <v>0.1</v>
      </c>
      <c r="AP4" s="102">
        <v>0.3</v>
      </c>
      <c r="AQ4" s="103">
        <v>0.4</v>
      </c>
      <c r="AR4" s="102">
        <v>0.5</v>
      </c>
      <c r="AS4" s="100">
        <v>1.2</v>
      </c>
      <c r="AT4" s="99">
        <v>3.1</v>
      </c>
      <c r="AU4" s="100">
        <v>6.3</v>
      </c>
      <c r="AV4" s="99">
        <v>2.7</v>
      </c>
      <c r="AW4" s="100">
        <v>2.3</v>
      </c>
      <c r="AX4" s="99">
        <v>2.3</v>
      </c>
      <c r="AY4" s="100">
        <v>3.1</v>
      </c>
      <c r="AZ4" s="99">
        <v>3.7</v>
      </c>
      <c r="BA4" s="100">
        <v>3.8</v>
      </c>
      <c r="BB4" s="99">
        <v>3.8</v>
      </c>
      <c r="BC4" s="101"/>
      <c r="BD4" s="106"/>
      <c r="BE4" s="107"/>
      <c r="BF4" s="95">
        <v>0.8</v>
      </c>
      <c r="BG4" s="108">
        <v>1.0</v>
      </c>
      <c r="BH4" s="95">
        <v>1.3</v>
      </c>
      <c r="BI4" s="108">
        <v>3.2</v>
      </c>
      <c r="BJ4" s="95">
        <v>4.7</v>
      </c>
      <c r="BK4" s="108">
        <v>6.3</v>
      </c>
      <c r="BL4" s="95">
        <v>3.1</v>
      </c>
      <c r="BM4" s="108">
        <v>1.3</v>
      </c>
      <c r="BN4" s="95">
        <v>3.5</v>
      </c>
      <c r="BO4" s="101"/>
      <c r="BP4" s="103"/>
      <c r="BQ4" s="102">
        <v>0.7</v>
      </c>
      <c r="BR4" s="100">
        <v>9.1</v>
      </c>
      <c r="BS4" s="99">
        <v>2.8</v>
      </c>
      <c r="BT4" s="100">
        <v>2.2</v>
      </c>
      <c r="BU4" s="99">
        <v>2.5</v>
      </c>
      <c r="BV4" s="76"/>
      <c r="BW4" s="55"/>
    </row>
    <row r="5">
      <c r="A5" s="76"/>
      <c r="B5" s="76"/>
      <c r="C5" s="76"/>
      <c r="D5" s="76"/>
      <c r="E5" s="76"/>
      <c r="F5" s="76"/>
      <c r="G5" s="76"/>
      <c r="H5" s="76"/>
      <c r="I5" s="76"/>
      <c r="J5" s="55"/>
      <c r="K5" s="110" t="s">
        <v>194</v>
      </c>
      <c r="L5" s="111"/>
      <c r="M5" s="111"/>
      <c r="N5" s="111"/>
      <c r="O5" s="111"/>
      <c r="P5" s="111"/>
      <c r="Q5" s="111"/>
      <c r="R5" s="112"/>
      <c r="S5" s="55"/>
      <c r="T5" s="123" t="s">
        <v>203</v>
      </c>
      <c r="U5" s="124"/>
      <c r="V5" s="124"/>
      <c r="W5" s="124"/>
      <c r="X5" s="124"/>
      <c r="Y5" s="124"/>
      <c r="Z5" s="124"/>
      <c r="AA5" s="124"/>
      <c r="AB5" s="124"/>
      <c r="AC5" s="124"/>
      <c r="AD5" s="124"/>
      <c r="AE5" s="125"/>
      <c r="AF5" s="101"/>
      <c r="AG5" s="126" t="s">
        <v>238</v>
      </c>
      <c r="AH5" s="111"/>
      <c r="AI5" s="111"/>
      <c r="AJ5" s="111"/>
      <c r="AK5" s="111"/>
      <c r="AL5" s="111"/>
      <c r="AM5" s="111"/>
      <c r="AN5" s="111"/>
      <c r="AO5" s="111"/>
      <c r="AP5" s="111"/>
      <c r="AQ5" s="111"/>
      <c r="AR5" s="111"/>
      <c r="AS5" s="111"/>
      <c r="AT5" s="111"/>
      <c r="AU5" s="111"/>
      <c r="AV5" s="111"/>
      <c r="AW5" s="111"/>
      <c r="AX5" s="111"/>
      <c r="AY5" s="111"/>
      <c r="AZ5" s="111"/>
      <c r="BA5" s="111"/>
      <c r="BB5" s="112"/>
      <c r="BC5" s="55"/>
      <c r="BD5" s="138" t="s">
        <v>242</v>
      </c>
      <c r="BE5" s="124"/>
      <c r="BF5" s="124"/>
      <c r="BG5" s="124"/>
      <c r="BH5" s="124"/>
      <c r="BI5" s="124"/>
      <c r="BJ5" s="124"/>
      <c r="BK5" s="124"/>
      <c r="BL5" s="124"/>
      <c r="BM5" s="124"/>
      <c r="BN5" s="125"/>
      <c r="BO5" s="55"/>
      <c r="BP5" s="138" t="s">
        <v>249</v>
      </c>
      <c r="BQ5" s="124"/>
      <c r="BR5" s="124"/>
      <c r="BS5" s="124"/>
      <c r="BT5" s="124"/>
      <c r="BU5" s="125"/>
      <c r="BV5" s="76"/>
      <c r="BW5" s="55"/>
    </row>
    <row r="6">
      <c r="A6" s="76"/>
      <c r="B6" s="76"/>
      <c r="C6" s="55"/>
      <c r="D6" s="55"/>
      <c r="E6" s="76"/>
      <c r="F6" s="101"/>
      <c r="G6" s="148" t="s">
        <v>256</v>
      </c>
      <c r="H6" s="152" t="s">
        <v>259</v>
      </c>
      <c r="I6" s="148" t="s">
        <v>260</v>
      </c>
      <c r="J6" s="156" t="s">
        <v>264</v>
      </c>
      <c r="K6" s="148" t="s">
        <v>267</v>
      </c>
      <c r="L6" s="152" t="s">
        <v>269</v>
      </c>
      <c r="M6" s="148" t="s">
        <v>271</v>
      </c>
      <c r="N6" s="156" t="s">
        <v>272</v>
      </c>
      <c r="O6" s="160"/>
      <c r="P6" s="161" t="s">
        <v>276</v>
      </c>
      <c r="Q6" s="162" t="s">
        <v>278</v>
      </c>
      <c r="R6" s="161" t="s">
        <v>279</v>
      </c>
      <c r="S6" s="164" t="s">
        <v>280</v>
      </c>
      <c r="T6" s="165" t="s">
        <v>285</v>
      </c>
      <c r="U6" s="164" t="s">
        <v>286</v>
      </c>
      <c r="V6" s="165" t="s">
        <v>287</v>
      </c>
      <c r="W6" s="164" t="s">
        <v>288</v>
      </c>
      <c r="X6" s="165" t="s">
        <v>289</v>
      </c>
      <c r="Y6" s="164" t="s">
        <v>290</v>
      </c>
      <c r="Z6" s="165" t="s">
        <v>292</v>
      </c>
      <c r="AA6" s="167" t="s">
        <v>295</v>
      </c>
      <c r="AB6" s="168"/>
      <c r="AC6" s="169" t="s">
        <v>302</v>
      </c>
      <c r="AD6" s="170" t="s">
        <v>305</v>
      </c>
      <c r="AE6" s="169" t="s">
        <v>307</v>
      </c>
      <c r="AF6" s="170" t="s">
        <v>309</v>
      </c>
      <c r="AG6" s="172" t="s">
        <v>310</v>
      </c>
      <c r="AH6" s="170" t="s">
        <v>313</v>
      </c>
      <c r="AI6" s="169" t="s">
        <v>314</v>
      </c>
      <c r="AJ6" s="170" t="s">
        <v>315</v>
      </c>
      <c r="AK6" s="169" t="s">
        <v>316</v>
      </c>
      <c r="AL6" s="170" t="s">
        <v>317</v>
      </c>
      <c r="AM6" s="169" t="s">
        <v>318</v>
      </c>
      <c r="AN6" s="170" t="s">
        <v>320</v>
      </c>
      <c r="AO6" s="169" t="s">
        <v>322</v>
      </c>
      <c r="AP6" s="170" t="s">
        <v>327</v>
      </c>
      <c r="AQ6" s="169" t="s">
        <v>328</v>
      </c>
      <c r="AR6" s="170" t="s">
        <v>330</v>
      </c>
      <c r="AS6" s="169" t="s">
        <v>331</v>
      </c>
      <c r="AT6" s="170" t="s">
        <v>332</v>
      </c>
      <c r="AU6" s="169" t="s">
        <v>333</v>
      </c>
      <c r="AV6" s="170" t="s">
        <v>334</v>
      </c>
      <c r="AW6" s="169" t="s">
        <v>335</v>
      </c>
      <c r="AX6" s="170" t="s">
        <v>336</v>
      </c>
      <c r="AY6" s="173"/>
      <c r="AZ6" s="170" t="s">
        <v>341</v>
      </c>
      <c r="BA6" s="169" t="s">
        <v>342</v>
      </c>
      <c r="BB6" s="170" t="s">
        <v>343</v>
      </c>
      <c r="BC6" s="169" t="s">
        <v>344</v>
      </c>
      <c r="BD6" s="170" t="s">
        <v>345</v>
      </c>
      <c r="BE6" s="169" t="s">
        <v>347</v>
      </c>
      <c r="BF6" s="170" t="s">
        <v>348</v>
      </c>
      <c r="BG6" s="169" t="s">
        <v>349</v>
      </c>
      <c r="BH6" s="170" t="s">
        <v>350</v>
      </c>
      <c r="BI6" s="172" t="s">
        <v>353</v>
      </c>
      <c r="BJ6" s="175" t="s">
        <v>354</v>
      </c>
      <c r="BK6" s="173"/>
      <c r="BL6" s="172" t="s">
        <v>357</v>
      </c>
      <c r="BM6" s="170" t="s">
        <v>359</v>
      </c>
      <c r="BN6" s="169" t="s">
        <v>361</v>
      </c>
      <c r="BO6" s="175" t="s">
        <v>363</v>
      </c>
      <c r="BP6" s="172" t="s">
        <v>364</v>
      </c>
      <c r="BQ6" s="170" t="s">
        <v>366</v>
      </c>
      <c r="BR6" s="76"/>
      <c r="BS6" s="55"/>
      <c r="BT6" s="55"/>
      <c r="BU6" s="76"/>
      <c r="BV6" s="76"/>
      <c r="BW6" s="76"/>
    </row>
    <row r="7">
      <c r="A7" s="76"/>
      <c r="B7" s="76"/>
      <c r="C7" s="178" t="s">
        <v>370</v>
      </c>
      <c r="D7" s="179"/>
      <c r="E7" s="180"/>
      <c r="F7" s="101"/>
      <c r="G7" s="182"/>
      <c r="H7" s="184"/>
      <c r="I7" s="182"/>
      <c r="J7" s="187"/>
      <c r="K7" s="182" t="s">
        <v>385</v>
      </c>
      <c r="L7" s="192"/>
      <c r="M7" s="193" t="s">
        <v>385</v>
      </c>
      <c r="N7" s="194"/>
      <c r="O7" s="57"/>
      <c r="P7" s="197" t="s">
        <v>385</v>
      </c>
      <c r="Q7" s="199"/>
      <c r="R7" s="184"/>
      <c r="S7" s="182"/>
      <c r="T7" s="184"/>
      <c r="U7" s="182"/>
      <c r="V7" s="184"/>
      <c r="W7" s="182"/>
      <c r="X7" s="203" t="s">
        <v>400</v>
      </c>
      <c r="Y7" s="204"/>
      <c r="Z7" s="205" t="s">
        <v>385</v>
      </c>
      <c r="AA7" s="206" t="s">
        <v>385</v>
      </c>
      <c r="AB7" s="101"/>
      <c r="AC7" s="207"/>
      <c r="AD7" s="208"/>
      <c r="AE7" s="207"/>
      <c r="AF7" s="208"/>
      <c r="AG7" s="209"/>
      <c r="AH7" s="210"/>
      <c r="AI7" s="211"/>
      <c r="AJ7" s="210"/>
      <c r="AK7" s="211"/>
      <c r="AL7" s="210"/>
      <c r="AM7" s="211"/>
      <c r="AN7" s="210"/>
      <c r="AO7" s="211"/>
      <c r="AP7" s="210"/>
      <c r="AQ7" s="211"/>
      <c r="AR7" s="210"/>
      <c r="AS7" s="211"/>
      <c r="AT7" s="210"/>
      <c r="AU7" s="211"/>
      <c r="AV7" s="210"/>
      <c r="AW7" s="211"/>
      <c r="AX7" s="210"/>
      <c r="AY7" s="55"/>
      <c r="AZ7" s="212"/>
      <c r="BA7" s="213"/>
      <c r="BB7" s="212"/>
      <c r="BC7" s="213"/>
      <c r="BD7" s="212"/>
      <c r="BE7" s="213"/>
      <c r="BF7" s="212"/>
      <c r="BG7" s="213"/>
      <c r="BH7" s="212"/>
      <c r="BI7" s="215"/>
      <c r="BJ7" s="216"/>
      <c r="BK7" s="217"/>
      <c r="BL7" s="209"/>
      <c r="BM7" s="208"/>
      <c r="BN7" s="211"/>
      <c r="BO7" s="218"/>
      <c r="BP7" s="209"/>
      <c r="BQ7" s="210"/>
      <c r="BR7" s="76"/>
      <c r="BS7" s="76"/>
      <c r="BV7" s="76"/>
      <c r="BW7" s="76"/>
    </row>
    <row r="8">
      <c r="A8" s="76"/>
      <c r="B8" s="76"/>
      <c r="C8" s="222" t="s">
        <v>420</v>
      </c>
      <c r="D8" s="223"/>
      <c r="E8" s="225"/>
      <c r="F8" s="101"/>
      <c r="G8" s="182"/>
      <c r="H8" s="184"/>
      <c r="I8" s="182" t="s">
        <v>400</v>
      </c>
      <c r="J8" s="187"/>
      <c r="K8" s="182"/>
      <c r="L8" s="192"/>
      <c r="M8" s="227"/>
      <c r="N8" s="230"/>
      <c r="O8" s="57"/>
      <c r="P8" s="197"/>
      <c r="Q8" s="199"/>
      <c r="R8" s="184" t="s">
        <v>400</v>
      </c>
      <c r="S8" s="182"/>
      <c r="T8" s="184"/>
      <c r="U8" s="182" t="s">
        <v>400</v>
      </c>
      <c r="V8" s="184"/>
      <c r="W8" s="182"/>
      <c r="X8" s="184" t="s">
        <v>385</v>
      </c>
      <c r="Y8" s="204"/>
      <c r="Z8" s="232"/>
      <c r="AA8" s="235" t="s">
        <v>385</v>
      </c>
      <c r="AB8" s="101"/>
      <c r="AC8" s="184"/>
      <c r="AD8" s="182"/>
      <c r="AE8" s="184"/>
      <c r="AF8" s="182"/>
      <c r="AG8" s="187"/>
      <c r="AH8" s="182" t="s">
        <v>400</v>
      </c>
      <c r="AI8" s="184" t="s">
        <v>385</v>
      </c>
      <c r="AJ8" s="239" t="s">
        <v>400</v>
      </c>
      <c r="AK8" s="184"/>
      <c r="AL8" s="182"/>
      <c r="AM8" s="232"/>
      <c r="AN8" s="182"/>
      <c r="AO8" s="184" t="s">
        <v>385</v>
      </c>
      <c r="AP8" s="182" t="s">
        <v>400</v>
      </c>
      <c r="AQ8" s="184"/>
      <c r="AR8" s="182" t="s">
        <v>400</v>
      </c>
      <c r="AS8" s="184"/>
      <c r="AT8" s="182" t="s">
        <v>400</v>
      </c>
      <c r="AU8" s="184" t="s">
        <v>400</v>
      </c>
      <c r="AV8" s="182" t="s">
        <v>385</v>
      </c>
      <c r="AW8" s="184" t="s">
        <v>385</v>
      </c>
      <c r="AX8" s="182"/>
      <c r="AY8" s="242"/>
      <c r="AZ8" s="243"/>
      <c r="BA8" s="245"/>
      <c r="BB8" s="246"/>
      <c r="BC8" s="249" t="s">
        <v>385</v>
      </c>
      <c r="BD8" s="251"/>
      <c r="BE8" s="245"/>
      <c r="BF8" s="246"/>
      <c r="BG8" s="245"/>
      <c r="BH8" s="251"/>
      <c r="BI8" s="252" t="s">
        <v>400</v>
      </c>
      <c r="BJ8" s="253" t="s">
        <v>400</v>
      </c>
      <c r="BK8" s="254"/>
      <c r="BL8" s="255"/>
      <c r="BM8" s="239" t="s">
        <v>385</v>
      </c>
      <c r="BN8" s="184"/>
      <c r="BO8" s="258" t="s">
        <v>400</v>
      </c>
      <c r="BP8" s="259"/>
      <c r="BQ8" s="239" t="s">
        <v>385</v>
      </c>
      <c r="BR8" s="76"/>
      <c r="BS8" s="178" t="s">
        <v>420</v>
      </c>
      <c r="BT8" s="179"/>
      <c r="BU8" s="180"/>
      <c r="BV8" s="76"/>
      <c r="BW8" s="76"/>
    </row>
    <row r="9">
      <c r="A9" s="76"/>
      <c r="B9" s="76"/>
      <c r="C9" s="260" t="s">
        <v>458</v>
      </c>
      <c r="D9" s="223"/>
      <c r="E9" s="225"/>
      <c r="F9" s="101"/>
      <c r="G9" s="182"/>
      <c r="H9" s="184"/>
      <c r="I9" s="182" t="s">
        <v>400</v>
      </c>
      <c r="J9" s="187"/>
      <c r="K9" s="182"/>
      <c r="L9" s="192"/>
      <c r="M9" s="227"/>
      <c r="N9" s="230"/>
      <c r="O9" s="57"/>
      <c r="P9" s="197"/>
      <c r="Q9" s="199"/>
      <c r="R9" s="184" t="s">
        <v>400</v>
      </c>
      <c r="S9" s="182"/>
      <c r="T9" s="184"/>
      <c r="U9" s="182" t="s">
        <v>400</v>
      </c>
      <c r="V9" s="184"/>
      <c r="W9" s="182"/>
      <c r="X9" s="184" t="s">
        <v>385</v>
      </c>
      <c r="Y9" s="204"/>
      <c r="Z9" s="232"/>
      <c r="AA9" s="235" t="s">
        <v>385</v>
      </c>
      <c r="AB9" s="101"/>
      <c r="AC9" s="184"/>
      <c r="AD9" s="182"/>
      <c r="AE9" s="184"/>
      <c r="AF9" s="182"/>
      <c r="AG9" s="187"/>
      <c r="AH9" s="182" t="s">
        <v>400</v>
      </c>
      <c r="AI9" s="184" t="s">
        <v>385</v>
      </c>
      <c r="AJ9" s="239" t="s">
        <v>400</v>
      </c>
      <c r="AK9" s="184"/>
      <c r="AL9" s="182"/>
      <c r="AM9" s="232"/>
      <c r="AN9" s="182"/>
      <c r="AO9" s="184" t="s">
        <v>385</v>
      </c>
      <c r="AP9" s="182" t="s">
        <v>400</v>
      </c>
      <c r="AQ9" s="184"/>
      <c r="AR9" s="182" t="s">
        <v>400</v>
      </c>
      <c r="AS9" s="184"/>
      <c r="AT9" s="182" t="s">
        <v>400</v>
      </c>
      <c r="AU9" s="184" t="s">
        <v>400</v>
      </c>
      <c r="AV9" s="182" t="s">
        <v>385</v>
      </c>
      <c r="AW9" s="184" t="s">
        <v>385</v>
      </c>
      <c r="AX9" s="182"/>
      <c r="AY9" s="242"/>
      <c r="AZ9" s="261"/>
      <c r="BA9" s="192"/>
      <c r="BB9" s="262"/>
      <c r="BC9" s="263" t="s">
        <v>385</v>
      </c>
      <c r="BD9" s="227"/>
      <c r="BE9" s="192"/>
      <c r="BF9" s="262"/>
      <c r="BG9" s="192"/>
      <c r="BH9" s="227"/>
      <c r="BI9" s="264" t="s">
        <v>400</v>
      </c>
      <c r="BJ9" s="253" t="s">
        <v>400</v>
      </c>
      <c r="BK9" s="254"/>
      <c r="BL9" s="255"/>
      <c r="BM9" s="239" t="s">
        <v>385</v>
      </c>
      <c r="BN9" s="184"/>
      <c r="BO9" s="258" t="s">
        <v>400</v>
      </c>
      <c r="BP9" s="259"/>
      <c r="BQ9" s="239" t="s">
        <v>385</v>
      </c>
      <c r="BR9" s="76"/>
      <c r="BS9" s="260" t="s">
        <v>458</v>
      </c>
      <c r="BT9" s="223"/>
      <c r="BU9" s="225"/>
      <c r="BV9" s="76"/>
      <c r="BW9" s="76"/>
    </row>
    <row r="10">
      <c r="A10" s="76"/>
      <c r="B10" s="76"/>
      <c r="C10" s="222" t="s">
        <v>487</v>
      </c>
      <c r="D10" s="223"/>
      <c r="E10" s="225"/>
      <c r="F10" s="101"/>
      <c r="G10" s="182"/>
      <c r="H10" s="184"/>
      <c r="I10" s="182"/>
      <c r="J10" s="187"/>
      <c r="K10" s="182" t="s">
        <v>400</v>
      </c>
      <c r="L10" s="192"/>
      <c r="M10" s="193" t="s">
        <v>400</v>
      </c>
      <c r="N10" s="194"/>
      <c r="O10" s="57"/>
      <c r="P10" s="197" t="s">
        <v>400</v>
      </c>
      <c r="Q10" s="199"/>
      <c r="R10" s="184"/>
      <c r="S10" s="182"/>
      <c r="T10" s="184"/>
      <c r="U10" s="182"/>
      <c r="V10" s="184"/>
      <c r="W10" s="258" t="s">
        <v>400</v>
      </c>
      <c r="X10" s="205" t="s">
        <v>385</v>
      </c>
      <c r="Y10" s="204"/>
      <c r="Z10" s="184" t="s">
        <v>385</v>
      </c>
      <c r="AA10" s="235" t="s">
        <v>400</v>
      </c>
      <c r="AB10" s="101"/>
      <c r="AC10" s="184"/>
      <c r="AD10" s="182"/>
      <c r="AE10" s="255" t="s">
        <v>400</v>
      </c>
      <c r="AF10" s="182"/>
      <c r="AG10" s="255" t="s">
        <v>400</v>
      </c>
      <c r="AH10" s="182"/>
      <c r="AI10" s="184" t="s">
        <v>400</v>
      </c>
      <c r="AJ10" s="182"/>
      <c r="AK10" s="184"/>
      <c r="AL10" s="258" t="s">
        <v>400</v>
      </c>
      <c r="AM10" s="232"/>
      <c r="AN10" s="182"/>
      <c r="AO10" s="184" t="s">
        <v>385</v>
      </c>
      <c r="AP10" s="182"/>
      <c r="AQ10" s="255" t="s">
        <v>400</v>
      </c>
      <c r="AR10" s="182"/>
      <c r="AS10" s="184"/>
      <c r="AT10" s="182"/>
      <c r="AU10" s="184"/>
      <c r="AV10" s="182" t="s">
        <v>385</v>
      </c>
      <c r="AW10" s="184" t="s">
        <v>385</v>
      </c>
      <c r="AX10" s="258" t="s">
        <v>400</v>
      </c>
      <c r="AY10" s="242"/>
      <c r="AZ10" s="270" t="s">
        <v>400</v>
      </c>
      <c r="BA10" s="264" t="s">
        <v>400</v>
      </c>
      <c r="BB10" s="262"/>
      <c r="BC10" s="263" t="s">
        <v>385</v>
      </c>
      <c r="BD10" s="227"/>
      <c r="BE10" s="192"/>
      <c r="BF10" s="271" t="s">
        <v>506</v>
      </c>
      <c r="BG10" s="264" t="s">
        <v>400</v>
      </c>
      <c r="BH10" s="253" t="s">
        <v>400</v>
      </c>
      <c r="BI10" s="264"/>
      <c r="BJ10" s="253" t="s">
        <v>400</v>
      </c>
      <c r="BK10" s="254"/>
      <c r="BL10" s="187"/>
      <c r="BM10" s="182" t="s">
        <v>400</v>
      </c>
      <c r="BN10" s="184"/>
      <c r="BO10" s="258" t="s">
        <v>400</v>
      </c>
      <c r="BP10" s="272"/>
      <c r="BQ10" s="273" t="s">
        <v>506</v>
      </c>
      <c r="BR10" s="76"/>
      <c r="BS10" s="222" t="s">
        <v>487</v>
      </c>
      <c r="BT10" s="223"/>
      <c r="BU10" s="225"/>
      <c r="BV10" s="76"/>
      <c r="BW10" s="76"/>
    </row>
    <row r="11">
      <c r="A11" s="76"/>
      <c r="B11" s="76"/>
      <c r="C11" s="222" t="s">
        <v>514</v>
      </c>
      <c r="D11" s="223"/>
      <c r="E11" s="225"/>
      <c r="F11" s="101"/>
      <c r="G11" s="182"/>
      <c r="H11" s="184"/>
      <c r="I11" s="182"/>
      <c r="J11" s="187"/>
      <c r="K11" s="182" t="s">
        <v>400</v>
      </c>
      <c r="L11" s="192"/>
      <c r="M11" s="193" t="s">
        <v>400</v>
      </c>
      <c r="N11" s="194"/>
      <c r="O11" s="57"/>
      <c r="P11" s="197" t="s">
        <v>400</v>
      </c>
      <c r="Q11" s="199"/>
      <c r="R11" s="184"/>
      <c r="S11" s="182"/>
      <c r="T11" s="184"/>
      <c r="U11" s="182"/>
      <c r="V11" s="184"/>
      <c r="W11" s="182" t="s">
        <v>400</v>
      </c>
      <c r="X11" s="205" t="s">
        <v>385</v>
      </c>
      <c r="Y11" s="204"/>
      <c r="Z11" s="184" t="s">
        <v>385</v>
      </c>
      <c r="AA11" s="235" t="s">
        <v>400</v>
      </c>
      <c r="AB11" s="101"/>
      <c r="AC11" s="184"/>
      <c r="AD11" s="182"/>
      <c r="AE11" s="184" t="s">
        <v>400</v>
      </c>
      <c r="AF11" s="182"/>
      <c r="AG11" s="255" t="s">
        <v>400</v>
      </c>
      <c r="AH11" s="182"/>
      <c r="AI11" s="184" t="s">
        <v>400</v>
      </c>
      <c r="AJ11" s="182"/>
      <c r="AK11" s="184"/>
      <c r="AL11" s="182" t="s">
        <v>400</v>
      </c>
      <c r="AM11" s="232"/>
      <c r="AN11" s="182"/>
      <c r="AO11" s="184" t="s">
        <v>385</v>
      </c>
      <c r="AP11" s="182"/>
      <c r="AQ11" s="184" t="s">
        <v>400</v>
      </c>
      <c r="AR11" s="182"/>
      <c r="AS11" s="184"/>
      <c r="AT11" s="182"/>
      <c r="AU11" s="184"/>
      <c r="AV11" s="182" t="s">
        <v>385</v>
      </c>
      <c r="AW11" s="184" t="s">
        <v>385</v>
      </c>
      <c r="AX11" s="182" t="s">
        <v>400</v>
      </c>
      <c r="AY11" s="242"/>
      <c r="AZ11" s="270" t="s">
        <v>400</v>
      </c>
      <c r="BA11" s="263" t="s">
        <v>400</v>
      </c>
      <c r="BB11" s="262"/>
      <c r="BC11" s="263" t="s">
        <v>385</v>
      </c>
      <c r="BD11" s="227"/>
      <c r="BE11" s="192"/>
      <c r="BF11" s="275" t="s">
        <v>506</v>
      </c>
      <c r="BG11" s="263" t="s">
        <v>400</v>
      </c>
      <c r="BH11" s="193" t="s">
        <v>400</v>
      </c>
      <c r="BI11" s="264"/>
      <c r="BJ11" s="253" t="s">
        <v>400</v>
      </c>
      <c r="BK11" s="254"/>
      <c r="BL11" s="187"/>
      <c r="BM11" s="182" t="s">
        <v>400</v>
      </c>
      <c r="BN11" s="184"/>
      <c r="BO11" s="258" t="s">
        <v>400</v>
      </c>
      <c r="BP11" s="272"/>
      <c r="BQ11" s="273" t="s">
        <v>506</v>
      </c>
      <c r="BR11" s="76"/>
      <c r="BS11" s="222" t="s">
        <v>514</v>
      </c>
      <c r="BT11" s="223"/>
      <c r="BU11" s="225"/>
      <c r="BV11" s="76"/>
      <c r="BW11" s="76"/>
    </row>
    <row r="12">
      <c r="A12" s="76"/>
      <c r="B12" s="76"/>
      <c r="C12" s="222" t="s">
        <v>535</v>
      </c>
      <c r="D12" s="223"/>
      <c r="E12" s="225"/>
      <c r="F12" s="101"/>
      <c r="G12" s="182" t="s">
        <v>400</v>
      </c>
      <c r="H12" s="184"/>
      <c r="I12" s="182"/>
      <c r="J12" s="187"/>
      <c r="K12" s="182" t="s">
        <v>400</v>
      </c>
      <c r="L12" s="192"/>
      <c r="M12" s="193" t="s">
        <v>400</v>
      </c>
      <c r="N12" s="194"/>
      <c r="O12" s="57"/>
      <c r="P12" s="197" t="s">
        <v>400</v>
      </c>
      <c r="Q12" s="199"/>
      <c r="R12" s="184"/>
      <c r="S12" s="182" t="s">
        <v>400</v>
      </c>
      <c r="T12" s="184"/>
      <c r="U12" s="182"/>
      <c r="V12" s="184" t="s">
        <v>400</v>
      </c>
      <c r="W12" s="182" t="s">
        <v>400</v>
      </c>
      <c r="X12" s="184" t="s">
        <v>400</v>
      </c>
      <c r="Y12" s="204"/>
      <c r="Z12" s="278" t="s">
        <v>506</v>
      </c>
      <c r="AA12" s="235" t="s">
        <v>400</v>
      </c>
      <c r="AB12" s="101"/>
      <c r="AC12" s="184"/>
      <c r="AD12" s="182" t="s">
        <v>400</v>
      </c>
      <c r="AE12" s="184"/>
      <c r="AF12" s="182"/>
      <c r="AG12" s="187"/>
      <c r="AH12" s="182"/>
      <c r="AI12" s="184" t="s">
        <v>400</v>
      </c>
      <c r="AJ12" s="182" t="s">
        <v>400</v>
      </c>
      <c r="AK12" s="232" t="s">
        <v>506</v>
      </c>
      <c r="AL12" s="258" t="s">
        <v>400</v>
      </c>
      <c r="AM12" s="278" t="s">
        <v>506</v>
      </c>
      <c r="AN12" s="182"/>
      <c r="AO12" s="184" t="s">
        <v>400</v>
      </c>
      <c r="AP12" s="182"/>
      <c r="AQ12" s="184"/>
      <c r="AR12" s="182"/>
      <c r="AS12" s="255" t="s">
        <v>400</v>
      </c>
      <c r="AT12" s="182"/>
      <c r="AU12" s="184"/>
      <c r="AV12" s="182" t="s">
        <v>400</v>
      </c>
      <c r="AW12" s="184" t="s">
        <v>400</v>
      </c>
      <c r="AX12" s="182"/>
      <c r="AY12" s="242"/>
      <c r="AZ12" s="270" t="s">
        <v>400</v>
      </c>
      <c r="BA12" s="192"/>
      <c r="BB12" s="275" t="s">
        <v>506</v>
      </c>
      <c r="BC12" s="263" t="s">
        <v>400</v>
      </c>
      <c r="BD12" s="193" t="s">
        <v>400</v>
      </c>
      <c r="BE12" s="192"/>
      <c r="BF12" s="275" t="s">
        <v>506</v>
      </c>
      <c r="BG12" s="263" t="s">
        <v>400</v>
      </c>
      <c r="BH12" s="253" t="s">
        <v>400</v>
      </c>
      <c r="BI12" s="264"/>
      <c r="BJ12" s="253"/>
      <c r="BK12" s="254"/>
      <c r="BL12" s="187" t="s">
        <v>400</v>
      </c>
      <c r="BM12" s="182" t="s">
        <v>400</v>
      </c>
      <c r="BN12" s="184" t="s">
        <v>400</v>
      </c>
      <c r="BO12" s="258" t="s">
        <v>556</v>
      </c>
      <c r="BP12" s="272"/>
      <c r="BQ12" s="273" t="s">
        <v>506</v>
      </c>
      <c r="BR12" s="76"/>
      <c r="BS12" s="222" t="s">
        <v>535</v>
      </c>
      <c r="BT12" s="223"/>
      <c r="BU12" s="225"/>
      <c r="BV12" s="76"/>
      <c r="BW12" s="76"/>
    </row>
    <row r="13">
      <c r="A13" s="76"/>
      <c r="B13" s="76"/>
      <c r="C13" s="222" t="s">
        <v>181</v>
      </c>
      <c r="D13" s="223"/>
      <c r="E13" s="225"/>
      <c r="F13" s="101"/>
      <c r="G13" s="182" t="s">
        <v>400</v>
      </c>
      <c r="H13" s="184"/>
      <c r="I13" s="182"/>
      <c r="J13" s="187"/>
      <c r="K13" s="182" t="s">
        <v>400</v>
      </c>
      <c r="L13" s="192"/>
      <c r="M13" s="193" t="s">
        <v>400</v>
      </c>
      <c r="N13" s="194"/>
      <c r="O13" s="57"/>
      <c r="P13" s="197" t="s">
        <v>400</v>
      </c>
      <c r="Q13" s="199"/>
      <c r="R13" s="184"/>
      <c r="S13" s="182"/>
      <c r="T13" s="184"/>
      <c r="U13" s="182"/>
      <c r="V13" s="184"/>
      <c r="W13" s="182" t="s">
        <v>400</v>
      </c>
      <c r="X13" s="184" t="s">
        <v>400</v>
      </c>
      <c r="Y13" s="204"/>
      <c r="Z13" s="278" t="s">
        <v>506</v>
      </c>
      <c r="AA13" s="235" t="s">
        <v>400</v>
      </c>
      <c r="AB13" s="101"/>
      <c r="AC13" s="184"/>
      <c r="AD13" s="182"/>
      <c r="AE13" s="184"/>
      <c r="AF13" s="182"/>
      <c r="AG13" s="187"/>
      <c r="AH13" s="182"/>
      <c r="AI13" s="184" t="s">
        <v>400</v>
      </c>
      <c r="AJ13" s="182"/>
      <c r="AK13" s="232" t="s">
        <v>506</v>
      </c>
      <c r="AL13" s="182"/>
      <c r="AM13" s="278" t="s">
        <v>506</v>
      </c>
      <c r="AN13" s="182"/>
      <c r="AO13" s="184" t="s">
        <v>400</v>
      </c>
      <c r="AP13" s="182"/>
      <c r="AQ13" s="184"/>
      <c r="AR13" s="182"/>
      <c r="AS13" s="205" t="s">
        <v>400</v>
      </c>
      <c r="AT13" s="182"/>
      <c r="AU13" s="184"/>
      <c r="AV13" s="182" t="s">
        <v>400</v>
      </c>
      <c r="AW13" s="184" t="s">
        <v>400</v>
      </c>
      <c r="AX13" s="182"/>
      <c r="AY13" s="242"/>
      <c r="AZ13" s="270" t="s">
        <v>400</v>
      </c>
      <c r="BA13" s="192"/>
      <c r="BB13" s="275" t="s">
        <v>506</v>
      </c>
      <c r="BC13" s="263" t="s">
        <v>400</v>
      </c>
      <c r="BD13" s="193" t="s">
        <v>400</v>
      </c>
      <c r="BE13" s="263" t="s">
        <v>400</v>
      </c>
      <c r="BF13" s="280" t="s">
        <v>506</v>
      </c>
      <c r="BG13" s="263"/>
      <c r="BH13" s="193" t="s">
        <v>400</v>
      </c>
      <c r="BI13" s="264"/>
      <c r="BJ13" s="253"/>
      <c r="BK13" s="254"/>
      <c r="BL13" s="187"/>
      <c r="BM13" s="182" t="s">
        <v>400</v>
      </c>
      <c r="BN13" s="184" t="s">
        <v>400</v>
      </c>
      <c r="BO13" s="199"/>
      <c r="BP13" s="272"/>
      <c r="BQ13" s="273" t="s">
        <v>506</v>
      </c>
      <c r="BR13" s="76"/>
      <c r="BS13" s="222" t="s">
        <v>181</v>
      </c>
      <c r="BT13" s="223"/>
      <c r="BU13" s="225"/>
      <c r="BV13" s="76"/>
      <c r="BW13" s="76"/>
    </row>
    <row r="14">
      <c r="A14" s="76"/>
      <c r="B14" s="76"/>
      <c r="C14" s="222" t="s">
        <v>461</v>
      </c>
      <c r="D14" s="223"/>
      <c r="E14" s="225"/>
      <c r="F14" s="101"/>
      <c r="G14" s="239" t="s">
        <v>585</v>
      </c>
      <c r="H14" s="184"/>
      <c r="I14" s="182"/>
      <c r="J14" s="255" t="s">
        <v>587</v>
      </c>
      <c r="K14" s="182" t="s">
        <v>400</v>
      </c>
      <c r="L14" s="192"/>
      <c r="M14" s="193" t="s">
        <v>400</v>
      </c>
      <c r="N14" s="194"/>
      <c r="O14" s="57"/>
      <c r="P14" s="197" t="s">
        <v>400</v>
      </c>
      <c r="Q14" s="199"/>
      <c r="R14" s="184"/>
      <c r="S14" s="182"/>
      <c r="T14" s="184" t="s">
        <v>400</v>
      </c>
      <c r="U14" s="182"/>
      <c r="V14" s="184" t="s">
        <v>592</v>
      </c>
      <c r="W14" s="182"/>
      <c r="X14" s="184" t="s">
        <v>400</v>
      </c>
      <c r="Y14" s="204"/>
      <c r="Z14" s="278" t="s">
        <v>506</v>
      </c>
      <c r="AA14" s="235" t="s">
        <v>400</v>
      </c>
      <c r="AB14" s="101"/>
      <c r="AC14" s="184"/>
      <c r="AD14" s="182"/>
      <c r="AE14" s="184"/>
      <c r="AF14" s="182"/>
      <c r="AG14" s="187"/>
      <c r="AH14" s="182"/>
      <c r="AI14" s="184" t="s">
        <v>400</v>
      </c>
      <c r="AJ14" s="239" t="s">
        <v>585</v>
      </c>
      <c r="AK14" s="283" t="s">
        <v>596</v>
      </c>
      <c r="AL14" s="182"/>
      <c r="AM14" s="232"/>
      <c r="AN14" s="239" t="s">
        <v>585</v>
      </c>
      <c r="AO14" s="184" t="s">
        <v>400</v>
      </c>
      <c r="AP14" s="182"/>
      <c r="AQ14" s="184"/>
      <c r="AR14" s="182"/>
      <c r="AS14" s="205" t="s">
        <v>592</v>
      </c>
      <c r="AT14" s="182"/>
      <c r="AU14" s="184"/>
      <c r="AV14" s="182" t="s">
        <v>400</v>
      </c>
      <c r="AW14" s="184" t="s">
        <v>400</v>
      </c>
      <c r="AX14" s="182"/>
      <c r="AY14" s="242"/>
      <c r="AZ14" s="270" t="s">
        <v>400</v>
      </c>
      <c r="BA14" s="264" t="s">
        <v>592</v>
      </c>
      <c r="BB14" s="262"/>
      <c r="BC14" s="263" t="s">
        <v>400</v>
      </c>
      <c r="BD14" s="227"/>
      <c r="BE14" s="263" t="s">
        <v>592</v>
      </c>
      <c r="BF14" s="280" t="s">
        <v>506</v>
      </c>
      <c r="BG14" s="263"/>
      <c r="BH14" s="193" t="s">
        <v>592</v>
      </c>
      <c r="BI14" s="264"/>
      <c r="BJ14" s="253"/>
      <c r="BK14" s="254"/>
      <c r="BL14" s="255"/>
      <c r="BM14" s="239" t="s">
        <v>400</v>
      </c>
      <c r="BN14" s="205" t="s">
        <v>400</v>
      </c>
      <c r="BO14" s="258" t="s">
        <v>400</v>
      </c>
      <c r="BP14" s="259"/>
      <c r="BQ14" s="273" t="s">
        <v>506</v>
      </c>
      <c r="BR14" s="76"/>
      <c r="BS14" s="222" t="s">
        <v>461</v>
      </c>
      <c r="BT14" s="223"/>
      <c r="BU14" s="225"/>
      <c r="BV14" s="76"/>
      <c r="BW14" s="76"/>
    </row>
    <row r="15" ht="1.5" customHeight="1">
      <c r="A15" s="76"/>
      <c r="B15" s="76"/>
      <c r="C15" s="284"/>
      <c r="D15" s="223"/>
      <c r="E15" s="223"/>
      <c r="F15" s="101"/>
      <c r="G15" s="285"/>
      <c r="H15" s="285"/>
      <c r="I15" s="285"/>
      <c r="J15" s="286"/>
      <c r="K15" s="285"/>
      <c r="L15" s="287"/>
      <c r="M15" s="287"/>
      <c r="N15" s="288"/>
      <c r="O15" s="57"/>
      <c r="P15" s="285"/>
      <c r="Q15" s="286"/>
      <c r="R15" s="285"/>
      <c r="S15" s="285"/>
      <c r="T15" s="285"/>
      <c r="U15" s="285"/>
      <c r="V15" s="285"/>
      <c r="W15" s="285"/>
      <c r="X15" s="285"/>
      <c r="Y15" s="289"/>
      <c r="Z15" s="289"/>
      <c r="AA15" s="291"/>
      <c r="AB15" s="101"/>
      <c r="AC15" s="285"/>
      <c r="AD15" s="285"/>
      <c r="AE15" s="285"/>
      <c r="AF15" s="285"/>
      <c r="AG15" s="286"/>
      <c r="AH15" s="285"/>
      <c r="AI15" s="285"/>
      <c r="AJ15" s="285"/>
      <c r="AK15" s="285"/>
      <c r="AL15" s="285"/>
      <c r="AM15" s="289"/>
      <c r="AN15" s="285"/>
      <c r="AO15" s="285"/>
      <c r="AP15" s="285"/>
      <c r="AQ15" s="285"/>
      <c r="AR15" s="285"/>
      <c r="AS15" s="285"/>
      <c r="AT15" s="285"/>
      <c r="AU15" s="285"/>
      <c r="AV15" s="285"/>
      <c r="AW15" s="285"/>
      <c r="AX15" s="285"/>
      <c r="AY15" s="242"/>
      <c r="AZ15" s="292"/>
      <c r="BA15" s="287"/>
      <c r="BB15" s="293"/>
      <c r="BC15" s="287"/>
      <c r="BD15" s="287"/>
      <c r="BE15" s="287"/>
      <c r="BF15" s="293"/>
      <c r="BG15" s="287"/>
      <c r="BH15" s="287"/>
      <c r="BI15" s="288"/>
      <c r="BJ15" s="288"/>
      <c r="BK15" s="254"/>
      <c r="BL15" s="286"/>
      <c r="BM15" s="285"/>
      <c r="BN15" s="285"/>
      <c r="BO15" s="286"/>
      <c r="BP15" s="294"/>
      <c r="BQ15" s="285"/>
      <c r="BR15" s="76"/>
      <c r="BS15" s="284"/>
      <c r="BT15" s="223"/>
      <c r="BU15" s="223"/>
      <c r="BV15" s="76"/>
      <c r="BW15" s="76"/>
    </row>
    <row r="16">
      <c r="A16" s="76"/>
      <c r="B16" s="76"/>
      <c r="C16" s="222" t="s">
        <v>634</v>
      </c>
      <c r="D16" s="223"/>
      <c r="E16" s="225"/>
      <c r="F16" s="101"/>
      <c r="G16" s="182"/>
      <c r="H16" s="184" t="s">
        <v>400</v>
      </c>
      <c r="I16" s="182"/>
      <c r="J16" s="255" t="s">
        <v>385</v>
      </c>
      <c r="K16" s="182" t="s">
        <v>385</v>
      </c>
      <c r="L16" s="192"/>
      <c r="M16" s="295" t="s">
        <v>400</v>
      </c>
      <c r="N16" s="194"/>
      <c r="O16" s="57"/>
      <c r="P16" s="197" t="s">
        <v>385</v>
      </c>
      <c r="Q16" s="199"/>
      <c r="R16" s="184"/>
      <c r="S16" s="182"/>
      <c r="T16" s="184"/>
      <c r="U16" s="182"/>
      <c r="V16" s="184"/>
      <c r="W16" s="182"/>
      <c r="X16" s="184" t="s">
        <v>385</v>
      </c>
      <c r="Y16" s="204"/>
      <c r="Z16" s="184" t="s">
        <v>385</v>
      </c>
      <c r="AA16" s="206" t="s">
        <v>385</v>
      </c>
      <c r="AB16" s="101"/>
      <c r="AC16" s="184"/>
      <c r="AD16" s="258" t="s">
        <v>400</v>
      </c>
      <c r="AE16" s="184" t="s">
        <v>400</v>
      </c>
      <c r="AF16" s="182" t="s">
        <v>400</v>
      </c>
      <c r="AG16" s="255" t="s">
        <v>400</v>
      </c>
      <c r="AH16" s="182"/>
      <c r="AI16" s="184" t="s">
        <v>385</v>
      </c>
      <c r="AJ16" s="182"/>
      <c r="AK16" s="184"/>
      <c r="AL16" s="182"/>
      <c r="AM16" s="232"/>
      <c r="AN16" s="239" t="s">
        <v>400</v>
      </c>
      <c r="AO16" s="184" t="s">
        <v>385</v>
      </c>
      <c r="AP16" s="182"/>
      <c r="AQ16" s="264" t="s">
        <v>400</v>
      </c>
      <c r="AR16" s="182"/>
      <c r="AS16" s="184"/>
      <c r="AT16" s="182"/>
      <c r="AU16" s="184"/>
      <c r="AV16" s="182" t="s">
        <v>385</v>
      </c>
      <c r="AW16" s="184" t="s">
        <v>385</v>
      </c>
      <c r="AX16" s="258" t="s">
        <v>400</v>
      </c>
      <c r="AY16" s="242"/>
      <c r="AZ16" s="270" t="s">
        <v>385</v>
      </c>
      <c r="BA16" s="192"/>
      <c r="BB16" s="262"/>
      <c r="BC16" s="263" t="s">
        <v>400</v>
      </c>
      <c r="BD16" s="227"/>
      <c r="BE16" s="264" t="s">
        <v>400</v>
      </c>
      <c r="BF16" s="300" t="s">
        <v>385</v>
      </c>
      <c r="BG16" s="264" t="s">
        <v>400</v>
      </c>
      <c r="BH16" s="253" t="s">
        <v>400</v>
      </c>
      <c r="BI16" s="264"/>
      <c r="BJ16" s="253" t="s">
        <v>400</v>
      </c>
      <c r="BK16" s="254"/>
      <c r="BL16" s="255"/>
      <c r="BM16" s="239" t="s">
        <v>385</v>
      </c>
      <c r="BN16" s="255" t="s">
        <v>400</v>
      </c>
      <c r="BO16" s="258" t="s">
        <v>400</v>
      </c>
      <c r="BP16" s="259" t="s">
        <v>506</v>
      </c>
      <c r="BQ16" s="239" t="s">
        <v>385</v>
      </c>
      <c r="BR16" s="76"/>
      <c r="BS16" s="222" t="s">
        <v>634</v>
      </c>
      <c r="BT16" s="223"/>
      <c r="BU16" s="225"/>
      <c r="BV16" s="76"/>
      <c r="BW16" s="76"/>
    </row>
    <row r="17">
      <c r="A17" s="76"/>
      <c r="B17" s="55"/>
      <c r="C17" s="222" t="s">
        <v>656</v>
      </c>
      <c r="D17" s="223"/>
      <c r="E17" s="225"/>
      <c r="F17" s="101"/>
      <c r="G17" s="182"/>
      <c r="H17" s="184"/>
      <c r="I17" s="182"/>
      <c r="J17" s="255" t="s">
        <v>400</v>
      </c>
      <c r="K17" s="182" t="s">
        <v>400</v>
      </c>
      <c r="L17" s="192"/>
      <c r="M17" s="193" t="s">
        <v>400</v>
      </c>
      <c r="N17" s="194"/>
      <c r="O17" s="57"/>
      <c r="P17" s="197" t="s">
        <v>400</v>
      </c>
      <c r="Q17" s="199"/>
      <c r="R17" s="184"/>
      <c r="S17" s="182" t="s">
        <v>400</v>
      </c>
      <c r="T17" s="184"/>
      <c r="U17" s="182"/>
      <c r="V17" s="184" t="s">
        <v>400</v>
      </c>
      <c r="W17" s="258" t="s">
        <v>400</v>
      </c>
      <c r="X17" s="184" t="s">
        <v>400</v>
      </c>
      <c r="Y17" s="204"/>
      <c r="Z17" s="184" t="s">
        <v>385</v>
      </c>
      <c r="AA17" s="235" t="s">
        <v>400</v>
      </c>
      <c r="AB17" s="101"/>
      <c r="AC17" s="184" t="s">
        <v>400</v>
      </c>
      <c r="AD17" s="182"/>
      <c r="AE17" s="255"/>
      <c r="AF17" s="182"/>
      <c r="AG17" s="187"/>
      <c r="AH17" s="182"/>
      <c r="AI17" s="184" t="s">
        <v>400</v>
      </c>
      <c r="AJ17" s="258" t="s">
        <v>400</v>
      </c>
      <c r="AK17" s="184"/>
      <c r="AL17" s="182" t="s">
        <v>400</v>
      </c>
      <c r="AM17" s="232"/>
      <c r="AN17" s="182"/>
      <c r="AO17" s="184" t="s">
        <v>400</v>
      </c>
      <c r="AP17" s="182"/>
      <c r="AQ17" s="184"/>
      <c r="AR17" s="182"/>
      <c r="AS17" s="184"/>
      <c r="AT17" s="182"/>
      <c r="AU17" s="184"/>
      <c r="AV17" s="182" t="s">
        <v>400</v>
      </c>
      <c r="AW17" s="184" t="s">
        <v>400</v>
      </c>
      <c r="AX17" s="182"/>
      <c r="AY17" s="242"/>
      <c r="AZ17" s="270" t="s">
        <v>400</v>
      </c>
      <c r="BA17" s="192"/>
      <c r="BB17" s="262"/>
      <c r="BC17" s="263" t="s">
        <v>400</v>
      </c>
      <c r="BD17" s="227"/>
      <c r="BE17" s="263" t="s">
        <v>400</v>
      </c>
      <c r="BF17" s="280" t="s">
        <v>506</v>
      </c>
      <c r="BG17" s="302"/>
      <c r="BH17" s="253" t="s">
        <v>400</v>
      </c>
      <c r="BI17" s="264"/>
      <c r="BJ17" s="253"/>
      <c r="BK17" s="242"/>
      <c r="BL17" s="55"/>
      <c r="BM17" s="55"/>
      <c r="BN17" s="55"/>
      <c r="BO17" s="55"/>
      <c r="BP17" s="55"/>
      <c r="BQ17" s="55"/>
      <c r="BR17" s="55"/>
      <c r="BS17" s="55"/>
      <c r="BV17" s="55"/>
      <c r="BW17" s="55"/>
    </row>
    <row r="18">
      <c r="A18" s="76"/>
      <c r="B18" s="55"/>
      <c r="C18" s="222" t="s">
        <v>676</v>
      </c>
      <c r="D18" s="223"/>
      <c r="E18" s="225"/>
      <c r="F18" s="101"/>
      <c r="G18" s="258" t="s">
        <v>400</v>
      </c>
      <c r="H18" s="184"/>
      <c r="I18" s="182"/>
      <c r="J18" s="255" t="s">
        <v>400</v>
      </c>
      <c r="K18" s="182" t="s">
        <v>400</v>
      </c>
      <c r="L18" s="192"/>
      <c r="M18" s="193" t="s">
        <v>400</v>
      </c>
      <c r="N18" s="194"/>
      <c r="O18" s="57"/>
      <c r="P18" s="197" t="s">
        <v>400</v>
      </c>
      <c r="Q18" s="258" t="s">
        <v>400</v>
      </c>
      <c r="R18" s="184"/>
      <c r="S18" s="258" t="s">
        <v>400</v>
      </c>
      <c r="T18" s="255" t="s">
        <v>400</v>
      </c>
      <c r="U18" s="182"/>
      <c r="V18" s="255" t="s">
        <v>400</v>
      </c>
      <c r="W18" s="258" t="s">
        <v>400</v>
      </c>
      <c r="X18" s="184" t="s">
        <v>400</v>
      </c>
      <c r="Y18" s="304" t="s">
        <v>506</v>
      </c>
      <c r="Z18" s="184" t="s">
        <v>385</v>
      </c>
      <c r="AA18" s="235" t="s">
        <v>400</v>
      </c>
      <c r="AB18" s="76"/>
      <c r="AC18" s="76"/>
      <c r="AD18" s="76"/>
      <c r="AE18" s="76"/>
      <c r="AF18" s="76"/>
      <c r="AG18" s="76"/>
      <c r="AH18" s="76"/>
      <c r="AI18" s="76"/>
      <c r="AJ18" s="76"/>
      <c r="AK18" s="76"/>
      <c r="AL18" s="76"/>
      <c r="AM18" s="76"/>
      <c r="AN18" s="76"/>
      <c r="AO18" s="76"/>
      <c r="AP18" s="76"/>
      <c r="AQ18" s="76"/>
      <c r="AR18" s="76"/>
      <c r="AS18" s="76"/>
      <c r="AT18" s="76"/>
      <c r="AU18" s="76"/>
      <c r="AV18" s="76"/>
      <c r="AW18" s="76"/>
      <c r="AX18" s="76"/>
      <c r="AY18" s="55"/>
      <c r="AZ18" s="76"/>
      <c r="BA18" s="76"/>
      <c r="BB18" s="76"/>
      <c r="BC18" s="76"/>
      <c r="BD18" s="76"/>
      <c r="BE18" s="76"/>
      <c r="BF18" s="76"/>
      <c r="BG18" s="76"/>
      <c r="BH18" s="76"/>
      <c r="BI18" s="55"/>
      <c r="BJ18" s="55"/>
      <c r="BK18" s="55"/>
      <c r="BL18" s="55"/>
      <c r="BM18" s="55"/>
      <c r="BN18" s="55"/>
      <c r="BO18" s="55"/>
      <c r="BP18" s="55"/>
      <c r="BQ18" s="55"/>
      <c r="BR18" s="55"/>
      <c r="BS18" s="55"/>
      <c r="BV18" s="55"/>
      <c r="BW18" s="55"/>
    </row>
    <row r="19">
      <c r="A19" s="76"/>
      <c r="B19" s="55"/>
      <c r="C19" s="222" t="s">
        <v>698</v>
      </c>
      <c r="D19" s="223"/>
      <c r="E19" s="225"/>
      <c r="F19" s="101"/>
      <c r="G19" s="182"/>
      <c r="H19" s="184"/>
      <c r="I19" s="182"/>
      <c r="J19" s="255" t="s">
        <v>400</v>
      </c>
      <c r="K19" s="182"/>
      <c r="L19" s="192"/>
      <c r="M19" s="227"/>
      <c r="N19" s="194"/>
      <c r="O19" s="57"/>
      <c r="P19" s="197"/>
      <c r="Q19" s="258"/>
      <c r="R19" s="184"/>
      <c r="S19" s="182"/>
      <c r="T19" s="184"/>
      <c r="U19" s="182"/>
      <c r="V19" s="184"/>
      <c r="W19" s="182"/>
      <c r="X19" s="184" t="s">
        <v>385</v>
      </c>
      <c r="Y19" s="204"/>
      <c r="Z19" s="232"/>
      <c r="AA19" s="235" t="s">
        <v>400</v>
      </c>
      <c r="AB19" s="76"/>
      <c r="AC19" s="308" t="s">
        <v>704</v>
      </c>
      <c r="AD19" s="124"/>
      <c r="AE19" s="124"/>
      <c r="AF19" s="124"/>
      <c r="AG19" s="124"/>
      <c r="AH19" s="124"/>
      <c r="AI19" s="124"/>
      <c r="AJ19" s="124"/>
      <c r="AK19" s="124"/>
      <c r="AL19" s="124"/>
      <c r="AM19" s="124"/>
      <c r="AN19" s="124"/>
      <c r="AO19" s="125"/>
      <c r="AP19" s="76"/>
      <c r="AQ19" s="310" t="s">
        <v>400</v>
      </c>
      <c r="AR19" s="312" t="s">
        <v>712</v>
      </c>
      <c r="BE19" s="55"/>
      <c r="BF19" s="55"/>
      <c r="BG19" s="55"/>
      <c r="BH19" s="55"/>
      <c r="BI19" s="55"/>
      <c r="BJ19" s="55"/>
      <c r="BK19" s="55"/>
      <c r="BL19" s="55"/>
      <c r="BM19" s="55"/>
      <c r="BN19" s="55"/>
      <c r="BO19" s="55"/>
      <c r="BP19" s="55"/>
      <c r="BQ19" s="55"/>
      <c r="BR19" s="55"/>
      <c r="BS19" s="55"/>
      <c r="BV19" s="55"/>
      <c r="BW19" s="55"/>
    </row>
    <row r="20">
      <c r="A20" s="76"/>
      <c r="B20" s="55"/>
      <c r="C20" s="222" t="s">
        <v>720</v>
      </c>
      <c r="D20" s="223"/>
      <c r="E20" s="225"/>
      <c r="F20" s="101"/>
      <c r="G20" s="182"/>
      <c r="H20" s="184"/>
      <c r="I20" s="182"/>
      <c r="J20" s="187"/>
      <c r="K20" s="182" t="s">
        <v>385</v>
      </c>
      <c r="L20" s="263" t="s">
        <v>400</v>
      </c>
      <c r="M20" s="193" t="s">
        <v>385</v>
      </c>
      <c r="N20" s="194" t="s">
        <v>400</v>
      </c>
      <c r="O20" s="57"/>
      <c r="P20" s="74"/>
      <c r="Q20" s="74"/>
      <c r="R20" s="74"/>
      <c r="S20" s="74"/>
      <c r="T20" s="74"/>
      <c r="U20" s="74"/>
      <c r="V20" s="74"/>
      <c r="W20" s="74"/>
      <c r="X20" s="74"/>
      <c r="Y20" s="74"/>
      <c r="Z20" s="74"/>
      <c r="AA20" s="74"/>
      <c r="AB20" s="76"/>
      <c r="AC20" s="316" t="s">
        <v>400</v>
      </c>
      <c r="AD20" s="125"/>
      <c r="AE20" s="318" t="s">
        <v>735</v>
      </c>
      <c r="AF20" s="124"/>
      <c r="AG20" s="124"/>
      <c r="AH20" s="124"/>
      <c r="AI20" s="124"/>
      <c r="AJ20" s="124"/>
      <c r="AK20" s="124"/>
      <c r="AL20" s="124"/>
      <c r="AM20" s="124"/>
      <c r="AN20" s="124"/>
      <c r="AO20" s="125"/>
      <c r="AP20" s="76"/>
      <c r="AQ20" s="319" t="s">
        <v>400</v>
      </c>
      <c r="AR20" s="312" t="s">
        <v>745</v>
      </c>
      <c r="BH20" s="55"/>
      <c r="BI20" s="55"/>
      <c r="BJ20" s="55"/>
      <c r="BK20" s="55"/>
      <c r="BL20" s="55"/>
      <c r="BM20" s="55"/>
      <c r="BN20" s="55"/>
      <c r="BO20" s="55"/>
      <c r="BP20" s="55"/>
      <c r="BQ20" s="55"/>
      <c r="BR20" s="55"/>
      <c r="BS20" s="55"/>
      <c r="BV20" s="55"/>
      <c r="BW20" s="55"/>
    </row>
    <row r="21">
      <c r="A21" s="76"/>
      <c r="B21" s="76"/>
      <c r="C21" s="76"/>
      <c r="D21" s="76"/>
      <c r="E21" s="76"/>
      <c r="F21" s="76"/>
      <c r="G21" s="76"/>
      <c r="H21" s="76"/>
      <c r="I21" s="76"/>
      <c r="J21" s="76"/>
      <c r="K21" s="76"/>
      <c r="L21" s="76"/>
      <c r="M21" s="76"/>
      <c r="N21" s="76"/>
      <c r="O21" s="76"/>
      <c r="P21" s="76"/>
      <c r="Q21" s="76"/>
      <c r="R21" s="76"/>
      <c r="S21" s="76"/>
      <c r="T21" s="76"/>
      <c r="U21" s="76"/>
      <c r="V21" s="76"/>
      <c r="W21" s="76"/>
      <c r="X21" s="76"/>
      <c r="Y21" s="76"/>
      <c r="Z21" s="76"/>
      <c r="AA21" s="76"/>
      <c r="AB21" s="76"/>
      <c r="AC21" s="123" t="s">
        <v>385</v>
      </c>
      <c r="AD21" s="125"/>
      <c r="AE21" s="318" t="s">
        <v>754</v>
      </c>
      <c r="AF21" s="124"/>
      <c r="AG21" s="124"/>
      <c r="AH21" s="124"/>
      <c r="AI21" s="124"/>
      <c r="AJ21" s="124"/>
      <c r="AK21" s="124"/>
      <c r="AL21" s="124"/>
      <c r="AM21" s="124"/>
      <c r="AN21" s="124"/>
      <c r="AO21" s="125"/>
      <c r="AP21" s="76"/>
      <c r="AQ21" s="76"/>
      <c r="AR21" s="76"/>
      <c r="AS21" s="76"/>
      <c r="AT21" s="76"/>
      <c r="AU21" s="76"/>
      <c r="AV21" s="76"/>
      <c r="AW21" s="76"/>
      <c r="AX21" s="76"/>
      <c r="AY21" s="76"/>
      <c r="AZ21" s="76"/>
      <c r="BA21" s="76"/>
      <c r="BB21" s="76"/>
      <c r="BC21" s="76"/>
      <c r="BD21" s="76"/>
      <c r="BE21" s="76"/>
      <c r="BF21" s="76"/>
      <c r="BG21" s="55"/>
      <c r="BH21" s="55"/>
      <c r="BI21" s="55"/>
      <c r="BJ21" s="55"/>
      <c r="BK21" s="55"/>
      <c r="BL21" s="55"/>
      <c r="BM21" s="55"/>
      <c r="BN21" s="55"/>
      <c r="BO21" s="55"/>
      <c r="BP21" s="55"/>
      <c r="BQ21" s="55"/>
      <c r="BR21" s="55"/>
      <c r="BS21" s="55"/>
      <c r="BT21" s="55"/>
      <c r="BU21" s="55"/>
      <c r="BV21" s="55"/>
      <c r="BW21" s="55"/>
    </row>
    <row r="22">
      <c r="A22" s="76"/>
      <c r="B22" s="55"/>
      <c r="C22" s="55"/>
      <c r="D22" s="55"/>
      <c r="E22" s="55"/>
      <c r="F22" s="55"/>
      <c r="G22" s="322" t="s">
        <v>638</v>
      </c>
      <c r="O22" s="323" t="s">
        <v>763</v>
      </c>
      <c r="X22" s="55"/>
      <c r="Y22" s="55"/>
      <c r="Z22" s="55"/>
      <c r="AA22" s="55"/>
      <c r="AB22" s="55"/>
      <c r="AC22" s="326" t="s">
        <v>506</v>
      </c>
      <c r="AD22" s="125"/>
      <c r="AE22" s="318" t="s">
        <v>785</v>
      </c>
      <c r="AF22" s="124"/>
      <c r="AG22" s="124"/>
      <c r="AH22" s="124"/>
      <c r="AI22" s="124"/>
      <c r="AJ22" s="124"/>
      <c r="AK22" s="124"/>
      <c r="AL22" s="124"/>
      <c r="AM22" s="124"/>
      <c r="AN22" s="124"/>
      <c r="AO22" s="125"/>
      <c r="AP22" s="55"/>
      <c r="AQ22" s="55"/>
      <c r="AR22" s="76"/>
      <c r="AS22" s="76"/>
      <c r="AT22" s="76"/>
      <c r="AU22" s="76"/>
      <c r="AV22" s="76"/>
      <c r="AW22" s="76"/>
      <c r="AX22" s="76"/>
      <c r="AY22" s="76"/>
      <c r="AZ22" s="76"/>
      <c r="BA22" s="76"/>
      <c r="BB22" s="76"/>
      <c r="BC22" s="76"/>
      <c r="BD22" s="76"/>
      <c r="BE22" s="76"/>
      <c r="BF22" s="76"/>
      <c r="BG22" s="55"/>
      <c r="BH22" s="55"/>
      <c r="BI22" s="55"/>
      <c r="BJ22" s="55"/>
      <c r="BK22" s="55"/>
      <c r="BL22" s="55"/>
      <c r="BM22" s="55"/>
      <c r="BN22" s="55"/>
      <c r="BO22" s="55"/>
      <c r="BP22" s="55"/>
      <c r="BQ22" s="55"/>
      <c r="BR22" s="55"/>
      <c r="BS22" s="55"/>
      <c r="BT22" s="55"/>
      <c r="BU22" s="55"/>
      <c r="BV22" s="55"/>
      <c r="BW22" s="55"/>
    </row>
    <row r="23">
      <c r="A23" s="76"/>
      <c r="B23" s="55"/>
      <c r="C23" s="55"/>
      <c r="D23" s="55"/>
      <c r="E23" s="55"/>
      <c r="F23" s="55"/>
      <c r="G23" s="55"/>
      <c r="H23" s="55"/>
      <c r="I23" s="55"/>
      <c r="J23" s="330" t="s">
        <v>831</v>
      </c>
      <c r="O23" s="333" t="s">
        <v>838</v>
      </c>
      <c r="AC23" s="316" t="s">
        <v>871</v>
      </c>
      <c r="AD23" s="125"/>
      <c r="AE23" s="318" t="s">
        <v>877</v>
      </c>
      <c r="AF23" s="124"/>
      <c r="AG23" s="124"/>
      <c r="AH23" s="124"/>
      <c r="AI23" s="124"/>
      <c r="AJ23" s="124"/>
      <c r="AK23" s="124"/>
      <c r="AL23" s="124"/>
      <c r="AM23" s="124"/>
      <c r="AN23" s="124"/>
      <c r="AO23" s="125"/>
      <c r="AP23" s="55"/>
      <c r="AQ23" s="55"/>
      <c r="AR23" s="76"/>
      <c r="AS23" s="76"/>
      <c r="AT23" s="76"/>
      <c r="AU23" s="76"/>
      <c r="AV23" s="76"/>
      <c r="AW23" s="76"/>
      <c r="AX23" s="76"/>
      <c r="AY23" s="76"/>
      <c r="AZ23" s="76"/>
      <c r="BA23" s="76"/>
      <c r="BB23" s="76"/>
      <c r="BC23" s="76"/>
      <c r="BD23" s="76"/>
      <c r="BE23" s="76"/>
      <c r="BF23" s="76"/>
      <c r="BG23" s="55"/>
      <c r="BH23" s="55"/>
      <c r="BI23" s="55"/>
      <c r="BJ23" s="55"/>
      <c r="BK23" s="55"/>
      <c r="BL23" s="55"/>
      <c r="BM23" s="55"/>
      <c r="BN23" s="55"/>
      <c r="BO23" s="55"/>
      <c r="BP23" s="55"/>
      <c r="BQ23" s="55"/>
      <c r="BR23" s="55"/>
      <c r="BS23" s="55"/>
      <c r="BT23" s="55"/>
      <c r="BU23" s="55"/>
      <c r="BV23" s="55"/>
      <c r="BW23" s="55"/>
    </row>
    <row r="24">
      <c r="A24" s="76"/>
      <c r="B24" s="55"/>
      <c r="C24" s="55"/>
      <c r="D24" s="55"/>
      <c r="E24" s="55"/>
      <c r="F24" s="55"/>
      <c r="G24" s="55"/>
      <c r="H24" s="55"/>
      <c r="I24" s="55"/>
      <c r="J24" s="55"/>
      <c r="K24" s="55"/>
      <c r="L24" s="55"/>
      <c r="M24" s="55"/>
      <c r="N24" s="55"/>
      <c r="O24" s="55"/>
      <c r="P24" s="55"/>
      <c r="Q24" s="55"/>
      <c r="R24" s="55"/>
      <c r="S24" s="55"/>
      <c r="T24" s="55"/>
      <c r="U24" s="55"/>
      <c r="V24" s="55"/>
      <c r="W24" s="55"/>
      <c r="X24" s="55"/>
      <c r="Y24" s="55"/>
      <c r="Z24" s="76"/>
      <c r="AA24" s="76"/>
      <c r="AB24" s="76"/>
      <c r="AC24" s="316" t="s">
        <v>906</v>
      </c>
      <c r="AD24" s="125"/>
      <c r="AE24" s="318" t="s">
        <v>909</v>
      </c>
      <c r="AF24" s="124"/>
      <c r="AG24" s="124"/>
      <c r="AH24" s="124"/>
      <c r="AI24" s="124"/>
      <c r="AJ24" s="124"/>
      <c r="AK24" s="124"/>
      <c r="AL24" s="124"/>
      <c r="AM24" s="124"/>
      <c r="AN24" s="124"/>
      <c r="AO24" s="125"/>
      <c r="AP24" s="76"/>
      <c r="AQ24" s="76"/>
      <c r="AR24" s="76"/>
      <c r="AS24" s="76"/>
      <c r="AT24" s="76"/>
      <c r="AU24" s="76"/>
      <c r="AV24" s="76"/>
      <c r="AW24" s="76"/>
      <c r="AX24" s="76"/>
      <c r="AY24" s="76"/>
      <c r="AZ24" s="76"/>
      <c r="BA24" s="76"/>
      <c r="BB24" s="76"/>
      <c r="BC24" s="76"/>
      <c r="BD24" s="76"/>
      <c r="BE24" s="76"/>
      <c r="BF24" s="76"/>
      <c r="BG24" s="55"/>
      <c r="BH24" s="55"/>
      <c r="BI24" s="55"/>
      <c r="BJ24" s="55"/>
      <c r="BK24" s="55"/>
      <c r="BL24" s="55"/>
      <c r="BM24" s="55"/>
      <c r="BN24" s="55"/>
      <c r="BO24" s="55"/>
      <c r="BP24" s="55"/>
      <c r="BQ24" s="55"/>
      <c r="BR24" s="55"/>
      <c r="BS24" s="55"/>
      <c r="BT24" s="55"/>
      <c r="BU24" s="55"/>
      <c r="BV24" s="55"/>
      <c r="BW24" s="55"/>
    </row>
    <row r="25">
      <c r="A25" s="76"/>
      <c r="B25" s="55"/>
      <c r="C25" s="55"/>
      <c r="D25" s="55"/>
      <c r="E25" s="55"/>
      <c r="F25" s="55"/>
      <c r="G25" s="55"/>
      <c r="H25" s="55"/>
      <c r="I25" s="55"/>
      <c r="J25" s="55"/>
      <c r="K25" s="55"/>
      <c r="L25" s="55"/>
      <c r="M25" s="55"/>
      <c r="N25" s="55"/>
      <c r="O25" s="55"/>
      <c r="P25" s="55"/>
      <c r="Q25" s="55"/>
      <c r="R25" s="55"/>
      <c r="S25" s="55"/>
      <c r="T25" s="55"/>
      <c r="U25" s="55"/>
      <c r="V25" s="55"/>
      <c r="W25" s="55"/>
      <c r="X25" s="55"/>
      <c r="Y25" s="55"/>
      <c r="Z25" s="55"/>
      <c r="AA25" s="55"/>
      <c r="AB25" s="76"/>
      <c r="AC25" s="316" t="s">
        <v>915</v>
      </c>
      <c r="AD25" s="125"/>
      <c r="AE25" s="318" t="s">
        <v>917</v>
      </c>
      <c r="AF25" s="124"/>
      <c r="AG25" s="124"/>
      <c r="AH25" s="124"/>
      <c r="AI25" s="124"/>
      <c r="AJ25" s="124"/>
      <c r="AK25" s="124"/>
      <c r="AL25" s="124"/>
      <c r="AM25" s="124"/>
      <c r="AN25" s="124"/>
      <c r="AO25" s="125"/>
      <c r="AP25" s="55"/>
      <c r="AQ25" s="55"/>
      <c r="AR25" s="55"/>
      <c r="AS25" s="55"/>
      <c r="AT25" s="55"/>
      <c r="AU25" s="55"/>
      <c r="AV25" s="55"/>
      <c r="AW25" s="55"/>
      <c r="AX25" s="55"/>
      <c r="AY25" s="55"/>
      <c r="AZ25" s="55"/>
      <c r="BA25" s="55"/>
      <c r="BB25" s="55"/>
      <c r="BC25" s="76"/>
      <c r="BD25" s="76"/>
      <c r="BE25" s="55"/>
      <c r="BF25" s="55"/>
      <c r="BG25" s="55"/>
      <c r="BH25" s="55"/>
      <c r="BI25" s="55"/>
      <c r="BJ25" s="55"/>
      <c r="BK25" s="55"/>
      <c r="BL25" s="55"/>
      <c r="BM25" s="55"/>
      <c r="BN25" s="55"/>
      <c r="BO25" s="55"/>
      <c r="BP25" s="55"/>
      <c r="BQ25" s="55"/>
      <c r="BR25" s="55"/>
      <c r="BS25" s="55"/>
      <c r="BT25" s="55"/>
      <c r="BU25" s="55"/>
      <c r="BV25" s="55"/>
      <c r="BW25" s="55"/>
    </row>
    <row r="26">
      <c r="A26" s="76"/>
      <c r="B26" s="55"/>
      <c r="C26" s="55"/>
      <c r="D26" s="55"/>
      <c r="E26" s="55"/>
      <c r="F26" s="55"/>
      <c r="G26" s="55"/>
      <c r="H26" s="55"/>
      <c r="I26" s="55"/>
      <c r="J26" s="55"/>
      <c r="K26" s="55"/>
      <c r="L26" s="55"/>
      <c r="M26" s="55"/>
      <c r="N26" s="55"/>
      <c r="O26" s="55"/>
      <c r="P26" s="55"/>
      <c r="Q26" s="55"/>
      <c r="R26" s="55"/>
      <c r="S26" s="55"/>
      <c r="T26" s="55"/>
      <c r="U26" s="55"/>
      <c r="V26" s="55"/>
      <c r="W26" s="55"/>
      <c r="X26" s="55"/>
      <c r="Y26" s="55"/>
      <c r="Z26" s="55"/>
      <c r="AA26" s="55"/>
      <c r="AB26" s="76"/>
      <c r="AC26" s="316" t="s">
        <v>921</v>
      </c>
      <c r="AD26" s="125"/>
      <c r="AE26" s="318" t="s">
        <v>923</v>
      </c>
      <c r="AF26" s="124"/>
      <c r="AG26" s="124"/>
      <c r="AH26" s="124"/>
      <c r="AI26" s="124"/>
      <c r="AJ26" s="124"/>
      <c r="AK26" s="124"/>
      <c r="AL26" s="124"/>
      <c r="AM26" s="124"/>
      <c r="AN26" s="124"/>
      <c r="AO26" s="125"/>
      <c r="AP26" s="55"/>
      <c r="AQ26" s="55"/>
      <c r="AR26" s="55"/>
      <c r="AS26" s="55"/>
      <c r="AT26" s="55"/>
      <c r="AU26" s="55"/>
      <c r="AV26" s="55"/>
      <c r="AW26" s="55"/>
      <c r="AX26" s="55"/>
      <c r="AY26" s="55"/>
      <c r="AZ26" s="55"/>
      <c r="BA26" s="55"/>
      <c r="BB26" s="55"/>
      <c r="BC26" s="76"/>
      <c r="BD26" s="76"/>
      <c r="BE26" s="55"/>
      <c r="BF26" s="55"/>
      <c r="BG26" s="55"/>
      <c r="BH26" s="55"/>
      <c r="BI26" s="55"/>
      <c r="BJ26" s="55"/>
      <c r="BK26" s="55"/>
      <c r="BL26" s="55"/>
      <c r="BM26" s="55"/>
      <c r="BN26" s="55"/>
      <c r="BO26" s="55"/>
      <c r="BP26" s="55"/>
      <c r="BQ26" s="55"/>
      <c r="BR26" s="55"/>
      <c r="BS26" s="55"/>
      <c r="BT26" s="55"/>
      <c r="BU26" s="55"/>
      <c r="BV26" s="55"/>
      <c r="BW26" s="55"/>
    </row>
    <row r="27">
      <c r="A27" s="57"/>
      <c r="B27" s="77" t="s">
        <v>930</v>
      </c>
      <c r="C27" s="78"/>
      <c r="D27" s="78"/>
      <c r="E27" s="78"/>
      <c r="F27" s="78"/>
      <c r="G27" s="78"/>
      <c r="H27" s="78"/>
      <c r="I27" s="78"/>
      <c r="J27" s="80"/>
      <c r="K27" s="80"/>
      <c r="L27" s="80"/>
      <c r="M27" s="80"/>
      <c r="N27" s="80"/>
      <c r="O27" s="80"/>
      <c r="P27" s="80"/>
      <c r="Q27" s="80"/>
      <c r="R27" s="80"/>
      <c r="S27" s="80"/>
      <c r="T27" s="80"/>
      <c r="U27" s="80"/>
      <c r="V27" s="80"/>
      <c r="W27" s="80"/>
      <c r="X27" s="80"/>
      <c r="Y27" s="80"/>
      <c r="Z27" s="80"/>
      <c r="AA27" s="80"/>
      <c r="AB27" s="80"/>
      <c r="AC27" s="80"/>
      <c r="AD27" s="80"/>
      <c r="AE27" s="80"/>
      <c r="AF27" s="80"/>
      <c r="AG27" s="80"/>
      <c r="AH27" s="80"/>
      <c r="AI27" s="80"/>
      <c r="AJ27" s="80"/>
      <c r="AK27" s="80"/>
      <c r="AL27" s="80"/>
      <c r="AM27" s="80"/>
      <c r="AN27" s="80"/>
      <c r="AO27" s="80"/>
      <c r="AP27" s="80"/>
      <c r="AQ27" s="80"/>
      <c r="AR27" s="80"/>
      <c r="AS27" s="353"/>
      <c r="AT27" s="353"/>
      <c r="AU27" s="353"/>
      <c r="AV27" s="353"/>
      <c r="AW27" s="353"/>
      <c r="AX27" s="353"/>
      <c r="AY27" s="353"/>
      <c r="AZ27" s="353"/>
      <c r="BA27" s="353"/>
      <c r="BB27" s="353"/>
      <c r="BC27" s="353"/>
      <c r="BD27" s="353"/>
      <c r="BE27" s="353"/>
      <c r="BF27" s="353"/>
      <c r="BG27" s="353"/>
      <c r="BH27" s="353"/>
      <c r="BI27" s="353"/>
      <c r="BJ27" s="353"/>
      <c r="BK27" s="353"/>
      <c r="BL27" s="353"/>
      <c r="BM27" s="80"/>
      <c r="BN27" s="80"/>
      <c r="BO27" s="80"/>
      <c r="BP27" s="80"/>
      <c r="BQ27" s="80"/>
      <c r="BR27" s="80"/>
      <c r="BS27" s="80"/>
      <c r="BT27" s="80"/>
      <c r="BU27" s="80"/>
      <c r="BV27" s="80"/>
      <c r="BW27" s="57"/>
    </row>
    <row r="28" ht="3.75" customHeight="1">
      <c r="A28" s="57"/>
      <c r="B28" s="57"/>
      <c r="C28" s="57"/>
      <c r="D28" s="57"/>
      <c r="E28" s="57"/>
      <c r="F28" s="57"/>
      <c r="G28" s="57"/>
      <c r="H28" s="57"/>
      <c r="I28" s="57"/>
      <c r="J28" s="57"/>
      <c r="K28" s="57"/>
      <c r="L28" s="57"/>
      <c r="M28" s="57"/>
      <c r="N28" s="57"/>
      <c r="O28" s="57"/>
      <c r="P28" s="57"/>
      <c r="Q28" s="57"/>
      <c r="R28" s="57"/>
      <c r="S28" s="57"/>
      <c r="T28" s="57"/>
      <c r="U28" s="57"/>
      <c r="V28" s="57"/>
      <c r="W28" s="57"/>
      <c r="X28" s="57"/>
      <c r="Y28" s="57"/>
      <c r="Z28" s="57"/>
      <c r="AA28" s="57"/>
      <c r="AB28" s="57"/>
      <c r="AC28" s="57"/>
      <c r="AD28" s="57"/>
      <c r="AE28" s="57"/>
      <c r="AF28" s="57"/>
      <c r="AG28" s="57"/>
      <c r="AH28" s="57"/>
      <c r="AI28" s="57"/>
      <c r="AJ28" s="57"/>
      <c r="AK28" s="57"/>
      <c r="AL28" s="57"/>
      <c r="AM28" s="57"/>
      <c r="AN28" s="57"/>
      <c r="AO28" s="57"/>
      <c r="AP28" s="57"/>
      <c r="AQ28" s="57"/>
      <c r="AR28" s="57"/>
      <c r="AS28" s="69"/>
      <c r="AT28" s="69"/>
      <c r="AU28" s="69"/>
      <c r="AV28" s="69"/>
      <c r="AW28" s="69"/>
      <c r="AX28" s="69"/>
      <c r="AY28" s="69"/>
      <c r="AZ28" s="69"/>
      <c r="BA28" s="69"/>
      <c r="BB28" s="69"/>
      <c r="BC28" s="69"/>
      <c r="BD28" s="69"/>
      <c r="BE28" s="69"/>
      <c r="BF28" s="69"/>
      <c r="BG28" s="69"/>
      <c r="BH28" s="69"/>
      <c r="BI28" s="69"/>
      <c r="BJ28" s="69"/>
      <c r="BK28" s="69"/>
      <c r="BL28" s="69"/>
      <c r="BM28" s="57"/>
      <c r="BN28" s="57"/>
      <c r="BO28" s="57"/>
      <c r="BP28" s="57"/>
      <c r="BQ28" s="57"/>
      <c r="BR28" s="57"/>
      <c r="BS28" s="57"/>
      <c r="BT28" s="57"/>
      <c r="BU28" s="57"/>
      <c r="BV28" s="57"/>
      <c r="BW28" s="57"/>
    </row>
    <row r="29">
      <c r="A29" s="55"/>
      <c r="B29" s="55"/>
      <c r="C29" s="357" t="s">
        <v>122</v>
      </c>
      <c r="J29" s="55"/>
      <c r="K29" s="106"/>
      <c r="L29" s="107"/>
      <c r="M29" s="106"/>
      <c r="N29" s="107"/>
      <c r="O29" s="107"/>
      <c r="P29" s="108">
        <v>1.0</v>
      </c>
      <c r="Q29" s="98"/>
      <c r="R29" s="106"/>
      <c r="S29" s="107"/>
      <c r="T29" s="106"/>
      <c r="U29" s="107"/>
      <c r="V29" s="106"/>
      <c r="W29" s="107"/>
      <c r="X29" s="106"/>
      <c r="Y29" s="108">
        <v>0.1</v>
      </c>
      <c r="Z29" s="95">
        <v>0.8</v>
      </c>
      <c r="AA29" s="108">
        <v>2.7</v>
      </c>
      <c r="AB29" s="57"/>
      <c r="AC29" s="106"/>
      <c r="AD29" s="107"/>
      <c r="AE29" s="106"/>
      <c r="AF29" s="107"/>
      <c r="AG29" s="106"/>
      <c r="AH29" s="107"/>
      <c r="AI29" s="106"/>
      <c r="AJ29" s="108">
        <v>0.1</v>
      </c>
      <c r="AK29" s="95">
        <v>0.3</v>
      </c>
      <c r="AL29" s="108">
        <v>0.4</v>
      </c>
      <c r="AM29" s="95">
        <v>0.5</v>
      </c>
      <c r="AN29" s="108">
        <v>1.5</v>
      </c>
      <c r="AO29" s="95">
        <v>2.1</v>
      </c>
      <c r="AP29" s="108">
        <v>4.2</v>
      </c>
      <c r="AQ29" s="95">
        <v>4.0</v>
      </c>
      <c r="AR29" s="108">
        <v>3.3</v>
      </c>
      <c r="AS29" s="95">
        <v>3.3</v>
      </c>
      <c r="AT29" s="108">
        <v>4.3</v>
      </c>
      <c r="AU29" s="95">
        <v>5.0</v>
      </c>
      <c r="AV29" s="108">
        <v>3.0</v>
      </c>
      <c r="AW29" s="95">
        <v>3.0</v>
      </c>
      <c r="AX29" s="98"/>
      <c r="AY29" s="107"/>
      <c r="AZ29" s="106"/>
      <c r="BA29" s="108">
        <v>0.8</v>
      </c>
      <c r="BB29" s="95">
        <v>0.9</v>
      </c>
      <c r="BC29" s="108">
        <v>1.6</v>
      </c>
      <c r="BD29" s="95">
        <v>2.2</v>
      </c>
      <c r="BE29" s="108">
        <v>6.5</v>
      </c>
      <c r="BF29" s="95">
        <v>2.8</v>
      </c>
      <c r="BG29" s="108">
        <v>3.2</v>
      </c>
      <c r="BH29" s="57"/>
      <c r="BI29" s="364">
        <v>0.7</v>
      </c>
      <c r="BJ29" s="367">
        <v>10.6</v>
      </c>
      <c r="BK29" s="364">
        <v>1.5</v>
      </c>
      <c r="BL29" s="55"/>
      <c r="BM29" s="55"/>
      <c r="BN29" s="55"/>
      <c r="BO29" s="55"/>
      <c r="BP29" s="55"/>
      <c r="BQ29" s="55"/>
      <c r="BR29" s="55"/>
      <c r="BS29" s="55"/>
      <c r="BT29" s="55"/>
      <c r="BU29" s="55"/>
      <c r="BV29" s="55"/>
      <c r="BW29" s="55"/>
    </row>
    <row r="30">
      <c r="A30" s="55"/>
      <c r="B30" s="55"/>
      <c r="C30" s="55"/>
      <c r="D30" s="55"/>
      <c r="E30" s="69"/>
      <c r="F30" s="69"/>
      <c r="G30" s="69"/>
      <c r="H30" s="69"/>
      <c r="I30" s="69"/>
      <c r="J30" s="55"/>
      <c r="K30" s="123" t="s">
        <v>194</v>
      </c>
      <c r="L30" s="124"/>
      <c r="M30" s="124"/>
      <c r="N30" s="124"/>
      <c r="O30" s="124"/>
      <c r="P30" s="125"/>
      <c r="Q30" s="371"/>
      <c r="R30" s="123" t="s">
        <v>203</v>
      </c>
      <c r="S30" s="124"/>
      <c r="T30" s="124"/>
      <c r="U30" s="124"/>
      <c r="V30" s="124"/>
      <c r="W30" s="124"/>
      <c r="X30" s="124"/>
      <c r="Y30" s="124"/>
      <c r="Z30" s="124"/>
      <c r="AA30" s="125"/>
      <c r="AB30" s="57"/>
      <c r="AC30" s="123" t="s">
        <v>238</v>
      </c>
      <c r="AD30" s="124"/>
      <c r="AE30" s="124"/>
      <c r="AF30" s="124"/>
      <c r="AG30" s="124"/>
      <c r="AH30" s="124"/>
      <c r="AI30" s="124"/>
      <c r="AJ30" s="124"/>
      <c r="AK30" s="124"/>
      <c r="AL30" s="124"/>
      <c r="AM30" s="124"/>
      <c r="AN30" s="124"/>
      <c r="AO30" s="124"/>
      <c r="AP30" s="124"/>
      <c r="AQ30" s="124"/>
      <c r="AR30" s="124"/>
      <c r="AS30" s="124"/>
      <c r="AT30" s="124"/>
      <c r="AU30" s="124"/>
      <c r="AV30" s="124"/>
      <c r="AW30" s="125"/>
      <c r="AX30" s="371"/>
      <c r="AY30" s="123" t="s">
        <v>242</v>
      </c>
      <c r="AZ30" s="124"/>
      <c r="BA30" s="124"/>
      <c r="BB30" s="124"/>
      <c r="BC30" s="124"/>
      <c r="BD30" s="124"/>
      <c r="BE30" s="124"/>
      <c r="BF30" s="124"/>
      <c r="BG30" s="125"/>
      <c r="BH30" s="69"/>
      <c r="BI30" s="123" t="s">
        <v>249</v>
      </c>
      <c r="BJ30" s="124"/>
      <c r="BK30" s="125"/>
      <c r="BL30" s="55"/>
      <c r="BM30" s="55"/>
      <c r="BN30" s="55"/>
      <c r="BO30" s="55"/>
      <c r="BP30" s="55"/>
      <c r="BQ30" s="55"/>
      <c r="BR30" s="55"/>
      <c r="BS30" s="55"/>
      <c r="BT30" s="55"/>
      <c r="BU30" s="55"/>
      <c r="BV30" s="55"/>
      <c r="BW30" s="55"/>
    </row>
    <row r="31">
      <c r="A31" s="384"/>
      <c r="B31" s="76"/>
      <c r="C31" s="55"/>
      <c r="D31" s="55"/>
      <c r="E31" s="76"/>
      <c r="F31" s="384"/>
      <c r="G31" s="148" t="s">
        <v>256</v>
      </c>
      <c r="H31" s="152" t="s">
        <v>259</v>
      </c>
      <c r="I31" s="148" t="s">
        <v>260</v>
      </c>
      <c r="J31" s="152" t="s">
        <v>267</v>
      </c>
      <c r="K31" s="148" t="s">
        <v>269</v>
      </c>
      <c r="L31" s="152" t="s">
        <v>271</v>
      </c>
      <c r="M31" s="391"/>
      <c r="N31" s="170" t="s">
        <v>276</v>
      </c>
      <c r="O31" s="169" t="s">
        <v>279</v>
      </c>
      <c r="P31" s="170" t="s">
        <v>280</v>
      </c>
      <c r="Q31" s="169" t="s">
        <v>285</v>
      </c>
      <c r="R31" s="170" t="s">
        <v>286</v>
      </c>
      <c r="S31" s="169" t="s">
        <v>287</v>
      </c>
      <c r="T31" s="170" t="s">
        <v>288</v>
      </c>
      <c r="U31" s="169" t="s">
        <v>289</v>
      </c>
      <c r="V31" s="170" t="s">
        <v>290</v>
      </c>
      <c r="W31" s="169" t="s">
        <v>292</v>
      </c>
      <c r="X31" s="69"/>
      <c r="Y31" s="170" t="s">
        <v>302</v>
      </c>
      <c r="Z31" s="169" t="s">
        <v>305</v>
      </c>
      <c r="AA31" s="170" t="s">
        <v>307</v>
      </c>
      <c r="AB31" s="169" t="s">
        <v>309</v>
      </c>
      <c r="AC31" s="170" t="s">
        <v>313</v>
      </c>
      <c r="AD31" s="169" t="s">
        <v>314</v>
      </c>
      <c r="AE31" s="170" t="s">
        <v>315</v>
      </c>
      <c r="AF31" s="169" t="s">
        <v>316</v>
      </c>
      <c r="AG31" s="170" t="s">
        <v>317</v>
      </c>
      <c r="AH31" s="169" t="s">
        <v>318</v>
      </c>
      <c r="AI31" s="170" t="s">
        <v>320</v>
      </c>
      <c r="AJ31" s="169" t="s">
        <v>322</v>
      </c>
      <c r="AK31" s="170" t="s">
        <v>327</v>
      </c>
      <c r="AL31" s="169" t="s">
        <v>328</v>
      </c>
      <c r="AM31" s="170" t="s">
        <v>330</v>
      </c>
      <c r="AN31" s="169" t="s">
        <v>331</v>
      </c>
      <c r="AO31" s="170" t="s">
        <v>332</v>
      </c>
      <c r="AP31" s="169" t="s">
        <v>333</v>
      </c>
      <c r="AQ31" s="170" t="s">
        <v>334</v>
      </c>
      <c r="AR31" s="169" t="s">
        <v>335</v>
      </c>
      <c r="AS31" s="170" t="s">
        <v>336</v>
      </c>
      <c r="AT31" s="391"/>
      <c r="AU31" s="169" t="s">
        <v>341</v>
      </c>
      <c r="AV31" s="170" t="s">
        <v>342</v>
      </c>
      <c r="AW31" s="169" t="s">
        <v>343</v>
      </c>
      <c r="AX31" s="170" t="s">
        <v>344</v>
      </c>
      <c r="AY31" s="169" t="s">
        <v>345</v>
      </c>
      <c r="AZ31" s="170" t="s">
        <v>347</v>
      </c>
      <c r="BA31" s="169" t="s">
        <v>349</v>
      </c>
      <c r="BB31" s="170" t="s">
        <v>350</v>
      </c>
      <c r="BC31" s="169" t="s">
        <v>348</v>
      </c>
      <c r="BD31" s="391"/>
      <c r="BE31" s="170" t="s">
        <v>359</v>
      </c>
      <c r="BF31" s="169" t="s">
        <v>361</v>
      </c>
      <c r="BG31" s="170" t="s">
        <v>366</v>
      </c>
      <c r="BH31" s="384"/>
      <c r="BI31" s="384"/>
      <c r="BJ31" s="384"/>
      <c r="BK31" s="384"/>
      <c r="BL31" s="55"/>
      <c r="BM31" s="55"/>
      <c r="BN31" s="384"/>
      <c r="BO31" s="384"/>
      <c r="BP31" s="384"/>
      <c r="BQ31" s="384"/>
      <c r="BR31" s="384"/>
      <c r="BS31" s="384"/>
      <c r="BT31" s="384"/>
      <c r="BU31" s="384"/>
      <c r="BV31" s="384"/>
      <c r="BW31" s="384"/>
    </row>
    <row r="32">
      <c r="A32" s="57"/>
      <c r="B32" s="76"/>
      <c r="C32" s="178" t="s">
        <v>370</v>
      </c>
      <c r="D32" s="179"/>
      <c r="E32" s="180"/>
      <c r="F32" s="57"/>
      <c r="G32" s="261"/>
      <c r="H32" s="192"/>
      <c r="I32" s="227"/>
      <c r="J32" s="263" t="s">
        <v>385</v>
      </c>
      <c r="K32" s="227"/>
      <c r="L32" s="400" t="s">
        <v>385</v>
      </c>
      <c r="M32" s="57"/>
      <c r="N32" s="270" t="s">
        <v>385</v>
      </c>
      <c r="O32" s="192"/>
      <c r="P32" s="227"/>
      <c r="Q32" s="192"/>
      <c r="R32" s="227"/>
      <c r="S32" s="192"/>
      <c r="T32" s="227"/>
      <c r="U32" s="263" t="s">
        <v>385</v>
      </c>
      <c r="V32" s="193"/>
      <c r="W32" s="400" t="s">
        <v>385</v>
      </c>
      <c r="X32" s="57"/>
      <c r="Y32" s="403"/>
      <c r="Z32" s="406"/>
      <c r="AA32" s="403"/>
      <c r="AB32" s="406"/>
      <c r="AC32" s="403"/>
      <c r="AD32" s="406"/>
      <c r="AE32" s="403"/>
      <c r="AF32" s="406"/>
      <c r="AG32" s="403"/>
      <c r="AH32" s="406"/>
      <c r="AI32" s="403"/>
      <c r="AJ32" s="406"/>
      <c r="AK32" s="403"/>
      <c r="AL32" s="406"/>
      <c r="AM32" s="403"/>
      <c r="AN32" s="406"/>
      <c r="AO32" s="403"/>
      <c r="AP32" s="406"/>
      <c r="AQ32" s="403"/>
      <c r="AR32" s="406"/>
      <c r="AS32" s="403"/>
      <c r="AT32" s="57"/>
      <c r="AU32" s="406"/>
      <c r="AV32" s="403"/>
      <c r="AW32" s="406"/>
      <c r="AX32" s="403"/>
      <c r="AY32" s="406"/>
      <c r="AZ32" s="403"/>
      <c r="BA32" s="406"/>
      <c r="BB32" s="403"/>
      <c r="BC32" s="406"/>
      <c r="BD32" s="57"/>
      <c r="BE32" s="403"/>
      <c r="BF32" s="406"/>
      <c r="BG32" s="403"/>
      <c r="BH32" s="76"/>
      <c r="BI32" s="76"/>
      <c r="BL32" s="55"/>
      <c r="BM32" s="55"/>
      <c r="BN32" s="57"/>
      <c r="BO32" s="57"/>
      <c r="BP32" s="57"/>
      <c r="BQ32" s="57"/>
      <c r="BR32" s="57"/>
      <c r="BS32" s="57"/>
      <c r="BT32" s="57"/>
      <c r="BU32" s="57"/>
      <c r="BV32" s="57"/>
      <c r="BW32" s="57"/>
    </row>
    <row r="33">
      <c r="A33" s="57"/>
      <c r="B33" s="76"/>
      <c r="C33" s="222" t="s">
        <v>420</v>
      </c>
      <c r="D33" s="223"/>
      <c r="E33" s="225"/>
      <c r="F33" s="57"/>
      <c r="G33" s="261"/>
      <c r="H33" s="192"/>
      <c r="I33" s="193" t="s">
        <v>400</v>
      </c>
      <c r="J33" s="192"/>
      <c r="K33" s="227"/>
      <c r="L33" s="411"/>
      <c r="M33" s="57"/>
      <c r="N33" s="261"/>
      <c r="O33" s="263" t="s">
        <v>400</v>
      </c>
      <c r="P33" s="193"/>
      <c r="Q33" s="192"/>
      <c r="R33" s="193" t="s">
        <v>400</v>
      </c>
      <c r="S33" s="263"/>
      <c r="T33" s="227"/>
      <c r="U33" s="263" t="s">
        <v>385</v>
      </c>
      <c r="V33" s="193"/>
      <c r="W33" s="400"/>
      <c r="X33" s="57"/>
      <c r="Y33" s="243"/>
      <c r="Z33" s="245"/>
      <c r="AA33" s="251"/>
      <c r="AB33" s="245"/>
      <c r="AC33" s="412" t="s">
        <v>400</v>
      </c>
      <c r="AD33" s="249" t="s">
        <v>385</v>
      </c>
      <c r="AE33" s="251"/>
      <c r="AF33" s="414"/>
      <c r="AG33" s="251"/>
      <c r="AH33" s="245"/>
      <c r="AI33" s="251"/>
      <c r="AJ33" s="249" t="s">
        <v>385</v>
      </c>
      <c r="AK33" s="412" t="s">
        <v>400</v>
      </c>
      <c r="AL33" s="245"/>
      <c r="AM33" s="412" t="s">
        <v>400</v>
      </c>
      <c r="AN33" s="245"/>
      <c r="AO33" s="412" t="s">
        <v>400</v>
      </c>
      <c r="AP33" s="249" t="s">
        <v>400</v>
      </c>
      <c r="AQ33" s="412" t="s">
        <v>385</v>
      </c>
      <c r="AR33" s="249" t="s">
        <v>385</v>
      </c>
      <c r="AS33" s="415"/>
      <c r="AT33" s="57"/>
      <c r="AU33" s="416"/>
      <c r="AV33" s="251"/>
      <c r="AW33" s="414"/>
      <c r="AX33" s="412" t="s">
        <v>385</v>
      </c>
      <c r="AY33" s="245"/>
      <c r="AZ33" s="251"/>
      <c r="BA33" s="245"/>
      <c r="BB33" s="251"/>
      <c r="BC33" s="417"/>
      <c r="BD33" s="57"/>
      <c r="BE33" s="270" t="s">
        <v>385</v>
      </c>
      <c r="BF33" s="192"/>
      <c r="BG33" s="418" t="s">
        <v>385</v>
      </c>
      <c r="BH33" s="76"/>
      <c r="BI33" s="178" t="s">
        <v>420</v>
      </c>
      <c r="BJ33" s="179"/>
      <c r="BK33" s="180"/>
      <c r="BL33" s="55"/>
      <c r="BM33" s="55"/>
      <c r="BN33" s="57"/>
      <c r="BO33" s="57"/>
      <c r="BP33" s="57"/>
      <c r="BQ33" s="57"/>
      <c r="BR33" s="57"/>
      <c r="BS33" s="57"/>
      <c r="BT33" s="57"/>
      <c r="BU33" s="57"/>
      <c r="BV33" s="57"/>
      <c r="BW33" s="57"/>
    </row>
    <row r="34">
      <c r="A34" s="57"/>
      <c r="B34" s="76"/>
      <c r="C34" s="260" t="s">
        <v>458</v>
      </c>
      <c r="D34" s="223"/>
      <c r="E34" s="225"/>
      <c r="F34" s="57"/>
      <c r="G34" s="261"/>
      <c r="H34" s="192"/>
      <c r="I34" s="193" t="s">
        <v>400</v>
      </c>
      <c r="J34" s="192"/>
      <c r="K34" s="227"/>
      <c r="L34" s="411"/>
      <c r="M34" s="57"/>
      <c r="N34" s="261"/>
      <c r="O34" s="263" t="s">
        <v>400</v>
      </c>
      <c r="P34" s="193"/>
      <c r="Q34" s="192"/>
      <c r="R34" s="193" t="s">
        <v>400</v>
      </c>
      <c r="S34" s="263"/>
      <c r="T34" s="227"/>
      <c r="U34" s="263" t="s">
        <v>385</v>
      </c>
      <c r="V34" s="193"/>
      <c r="W34" s="400"/>
      <c r="X34" s="57"/>
      <c r="Y34" s="261"/>
      <c r="Z34" s="192"/>
      <c r="AA34" s="227"/>
      <c r="AB34" s="192"/>
      <c r="AC34" s="193" t="s">
        <v>400</v>
      </c>
      <c r="AD34" s="263" t="s">
        <v>385</v>
      </c>
      <c r="AE34" s="227"/>
      <c r="AF34" s="425"/>
      <c r="AG34" s="227"/>
      <c r="AH34" s="192"/>
      <c r="AI34" s="227"/>
      <c r="AJ34" s="263" t="s">
        <v>385</v>
      </c>
      <c r="AK34" s="193" t="s">
        <v>400</v>
      </c>
      <c r="AL34" s="192"/>
      <c r="AM34" s="193" t="s">
        <v>400</v>
      </c>
      <c r="AN34" s="192"/>
      <c r="AO34" s="193" t="s">
        <v>400</v>
      </c>
      <c r="AP34" s="263" t="s">
        <v>400</v>
      </c>
      <c r="AQ34" s="193" t="s">
        <v>385</v>
      </c>
      <c r="AR34" s="263" t="s">
        <v>385</v>
      </c>
      <c r="AS34" s="428"/>
      <c r="AT34" s="57"/>
      <c r="AU34" s="430"/>
      <c r="AV34" s="227"/>
      <c r="AW34" s="425"/>
      <c r="AX34" s="193" t="s">
        <v>385</v>
      </c>
      <c r="AY34" s="192"/>
      <c r="AZ34" s="227"/>
      <c r="BA34" s="192"/>
      <c r="BB34" s="227"/>
      <c r="BC34" s="433"/>
      <c r="BD34" s="57"/>
      <c r="BE34" s="270" t="s">
        <v>385</v>
      </c>
      <c r="BF34" s="192"/>
      <c r="BG34" s="418" t="s">
        <v>385</v>
      </c>
      <c r="BH34" s="76"/>
      <c r="BI34" s="260" t="s">
        <v>458</v>
      </c>
      <c r="BJ34" s="223"/>
      <c r="BK34" s="225"/>
      <c r="BL34" s="55"/>
      <c r="BM34" s="55"/>
      <c r="BN34" s="57"/>
      <c r="BO34" s="57"/>
      <c r="BP34" s="57"/>
      <c r="BQ34" s="57"/>
      <c r="BR34" s="57"/>
      <c r="BS34" s="57"/>
      <c r="BT34" s="57"/>
      <c r="BU34" s="57"/>
      <c r="BV34" s="57"/>
      <c r="BW34" s="57"/>
    </row>
    <row r="35">
      <c r="A35" s="57"/>
      <c r="B35" s="76"/>
      <c r="C35" s="222" t="s">
        <v>487</v>
      </c>
      <c r="D35" s="223"/>
      <c r="E35" s="225"/>
      <c r="F35" s="57"/>
      <c r="G35" s="261"/>
      <c r="H35" s="192"/>
      <c r="I35" s="227"/>
      <c r="J35" s="263" t="s">
        <v>400</v>
      </c>
      <c r="K35" s="227"/>
      <c r="L35" s="400" t="s">
        <v>400</v>
      </c>
      <c r="M35" s="57"/>
      <c r="N35" s="270" t="s">
        <v>400</v>
      </c>
      <c r="O35" s="192"/>
      <c r="P35" s="227"/>
      <c r="Q35" s="192"/>
      <c r="R35" s="227"/>
      <c r="S35" s="192"/>
      <c r="T35" s="227"/>
      <c r="U35" s="263" t="s">
        <v>385</v>
      </c>
      <c r="V35" s="193"/>
      <c r="W35" s="400" t="s">
        <v>385</v>
      </c>
      <c r="X35" s="57"/>
      <c r="Y35" s="261"/>
      <c r="Z35" s="192"/>
      <c r="AA35" s="227"/>
      <c r="AB35" s="192"/>
      <c r="AC35" s="227"/>
      <c r="AD35" s="263" t="s">
        <v>400</v>
      </c>
      <c r="AE35" s="227"/>
      <c r="AF35" s="425"/>
      <c r="AG35" s="227"/>
      <c r="AH35" s="192"/>
      <c r="AI35" s="227"/>
      <c r="AJ35" s="263" t="s">
        <v>385</v>
      </c>
      <c r="AK35" s="227"/>
      <c r="AL35" s="192"/>
      <c r="AM35" s="227"/>
      <c r="AN35" s="192"/>
      <c r="AO35" s="227"/>
      <c r="AP35" s="192"/>
      <c r="AQ35" s="193" t="s">
        <v>385</v>
      </c>
      <c r="AR35" s="263" t="s">
        <v>385</v>
      </c>
      <c r="AS35" s="428"/>
      <c r="AT35" s="57"/>
      <c r="AU35" s="446" t="s">
        <v>400</v>
      </c>
      <c r="AV35" s="227"/>
      <c r="AW35" s="425"/>
      <c r="AX35" s="193" t="s">
        <v>385</v>
      </c>
      <c r="AY35" s="192"/>
      <c r="AZ35" s="227"/>
      <c r="BA35" s="192"/>
      <c r="BB35" s="227"/>
      <c r="BC35" s="448" t="s">
        <v>506</v>
      </c>
      <c r="BD35" s="57"/>
      <c r="BE35" s="270" t="s">
        <v>400</v>
      </c>
      <c r="BF35" s="192"/>
      <c r="BG35" s="450" t="s">
        <v>506</v>
      </c>
      <c r="BH35" s="76"/>
      <c r="BI35" s="222" t="s">
        <v>487</v>
      </c>
      <c r="BJ35" s="223"/>
      <c r="BK35" s="225"/>
      <c r="BL35" s="55"/>
      <c r="BM35" s="55"/>
      <c r="BN35" s="57"/>
      <c r="BO35" s="57"/>
      <c r="BP35" s="57"/>
      <c r="BQ35" s="57"/>
      <c r="BR35" s="57"/>
      <c r="BS35" s="57"/>
      <c r="BT35" s="57"/>
      <c r="BU35" s="57"/>
      <c r="BV35" s="57"/>
      <c r="BW35" s="57"/>
    </row>
    <row r="36">
      <c r="A36" s="57"/>
      <c r="B36" s="76"/>
      <c r="C36" s="222" t="s">
        <v>514</v>
      </c>
      <c r="D36" s="223"/>
      <c r="E36" s="225"/>
      <c r="F36" s="57"/>
      <c r="G36" s="261"/>
      <c r="H36" s="192"/>
      <c r="I36" s="227"/>
      <c r="J36" s="263" t="s">
        <v>400</v>
      </c>
      <c r="K36" s="227"/>
      <c r="L36" s="400" t="s">
        <v>400</v>
      </c>
      <c r="M36" s="57"/>
      <c r="N36" s="270" t="s">
        <v>400</v>
      </c>
      <c r="O36" s="192"/>
      <c r="P36" s="227"/>
      <c r="Q36" s="192"/>
      <c r="R36" s="227"/>
      <c r="S36" s="192"/>
      <c r="T36" s="193" t="s">
        <v>400</v>
      </c>
      <c r="U36" s="263" t="s">
        <v>385</v>
      </c>
      <c r="V36" s="193"/>
      <c r="W36" s="400" t="s">
        <v>385</v>
      </c>
      <c r="X36" s="57"/>
      <c r="Y36" s="261"/>
      <c r="Z36" s="192"/>
      <c r="AA36" s="193" t="s">
        <v>400</v>
      </c>
      <c r="AB36" s="192"/>
      <c r="AC36" s="227"/>
      <c r="AD36" s="263" t="s">
        <v>400</v>
      </c>
      <c r="AE36" s="227"/>
      <c r="AF36" s="425"/>
      <c r="AG36" s="193" t="s">
        <v>400</v>
      </c>
      <c r="AH36" s="192"/>
      <c r="AI36" s="227"/>
      <c r="AJ36" s="263" t="s">
        <v>385</v>
      </c>
      <c r="AK36" s="227"/>
      <c r="AL36" s="263" t="s">
        <v>400</v>
      </c>
      <c r="AM36" s="227"/>
      <c r="AN36" s="192"/>
      <c r="AO36" s="227"/>
      <c r="AP36" s="192"/>
      <c r="AQ36" s="193" t="s">
        <v>385</v>
      </c>
      <c r="AR36" s="263" t="s">
        <v>385</v>
      </c>
      <c r="AS36" s="418" t="s">
        <v>400</v>
      </c>
      <c r="AT36" s="57"/>
      <c r="AU36" s="446" t="s">
        <v>400</v>
      </c>
      <c r="AV36" s="193" t="s">
        <v>400</v>
      </c>
      <c r="AW36" s="425"/>
      <c r="AX36" s="193" t="s">
        <v>385</v>
      </c>
      <c r="AY36" s="192"/>
      <c r="AZ36" s="227"/>
      <c r="BA36" s="263" t="s">
        <v>400</v>
      </c>
      <c r="BB36" s="193" t="s">
        <v>400</v>
      </c>
      <c r="BC36" s="448" t="s">
        <v>506</v>
      </c>
      <c r="BD36" s="57"/>
      <c r="BE36" s="270" t="s">
        <v>400</v>
      </c>
      <c r="BF36" s="192"/>
      <c r="BG36" s="450" t="s">
        <v>506</v>
      </c>
      <c r="BH36" s="76"/>
      <c r="BI36" s="222" t="s">
        <v>514</v>
      </c>
      <c r="BJ36" s="223"/>
      <c r="BK36" s="225"/>
      <c r="BL36" s="55"/>
      <c r="BM36" s="55"/>
      <c r="BN36" s="57"/>
      <c r="BO36" s="57"/>
      <c r="BP36" s="57"/>
      <c r="BQ36" s="57"/>
      <c r="BR36" s="57"/>
      <c r="BS36" s="57"/>
      <c r="BT36" s="57"/>
      <c r="BU36" s="57"/>
      <c r="BV36" s="57"/>
      <c r="BW36" s="57"/>
    </row>
    <row r="37">
      <c r="A37" s="57"/>
      <c r="B37" s="76"/>
      <c r="C37" s="222" t="s">
        <v>535</v>
      </c>
      <c r="D37" s="223"/>
      <c r="E37" s="225"/>
      <c r="F37" s="57"/>
      <c r="G37" s="270" t="s">
        <v>400</v>
      </c>
      <c r="H37" s="192"/>
      <c r="I37" s="227"/>
      <c r="J37" s="263" t="s">
        <v>400</v>
      </c>
      <c r="K37" s="227"/>
      <c r="L37" s="400" t="s">
        <v>400</v>
      </c>
      <c r="M37" s="57"/>
      <c r="N37" s="270" t="s">
        <v>400</v>
      </c>
      <c r="O37" s="192"/>
      <c r="P37" s="193" t="s">
        <v>400</v>
      </c>
      <c r="Q37" s="263"/>
      <c r="R37" s="227"/>
      <c r="S37" s="263" t="s">
        <v>400</v>
      </c>
      <c r="T37" s="193" t="s">
        <v>400</v>
      </c>
      <c r="U37" s="263" t="s">
        <v>400</v>
      </c>
      <c r="V37" s="193"/>
      <c r="W37" s="400" t="s">
        <v>400</v>
      </c>
      <c r="X37" s="57"/>
      <c r="Y37" s="261"/>
      <c r="Z37" s="263" t="s">
        <v>400</v>
      </c>
      <c r="AA37" s="227"/>
      <c r="AB37" s="192"/>
      <c r="AC37" s="227"/>
      <c r="AD37" s="263" t="s">
        <v>400</v>
      </c>
      <c r="AE37" s="193" t="s">
        <v>400</v>
      </c>
      <c r="AF37" s="469" t="s">
        <v>506</v>
      </c>
      <c r="AG37" s="227"/>
      <c r="AH37" s="263" t="s">
        <v>400</v>
      </c>
      <c r="AI37" s="227"/>
      <c r="AJ37" s="263" t="s">
        <v>400</v>
      </c>
      <c r="AK37" s="227"/>
      <c r="AL37" s="192"/>
      <c r="AM37" s="227"/>
      <c r="AN37" s="192"/>
      <c r="AO37" s="227"/>
      <c r="AP37" s="192"/>
      <c r="AQ37" s="193" t="s">
        <v>400</v>
      </c>
      <c r="AR37" s="263" t="s">
        <v>400</v>
      </c>
      <c r="AS37" s="428"/>
      <c r="AT37" s="57"/>
      <c r="AU37" s="446" t="s">
        <v>400</v>
      </c>
      <c r="AV37" s="227"/>
      <c r="AW37" s="469" t="s">
        <v>506</v>
      </c>
      <c r="AX37" s="193" t="s">
        <v>400</v>
      </c>
      <c r="AY37" s="263" t="s">
        <v>400</v>
      </c>
      <c r="AZ37" s="227"/>
      <c r="BA37" s="263" t="s">
        <v>400</v>
      </c>
      <c r="BB37" s="227"/>
      <c r="BC37" s="448" t="s">
        <v>506</v>
      </c>
      <c r="BD37" s="57"/>
      <c r="BE37" s="270" t="s">
        <v>400</v>
      </c>
      <c r="BF37" s="263" t="s">
        <v>400</v>
      </c>
      <c r="BG37" s="450" t="s">
        <v>506</v>
      </c>
      <c r="BH37" s="76"/>
      <c r="BI37" s="222" t="s">
        <v>535</v>
      </c>
      <c r="BJ37" s="223"/>
      <c r="BK37" s="225"/>
      <c r="BL37" s="55"/>
      <c r="BM37" s="55"/>
      <c r="BN37" s="57"/>
      <c r="BO37" s="57"/>
      <c r="BP37" s="57"/>
      <c r="BQ37" s="57"/>
      <c r="BR37" s="57"/>
      <c r="BS37" s="57"/>
      <c r="BT37" s="57"/>
      <c r="BU37" s="57"/>
      <c r="BV37" s="57"/>
      <c r="BW37" s="57"/>
    </row>
    <row r="38">
      <c r="A38" s="57"/>
      <c r="B38" s="76"/>
      <c r="C38" s="222" t="s">
        <v>181</v>
      </c>
      <c r="D38" s="223"/>
      <c r="E38" s="225"/>
      <c r="F38" s="57"/>
      <c r="G38" s="270" t="s">
        <v>400</v>
      </c>
      <c r="H38" s="192"/>
      <c r="I38" s="227"/>
      <c r="J38" s="263" t="s">
        <v>400</v>
      </c>
      <c r="K38" s="227"/>
      <c r="L38" s="400" t="s">
        <v>400</v>
      </c>
      <c r="M38" s="57"/>
      <c r="N38" s="270" t="s">
        <v>400</v>
      </c>
      <c r="O38" s="192"/>
      <c r="P38" s="227"/>
      <c r="Q38" s="192"/>
      <c r="R38" s="227"/>
      <c r="S38" s="192"/>
      <c r="T38" s="193" t="s">
        <v>400</v>
      </c>
      <c r="U38" s="263" t="s">
        <v>400</v>
      </c>
      <c r="V38" s="193"/>
      <c r="W38" s="400" t="s">
        <v>400</v>
      </c>
      <c r="X38" s="57"/>
      <c r="Y38" s="261"/>
      <c r="Z38" s="192"/>
      <c r="AA38" s="227"/>
      <c r="AB38" s="192"/>
      <c r="AC38" s="227"/>
      <c r="AD38" s="263" t="s">
        <v>400</v>
      </c>
      <c r="AE38" s="227"/>
      <c r="AF38" s="469" t="s">
        <v>506</v>
      </c>
      <c r="AG38" s="227"/>
      <c r="AH38" s="263" t="s">
        <v>400</v>
      </c>
      <c r="AI38" s="227"/>
      <c r="AJ38" s="263" t="s">
        <v>400</v>
      </c>
      <c r="AK38" s="227"/>
      <c r="AL38" s="192"/>
      <c r="AM38" s="227"/>
      <c r="AN38" s="263" t="s">
        <v>400</v>
      </c>
      <c r="AO38" s="227"/>
      <c r="AP38" s="192"/>
      <c r="AQ38" s="193" t="s">
        <v>400</v>
      </c>
      <c r="AR38" s="263" t="s">
        <v>400</v>
      </c>
      <c r="AS38" s="428"/>
      <c r="AT38" s="57"/>
      <c r="AU38" s="446" t="s">
        <v>400</v>
      </c>
      <c r="AV38" s="227"/>
      <c r="AW38" s="469" t="s">
        <v>506</v>
      </c>
      <c r="AX38" s="193" t="s">
        <v>400</v>
      </c>
      <c r="AY38" s="263" t="s">
        <v>400</v>
      </c>
      <c r="AZ38" s="193" t="s">
        <v>400</v>
      </c>
      <c r="BA38" s="192"/>
      <c r="BB38" s="193" t="s">
        <v>400</v>
      </c>
      <c r="BC38" s="448" t="s">
        <v>506</v>
      </c>
      <c r="BD38" s="57"/>
      <c r="BE38" s="270" t="s">
        <v>400</v>
      </c>
      <c r="BF38" s="263" t="s">
        <v>400</v>
      </c>
      <c r="BG38" s="450" t="s">
        <v>506</v>
      </c>
      <c r="BH38" s="76"/>
      <c r="BI38" s="222" t="s">
        <v>181</v>
      </c>
      <c r="BJ38" s="223"/>
      <c r="BK38" s="225"/>
      <c r="BL38" s="55"/>
      <c r="BM38" s="55"/>
      <c r="BN38" s="57"/>
      <c r="BO38" s="57"/>
      <c r="BP38" s="57"/>
      <c r="BQ38" s="57"/>
      <c r="BR38" s="57"/>
      <c r="BS38" s="57"/>
      <c r="BT38" s="57"/>
      <c r="BU38" s="57"/>
      <c r="BV38" s="57"/>
      <c r="BW38" s="57"/>
    </row>
    <row r="39">
      <c r="A39" s="57"/>
      <c r="B39" s="76"/>
      <c r="C39" s="222" t="s">
        <v>461</v>
      </c>
      <c r="D39" s="223"/>
      <c r="E39" s="225"/>
      <c r="F39" s="57"/>
      <c r="G39" s="270" t="s">
        <v>585</v>
      </c>
      <c r="H39" s="192"/>
      <c r="I39" s="227"/>
      <c r="J39" s="263" t="s">
        <v>400</v>
      </c>
      <c r="K39" s="227"/>
      <c r="L39" s="400" t="s">
        <v>400</v>
      </c>
      <c r="M39" s="57"/>
      <c r="N39" s="270" t="s">
        <v>400</v>
      </c>
      <c r="O39" s="192"/>
      <c r="P39" s="227"/>
      <c r="Q39" s="263" t="s">
        <v>400</v>
      </c>
      <c r="R39" s="193"/>
      <c r="S39" s="263" t="s">
        <v>592</v>
      </c>
      <c r="T39" s="193"/>
      <c r="U39" s="263" t="s">
        <v>400</v>
      </c>
      <c r="V39" s="193"/>
      <c r="W39" s="400" t="s">
        <v>400</v>
      </c>
      <c r="X39" s="57"/>
      <c r="Y39" s="261"/>
      <c r="Z39" s="192"/>
      <c r="AA39" s="227"/>
      <c r="AB39" s="192"/>
      <c r="AC39" s="227"/>
      <c r="AD39" s="263" t="s">
        <v>400</v>
      </c>
      <c r="AE39" s="193" t="s">
        <v>585</v>
      </c>
      <c r="AF39" s="469" t="s">
        <v>596</v>
      </c>
      <c r="AG39" s="227"/>
      <c r="AH39" s="192"/>
      <c r="AI39" s="193" t="s">
        <v>585</v>
      </c>
      <c r="AJ39" s="263" t="s">
        <v>400</v>
      </c>
      <c r="AK39" s="227"/>
      <c r="AL39" s="192"/>
      <c r="AM39" s="227"/>
      <c r="AN39" s="263" t="s">
        <v>592</v>
      </c>
      <c r="AO39" s="227"/>
      <c r="AP39" s="192"/>
      <c r="AQ39" s="193" t="s">
        <v>400</v>
      </c>
      <c r="AR39" s="263" t="s">
        <v>400</v>
      </c>
      <c r="AS39" s="428"/>
      <c r="AT39" s="57"/>
      <c r="AU39" s="446" t="s">
        <v>400</v>
      </c>
      <c r="AV39" s="227"/>
      <c r="AW39" s="192"/>
      <c r="AX39" s="193" t="s">
        <v>400</v>
      </c>
      <c r="AY39" s="192"/>
      <c r="AZ39" s="193" t="s">
        <v>592</v>
      </c>
      <c r="BA39" s="192"/>
      <c r="BB39" s="193" t="s">
        <v>592</v>
      </c>
      <c r="BC39" s="448" t="s">
        <v>506</v>
      </c>
      <c r="BD39" s="57"/>
      <c r="BE39" s="270" t="s">
        <v>400</v>
      </c>
      <c r="BF39" s="263" t="s">
        <v>400</v>
      </c>
      <c r="BG39" s="450" t="s">
        <v>506</v>
      </c>
      <c r="BH39" s="76"/>
      <c r="BI39" s="222" t="s">
        <v>461</v>
      </c>
      <c r="BJ39" s="223"/>
      <c r="BK39" s="225"/>
      <c r="BL39" s="55"/>
      <c r="BM39" s="55"/>
      <c r="BN39" s="57"/>
      <c r="BO39" s="57"/>
      <c r="BP39" s="57"/>
      <c r="BQ39" s="57"/>
      <c r="BR39" s="57"/>
      <c r="BS39" s="57"/>
      <c r="BT39" s="57"/>
      <c r="BU39" s="57"/>
      <c r="BV39" s="57"/>
      <c r="BW39" s="57"/>
    </row>
    <row r="40" ht="1.5" customHeight="1">
      <c r="A40" s="57"/>
      <c r="B40" s="76"/>
      <c r="C40" s="284"/>
      <c r="D40" s="223"/>
      <c r="E40" s="223"/>
      <c r="F40" s="57"/>
      <c r="G40" s="292"/>
      <c r="H40" s="287"/>
      <c r="I40" s="287"/>
      <c r="J40" s="287"/>
      <c r="K40" s="287"/>
      <c r="L40" s="491"/>
      <c r="M40" s="57"/>
      <c r="N40" s="292"/>
      <c r="O40" s="287"/>
      <c r="P40" s="287"/>
      <c r="Q40" s="287"/>
      <c r="R40" s="287"/>
      <c r="S40" s="287"/>
      <c r="T40" s="287"/>
      <c r="U40" s="287"/>
      <c r="V40" s="287"/>
      <c r="W40" s="491"/>
      <c r="X40" s="57"/>
      <c r="Y40" s="292"/>
      <c r="Z40" s="287"/>
      <c r="AA40" s="287"/>
      <c r="AB40" s="287"/>
      <c r="AC40" s="287"/>
      <c r="AD40" s="287"/>
      <c r="AE40" s="287"/>
      <c r="AF40" s="293"/>
      <c r="AG40" s="287"/>
      <c r="AH40" s="287"/>
      <c r="AI40" s="287"/>
      <c r="AJ40" s="287"/>
      <c r="AK40" s="287"/>
      <c r="AL40" s="287"/>
      <c r="AM40" s="287"/>
      <c r="AN40" s="287"/>
      <c r="AO40" s="287"/>
      <c r="AP40" s="287"/>
      <c r="AQ40" s="287"/>
      <c r="AR40" s="287"/>
      <c r="AS40" s="491"/>
      <c r="AT40" s="57"/>
      <c r="AU40" s="493"/>
      <c r="AV40" s="494"/>
      <c r="AW40" s="495"/>
      <c r="AX40" s="494"/>
      <c r="AY40" s="494"/>
      <c r="AZ40" s="494"/>
      <c r="BA40" s="494"/>
      <c r="BB40" s="494"/>
      <c r="BC40" s="496"/>
      <c r="BD40" s="57"/>
      <c r="BE40" s="493"/>
      <c r="BF40" s="494"/>
      <c r="BG40" s="496"/>
      <c r="BH40" s="76"/>
      <c r="BI40" s="284"/>
      <c r="BJ40" s="223"/>
      <c r="BK40" s="223"/>
      <c r="BL40" s="55"/>
      <c r="BM40" s="55"/>
      <c r="BN40" s="57"/>
      <c r="BO40" s="57"/>
      <c r="BP40" s="57"/>
      <c r="BQ40" s="57"/>
      <c r="BR40" s="57"/>
      <c r="BS40" s="57"/>
      <c r="BT40" s="57"/>
      <c r="BU40" s="57"/>
      <c r="BV40" s="57"/>
      <c r="BW40" s="57"/>
    </row>
    <row r="41">
      <c r="A41" s="57"/>
      <c r="B41" s="76"/>
      <c r="C41" s="222" t="s">
        <v>634</v>
      </c>
      <c r="D41" s="223"/>
      <c r="E41" s="225"/>
      <c r="F41" s="57"/>
      <c r="G41" s="261"/>
      <c r="H41" s="263" t="s">
        <v>400</v>
      </c>
      <c r="I41" s="227"/>
      <c r="J41" s="263" t="s">
        <v>385</v>
      </c>
      <c r="K41" s="227"/>
      <c r="L41" s="400" t="s">
        <v>385</v>
      </c>
      <c r="M41" s="57"/>
      <c r="N41" s="270" t="s">
        <v>385</v>
      </c>
      <c r="O41" s="192"/>
      <c r="P41" s="227"/>
      <c r="Q41" s="192"/>
      <c r="R41" s="227"/>
      <c r="S41" s="192"/>
      <c r="T41" s="227"/>
      <c r="U41" s="263" t="s">
        <v>385</v>
      </c>
      <c r="V41" s="193"/>
      <c r="W41" s="400" t="s">
        <v>385</v>
      </c>
      <c r="X41" s="57"/>
      <c r="Y41" s="261"/>
      <c r="Z41" s="192"/>
      <c r="AA41" s="193" t="s">
        <v>400</v>
      </c>
      <c r="AB41" s="263" t="s">
        <v>400</v>
      </c>
      <c r="AC41" s="227"/>
      <c r="AD41" s="263" t="s">
        <v>385</v>
      </c>
      <c r="AE41" s="227"/>
      <c r="AF41" s="425"/>
      <c r="AG41" s="227"/>
      <c r="AH41" s="192"/>
      <c r="AI41" s="193" t="s">
        <v>400</v>
      </c>
      <c r="AJ41" s="263" t="s">
        <v>385</v>
      </c>
      <c r="AK41" s="227"/>
      <c r="AL41" s="192"/>
      <c r="AM41" s="227"/>
      <c r="AN41" s="192"/>
      <c r="AO41" s="227"/>
      <c r="AP41" s="192"/>
      <c r="AQ41" s="193" t="s">
        <v>385</v>
      </c>
      <c r="AR41" s="263" t="s">
        <v>385</v>
      </c>
      <c r="AS41" s="428"/>
      <c r="AT41" s="57"/>
      <c r="AU41" s="446" t="s">
        <v>385</v>
      </c>
      <c r="AV41" s="227"/>
      <c r="AW41" s="425"/>
      <c r="AX41" s="193" t="s">
        <v>400</v>
      </c>
      <c r="AY41" s="192"/>
      <c r="AZ41" s="227"/>
      <c r="BA41" s="192"/>
      <c r="BB41" s="227"/>
      <c r="BC41" s="400" t="s">
        <v>385</v>
      </c>
      <c r="BD41" s="57"/>
      <c r="BE41" s="270" t="s">
        <v>385</v>
      </c>
      <c r="BF41" s="192"/>
      <c r="BG41" s="418" t="s">
        <v>385</v>
      </c>
      <c r="BH41" s="76"/>
      <c r="BI41" s="222" t="s">
        <v>634</v>
      </c>
      <c r="BJ41" s="223"/>
      <c r="BK41" s="225"/>
      <c r="BL41" s="55"/>
      <c r="BM41" s="55"/>
      <c r="BN41" s="57"/>
      <c r="BO41" s="57"/>
      <c r="BP41" s="57"/>
      <c r="BQ41" s="57"/>
      <c r="BR41" s="57"/>
      <c r="BS41" s="57"/>
      <c r="BT41" s="57"/>
      <c r="BU41" s="57"/>
      <c r="BV41" s="57"/>
      <c r="BW41" s="57"/>
    </row>
    <row r="42">
      <c r="A42" s="57"/>
      <c r="B42" s="55"/>
      <c r="C42" s="222" t="s">
        <v>656</v>
      </c>
      <c r="D42" s="223"/>
      <c r="E42" s="225"/>
      <c r="F42" s="57"/>
      <c r="G42" s="261"/>
      <c r="H42" s="192"/>
      <c r="I42" s="227"/>
      <c r="J42" s="263" t="s">
        <v>400</v>
      </c>
      <c r="K42" s="227"/>
      <c r="L42" s="400" t="s">
        <v>400</v>
      </c>
      <c r="M42" s="57"/>
      <c r="N42" s="270" t="s">
        <v>400</v>
      </c>
      <c r="O42" s="192"/>
      <c r="P42" s="193" t="s">
        <v>400</v>
      </c>
      <c r="Q42" s="263"/>
      <c r="R42" s="227"/>
      <c r="S42" s="263" t="s">
        <v>400</v>
      </c>
      <c r="T42" s="193"/>
      <c r="U42" s="263" t="s">
        <v>400</v>
      </c>
      <c r="V42" s="193"/>
      <c r="W42" s="400" t="s">
        <v>385</v>
      </c>
      <c r="X42" s="57"/>
      <c r="Y42" s="270" t="s">
        <v>400</v>
      </c>
      <c r="Z42" s="192"/>
      <c r="AA42" s="227"/>
      <c r="AB42" s="192"/>
      <c r="AC42" s="227"/>
      <c r="AD42" s="263" t="s">
        <v>400</v>
      </c>
      <c r="AE42" s="227"/>
      <c r="AF42" s="425"/>
      <c r="AG42" s="193" t="s">
        <v>400</v>
      </c>
      <c r="AH42" s="192"/>
      <c r="AI42" s="227"/>
      <c r="AJ42" s="263" t="s">
        <v>400</v>
      </c>
      <c r="AK42" s="227"/>
      <c r="AL42" s="192"/>
      <c r="AM42" s="227"/>
      <c r="AN42" s="192"/>
      <c r="AO42" s="227"/>
      <c r="AP42" s="192"/>
      <c r="AQ42" s="193" t="s">
        <v>400</v>
      </c>
      <c r="AR42" s="263" t="s">
        <v>400</v>
      </c>
      <c r="AS42" s="428"/>
      <c r="AT42" s="57"/>
      <c r="AU42" s="446" t="s">
        <v>400</v>
      </c>
      <c r="AV42" s="227"/>
      <c r="AW42" s="425"/>
      <c r="AX42" s="193" t="s">
        <v>400</v>
      </c>
      <c r="AY42" s="192"/>
      <c r="AZ42" s="193" t="s">
        <v>400</v>
      </c>
      <c r="BA42" s="192"/>
      <c r="BB42" s="227"/>
      <c r="BC42" s="448" t="s">
        <v>506</v>
      </c>
      <c r="BD42" s="57"/>
      <c r="BE42" s="57"/>
      <c r="BF42" s="57"/>
      <c r="BG42" s="57"/>
      <c r="BH42" s="57"/>
      <c r="BI42" s="57"/>
      <c r="BJ42" s="57"/>
      <c r="BK42" s="57"/>
      <c r="BL42" s="55"/>
      <c r="BM42" s="55"/>
      <c r="BN42" s="57"/>
      <c r="BO42" s="57"/>
      <c r="BP42" s="57"/>
      <c r="BQ42" s="57"/>
      <c r="BR42" s="57"/>
      <c r="BS42" s="57"/>
      <c r="BT42" s="57"/>
      <c r="BU42" s="57"/>
      <c r="BV42" s="57"/>
      <c r="BW42" s="57"/>
    </row>
    <row r="43">
      <c r="A43" s="57"/>
      <c r="B43" s="55"/>
      <c r="C43" s="222" t="s">
        <v>676</v>
      </c>
      <c r="D43" s="223"/>
      <c r="E43" s="225"/>
      <c r="F43" s="57"/>
      <c r="G43" s="261"/>
      <c r="H43" s="192"/>
      <c r="I43" s="227"/>
      <c r="J43" s="263" t="s">
        <v>400</v>
      </c>
      <c r="K43" s="227"/>
      <c r="L43" s="400" t="s">
        <v>400</v>
      </c>
      <c r="M43" s="57"/>
      <c r="N43" s="270" t="s">
        <v>400</v>
      </c>
      <c r="O43" s="263"/>
      <c r="P43" s="227"/>
      <c r="Q43" s="192"/>
      <c r="R43" s="227"/>
      <c r="S43" s="192"/>
      <c r="T43" s="227"/>
      <c r="U43" s="263" t="s">
        <v>400</v>
      </c>
      <c r="V43" s="193" t="s">
        <v>400</v>
      </c>
      <c r="W43" s="400" t="s">
        <v>385</v>
      </c>
      <c r="X43" s="57"/>
      <c r="Y43" s="57"/>
      <c r="Z43" s="57"/>
      <c r="AA43" s="57"/>
      <c r="AB43" s="57"/>
      <c r="AC43" s="57"/>
      <c r="AD43" s="57"/>
      <c r="AE43" s="57"/>
      <c r="AF43" s="57"/>
      <c r="AG43" s="57"/>
      <c r="AH43" s="57"/>
      <c r="AI43" s="57"/>
      <c r="AJ43" s="57"/>
      <c r="AK43" s="57"/>
      <c r="AL43" s="57"/>
      <c r="AM43" s="57"/>
      <c r="AN43" s="57"/>
      <c r="AO43" s="57"/>
      <c r="AP43" s="57"/>
      <c r="AQ43" s="57"/>
      <c r="AR43" s="57"/>
      <c r="AS43" s="57"/>
      <c r="AT43" s="57"/>
      <c r="AU43" s="57"/>
      <c r="AV43" s="57"/>
      <c r="AW43" s="57"/>
      <c r="AX43" s="57"/>
      <c r="AY43" s="57"/>
      <c r="AZ43" s="57"/>
      <c r="BA43" s="57"/>
      <c r="BB43" s="57"/>
      <c r="BC43" s="57"/>
      <c r="BD43" s="57"/>
      <c r="BE43" s="55"/>
      <c r="BF43" s="55"/>
      <c r="BG43" s="55"/>
      <c r="BH43" s="55"/>
      <c r="BI43" s="55"/>
      <c r="BJ43" s="55"/>
      <c r="BK43" s="55"/>
      <c r="BL43" s="55"/>
      <c r="BM43" s="55"/>
      <c r="BN43" s="55"/>
      <c r="BO43" s="57"/>
      <c r="BP43" s="57"/>
      <c r="BQ43" s="57"/>
      <c r="BR43" s="57"/>
      <c r="BS43" s="57"/>
      <c r="BT43" s="57"/>
      <c r="BU43" s="57"/>
      <c r="BV43" s="57"/>
      <c r="BW43" s="57"/>
    </row>
    <row r="44">
      <c r="A44" s="57"/>
      <c r="B44" s="55"/>
      <c r="C44" s="222" t="s">
        <v>698</v>
      </c>
      <c r="D44" s="223"/>
      <c r="E44" s="225"/>
      <c r="F44" s="57"/>
      <c r="G44" s="261"/>
      <c r="H44" s="192"/>
      <c r="I44" s="227"/>
      <c r="J44" s="263"/>
      <c r="K44" s="227"/>
      <c r="L44" s="400"/>
      <c r="M44" s="57"/>
      <c r="N44" s="270"/>
      <c r="O44" s="192"/>
      <c r="P44" s="227"/>
      <c r="Q44" s="192"/>
      <c r="R44" s="227"/>
      <c r="S44" s="192"/>
      <c r="T44" s="227"/>
      <c r="U44" s="263" t="s">
        <v>385</v>
      </c>
      <c r="V44" s="193"/>
      <c r="W44" s="400"/>
      <c r="X44" s="57"/>
      <c r="Y44" s="57"/>
      <c r="Z44" s="57"/>
      <c r="AA44" s="57"/>
      <c r="AB44" s="57"/>
      <c r="AC44" s="57"/>
      <c r="AD44" s="57"/>
      <c r="AE44" s="57"/>
      <c r="AF44" s="57"/>
      <c r="AG44" s="57"/>
      <c r="AH44" s="57"/>
      <c r="AI44" s="57"/>
      <c r="AJ44" s="57"/>
      <c r="AK44" s="57"/>
      <c r="AL44" s="57"/>
      <c r="AM44" s="57"/>
      <c r="AN44" s="57"/>
      <c r="AO44" s="57"/>
      <c r="AP44" s="57"/>
      <c r="AQ44" s="57"/>
      <c r="AR44" s="57"/>
      <c r="AS44" s="57"/>
      <c r="AT44" s="57"/>
      <c r="AU44" s="57"/>
      <c r="AV44" s="57"/>
      <c r="AW44" s="57"/>
      <c r="AX44" s="57"/>
      <c r="AY44" s="57"/>
      <c r="AZ44" s="57"/>
      <c r="BA44" s="57"/>
      <c r="BB44" s="57"/>
      <c r="BC44" s="57"/>
      <c r="BD44" s="57"/>
      <c r="BE44" s="55"/>
      <c r="BF44" s="55"/>
      <c r="BG44" s="55"/>
      <c r="BH44" s="55"/>
      <c r="BI44" s="55"/>
      <c r="BJ44" s="55"/>
      <c r="BK44" s="55"/>
      <c r="BL44" s="55"/>
      <c r="BM44" s="55"/>
      <c r="BN44" s="55"/>
      <c r="BO44" s="57"/>
      <c r="BP44" s="57"/>
      <c r="BQ44" s="57"/>
      <c r="BR44" s="57"/>
      <c r="BS44" s="57"/>
      <c r="BT44" s="57"/>
      <c r="BU44" s="57"/>
      <c r="BV44" s="57"/>
      <c r="BW44" s="55"/>
    </row>
    <row r="45">
      <c r="A45" s="57"/>
      <c r="B45" s="55"/>
      <c r="C45" s="222" t="s">
        <v>720</v>
      </c>
      <c r="D45" s="223"/>
      <c r="E45" s="225"/>
      <c r="F45" s="57"/>
      <c r="G45" s="261"/>
      <c r="H45" s="192"/>
      <c r="I45" s="227"/>
      <c r="J45" s="263" t="s">
        <v>385</v>
      </c>
      <c r="K45" s="193" t="s">
        <v>400</v>
      </c>
      <c r="L45" s="400" t="s">
        <v>385</v>
      </c>
      <c r="M45" s="57"/>
      <c r="N45" s="57"/>
      <c r="O45" s="57"/>
      <c r="P45" s="57"/>
      <c r="Q45" s="57"/>
      <c r="R45" s="57"/>
      <c r="S45" s="57"/>
      <c r="T45" s="57"/>
      <c r="U45" s="57"/>
      <c r="V45" s="57"/>
      <c r="W45" s="57"/>
      <c r="X45" s="57"/>
      <c r="Y45" s="57"/>
      <c r="Z45" s="57"/>
      <c r="AA45" s="57"/>
      <c r="AB45" s="57"/>
      <c r="AC45" s="57"/>
      <c r="AD45" s="57"/>
      <c r="AE45" s="57"/>
      <c r="AF45" s="57"/>
      <c r="AG45" s="57"/>
      <c r="AH45" s="57"/>
      <c r="AI45" s="57"/>
      <c r="AJ45" s="57"/>
      <c r="AK45" s="57"/>
      <c r="AL45" s="57"/>
      <c r="AM45" s="57"/>
      <c r="AN45" s="57"/>
      <c r="AO45" s="57"/>
      <c r="AP45" s="57"/>
      <c r="AQ45" s="57"/>
      <c r="AR45" s="57"/>
      <c r="AS45" s="57"/>
      <c r="AT45" s="57"/>
      <c r="AU45" s="69"/>
      <c r="AV45" s="57"/>
      <c r="AW45" s="57"/>
      <c r="AX45" s="57"/>
      <c r="AY45" s="57"/>
      <c r="AZ45" s="55"/>
      <c r="BA45" s="55"/>
      <c r="BB45" s="55"/>
      <c r="BC45" s="55"/>
      <c r="BD45" s="55"/>
      <c r="BE45" s="55"/>
      <c r="BF45" s="55"/>
      <c r="BG45" s="55"/>
      <c r="BH45" s="55"/>
      <c r="BI45" s="55"/>
      <c r="BJ45" s="55"/>
      <c r="BK45" s="55"/>
      <c r="BL45" s="55"/>
      <c r="BM45" s="55"/>
      <c r="BN45" s="55"/>
      <c r="BO45" s="55"/>
      <c r="BP45" s="55"/>
      <c r="BQ45" s="55"/>
      <c r="BR45" s="57"/>
      <c r="BS45" s="57"/>
      <c r="BT45" s="57"/>
      <c r="BU45" s="57"/>
      <c r="BV45" s="57"/>
      <c r="BW45" s="55"/>
    </row>
    <row r="46">
      <c r="A46" s="57"/>
      <c r="B46" s="57"/>
      <c r="C46" s="57"/>
      <c r="D46" s="57"/>
      <c r="E46" s="57"/>
      <c r="F46" s="57"/>
      <c r="G46" s="57"/>
      <c r="H46" s="57"/>
      <c r="I46" s="57"/>
      <c r="J46" s="57"/>
      <c r="K46" s="57"/>
      <c r="L46" s="57"/>
      <c r="M46" s="57"/>
      <c r="N46" s="57"/>
      <c r="O46" s="57"/>
      <c r="P46" s="57"/>
      <c r="Q46" s="57"/>
      <c r="R46" s="57"/>
      <c r="S46" s="57"/>
      <c r="T46" s="57"/>
      <c r="U46" s="57"/>
      <c r="V46" s="57"/>
      <c r="W46" s="57"/>
      <c r="X46" s="57"/>
      <c r="Y46" s="57"/>
      <c r="Z46" s="57"/>
      <c r="AA46" s="57"/>
      <c r="AB46" s="57"/>
      <c r="AC46" s="57"/>
      <c r="AD46" s="57"/>
      <c r="AE46" s="57"/>
      <c r="AF46" s="57"/>
      <c r="AG46" s="57"/>
      <c r="AH46" s="57"/>
      <c r="AI46" s="57"/>
      <c r="AJ46" s="57"/>
      <c r="AK46" s="57"/>
      <c r="AL46" s="57"/>
      <c r="AM46" s="57"/>
      <c r="AN46" s="57"/>
      <c r="AO46" s="57"/>
      <c r="AP46" s="57"/>
      <c r="AQ46" s="57"/>
      <c r="AR46" s="57"/>
      <c r="AS46" s="57"/>
      <c r="AT46" s="57"/>
      <c r="AU46" s="57"/>
      <c r="AV46" s="57"/>
      <c r="AW46" s="57"/>
      <c r="AX46" s="57"/>
      <c r="AY46" s="57"/>
      <c r="AZ46" s="57"/>
      <c r="BA46" s="57"/>
      <c r="BB46" s="57"/>
      <c r="BC46" s="57"/>
      <c r="BD46" s="55"/>
      <c r="BE46" s="57"/>
      <c r="BF46" s="57"/>
      <c r="BG46" s="57"/>
      <c r="BH46" s="57"/>
      <c r="BI46" s="57"/>
      <c r="BJ46" s="55"/>
      <c r="BK46" s="55"/>
      <c r="BL46" s="55"/>
      <c r="BM46" s="55"/>
      <c r="BN46" s="55"/>
      <c r="BO46" s="55"/>
      <c r="BP46" s="55"/>
      <c r="BQ46" s="55"/>
      <c r="BR46" s="55"/>
      <c r="BS46" s="55"/>
      <c r="BT46" s="57"/>
      <c r="BU46" s="57"/>
      <c r="BV46" s="57"/>
      <c r="BW46" s="55"/>
    </row>
  </sheetData>
  <mergeCells count="88">
    <mergeCell ref="C4:I4"/>
    <mergeCell ref="C7:E7"/>
    <mergeCell ref="C8:E8"/>
    <mergeCell ref="C9:E9"/>
    <mergeCell ref="C10:E10"/>
    <mergeCell ref="C11:E11"/>
    <mergeCell ref="C12:E12"/>
    <mergeCell ref="C13:E13"/>
    <mergeCell ref="C14:E14"/>
    <mergeCell ref="C15:E15"/>
    <mergeCell ref="C16:E16"/>
    <mergeCell ref="C17:E17"/>
    <mergeCell ref="C18:E18"/>
    <mergeCell ref="C19:E19"/>
    <mergeCell ref="C39:E39"/>
    <mergeCell ref="C40:E40"/>
    <mergeCell ref="C41:E41"/>
    <mergeCell ref="C42:E42"/>
    <mergeCell ref="C43:E43"/>
    <mergeCell ref="C44:E44"/>
    <mergeCell ref="C45:E45"/>
    <mergeCell ref="C32:E32"/>
    <mergeCell ref="C33:E33"/>
    <mergeCell ref="C34:E34"/>
    <mergeCell ref="C35:E35"/>
    <mergeCell ref="C36:E36"/>
    <mergeCell ref="C37:E37"/>
    <mergeCell ref="C38:E38"/>
    <mergeCell ref="BI39:BK39"/>
    <mergeCell ref="BI40:BK40"/>
    <mergeCell ref="BI41:BK41"/>
    <mergeCell ref="BI32:BK32"/>
    <mergeCell ref="BI33:BK33"/>
    <mergeCell ref="BI34:BK34"/>
    <mergeCell ref="BI35:BK35"/>
    <mergeCell ref="BI36:BK36"/>
    <mergeCell ref="BI37:BK37"/>
    <mergeCell ref="BI38:BK38"/>
    <mergeCell ref="A1:I1"/>
    <mergeCell ref="B2:I2"/>
    <mergeCell ref="K5:R5"/>
    <mergeCell ref="T5:AE5"/>
    <mergeCell ref="AG5:BB5"/>
    <mergeCell ref="BD5:BN5"/>
    <mergeCell ref="BP5:BU5"/>
    <mergeCell ref="BS14:BU14"/>
    <mergeCell ref="BS15:BU15"/>
    <mergeCell ref="BS16:BU16"/>
    <mergeCell ref="BS17:BU17"/>
    <mergeCell ref="BS18:BU18"/>
    <mergeCell ref="BS19:BU19"/>
    <mergeCell ref="BS20:BU20"/>
    <mergeCell ref="BS7:BU7"/>
    <mergeCell ref="BS8:BU8"/>
    <mergeCell ref="BS9:BU9"/>
    <mergeCell ref="BS10:BU10"/>
    <mergeCell ref="BS11:BU11"/>
    <mergeCell ref="BS12:BU12"/>
    <mergeCell ref="BS13:BU13"/>
    <mergeCell ref="C20:E20"/>
    <mergeCell ref="G22:N22"/>
    <mergeCell ref="O22:W22"/>
    <mergeCell ref="AC22:AD22"/>
    <mergeCell ref="J23:N23"/>
    <mergeCell ref="O23:AB23"/>
    <mergeCell ref="AC23:AD23"/>
    <mergeCell ref="AE22:AO22"/>
    <mergeCell ref="AE23:AO23"/>
    <mergeCell ref="AC24:AD24"/>
    <mergeCell ref="AE24:AO24"/>
    <mergeCell ref="AC25:AD25"/>
    <mergeCell ref="AE25:AO25"/>
    <mergeCell ref="AC26:AD26"/>
    <mergeCell ref="AE26:AO26"/>
    <mergeCell ref="AC19:AO19"/>
    <mergeCell ref="AR19:BD19"/>
    <mergeCell ref="AC20:AD20"/>
    <mergeCell ref="AE20:AO20"/>
    <mergeCell ref="AR20:BG20"/>
    <mergeCell ref="AC21:AD21"/>
    <mergeCell ref="AE21:AO21"/>
    <mergeCell ref="B27:I27"/>
    <mergeCell ref="C29:I29"/>
    <mergeCell ref="K30:P30"/>
    <mergeCell ref="R30:AA30"/>
    <mergeCell ref="AC30:AW30"/>
    <mergeCell ref="AY30:BG30"/>
    <mergeCell ref="BI30:BK30"/>
  </mergeCells>
  <hyperlinks>
    <hyperlink r:id="rId1" ref="O22"/>
    <hyperlink r:id="rId2" ref="O23"/>
  </hyperlinks>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25"/>
    <col customWidth="1" hidden="1" min="2" max="6" width="3.0"/>
    <col customWidth="1" hidden="1" min="7" max="13" width="2.63"/>
    <col customWidth="1" min="14" max="14" width="16.0"/>
    <col customWidth="1" hidden="1" min="15" max="16" width="15.13"/>
    <col customWidth="1" min="17" max="19" width="3.0"/>
    <col customWidth="1" min="20" max="20" width="3.38"/>
    <col customWidth="1" min="21" max="22" width="3.0"/>
    <col customWidth="1" min="23" max="24" width="3.75"/>
    <col customWidth="1" min="25" max="25" width="3.25"/>
    <col customWidth="1" min="26" max="26" width="3.63"/>
    <col customWidth="1" min="27" max="27" width="3.5"/>
    <col customWidth="1" hidden="1" min="28" max="28" width="3.75"/>
    <col customWidth="1" hidden="1" min="29" max="29" width="5.63"/>
    <col customWidth="1" hidden="1" min="30" max="30" width="3.0"/>
    <col customWidth="1" min="31" max="33" width="3.38"/>
    <col customWidth="1" min="34" max="34" width="3.88"/>
    <col customWidth="1" min="35" max="35" width="5.13"/>
    <col customWidth="1" min="36" max="36" width="2.88"/>
    <col customWidth="1" min="37" max="37" width="4.88"/>
    <col customWidth="1" min="38" max="38" width="5.0"/>
    <col customWidth="1" min="39" max="40" width="3.25"/>
    <col customWidth="1" min="41" max="41" width="4.88"/>
    <col customWidth="1" min="42" max="42" width="3.25"/>
    <col customWidth="1" min="43" max="45" width="4.88"/>
    <col customWidth="1" hidden="1" min="46" max="47" width="5.88"/>
    <col customWidth="1" min="48" max="48" width="5.88"/>
    <col customWidth="1" min="49" max="52" width="5.38"/>
    <col customWidth="1" hidden="1" min="53" max="55" width="5.38"/>
    <col customWidth="1" min="56" max="57" width="5.38"/>
    <col customWidth="1" hidden="1" min="58" max="67" width="5.38"/>
    <col customWidth="1" min="68" max="68" width="5.38"/>
    <col customWidth="1" hidden="1" min="69" max="69" width="3.25"/>
    <col customWidth="1" hidden="1" min="70" max="73" width="3.75"/>
    <col customWidth="1" hidden="1" min="74" max="74" width="5.13"/>
    <col customWidth="1" hidden="1" min="75" max="75" width="6.38"/>
    <col customWidth="1" hidden="1" min="76" max="82" width="3.0"/>
    <col customWidth="1" hidden="1" min="83" max="85" width="5.5"/>
    <col customWidth="1" hidden="1" min="86" max="86" width="16.0"/>
    <col customWidth="1" hidden="1" min="87" max="110" width="5.13"/>
    <col customWidth="1" min="111" max="111" width="3.13"/>
    <col customWidth="1" min="112" max="112" width="5.38"/>
    <col customWidth="1" hidden="1" min="113" max="114" width="5.38"/>
    <col customWidth="1" hidden="1" min="115" max="115" width="6.13"/>
    <col customWidth="1" hidden="1" min="116" max="116" width="4.5"/>
    <col customWidth="1" hidden="1" min="117" max="117" width="8.88"/>
    <col customWidth="1" hidden="1" min="118" max="118" width="4.5"/>
    <col customWidth="1" hidden="1" min="119" max="119" width="35.63"/>
    <col customWidth="1" min="120" max="120" width="20.13"/>
  </cols>
  <sheetData>
    <row r="1">
      <c r="A1" s="351" t="s">
        <v>928</v>
      </c>
      <c r="B1" s="190"/>
      <c r="C1" s="190"/>
      <c r="D1" s="190"/>
      <c r="E1" s="190"/>
      <c r="F1" s="190"/>
      <c r="G1" s="190"/>
      <c r="H1" s="190"/>
      <c r="I1" s="190"/>
      <c r="J1" s="190"/>
      <c r="K1" s="190"/>
      <c r="L1" s="190"/>
      <c r="M1" s="190"/>
      <c r="N1" s="352" t="s">
        <v>932</v>
      </c>
      <c r="O1" s="190"/>
      <c r="P1" s="190"/>
      <c r="Q1" s="190"/>
      <c r="R1" s="190"/>
      <c r="S1" s="190"/>
      <c r="T1" s="190"/>
      <c r="U1" s="190"/>
      <c r="V1" s="190"/>
      <c r="W1" s="190"/>
      <c r="X1" s="190"/>
      <c r="Y1" s="190"/>
      <c r="Z1" s="190"/>
      <c r="AA1" s="190"/>
      <c r="AB1" s="190"/>
      <c r="AC1" s="190"/>
      <c r="AD1" s="190"/>
      <c r="AE1" s="190"/>
      <c r="AF1" s="190"/>
      <c r="AG1" s="190"/>
      <c r="AH1" s="190"/>
      <c r="AI1" s="354" t="s">
        <v>938</v>
      </c>
      <c r="AJ1" s="355">
        <v>0.0</v>
      </c>
      <c r="AK1" s="355">
        <v>356.0</v>
      </c>
      <c r="AL1" s="355">
        <v>63.0</v>
      </c>
      <c r="AM1" s="355">
        <v>196.0</v>
      </c>
      <c r="AN1" s="355">
        <v>136.0</v>
      </c>
      <c r="AO1" s="355">
        <v>0.0</v>
      </c>
      <c r="AP1" s="355">
        <v>50.0</v>
      </c>
      <c r="AQ1" s="355">
        <v>0.0</v>
      </c>
      <c r="AR1" s="355">
        <v>0.0</v>
      </c>
      <c r="AS1" s="356">
        <v>0.0</v>
      </c>
      <c r="AT1" s="190"/>
      <c r="AU1" s="190"/>
      <c r="AV1" s="190"/>
      <c r="AW1" s="358" t="s">
        <v>942</v>
      </c>
      <c r="AX1" s="190"/>
      <c r="AY1" s="190"/>
      <c r="AZ1" s="190"/>
      <c r="BA1" s="190"/>
      <c r="BB1" s="190"/>
      <c r="BC1" s="190"/>
      <c r="BD1" s="190"/>
      <c r="BE1" s="190"/>
      <c r="BF1" s="190"/>
      <c r="BG1" s="190"/>
      <c r="BH1" s="190"/>
      <c r="BI1" s="190"/>
      <c r="BJ1" s="190"/>
      <c r="BK1" s="190"/>
      <c r="BL1" s="190"/>
      <c r="BM1" s="190"/>
      <c r="BN1" s="190"/>
      <c r="BO1" s="190"/>
      <c r="BP1" s="190"/>
      <c r="BQ1" s="363" t="s">
        <v>944</v>
      </c>
      <c r="BR1" s="365"/>
      <c r="BS1" s="365"/>
      <c r="BT1" s="365"/>
      <c r="BU1" s="365"/>
      <c r="BV1" s="365"/>
      <c r="BW1" s="365"/>
      <c r="BX1" s="369" t="s">
        <v>946</v>
      </c>
      <c r="BY1" s="365"/>
      <c r="BZ1" s="365"/>
      <c r="CA1" s="365"/>
      <c r="CB1" s="365"/>
      <c r="CC1" s="365"/>
      <c r="CD1" s="365"/>
      <c r="CE1" s="369" t="s">
        <v>948</v>
      </c>
      <c r="CF1" s="365"/>
      <c r="CG1" s="365"/>
      <c r="CH1" s="190"/>
      <c r="CI1" s="190"/>
      <c r="CJ1" s="190"/>
      <c r="CK1" s="190"/>
      <c r="CL1" s="190"/>
      <c r="CM1" s="190"/>
      <c r="CN1" s="190"/>
      <c r="CO1" s="190"/>
      <c r="CP1" s="190"/>
      <c r="CQ1" s="190"/>
      <c r="CR1" s="190"/>
      <c r="CS1" s="190"/>
      <c r="CT1" s="190"/>
      <c r="CU1" s="190"/>
      <c r="CV1" s="190"/>
      <c r="CW1" s="190"/>
      <c r="CX1" s="190"/>
      <c r="CY1" s="190"/>
      <c r="CZ1" s="190"/>
      <c r="DA1" s="190"/>
      <c r="DB1" s="190"/>
      <c r="DC1" s="190"/>
      <c r="DD1" s="190"/>
      <c r="DE1" s="190"/>
      <c r="DF1" s="377"/>
      <c r="DG1" s="379"/>
      <c r="DH1" s="381" t="s">
        <v>952</v>
      </c>
      <c r="DI1" s="190"/>
      <c r="DJ1" s="190"/>
      <c r="DK1" s="369" t="s">
        <v>954</v>
      </c>
      <c r="DL1" s="365"/>
      <c r="DM1" s="365"/>
      <c r="DN1" s="365"/>
      <c r="DO1" s="365"/>
      <c r="DP1" s="190"/>
    </row>
    <row r="2">
      <c r="A2" s="383" t="s">
        <v>955</v>
      </c>
      <c r="B2" s="386" t="s">
        <v>42</v>
      </c>
      <c r="C2" s="386" t="s">
        <v>960</v>
      </c>
      <c r="D2" s="386" t="s">
        <v>961</v>
      </c>
      <c r="E2" s="386" t="s">
        <v>963</v>
      </c>
      <c r="F2" s="386" t="s">
        <v>965</v>
      </c>
      <c r="G2" s="386" t="s">
        <v>966</v>
      </c>
      <c r="H2" s="386" t="s">
        <v>968</v>
      </c>
      <c r="I2" s="386" t="s">
        <v>971</v>
      </c>
      <c r="J2" s="386" t="s">
        <v>972</v>
      </c>
      <c r="K2" s="386" t="s">
        <v>973</v>
      </c>
      <c r="L2" s="386" t="s">
        <v>974</v>
      </c>
      <c r="M2" s="387" t="s">
        <v>975</v>
      </c>
      <c r="N2" s="388" t="s">
        <v>977</v>
      </c>
      <c r="O2" s="389" t="s">
        <v>979</v>
      </c>
      <c r="P2" s="389" t="s">
        <v>980</v>
      </c>
      <c r="Q2" s="390" t="s">
        <v>982</v>
      </c>
      <c r="R2" s="390" t="s">
        <v>62</v>
      </c>
      <c r="S2" s="390" t="s">
        <v>41</v>
      </c>
      <c r="T2" s="392" t="s">
        <v>21</v>
      </c>
      <c r="U2" s="390" t="s">
        <v>22</v>
      </c>
      <c r="V2" s="390" t="s">
        <v>23</v>
      </c>
      <c r="W2" s="390" t="s">
        <v>984</v>
      </c>
      <c r="X2" s="390" t="s">
        <v>985</v>
      </c>
      <c r="Y2" s="390" t="s">
        <v>28</v>
      </c>
      <c r="Z2" s="390" t="s">
        <v>37</v>
      </c>
      <c r="AA2" s="390" t="s">
        <v>61</v>
      </c>
      <c r="AB2" s="390" t="s">
        <v>31</v>
      </c>
      <c r="AC2" s="390" t="s">
        <v>988</v>
      </c>
      <c r="AD2" s="390" t="s">
        <v>33</v>
      </c>
      <c r="AE2" s="390" t="s">
        <v>58</v>
      </c>
      <c r="AF2" s="390" t="s">
        <v>60</v>
      </c>
      <c r="AG2" s="390" t="s">
        <v>26</v>
      </c>
      <c r="AH2" s="390" t="s">
        <v>27</v>
      </c>
      <c r="AI2" s="392" t="s">
        <v>36</v>
      </c>
      <c r="AJ2" s="390" t="s">
        <v>991</v>
      </c>
      <c r="AK2" s="393" t="s">
        <v>992</v>
      </c>
      <c r="AL2" s="390" t="s">
        <v>993</v>
      </c>
      <c r="AM2" s="390" t="s">
        <v>25</v>
      </c>
      <c r="AN2" s="390" t="s">
        <v>34</v>
      </c>
      <c r="AO2" s="393" t="s">
        <v>996</v>
      </c>
      <c r="AP2" s="390" t="s">
        <v>997</v>
      </c>
      <c r="AQ2" s="393" t="s">
        <v>998</v>
      </c>
      <c r="AR2" s="393" t="s">
        <v>999</v>
      </c>
      <c r="AS2" s="394" t="s">
        <v>1001</v>
      </c>
      <c r="AT2" s="395" t="s">
        <v>1002</v>
      </c>
      <c r="AU2" s="395" t="s">
        <v>1005</v>
      </c>
      <c r="AV2" s="396" t="s">
        <v>1007</v>
      </c>
      <c r="AW2" s="397" t="s">
        <v>1008</v>
      </c>
      <c r="AX2" s="397" t="s">
        <v>1009</v>
      </c>
      <c r="AY2" s="397" t="s">
        <v>1010</v>
      </c>
      <c r="AZ2" s="397" t="s">
        <v>1011</v>
      </c>
      <c r="BA2" s="398" t="s">
        <v>1012</v>
      </c>
      <c r="BB2" s="398" t="s">
        <v>1013</v>
      </c>
      <c r="BC2" s="398" t="s">
        <v>1014</v>
      </c>
      <c r="BD2" s="397" t="s">
        <v>1015</v>
      </c>
      <c r="BE2" s="397" t="s">
        <v>1018</v>
      </c>
      <c r="BF2" s="398" t="s">
        <v>1019</v>
      </c>
      <c r="BG2" s="398" t="s">
        <v>1021</v>
      </c>
      <c r="BH2" s="398" t="s">
        <v>1022</v>
      </c>
      <c r="BI2" s="398" t="s">
        <v>1023</v>
      </c>
      <c r="BJ2" s="398" t="s">
        <v>1024</v>
      </c>
      <c r="BK2" s="398" t="s">
        <v>1025</v>
      </c>
      <c r="BL2" s="398" t="s">
        <v>1026</v>
      </c>
      <c r="BM2" s="398" t="s">
        <v>1027</v>
      </c>
      <c r="BN2" s="398" t="s">
        <v>1028</v>
      </c>
      <c r="BO2" s="398" t="s">
        <v>1029</v>
      </c>
      <c r="BP2" s="402" t="s">
        <v>1031</v>
      </c>
      <c r="BQ2" s="404" t="s">
        <v>26</v>
      </c>
      <c r="BR2" s="405" t="s">
        <v>27</v>
      </c>
      <c r="BS2" s="405" t="s">
        <v>37</v>
      </c>
      <c r="BT2" s="405" t="s">
        <v>25</v>
      </c>
      <c r="BU2" s="405" t="s">
        <v>34</v>
      </c>
      <c r="BV2" s="405" t="s">
        <v>36</v>
      </c>
      <c r="BW2" s="407" t="s">
        <v>1007</v>
      </c>
      <c r="BX2" s="405" t="s">
        <v>1036</v>
      </c>
      <c r="BY2" s="405" t="s">
        <v>1037</v>
      </c>
      <c r="BZ2" s="405" t="s">
        <v>1038</v>
      </c>
      <c r="CA2" s="405" t="s">
        <v>1039</v>
      </c>
      <c r="CB2" s="405" t="s">
        <v>1040</v>
      </c>
      <c r="CC2" s="405" t="s">
        <v>1042</v>
      </c>
      <c r="CD2" s="405" t="s">
        <v>1043</v>
      </c>
      <c r="CE2" s="404" t="s">
        <v>36</v>
      </c>
      <c r="CF2" s="405" t="s">
        <v>1007</v>
      </c>
      <c r="CG2" s="408" t="s">
        <v>1046</v>
      </c>
      <c r="CH2" s="409" t="s">
        <v>1047</v>
      </c>
      <c r="CI2" s="410">
        <v>25.0</v>
      </c>
      <c r="CJ2" s="410">
        <f t="shared" ref="CJ2:DF2" si="1">CI2-1</f>
        <v>24</v>
      </c>
      <c r="CK2" s="410">
        <f t="shared" si="1"/>
        <v>23</v>
      </c>
      <c r="CL2" s="410">
        <f t="shared" si="1"/>
        <v>22</v>
      </c>
      <c r="CM2" s="410">
        <f t="shared" si="1"/>
        <v>21</v>
      </c>
      <c r="CN2" s="410">
        <f t="shared" si="1"/>
        <v>20</v>
      </c>
      <c r="CO2" s="410">
        <f t="shared" si="1"/>
        <v>19</v>
      </c>
      <c r="CP2" s="410">
        <f t="shared" si="1"/>
        <v>18</v>
      </c>
      <c r="CQ2" s="410">
        <f t="shared" si="1"/>
        <v>17</v>
      </c>
      <c r="CR2" s="410">
        <f t="shared" si="1"/>
        <v>16</v>
      </c>
      <c r="CS2" s="410">
        <f t="shared" si="1"/>
        <v>15</v>
      </c>
      <c r="CT2" s="410">
        <f t="shared" si="1"/>
        <v>14</v>
      </c>
      <c r="CU2" s="410">
        <f t="shared" si="1"/>
        <v>13</v>
      </c>
      <c r="CV2" s="410">
        <f t="shared" si="1"/>
        <v>12</v>
      </c>
      <c r="CW2" s="410">
        <f t="shared" si="1"/>
        <v>11</v>
      </c>
      <c r="CX2" s="410">
        <f t="shared" si="1"/>
        <v>10</v>
      </c>
      <c r="CY2" s="410">
        <f t="shared" si="1"/>
        <v>9</v>
      </c>
      <c r="CZ2" s="410">
        <f t="shared" si="1"/>
        <v>8</v>
      </c>
      <c r="DA2" s="410">
        <f t="shared" si="1"/>
        <v>7</v>
      </c>
      <c r="DB2" s="410">
        <f t="shared" si="1"/>
        <v>6</v>
      </c>
      <c r="DC2" s="410">
        <f t="shared" si="1"/>
        <v>5</v>
      </c>
      <c r="DD2" s="410">
        <f t="shared" si="1"/>
        <v>4</v>
      </c>
      <c r="DE2" s="410">
        <f t="shared" si="1"/>
        <v>3</v>
      </c>
      <c r="DF2" s="423">
        <f t="shared" si="1"/>
        <v>2</v>
      </c>
      <c r="DG2" s="396" t="s">
        <v>1064</v>
      </c>
      <c r="DH2" s="402" t="s">
        <v>1065</v>
      </c>
      <c r="DI2" s="427" t="s">
        <v>1067</v>
      </c>
      <c r="DJ2" s="402" t="s">
        <v>1068</v>
      </c>
      <c r="DK2" s="429" t="s">
        <v>1069</v>
      </c>
      <c r="DL2" s="429" t="s">
        <v>36</v>
      </c>
      <c r="DM2" s="429" t="s">
        <v>37</v>
      </c>
      <c r="DN2" s="429" t="s">
        <v>1070</v>
      </c>
      <c r="DO2" s="432" t="s">
        <v>1071</v>
      </c>
      <c r="DP2" s="427" t="s">
        <v>1071</v>
      </c>
    </row>
    <row r="3" ht="13.5" customHeight="1">
      <c r="A3" s="434"/>
      <c r="B3" s="435"/>
      <c r="C3" s="435"/>
      <c r="D3" s="435"/>
      <c r="E3" s="435"/>
      <c r="F3" s="435"/>
      <c r="G3" s="435"/>
      <c r="H3" s="435"/>
      <c r="I3" s="435"/>
      <c r="J3" s="435"/>
      <c r="K3" s="435"/>
      <c r="L3" s="435"/>
      <c r="M3" s="434"/>
      <c r="N3" s="435"/>
      <c r="O3" s="435"/>
      <c r="P3" s="435"/>
      <c r="Q3" s="435"/>
      <c r="R3" s="435"/>
      <c r="S3" s="435"/>
      <c r="T3" s="434"/>
      <c r="U3" s="435"/>
      <c r="V3" s="435"/>
      <c r="W3" s="435"/>
      <c r="X3" s="435"/>
      <c r="Y3" s="435"/>
      <c r="Z3" s="435"/>
      <c r="AA3" s="435"/>
      <c r="AB3" s="435"/>
      <c r="AC3" s="435"/>
      <c r="AD3" s="435"/>
      <c r="AE3" s="435"/>
      <c r="AF3" s="435"/>
      <c r="AG3" s="435"/>
      <c r="AH3" s="435"/>
      <c r="AI3" s="434"/>
      <c r="AJ3" s="435"/>
      <c r="AK3" s="435"/>
      <c r="AL3" s="435"/>
      <c r="AM3" s="435"/>
      <c r="AN3" s="435"/>
      <c r="AO3" s="435"/>
      <c r="AP3" s="435"/>
      <c r="AQ3" s="435"/>
      <c r="AR3" s="435"/>
      <c r="AS3" s="434"/>
      <c r="AT3" s="441" t="s">
        <v>29</v>
      </c>
      <c r="AU3" s="441" t="s">
        <v>29</v>
      </c>
      <c r="AV3" s="443" t="s">
        <v>29</v>
      </c>
      <c r="AW3" s="445" t="s">
        <v>1046</v>
      </c>
      <c r="AX3" s="445" t="s">
        <v>1046</v>
      </c>
      <c r="AY3" s="445" t="s">
        <v>1046</v>
      </c>
      <c r="AZ3" s="445" t="s">
        <v>1046</v>
      </c>
      <c r="BA3" s="445" t="s">
        <v>1046</v>
      </c>
      <c r="BB3" s="445" t="s">
        <v>1046</v>
      </c>
      <c r="BC3" s="445" t="s">
        <v>1046</v>
      </c>
      <c r="BD3" s="445" t="s">
        <v>1046</v>
      </c>
      <c r="BE3" s="445" t="s">
        <v>1046</v>
      </c>
      <c r="BF3" s="445" t="s">
        <v>1046</v>
      </c>
      <c r="BG3" s="445" t="s">
        <v>1046</v>
      </c>
      <c r="BH3" s="445" t="s">
        <v>1046</v>
      </c>
      <c r="BI3" s="445" t="s">
        <v>1046</v>
      </c>
      <c r="BJ3" s="445" t="s">
        <v>1046</v>
      </c>
      <c r="BK3" s="445" t="s">
        <v>1046</v>
      </c>
      <c r="BL3" s="445" t="s">
        <v>1046</v>
      </c>
      <c r="BM3" s="445" t="s">
        <v>1046</v>
      </c>
      <c r="BN3" s="445" t="s">
        <v>1046</v>
      </c>
      <c r="BO3" s="445" t="s">
        <v>1046</v>
      </c>
      <c r="BP3" s="443" t="s">
        <v>1046</v>
      </c>
      <c r="BQ3" s="451"/>
      <c r="BR3" s="453"/>
      <c r="BS3" s="453"/>
      <c r="BT3" s="453"/>
      <c r="BU3" s="453"/>
      <c r="BV3" s="453"/>
      <c r="BW3" s="454"/>
      <c r="BX3" s="453"/>
      <c r="BY3" s="453"/>
      <c r="BZ3" s="453"/>
      <c r="CA3" s="453"/>
      <c r="CB3" s="453"/>
      <c r="CC3" s="453"/>
      <c r="CD3" s="453"/>
      <c r="CE3" s="455"/>
      <c r="CF3" s="445"/>
      <c r="CG3" s="443"/>
      <c r="CH3" s="434"/>
      <c r="CI3" s="457">
        <v>25.0</v>
      </c>
      <c r="CJ3" s="457">
        <f t="shared" ref="CJ3:DF3" si="2">CI3-1</f>
        <v>24</v>
      </c>
      <c r="CK3" s="457">
        <f t="shared" si="2"/>
        <v>23</v>
      </c>
      <c r="CL3" s="457">
        <f t="shared" si="2"/>
        <v>22</v>
      </c>
      <c r="CM3" s="457">
        <f t="shared" si="2"/>
        <v>21</v>
      </c>
      <c r="CN3" s="457">
        <f t="shared" si="2"/>
        <v>20</v>
      </c>
      <c r="CO3" s="457">
        <f t="shared" si="2"/>
        <v>19</v>
      </c>
      <c r="CP3" s="457">
        <f t="shared" si="2"/>
        <v>18</v>
      </c>
      <c r="CQ3" s="457">
        <f t="shared" si="2"/>
        <v>17</v>
      </c>
      <c r="CR3" s="457">
        <f t="shared" si="2"/>
        <v>16</v>
      </c>
      <c r="CS3" s="457">
        <f t="shared" si="2"/>
        <v>15</v>
      </c>
      <c r="CT3" s="457">
        <f t="shared" si="2"/>
        <v>14</v>
      </c>
      <c r="CU3" s="457">
        <f t="shared" si="2"/>
        <v>13</v>
      </c>
      <c r="CV3" s="457">
        <f t="shared" si="2"/>
        <v>12</v>
      </c>
      <c r="CW3" s="457">
        <f t="shared" si="2"/>
        <v>11</v>
      </c>
      <c r="CX3" s="457">
        <f t="shared" si="2"/>
        <v>10</v>
      </c>
      <c r="CY3" s="457">
        <f t="shared" si="2"/>
        <v>9</v>
      </c>
      <c r="CZ3" s="457">
        <f t="shared" si="2"/>
        <v>8</v>
      </c>
      <c r="DA3" s="457">
        <f t="shared" si="2"/>
        <v>7</v>
      </c>
      <c r="DB3" s="457">
        <f t="shared" si="2"/>
        <v>6</v>
      </c>
      <c r="DC3" s="457">
        <f t="shared" si="2"/>
        <v>5</v>
      </c>
      <c r="DD3" s="457">
        <f t="shared" si="2"/>
        <v>4</v>
      </c>
      <c r="DE3" s="457">
        <f t="shared" si="2"/>
        <v>3</v>
      </c>
      <c r="DF3" s="476">
        <f t="shared" si="2"/>
        <v>2</v>
      </c>
      <c r="DG3" s="434"/>
      <c r="DH3" s="443" t="s">
        <v>1046</v>
      </c>
      <c r="DI3" s="435"/>
      <c r="DJ3" s="434"/>
      <c r="DK3" s="478"/>
      <c r="DL3" s="478"/>
      <c r="DM3" s="478"/>
      <c r="DN3" s="478"/>
      <c r="DO3" s="479"/>
      <c r="DP3" s="435"/>
    </row>
    <row r="4">
      <c r="A4" s="481"/>
      <c r="B4" s="483" t="s">
        <v>1090</v>
      </c>
      <c r="C4" s="78"/>
      <c r="D4" s="78"/>
      <c r="E4" s="78"/>
      <c r="F4" s="78"/>
      <c r="G4" s="78"/>
      <c r="H4" s="78"/>
      <c r="I4" s="78"/>
      <c r="J4" s="78"/>
      <c r="K4" s="78"/>
      <c r="L4" s="78"/>
      <c r="M4" s="485"/>
      <c r="N4" s="483" t="s">
        <v>1091</v>
      </c>
      <c r="O4" s="78"/>
      <c r="P4" s="78"/>
      <c r="Q4" s="78"/>
      <c r="R4" s="78"/>
      <c r="S4" s="78"/>
      <c r="T4" s="485"/>
      <c r="U4" s="483" t="s">
        <v>1093</v>
      </c>
      <c r="V4" s="78"/>
      <c r="W4" s="78"/>
      <c r="X4" s="78"/>
      <c r="Y4" s="78"/>
      <c r="Z4" s="78"/>
      <c r="AA4" s="78"/>
      <c r="AB4" s="78"/>
      <c r="AC4" s="78"/>
      <c r="AD4" s="78"/>
      <c r="AE4" s="78"/>
      <c r="AF4" s="78"/>
      <c r="AG4" s="78"/>
      <c r="AH4" s="78"/>
      <c r="AI4" s="485"/>
      <c r="AJ4" s="483" t="s">
        <v>1096</v>
      </c>
      <c r="AK4" s="78"/>
      <c r="AL4" s="78"/>
      <c r="AM4" s="78"/>
      <c r="AN4" s="78"/>
      <c r="AO4" s="78"/>
      <c r="AP4" s="78"/>
      <c r="AQ4" s="78"/>
      <c r="AR4" s="78"/>
      <c r="AS4" s="485"/>
      <c r="AT4" s="488" t="s">
        <v>1097</v>
      </c>
      <c r="AU4" s="489"/>
      <c r="AV4" s="481"/>
      <c r="AW4" s="483" t="s">
        <v>1100</v>
      </c>
      <c r="AX4" s="78"/>
      <c r="AY4" s="78"/>
      <c r="AZ4" s="78"/>
      <c r="BA4" s="78"/>
      <c r="BB4" s="78"/>
      <c r="BC4" s="78"/>
      <c r="BD4" s="78"/>
      <c r="BE4" s="78"/>
      <c r="BF4" s="78"/>
      <c r="BG4" s="78"/>
      <c r="BH4" s="78"/>
      <c r="BI4" s="78"/>
      <c r="BJ4" s="78"/>
      <c r="BK4" s="78"/>
      <c r="BL4" s="78"/>
      <c r="BM4" s="78"/>
      <c r="BN4" s="78"/>
      <c r="BO4" s="78"/>
      <c r="BP4" s="485"/>
      <c r="BQ4" s="490"/>
      <c r="BR4" s="489"/>
      <c r="BS4" s="489"/>
      <c r="BT4" s="489"/>
      <c r="BU4" s="489"/>
      <c r="BV4" s="489"/>
      <c r="BW4" s="492"/>
      <c r="BX4" s="489"/>
      <c r="BY4" s="489"/>
      <c r="BZ4" s="489"/>
      <c r="CA4" s="489"/>
      <c r="CB4" s="489"/>
      <c r="CC4" s="489"/>
      <c r="CD4" s="489"/>
      <c r="CE4" s="490"/>
      <c r="CF4" s="489"/>
      <c r="CG4" s="481"/>
      <c r="CH4" s="481"/>
      <c r="CI4" s="483" t="s">
        <v>1106</v>
      </c>
      <c r="CJ4" s="78"/>
      <c r="CK4" s="78"/>
      <c r="CL4" s="78"/>
      <c r="CM4" s="78"/>
      <c r="CN4" s="78"/>
      <c r="CO4" s="78"/>
      <c r="CP4" s="78"/>
      <c r="CQ4" s="78"/>
      <c r="CR4" s="78"/>
      <c r="CS4" s="78"/>
      <c r="CT4" s="78"/>
      <c r="CU4" s="78"/>
      <c r="CV4" s="78"/>
      <c r="CW4" s="78"/>
      <c r="CX4" s="78"/>
      <c r="CY4" s="78"/>
      <c r="CZ4" s="78"/>
      <c r="DA4" s="78"/>
      <c r="DB4" s="78"/>
      <c r="DC4" s="78"/>
      <c r="DD4" s="78"/>
      <c r="DE4" s="78"/>
      <c r="DF4" s="485"/>
      <c r="DG4" s="481"/>
      <c r="DH4" s="481"/>
      <c r="DI4" s="489"/>
      <c r="DJ4" s="481"/>
      <c r="DK4" s="489"/>
      <c r="DL4" s="489"/>
      <c r="DM4" s="489"/>
      <c r="DN4" s="489"/>
      <c r="DO4" s="481"/>
      <c r="DP4" s="489"/>
    </row>
    <row r="5">
      <c r="A5" s="498" t="s">
        <v>0</v>
      </c>
      <c r="B5" s="499" t="s">
        <v>42</v>
      </c>
      <c r="C5" s="499" t="s">
        <v>960</v>
      </c>
      <c r="D5" s="499" t="s">
        <v>961</v>
      </c>
      <c r="E5" s="499" t="s">
        <v>963</v>
      </c>
      <c r="F5" s="499" t="s">
        <v>965</v>
      </c>
      <c r="G5" s="501" t="s">
        <v>1109</v>
      </c>
      <c r="H5" s="501" t="s">
        <v>1110</v>
      </c>
      <c r="I5" s="501" t="s">
        <v>1111</v>
      </c>
      <c r="J5" s="501" t="s">
        <v>1112</v>
      </c>
      <c r="K5" s="502" t="s">
        <v>1113</v>
      </c>
      <c r="L5" s="501" t="s">
        <v>1114</v>
      </c>
      <c r="M5" s="503" t="s">
        <v>1115</v>
      </c>
      <c r="N5" s="504" t="s">
        <v>1116</v>
      </c>
      <c r="O5" s="504" t="s">
        <v>1117</v>
      </c>
      <c r="P5" s="505" t="s">
        <v>1119</v>
      </c>
      <c r="Q5" s="499" t="s">
        <v>1120</v>
      </c>
      <c r="R5" s="499" t="s">
        <v>1121</v>
      </c>
      <c r="S5" s="499" t="s">
        <v>1122</v>
      </c>
      <c r="T5" s="498" t="s">
        <v>45</v>
      </c>
      <c r="U5" s="499" t="s">
        <v>46</v>
      </c>
      <c r="V5" s="499" t="s">
        <v>47</v>
      </c>
      <c r="W5" s="499" t="s">
        <v>48</v>
      </c>
      <c r="X5" s="499" t="s">
        <v>67</v>
      </c>
      <c r="Y5" s="499" t="s">
        <v>51</v>
      </c>
      <c r="Z5" s="499" t="s">
        <v>72</v>
      </c>
      <c r="AA5" s="499" t="s">
        <v>85</v>
      </c>
      <c r="AB5" s="499" t="s">
        <v>54</v>
      </c>
      <c r="AC5" s="499" t="s">
        <v>1124</v>
      </c>
      <c r="AD5" s="499" t="s">
        <v>38</v>
      </c>
      <c r="AE5" s="499" t="s">
        <v>1125</v>
      </c>
      <c r="AF5" s="499" t="s">
        <v>1127</v>
      </c>
      <c r="AG5" s="499" t="s">
        <v>1128</v>
      </c>
      <c r="AH5" s="499" t="s">
        <v>1129</v>
      </c>
      <c r="AI5" s="498" t="s">
        <v>1130</v>
      </c>
      <c r="AJ5" s="506" t="s">
        <v>1131</v>
      </c>
      <c r="AK5" s="499" t="s">
        <v>1133</v>
      </c>
      <c r="AL5" s="499" t="s">
        <v>1135</v>
      </c>
      <c r="AM5" s="499" t="s">
        <v>267</v>
      </c>
      <c r="AN5" s="499" t="s">
        <v>1136</v>
      </c>
      <c r="AO5" s="499" t="s">
        <v>1137</v>
      </c>
      <c r="AP5" s="499" t="s">
        <v>1138</v>
      </c>
      <c r="AQ5" s="499" t="s">
        <v>1139</v>
      </c>
      <c r="AR5" s="499" t="s">
        <v>1140</v>
      </c>
      <c r="AS5" s="498" t="s">
        <v>1141</v>
      </c>
      <c r="AT5" s="499" t="s">
        <v>1142</v>
      </c>
      <c r="AU5" s="499" t="s">
        <v>1143</v>
      </c>
      <c r="AV5" s="507" t="s">
        <v>1144</v>
      </c>
      <c r="AW5" s="499" t="s">
        <v>1145</v>
      </c>
      <c r="AX5" s="499" t="s">
        <v>1146</v>
      </c>
      <c r="AY5" s="499" t="s">
        <v>1147</v>
      </c>
      <c r="AZ5" s="499" t="s">
        <v>1149</v>
      </c>
      <c r="BA5" s="499" t="s">
        <v>1150</v>
      </c>
      <c r="BB5" s="499" t="s">
        <v>1151</v>
      </c>
      <c r="BC5" s="508" t="s">
        <v>1152</v>
      </c>
      <c r="BD5" s="499" t="s">
        <v>1153</v>
      </c>
      <c r="BE5" s="499" t="s">
        <v>1154</v>
      </c>
      <c r="BF5" s="510" t="s">
        <v>1155</v>
      </c>
      <c r="BG5" s="510" t="s">
        <v>1156</v>
      </c>
      <c r="BH5" s="510" t="s">
        <v>1157</v>
      </c>
      <c r="BI5" s="510" t="s">
        <v>1158</v>
      </c>
      <c r="BJ5" s="510" t="s">
        <v>1159</v>
      </c>
      <c r="BK5" s="511" t="s">
        <v>1160</v>
      </c>
      <c r="BL5" s="510" t="s">
        <v>1163</v>
      </c>
      <c r="BM5" s="499" t="s">
        <v>1164</v>
      </c>
      <c r="BN5" s="499" t="s">
        <v>1165</v>
      </c>
      <c r="BO5" s="499" t="s">
        <v>1166</v>
      </c>
      <c r="BP5" s="513" t="s">
        <v>1167</v>
      </c>
      <c r="BQ5" s="514" t="s">
        <v>1168</v>
      </c>
      <c r="BR5" s="515" t="s">
        <v>1170</v>
      </c>
      <c r="BS5" s="517" t="s">
        <v>1171</v>
      </c>
      <c r="BT5" s="517" t="s">
        <v>1174</v>
      </c>
      <c r="BU5" s="517" t="s">
        <v>1175</v>
      </c>
      <c r="BV5" s="518" t="s">
        <v>1176</v>
      </c>
      <c r="BW5" s="519" t="s">
        <v>1177</v>
      </c>
      <c r="BX5" s="521" t="s">
        <v>1178</v>
      </c>
      <c r="BY5" s="521" t="s">
        <v>1181</v>
      </c>
      <c r="BZ5" s="521" t="s">
        <v>1182</v>
      </c>
      <c r="CA5" s="521" t="s">
        <v>1183</v>
      </c>
      <c r="CB5" s="521" t="s">
        <v>1184</v>
      </c>
      <c r="CC5" s="521" t="s">
        <v>1185</v>
      </c>
      <c r="CD5" s="521" t="s">
        <v>1186</v>
      </c>
      <c r="CE5" s="523" t="s">
        <v>1189</v>
      </c>
      <c r="CF5" s="525" t="s">
        <v>1191</v>
      </c>
      <c r="CG5" s="526" t="s">
        <v>1192</v>
      </c>
      <c r="CH5" s="527"/>
      <c r="CI5" s="528"/>
      <c r="CJ5" s="528"/>
      <c r="CK5" s="528"/>
      <c r="CL5" s="528"/>
      <c r="CM5" s="528"/>
      <c r="CN5" s="528"/>
      <c r="CO5" s="528"/>
      <c r="CP5" s="528"/>
      <c r="CQ5" s="528"/>
      <c r="CR5" s="528"/>
      <c r="CS5" s="528"/>
      <c r="CT5" s="528"/>
      <c r="CU5" s="528"/>
      <c r="CV5" s="528"/>
      <c r="CW5" s="528"/>
      <c r="CX5" s="528"/>
      <c r="CY5" s="528"/>
      <c r="CZ5" s="528"/>
      <c r="DA5" s="528"/>
      <c r="DB5" s="528"/>
      <c r="DC5" s="528"/>
      <c r="DD5" s="528"/>
      <c r="DE5" s="528"/>
      <c r="DF5" s="527"/>
      <c r="DG5" s="529" t="s">
        <v>1199</v>
      </c>
      <c r="DH5" s="530" t="s">
        <v>1201</v>
      </c>
      <c r="DI5" s="499" t="s">
        <v>1203</v>
      </c>
      <c r="DJ5" s="498" t="s">
        <v>1204</v>
      </c>
      <c r="DK5" s="531" t="s">
        <v>1205</v>
      </c>
      <c r="DL5" s="532" t="s">
        <v>1206</v>
      </c>
      <c r="DM5" s="533" t="s">
        <v>1208</v>
      </c>
      <c r="DN5" s="534" t="s">
        <v>1210</v>
      </c>
      <c r="DO5" s="535"/>
      <c r="DP5" s="528"/>
    </row>
    <row r="6">
      <c r="A6" s="536">
        <v>0.0</v>
      </c>
      <c r="B6" s="538"/>
      <c r="C6" s="538"/>
      <c r="D6" s="538"/>
      <c r="E6" s="538"/>
      <c r="F6" s="538"/>
      <c r="G6" s="538"/>
      <c r="H6" s="538"/>
      <c r="I6" s="538"/>
      <c r="J6" s="538"/>
      <c r="K6" s="538"/>
      <c r="L6" s="538"/>
      <c r="M6" s="539"/>
      <c r="N6" s="540" t="s">
        <v>1217</v>
      </c>
      <c r="O6" s="538"/>
      <c r="P6" s="538"/>
      <c r="Q6" s="538"/>
      <c r="R6" s="538"/>
      <c r="S6" s="538"/>
      <c r="T6" s="539"/>
      <c r="U6" s="540" t="s">
        <v>1220</v>
      </c>
      <c r="V6" s="538"/>
      <c r="W6" s="538"/>
      <c r="X6" s="538"/>
      <c r="Y6" s="538"/>
      <c r="Z6" s="538"/>
      <c r="AA6" s="538"/>
      <c r="AB6" s="538"/>
      <c r="AC6" s="538"/>
      <c r="AD6" s="538"/>
      <c r="AE6" s="538"/>
      <c r="AF6" s="538"/>
      <c r="AG6" s="538"/>
      <c r="AH6" s="538"/>
      <c r="AI6" s="539"/>
      <c r="AJ6" s="540" t="s">
        <v>1224</v>
      </c>
      <c r="AK6" s="538"/>
      <c r="AL6" s="538"/>
      <c r="AM6" s="538"/>
      <c r="AN6" s="538"/>
      <c r="AO6" s="538"/>
      <c r="AP6" s="538"/>
      <c r="AQ6" s="538"/>
      <c r="AR6" s="538"/>
      <c r="AS6" s="539"/>
      <c r="AT6" s="538"/>
      <c r="AU6" s="538"/>
      <c r="AV6" s="539"/>
      <c r="AW6" s="538"/>
      <c r="AX6" s="538"/>
      <c r="AY6" s="538"/>
      <c r="AZ6" s="538"/>
      <c r="BA6" s="538"/>
      <c r="BB6" s="538"/>
      <c r="BC6" s="538"/>
      <c r="BD6" s="538"/>
      <c r="BE6" s="538"/>
      <c r="BF6" s="538"/>
      <c r="BG6" s="538"/>
      <c r="BH6" s="538"/>
      <c r="BI6" s="538"/>
      <c r="BJ6" s="538"/>
      <c r="BK6" s="538"/>
      <c r="BL6" s="538"/>
      <c r="BM6" s="538"/>
      <c r="BN6" s="538"/>
      <c r="BO6" s="538"/>
      <c r="BP6" s="539"/>
      <c r="BQ6" s="541"/>
      <c r="BR6" s="541"/>
      <c r="BS6" s="541"/>
      <c r="BT6" s="541"/>
      <c r="BU6" s="541"/>
      <c r="BV6" s="541"/>
      <c r="BW6" s="542"/>
      <c r="BX6" s="541"/>
      <c r="BY6" s="541"/>
      <c r="BZ6" s="541"/>
      <c r="CA6" s="541"/>
      <c r="CB6" s="541"/>
      <c r="CC6" s="541"/>
      <c r="CD6" s="541"/>
      <c r="CE6" s="544"/>
      <c r="CF6" s="541"/>
      <c r="CG6" s="545"/>
      <c r="CH6" s="539"/>
      <c r="CI6" s="538"/>
      <c r="CJ6" s="538"/>
      <c r="CK6" s="538"/>
      <c r="CL6" s="538"/>
      <c r="CM6" s="538"/>
      <c r="CN6" s="538"/>
      <c r="CO6" s="538"/>
      <c r="CP6" s="538"/>
      <c r="CQ6" s="538"/>
      <c r="CR6" s="538"/>
      <c r="CS6" s="538"/>
      <c r="CT6" s="538"/>
      <c r="CU6" s="538"/>
      <c r="CV6" s="538"/>
      <c r="CW6" s="538"/>
      <c r="CX6" s="538"/>
      <c r="CY6" s="538"/>
      <c r="CZ6" s="538"/>
      <c r="DA6" s="538"/>
      <c r="DB6" s="538"/>
      <c r="DC6" s="538"/>
      <c r="DD6" s="538"/>
      <c r="DE6" s="538"/>
      <c r="DF6" s="539"/>
      <c r="DG6" s="539"/>
      <c r="DH6" s="539"/>
      <c r="DI6" s="538"/>
      <c r="DJ6" s="538" t="str">
        <f>IF(AND($DG6="",$DG$1&lt;2),"",FLOOR(5*$AV6/(IF($DG6="",$DG$1/25,$DG6/25)),1))</f>
        <v/>
      </c>
      <c r="DK6" s="544"/>
      <c r="DL6" s="541"/>
      <c r="DM6" s="541"/>
      <c r="DN6" s="541"/>
      <c r="DO6" s="550"/>
      <c r="DP6" s="551" t="s">
        <v>1242</v>
      </c>
    </row>
    <row r="7">
      <c r="A7" s="552">
        <v>1.0</v>
      </c>
      <c r="B7" s="86">
        <v>1.0</v>
      </c>
      <c r="C7" s="54">
        <v>3.0</v>
      </c>
      <c r="D7" s="54">
        <v>6.0</v>
      </c>
      <c r="E7" s="74"/>
      <c r="F7" s="68" t="s">
        <v>1246</v>
      </c>
      <c r="G7" s="68">
        <f t="shared" ref="G7:G102" si="5">IF($E7=1,16,IF($F7="1hs",16,IF($F7="1ht",15,IF($F7="2hs",20,IF($F7="2ht",18,IF($F7="bow",14,IF($F7="hth",13,IF($F7="stf",20,IF($F7="xbw",20,0)))))))))</f>
        <v>16</v>
      </c>
      <c r="H7" s="68">
        <f t="shared" ref="H7:H102" si="6">IF($E7=1,16,IF($F7="1hs",15,IF($F7="1ht",15,IF($F7="2hs",23,IF($F7="2ht",23,IF($F7="bow",16,IF($F7="hth",11.5,IF($F7="ht1",11.5,IF($F7="ht2",11.5,IF($F7="stf",19,IF($F7="xbw",21,0)))))))))))</f>
        <v>15</v>
      </c>
      <c r="I7" s="68">
        <f t="shared" ref="I7:I186" si="7">IF($E7=1,16,IF($F7="1hs",16,IF($F7="1ht",16,IF($F7="1js",16,IF($F7="1jt",16,IF($F7="1ss",16,IF($F7="1st",16,IF($F7="2hs",18,IF($F7="2ht",19,IF($F7="bow",15,IF($F7="hth",12,IF($F7="stf",19,IF($F7="xbw",20,0)))))))))))))</f>
        <v>16</v>
      </c>
      <c r="J7" s="68">
        <f t="shared" ref="J7:J102" si="8">IF($E7=1,18,IF($F7="1hs",19,IF($F7="1ht",19,IF($F7="2hs",21,IF($F7="2ht",23,IF($F7="bow",16,IF($F7="hth",16,IF($F7="stf",17,IF($F7="xbw",20,0)))))))))</f>
        <v>19</v>
      </c>
      <c r="K7" s="68">
        <f t="shared" ref="K7:K102" si="9">IF($E7=1,20,IF($F7="1hs",19,IF($F7="1ht",19,IF($F7="2hs",23,IF($F7="2ht",24,IF($F7="bow",18,IF($F7="hth",15,IF($F7="stf",20,IF($F7="xbw",20,0)))))))))</f>
        <v>19</v>
      </c>
      <c r="L7" s="68">
        <f t="shared" ref="L7:L102" si="10">IF($E7=1,16,IF($F7="1hs",15,IF($F7="1ht",17,IF($F7="2hs",18.5,IF($F7="2ht",20,IF($F7="bow",16,IF($F7="hth",14,IF($F7="stf",18,IF($F7="xbw",20,0)))))))))</f>
        <v>15</v>
      </c>
      <c r="M7" s="569">
        <f t="shared" ref="M7:M102" si="11">IF($E7=1,20,IF($F7="1hs",20,IF($F7="1ht",19,IF($F7="2hs",24,IF($F7="2ht",23,IF($F7="bow",17,IF($F7="hth",16,IF($F7="stf",18,IF($F7="xbw",20,0)))))))))</f>
        <v>20</v>
      </c>
      <c r="N7" s="74" t="s">
        <v>87</v>
      </c>
      <c r="O7" s="570" t="s">
        <v>1310</v>
      </c>
      <c r="P7" s="571"/>
      <c r="Q7" s="571" t="s">
        <v>1313</v>
      </c>
      <c r="R7" s="571" t="s">
        <v>1314</v>
      </c>
      <c r="S7" s="571" t="s">
        <v>175</v>
      </c>
      <c r="T7" s="572" t="s">
        <v>88</v>
      </c>
      <c r="U7" s="54">
        <v>3.0</v>
      </c>
      <c r="V7" s="54">
        <v>0.0</v>
      </c>
      <c r="W7" s="74"/>
      <c r="X7" s="74"/>
      <c r="Y7" s="573">
        <v>2.0</v>
      </c>
      <c r="Z7" s="54">
        <v>0.0</v>
      </c>
      <c r="AA7" s="54">
        <v>2.0</v>
      </c>
      <c r="AB7" s="54">
        <v>56.0</v>
      </c>
      <c r="AC7" s="54">
        <v>170.0</v>
      </c>
      <c r="AD7" s="54">
        <v>3.0</v>
      </c>
      <c r="AE7" s="54">
        <v>100.0</v>
      </c>
      <c r="AF7" s="74"/>
      <c r="AG7" s="54">
        <v>3.0</v>
      </c>
      <c r="AH7" s="54">
        <v>6.0</v>
      </c>
      <c r="AI7" s="574">
        <f t="shared" ref="AI7:AI345" si="12">ROUND((AG7+AH7)/2,1)</f>
        <v>4.5</v>
      </c>
      <c r="AJ7" s="37"/>
      <c r="AK7" s="74"/>
      <c r="AL7" s="74"/>
      <c r="AM7" s="74"/>
      <c r="AN7" s="74"/>
      <c r="AO7" s="74"/>
      <c r="AP7" s="74"/>
      <c r="AQ7" s="74"/>
      <c r="AR7" s="74"/>
      <c r="AS7" s="575"/>
      <c r="AT7" s="68">
        <f t="shared" ref="AT7:AT345" si="13">FLOOR(FLOOR(((FLOOR(IF(OR(AND(AJ7="",$AJ$1=25),AJ7=25),FLOOR(FLOOR(AG7*1.5,1)*5/6,1),FLOOR(AG7*IF(AJ7="",(1+$AJ$1/100),(1+AJ7/100)),1))*(1+IF(AK7="",$AK$1,AK7)/100),1)+IF(AL7="",$AL$1,AL7))*(1+IF(AO7="",$AO$1,AO7)/100+(IF(AM7="",$AM$1,AM7)*(AE7/100))/100+(IF(AN7="",$AN$1,AN7)*(AF7/100))/100)),1)*(1+(IF(AP7="",$AP$1,AP7)/100)*0.5),1)</f>
        <v>280</v>
      </c>
      <c r="AU7" s="68">
        <f t="shared" ref="AU7:AU345" si="14">FLOOR(FLOOR(((FLOOR(IF(OR(AND(AJ7="",$AJ$1=25),AJ7=25),FLOOR(FLOOR(AH7*1.5,1)*5/6,1),FLOOR(AH7*IF(AJ7="",(1+$AJ$1/100),(1+AJ7/100)),1))*(1+IF(AK7="",$AK$1,AK7)/100),1)+IF(AL7="",$AL$1,AL7))*(1+IF(AO7="",$AO$1,AO7)/100+(IF(AM7="",$AM$1,AM7)*(AE7/100))/100+(IF(AN7="",$AN$1,AN7)*(AF7/100))/100)),1)*(1+(IF(AP7="",$AP$1,AP7)/100)*0.5),1)</f>
        <v>332</v>
      </c>
      <c r="AV7" s="581">
        <f t="shared" ref="AV7:AV345" si="15">(AT7+AU7)/2</f>
        <v>306</v>
      </c>
      <c r="AW7" s="582">
        <f t="shared" ref="AW7:AW102" si="16">ROUND($AV7*25/(CEILING(($G7*256)/FLOOR(256*MIN(175,MAX(15,100+IF(AS7="",$AS$1,AS7)+FLOOR((120*IF(AQ7="",$AQ$1,AQ7))/(120+IF(AQ7="",$AQ$1,AQ7)),1)-$Z7))/100,1),1)-1),0)</f>
        <v>510</v>
      </c>
      <c r="AX7" s="582">
        <f t="shared" ref="AX7:AX102" si="17">ROUND($AV7*25/(CEILING(($H7*256)/FLOOR(IF($F7="ht1",208,IF($F7="ht2",208,256))*MIN(175,MAX(15,100+IF(AS7="",$AS$1,AS7)+FLOOR((120*IF(AQ7="",$AQ$1,AQ7))/(120+IF(AQ7="",$AQ$1,AQ7)),1)-$Z7))/100,1),1)-1),0)</f>
        <v>546</v>
      </c>
      <c r="AY7" s="582">
        <f t="shared" ref="AY7:AY186" si="18">ROUND($AV7*25/(CEILING(($I7*256)/FLOOR(256*MIN(175,MAX(15,100+IF(AS7="",$AS$1,AS7)+FLOOR((120*IF(AQ7="",$AQ$1,AQ7))/(120+IF(AQ7="",$AQ$1,AQ7)),1)-$Z7))/100,1),1)-1),0)</f>
        <v>510</v>
      </c>
      <c r="AZ7" s="582">
        <f t="shared" ref="AZ7:AZ102" si="19">ROUND($AV7*25/(CEILING(($L7*256)/FLOOR(256*MIN(175,MAX(15,100+IF(AS7="",$AS$1,AS7)+FLOOR((120*IF(AQ7="",$AQ$1,AQ7))/(120+IF(AQ7="",$AQ$1,AQ7)),1)-$Z7))/100,1),1)-1),0)</f>
        <v>546</v>
      </c>
      <c r="BA7" s="582">
        <f t="shared" ref="BA7:BA102" si="20">ROUND($AV7*25/(CEILING(($K7*256)/FLOOR(256*MIN(175,MAX(15,100+IF(AS7="",$AS$1,AS7)+FLOOR((120*IF(AQ7="",$AQ$1,AQ7))/(120+IF(AQ7="",$AQ$1,AQ7)),1)-$Z7))/100,1),1)-1),0)</f>
        <v>425</v>
      </c>
      <c r="BB7" s="582">
        <f t="shared" ref="BB7:BB102" si="21">ROUND($AV7*25/(CEILING(($M7*256)/FLOOR(256*MIN(175,MAX(15,100+IF(AS7="",$AS$1,AS7)+FLOOR((120*IF(AQ7="",$AQ$1,AQ7))/(120+IF(AQ7="",$AQ$1,AQ7)),1)-$Z7))/100,1),1)-1),0)</f>
        <v>403</v>
      </c>
      <c r="BC7" s="582">
        <f t="shared" ref="BC7:BC102" si="22">ROUND($AV7*25/(CEILING(($J7*256)/FLOOR(256*MIN(175,MAX(15,100+IF(AS7="",$AS$1,AS7)+FLOOR((120*IF(AQ7="",$AQ$1,AQ7))/(120+IF(AQ7="",$AQ$1,AQ7)),1)-$Z7))/100,1),1)-1),0)</f>
        <v>425</v>
      </c>
      <c r="BD7" s="582">
        <f t="shared" ref="BD7:BD102" si="23">ROUND($AV7*25/(CEILING((13*256)/FLOOR(FLOOR(256*9/FLOOR(256*IF($F7="2hs",19,J7)/FLOOR((100+IF($AR7="",$AR$1,$AR7)-$Z7)*256/100,1),1),1)*MIN(175,MAX(15,100+IF($AS7="",$AS$1,$AS7)+FLOOR((120*IF($AQ7="",$AQ$1,$AQ7))/(120+IF($AQ7="",$AQ$1,$AQ7)),1)-$Z7))/100,1),1)-1),0)</f>
        <v>283</v>
      </c>
      <c r="BE7" s="582">
        <f t="shared" ref="BE7:BE102" si="24">ROUND($AV7*25/(CEILING((12*256)/FLOOR(FLOOR(256*10/FLOOR(256*IF($F7="2hs",19,J7)/FLOOR((100+IF($AR7="",$AR$1,$AR7)-$Z7)*256/100,1),1),1)*MIN(175,MAX(15,100+IF($AS7="",$AS$1,$AS7)+FLOOR((120*IF($AQ7="",$AQ$1,$AQ7))/(120+IF($AQ7="",$AQ$1,$AQ7)),1)-$Z7))/100,1),1)-1),0)</f>
        <v>348</v>
      </c>
      <c r="BF7" s="582">
        <f t="shared" ref="BF7:BF186" si="25">ROUND($AV7*25/(CEILING((13*256)/FLOOR(FLOOR(256*9/FLOOR(256*IF($F7="2hs",16,I7)/FLOOR((100+IF($AR7="",$AR$1,$AR7)-$Z7)*256/100,1),1),1)*MIN(175,MAX(15,100+IF($AS7="",$AS$1,$AS7)+FLOOR((120*IF($AQ7="",$AQ$1,$AQ7))/(120+IF($AQ7="",$AQ$1,$AQ7)),1)-$Z7))/100,1),1)-1),0)</f>
        <v>333</v>
      </c>
      <c r="BG7" s="582">
        <f t="shared" ref="BG7:BG186" si="26">ROUND($AV7*25/(CEILING((12*256)/FLOOR(FLOOR(256*10/FLOOR(256*IF($F7="2hs",16,I7)/FLOOR((100+IF($AR7="",$AR$1,$AR7)-$Z7)*256/100,1),1),1)*MIN(175,MAX(15,100+IF($AS7="",$AS$1,$AS7)+FLOOR((120*IF($AQ7="",$AQ$1,$AQ7))/(120+IF($AQ7="",$AQ$1,$AQ7)),1)-$Z7))/100,1),1)-1),0)</f>
        <v>403</v>
      </c>
      <c r="BH7" s="582">
        <f t="shared" ref="BH7:BH102" si="27">ROUND($AV7*25/(CEILING((12*256)/FLOOR(FLOOR(256*10/FLOOR(256*IF($F7="2hs",16,G7)/FLOOR((100+IF($AR7="",$AR$1,$AR7)-$Z7)*256/100,1),1),1)*MIN(175,MAX(15,100+IF($AS7="",$AS$1,$AS7)+FLOOR((120*IF($AQ7="",$AQ$1,$AQ7))/(120+IF($AQ7="",$AQ$1,$AQ7)),1)-$Z7))/100,1),1)-1),0)</f>
        <v>403</v>
      </c>
      <c r="BI7" s="582">
        <f t="shared" ref="BI7:BI102" si="28">ROUND($AV7*25/(CEILING((12*256)/FLOOR(FLOOR(256*10/FLOOR(256*IF($F7="2hs",15,H7)/FLOOR((100+IF($AR7="",$AR$1,$AR7)-$Z7)*256/100,1),1),1)*MIN(175,MAX(15,100+IF($AS7="",$AS$1,$AS7)+FLOOR((120*IF($AQ7="",$AQ$1,$AQ7))/(120+IF($AQ7="",$AQ$1,$AQ7)),1)-$Z7))/100,1),1)-1),0)</f>
        <v>425</v>
      </c>
      <c r="BJ7" s="582">
        <f t="shared" ref="BJ7:BJ102" si="29">ROUND($AV7*25/(CEILING((12*256)/FLOOR(FLOOR(256*10/FLOOR(256*IF($F7="2hs",15,L7)/FLOOR((100+IF($AR7="",$AR$1,$AR7)-$Z7)*256/100,1),1),1)*MIN(175,MAX(15,100+IF($AS7="",$AS$1,$AS7)+FLOOR((120*IF($AQ7="",$AQ$1,$AQ7))/(120+IF($AQ7="",$AQ$1,$AQ7)),1)-$Z7))/100,1),1)-1),0)</f>
        <v>425</v>
      </c>
      <c r="BK7" s="582">
        <f t="shared" ref="BK7:BK102" si="30">ROUND($AV7*25/(CEILING((12*256)/FLOOR(FLOOR(256*10/FLOOR(256*IF($F7="2hs",19,K7)/FLOOR((100+IF($AR7="",$AR$1,$AR7)-$Z7)*256/100,1),1),1)*MIN(175,MAX(15,100+IF($AS7="",$AS$1,$AS7)+FLOOR((120*IF($AQ7="",$AQ$1,$AQ7))/(120+IF($AQ7="",$AQ$1,$AQ7)),1)-$Z7))/100,1),1)-1),0)</f>
        <v>348</v>
      </c>
      <c r="BL7" s="582">
        <f t="shared" ref="BL7:BL102" si="31">ROUND($AV7*25/(CEILING((12*256)/FLOOR(FLOOR(256*10/FLOOR(256*IF($F7="2hs",20,M7)/FLOOR((100+IF($AR7="",$AR$1,$AR7)-$Z7)*256/100,1),1),1)*MIN(175,MAX(15,100+IF($AS7="",$AS$1,$AS7)+FLOOR((120*IF($AQ7="",$AQ$1,$AQ7))/(120+IF($AQ7="",$AQ$1,$AQ7)),1)-$Z7))/100,1),1)-1),0)</f>
        <v>333</v>
      </c>
      <c r="BM7" s="74"/>
      <c r="BN7" s="74"/>
      <c r="BO7" s="582">
        <f t="shared" ref="BO7:BO36" si="32">ROUND(IF($F7="1hs",2*$AV7,$AV7)*25/(CEILING((16*256)/FLOOR(256*MIN(175,MAX(15,100+IF($AS7="",$AS$1,AS7)+FLOOR((120*IF($AQ7="",$AQ$1,$AQ7))/(120+IF($AQ7="",$AQ$1,$AQ7)),1)-$Z7))/100,1),1)-1),0)</f>
        <v>1020</v>
      </c>
      <c r="BP7" s="602">
        <f t="shared" ref="BP7:BP318" si="33">IF(AND(BM7="",BN7="",BO7=""),"",SUM(BM7,BN7,BO7))</f>
        <v>1020</v>
      </c>
      <c r="BQ7" s="54">
        <v>3.0</v>
      </c>
      <c r="BR7" s="54">
        <v>6.0</v>
      </c>
      <c r="BS7" s="74"/>
      <c r="BT7" s="54">
        <v>100.0</v>
      </c>
      <c r="BU7" s="74"/>
      <c r="BV7" s="83">
        <f t="shared" ref="BV7:BV345" si="34">ROUND((BQ7+BR7)/2,1)</f>
        <v>4.5</v>
      </c>
      <c r="BW7" s="608">
        <f t="shared" ref="BW7:BW345" si="35">ROUND(((BV7*(1+(2*$AJ$1)/100)*(1+$AK$1/100)+$AL$1)*(1+$AO$1/100+($AM$1*(BT7/100))/100+($AN$1*(BU7/100))/100))*(1+$AP$1/100),1)</f>
        <v>370.8</v>
      </c>
      <c r="BX7" s="582">
        <f t="shared" ref="BX7:BX102" si="36">ROUND($BW7*25/(CEILING(($G7*256)/FLOOR(256*MIN(175,MAX(15,100+$AS$1+FLOOR((120*$AQ$1)/(120+$AQ$1),1)-$BS7-30*$E7))/100,1),1)-1),1)</f>
        <v>618</v>
      </c>
      <c r="BY7" s="582">
        <f t="shared" ref="BY7:BY102" si="37">ROUND($BW7*25/(CEILING(($H7*256)/FLOOR(IF($F7="ht1",208,IF($F7="ht2",208,256))*MIN(175,MAX(15,100+$AS$1+FLOOR((120*$AQ$1)/(120+$AQ$1),1)-$BS7-30*$E7))/100,1),1)-1),1)</f>
        <v>662.1</v>
      </c>
      <c r="BZ7" s="582">
        <f t="shared" ref="BZ7:BZ186" si="38">ROUND($BW7*25/(CEILING(($I7*256)/FLOOR(256*MIN(175,MAX(15,100+$AS$1+FLOOR((120*$AQ$1)/(120+$AQ$1),1)-$BS7-30*$E7))/100,1),1)-1),1)</f>
        <v>618</v>
      </c>
      <c r="CA7" s="582">
        <f t="shared" ref="CA7:CA102" si="39">ROUND($BW7*25/(CEILING(($J7*256)/FLOOR(256*MIN(175,MAX(15,100+$AS$1+FLOOR((120*$AQ$1)/(120+$AQ$1),1)-$BS7-30*$E7))/100,1),1)-1),1)</f>
        <v>515</v>
      </c>
      <c r="CB7" s="582">
        <f t="shared" ref="CB7:CB102" si="40">ROUND($BW7*25/(CEILING(($K7*256)/FLOOR(256*MIN(175,MAX(15,100+$AS$1+FLOOR((120*$AQ$1)/(120+$AQ$1),1)-$BS7-30*$E7))/100,1),1)-1),1)</f>
        <v>515</v>
      </c>
      <c r="CC7" s="582">
        <f t="shared" ref="CC7:CC102" si="41">ROUND($BW7*25/(CEILING(($L7*256)/FLOOR(256*MIN(175,MAX(15,100+$AS$1+FLOOR((120*$AQ$1)/(120+$AQ$1),1)-$BS7-30*$E7))/100,1),1)-1),1)</f>
        <v>662.1</v>
      </c>
      <c r="CD7" s="582">
        <f t="shared" ref="CD7:CD102" si="42">ROUND($BW7*25/(CEILING(($M7*256)/FLOOR(256*MIN(175,MAX(15,100+$AS$1+FLOOR((120*$AQ$1)/(120+$AQ$1),1)-$BS7-30*$E7))/100,1),1)-1),1)</f>
        <v>487.9</v>
      </c>
      <c r="CE7" s="623" t="str">
        <f t="shared" ref="CE7:CE345" si="43">IF(ROUND(100*(AI7/BV7)-100,1)=0,"",ROUND(100*(AI7/BV7)-100,1))</f>
        <v/>
      </c>
      <c r="CF7" s="74">
        <f t="shared" ref="CF7:CG7" si="3">IF(ROUND(100*(AV7/BW7)-100,1)=0,"",ROUND(100*(AV7/BW7)-100,1))</f>
        <v>-17.5</v>
      </c>
      <c r="CG7" s="602">
        <f t="shared" si="3"/>
        <v>-17.5</v>
      </c>
      <c r="CH7" s="575" t="s">
        <v>87</v>
      </c>
      <c r="CI7" s="582">
        <f t="shared" ref="CI7:DF7" si="4">FLOOR($AV7/(CI$3/25),1)</f>
        <v>306</v>
      </c>
      <c r="CJ7" s="582">
        <f t="shared" si="4"/>
        <v>318</v>
      </c>
      <c r="CK7" s="582">
        <f t="shared" si="4"/>
        <v>332</v>
      </c>
      <c r="CL7" s="582">
        <f t="shared" si="4"/>
        <v>347</v>
      </c>
      <c r="CM7" s="582">
        <f t="shared" si="4"/>
        <v>364</v>
      </c>
      <c r="CN7" s="582">
        <f t="shared" si="4"/>
        <v>382</v>
      </c>
      <c r="CO7" s="582">
        <f t="shared" si="4"/>
        <v>402</v>
      </c>
      <c r="CP7" s="582">
        <f t="shared" si="4"/>
        <v>425</v>
      </c>
      <c r="CQ7" s="582">
        <f t="shared" si="4"/>
        <v>450</v>
      </c>
      <c r="CR7" s="582">
        <f t="shared" si="4"/>
        <v>478</v>
      </c>
      <c r="CS7" s="582">
        <f t="shared" si="4"/>
        <v>510</v>
      </c>
      <c r="CT7" s="582">
        <f t="shared" si="4"/>
        <v>546</v>
      </c>
      <c r="CU7" s="582">
        <f t="shared" si="4"/>
        <v>588</v>
      </c>
      <c r="CV7" s="582">
        <f t="shared" si="4"/>
        <v>637</v>
      </c>
      <c r="CW7" s="582">
        <f t="shared" si="4"/>
        <v>695</v>
      </c>
      <c r="CX7" s="582">
        <f t="shared" si="4"/>
        <v>765</v>
      </c>
      <c r="CY7" s="582">
        <f t="shared" si="4"/>
        <v>850</v>
      </c>
      <c r="CZ7" s="582">
        <f t="shared" si="4"/>
        <v>956</v>
      </c>
      <c r="DA7" s="582">
        <f t="shared" si="4"/>
        <v>1092</v>
      </c>
      <c r="DB7" s="582">
        <f t="shared" si="4"/>
        <v>1275</v>
      </c>
      <c r="DC7" s="582">
        <f t="shared" si="4"/>
        <v>1530</v>
      </c>
      <c r="DD7" s="582">
        <f t="shared" si="4"/>
        <v>1912</v>
      </c>
      <c r="DE7" s="582">
        <f t="shared" si="4"/>
        <v>2550</v>
      </c>
      <c r="DF7" s="602">
        <f t="shared" si="4"/>
        <v>3825</v>
      </c>
      <c r="DG7" s="575"/>
      <c r="DH7" s="575" t="str">
        <f t="shared" ref="DH7:DH345" si="46">IF(AND($DG7="",$DG$1&lt;2),"",FLOOR($AV7/(IF($DG7="",$DG$1,$DG7)/25),1))</f>
        <v/>
      </c>
      <c r="DI7" s="74" t="str">
        <f t="shared" ref="DI7:DI345" si="47">IF(AND($DG7="",$DG$1&lt;2),"",FLOOR(3*$AV7/(IF($DG7="",$DG$1,$DG7)/25),1))</f>
        <v/>
      </c>
      <c r="DJ7" s="74" t="str">
        <f t="shared" ref="DJ7:DJ345" si="48">IF(AND($DG7="",$DG$1&lt;2),"",FLOOR(5*$AV7/(IF($DG7="",$DG$1,$DG7)/25),1))</f>
        <v/>
      </c>
      <c r="DK7" s="632" t="str">
        <f t="shared" ref="DK7:DK318" si="49">IF(ROUND(100*(DL7/AI7-1),1)=-100,"",ROUND(100*(DL7/AI7-1),1))</f>
        <v/>
      </c>
      <c r="DL7" s="633"/>
      <c r="DM7" s="634">
        <v>-5.0</v>
      </c>
      <c r="DN7" s="633"/>
      <c r="DO7" s="575" t="s">
        <v>1647</v>
      </c>
      <c r="DP7" s="297"/>
    </row>
    <row r="8">
      <c r="A8" s="552">
        <v>2.0</v>
      </c>
      <c r="B8" s="86">
        <v>2.0</v>
      </c>
      <c r="C8" s="54">
        <v>4.0</v>
      </c>
      <c r="D8" s="54">
        <v>11.0</v>
      </c>
      <c r="E8" s="74"/>
      <c r="F8" s="68" t="s">
        <v>1246</v>
      </c>
      <c r="G8" s="68">
        <f t="shared" si="5"/>
        <v>16</v>
      </c>
      <c r="H8" s="68">
        <f t="shared" si="6"/>
        <v>15</v>
      </c>
      <c r="I8" s="68">
        <f t="shared" si="7"/>
        <v>16</v>
      </c>
      <c r="J8" s="68">
        <f t="shared" si="8"/>
        <v>19</v>
      </c>
      <c r="K8" s="68">
        <f t="shared" si="9"/>
        <v>19</v>
      </c>
      <c r="L8" s="68">
        <f t="shared" si="10"/>
        <v>15</v>
      </c>
      <c r="M8" s="569">
        <f t="shared" si="11"/>
        <v>20</v>
      </c>
      <c r="N8" s="74" t="s">
        <v>181</v>
      </c>
      <c r="O8" s="570" t="s">
        <v>1658</v>
      </c>
      <c r="P8" s="571"/>
      <c r="Q8" s="571" t="s">
        <v>1313</v>
      </c>
      <c r="R8" s="571" t="s">
        <v>1314</v>
      </c>
      <c r="S8" s="571" t="s">
        <v>175</v>
      </c>
      <c r="T8" s="572" t="s">
        <v>175</v>
      </c>
      <c r="U8" s="54">
        <v>7.0</v>
      </c>
      <c r="V8" s="54">
        <v>0.0</v>
      </c>
      <c r="W8" s="54">
        <v>32.0</v>
      </c>
      <c r="X8" s="74"/>
      <c r="Y8" s="54">
        <v>4.0</v>
      </c>
      <c r="Z8" s="54">
        <v>10.0</v>
      </c>
      <c r="AA8" s="54">
        <v>2.0</v>
      </c>
      <c r="AB8" s="54">
        <v>48.0</v>
      </c>
      <c r="AC8" s="54">
        <v>403.0</v>
      </c>
      <c r="AD8" s="54">
        <v>4.0</v>
      </c>
      <c r="AE8" s="54">
        <v>100.0</v>
      </c>
      <c r="AF8" s="74"/>
      <c r="AG8" s="54">
        <v>4.0</v>
      </c>
      <c r="AH8" s="54">
        <v>11.0</v>
      </c>
      <c r="AI8" s="574">
        <f t="shared" si="12"/>
        <v>7.5</v>
      </c>
      <c r="AJ8" s="74"/>
      <c r="AK8" s="37"/>
      <c r="AL8" s="37"/>
      <c r="AM8" s="74"/>
      <c r="AN8" s="74"/>
      <c r="AO8" s="74"/>
      <c r="AP8" s="74"/>
      <c r="AQ8" s="74"/>
      <c r="AR8" s="74"/>
      <c r="AS8" s="575"/>
      <c r="AT8" s="68">
        <f t="shared" si="13"/>
        <v>298</v>
      </c>
      <c r="AU8" s="68">
        <f t="shared" si="14"/>
        <v>417</v>
      </c>
      <c r="AV8" s="581">
        <f t="shared" si="15"/>
        <v>357.5</v>
      </c>
      <c r="AW8" s="582">
        <f t="shared" si="16"/>
        <v>526</v>
      </c>
      <c r="AX8" s="582">
        <f t="shared" si="17"/>
        <v>559</v>
      </c>
      <c r="AY8" s="582">
        <f t="shared" si="18"/>
        <v>526</v>
      </c>
      <c r="AZ8" s="582">
        <f t="shared" si="19"/>
        <v>559</v>
      </c>
      <c r="BA8" s="582">
        <f t="shared" si="20"/>
        <v>426</v>
      </c>
      <c r="BB8" s="582">
        <f t="shared" si="21"/>
        <v>406</v>
      </c>
      <c r="BC8" s="582">
        <f t="shared" si="22"/>
        <v>426</v>
      </c>
      <c r="BD8" s="582">
        <f t="shared" si="23"/>
        <v>271</v>
      </c>
      <c r="BE8" s="582">
        <f t="shared" si="24"/>
        <v>319</v>
      </c>
      <c r="BF8" s="582">
        <f t="shared" si="25"/>
        <v>331</v>
      </c>
      <c r="BG8" s="582">
        <f t="shared" si="26"/>
        <v>406</v>
      </c>
      <c r="BH8" s="582">
        <f t="shared" si="27"/>
        <v>406</v>
      </c>
      <c r="BI8" s="582">
        <f t="shared" si="28"/>
        <v>426</v>
      </c>
      <c r="BJ8" s="582">
        <f t="shared" si="29"/>
        <v>426</v>
      </c>
      <c r="BK8" s="582">
        <f t="shared" si="30"/>
        <v>319</v>
      </c>
      <c r="BL8" s="582">
        <f t="shared" si="31"/>
        <v>308</v>
      </c>
      <c r="BM8" s="74"/>
      <c r="BN8" s="74"/>
      <c r="BO8" s="582">
        <f t="shared" si="32"/>
        <v>1051</v>
      </c>
      <c r="BP8" s="602">
        <f t="shared" si="33"/>
        <v>1051</v>
      </c>
      <c r="BQ8" s="54">
        <v>4.0</v>
      </c>
      <c r="BR8" s="54">
        <v>11.0</v>
      </c>
      <c r="BS8" s="54">
        <v>10.0</v>
      </c>
      <c r="BT8" s="54">
        <v>100.0</v>
      </c>
      <c r="BU8" s="74"/>
      <c r="BV8" s="83">
        <f t="shared" si="34"/>
        <v>7.5</v>
      </c>
      <c r="BW8" s="608">
        <f t="shared" si="35"/>
        <v>431.6</v>
      </c>
      <c r="BX8" s="582">
        <f t="shared" si="36"/>
        <v>634.7</v>
      </c>
      <c r="BY8" s="582">
        <f t="shared" si="37"/>
        <v>674.4</v>
      </c>
      <c r="BZ8" s="582">
        <f t="shared" si="38"/>
        <v>634.7</v>
      </c>
      <c r="CA8" s="582">
        <f t="shared" si="39"/>
        <v>513.8</v>
      </c>
      <c r="CB8" s="582">
        <f t="shared" si="40"/>
        <v>513.8</v>
      </c>
      <c r="CC8" s="582">
        <f t="shared" si="41"/>
        <v>674.4</v>
      </c>
      <c r="CD8" s="582">
        <f t="shared" si="42"/>
        <v>490.5</v>
      </c>
      <c r="CE8" s="623" t="str">
        <f t="shared" si="43"/>
        <v/>
      </c>
      <c r="CF8" s="74">
        <f t="shared" ref="CF8:CG8" si="44">IF(ROUND(100*(AV8/BW8)-100,1)=0,"",ROUND(100*(AV8/BW8)-100,1))</f>
        <v>-17.2</v>
      </c>
      <c r="CG8" s="575">
        <f t="shared" si="44"/>
        <v>-17.1</v>
      </c>
      <c r="CH8" s="575" t="s">
        <v>181</v>
      </c>
      <c r="CI8" s="582">
        <f t="shared" ref="CI8:DF8" si="45">FLOOR($AV8/(CI$3/25),1)</f>
        <v>357</v>
      </c>
      <c r="CJ8" s="582">
        <f t="shared" si="45"/>
        <v>372</v>
      </c>
      <c r="CK8" s="582">
        <f t="shared" si="45"/>
        <v>388</v>
      </c>
      <c r="CL8" s="582">
        <f t="shared" si="45"/>
        <v>406</v>
      </c>
      <c r="CM8" s="582">
        <f t="shared" si="45"/>
        <v>425</v>
      </c>
      <c r="CN8" s="582">
        <f t="shared" si="45"/>
        <v>446</v>
      </c>
      <c r="CO8" s="582">
        <f t="shared" si="45"/>
        <v>470</v>
      </c>
      <c r="CP8" s="582">
        <f t="shared" si="45"/>
        <v>496</v>
      </c>
      <c r="CQ8" s="582">
        <f t="shared" si="45"/>
        <v>525</v>
      </c>
      <c r="CR8" s="582">
        <f t="shared" si="45"/>
        <v>558</v>
      </c>
      <c r="CS8" s="582">
        <f t="shared" si="45"/>
        <v>595</v>
      </c>
      <c r="CT8" s="582">
        <f t="shared" si="45"/>
        <v>638</v>
      </c>
      <c r="CU8" s="582">
        <f t="shared" si="45"/>
        <v>687</v>
      </c>
      <c r="CV8" s="582">
        <f t="shared" si="45"/>
        <v>744</v>
      </c>
      <c r="CW8" s="582">
        <f t="shared" si="45"/>
        <v>812</v>
      </c>
      <c r="CX8" s="582">
        <f t="shared" si="45"/>
        <v>893</v>
      </c>
      <c r="CY8" s="582">
        <f t="shared" si="45"/>
        <v>993</v>
      </c>
      <c r="CZ8" s="582">
        <f t="shared" si="45"/>
        <v>1117</v>
      </c>
      <c r="DA8" s="582">
        <f t="shared" si="45"/>
        <v>1276</v>
      </c>
      <c r="DB8" s="582">
        <f t="shared" si="45"/>
        <v>1489</v>
      </c>
      <c r="DC8" s="582">
        <f t="shared" si="45"/>
        <v>1787</v>
      </c>
      <c r="DD8" s="582">
        <f t="shared" si="45"/>
        <v>2234</v>
      </c>
      <c r="DE8" s="582">
        <f t="shared" si="45"/>
        <v>2979</v>
      </c>
      <c r="DF8" s="602">
        <f t="shared" si="45"/>
        <v>4468</v>
      </c>
      <c r="DG8" s="575"/>
      <c r="DH8" s="575" t="str">
        <f t="shared" si="46"/>
        <v/>
      </c>
      <c r="DI8" s="74" t="str">
        <f t="shared" si="47"/>
        <v/>
      </c>
      <c r="DJ8" s="74" t="str">
        <f t="shared" si="48"/>
        <v/>
      </c>
      <c r="DK8" s="623" t="str">
        <f t="shared" si="49"/>
        <v/>
      </c>
      <c r="DL8" s="74"/>
      <c r="DM8" s="74"/>
      <c r="DN8" s="74"/>
      <c r="DO8" s="575"/>
      <c r="DP8" s="297"/>
    </row>
    <row r="9">
      <c r="A9" s="552">
        <v>3.0</v>
      </c>
      <c r="B9" s="86">
        <v>3.0</v>
      </c>
      <c r="C9" s="54">
        <v>5.0</v>
      </c>
      <c r="D9" s="54">
        <v>13.0</v>
      </c>
      <c r="E9" s="74"/>
      <c r="F9" s="68" t="s">
        <v>1246</v>
      </c>
      <c r="G9" s="68">
        <f t="shared" si="5"/>
        <v>16</v>
      </c>
      <c r="H9" s="68">
        <f t="shared" si="6"/>
        <v>15</v>
      </c>
      <c r="I9" s="68">
        <f t="shared" si="7"/>
        <v>16</v>
      </c>
      <c r="J9" s="68">
        <f t="shared" si="8"/>
        <v>19</v>
      </c>
      <c r="K9" s="68">
        <f t="shared" si="9"/>
        <v>19</v>
      </c>
      <c r="L9" s="68">
        <f t="shared" si="10"/>
        <v>15</v>
      </c>
      <c r="M9" s="569">
        <f t="shared" si="11"/>
        <v>20</v>
      </c>
      <c r="N9" s="74" t="s">
        <v>215</v>
      </c>
      <c r="O9" s="570" t="s">
        <v>1662</v>
      </c>
      <c r="P9" s="639" t="s">
        <v>1663</v>
      </c>
      <c r="Q9" s="571" t="s">
        <v>1313</v>
      </c>
      <c r="R9" s="571" t="s">
        <v>1314</v>
      </c>
      <c r="S9" s="571" t="s">
        <v>175</v>
      </c>
      <c r="T9" s="572" t="s">
        <v>218</v>
      </c>
      <c r="U9" s="54">
        <v>13.0</v>
      </c>
      <c r="V9" s="54">
        <v>0.0</v>
      </c>
      <c r="W9" s="54">
        <v>43.0</v>
      </c>
      <c r="X9" s="74"/>
      <c r="Y9" s="54">
        <v>5.0</v>
      </c>
      <c r="Z9" s="54">
        <v>10.0</v>
      </c>
      <c r="AA9" s="54">
        <v>2.0</v>
      </c>
      <c r="AB9" s="54">
        <v>48.0</v>
      </c>
      <c r="AC9" s="54">
        <v>873.0</v>
      </c>
      <c r="AD9" s="54">
        <v>4.0</v>
      </c>
      <c r="AE9" s="54">
        <v>100.0</v>
      </c>
      <c r="AF9" s="74"/>
      <c r="AG9" s="54">
        <v>5.0</v>
      </c>
      <c r="AH9" s="54">
        <v>13.0</v>
      </c>
      <c r="AI9" s="574">
        <f t="shared" si="12"/>
        <v>9</v>
      </c>
      <c r="AJ9" s="74"/>
      <c r="AK9" s="74"/>
      <c r="AL9" s="74"/>
      <c r="AM9" s="74"/>
      <c r="AN9" s="74"/>
      <c r="AO9" s="74"/>
      <c r="AP9" s="74"/>
      <c r="AQ9" s="74"/>
      <c r="AR9" s="74"/>
      <c r="AS9" s="575"/>
      <c r="AT9" s="68">
        <f t="shared" si="13"/>
        <v>313</v>
      </c>
      <c r="AU9" s="68">
        <f t="shared" si="14"/>
        <v>451</v>
      </c>
      <c r="AV9" s="581">
        <f t="shared" si="15"/>
        <v>382</v>
      </c>
      <c r="AW9" s="582">
        <f t="shared" si="16"/>
        <v>562</v>
      </c>
      <c r="AX9" s="582">
        <f t="shared" si="17"/>
        <v>597</v>
      </c>
      <c r="AY9" s="582">
        <f t="shared" si="18"/>
        <v>562</v>
      </c>
      <c r="AZ9" s="582">
        <f t="shared" si="19"/>
        <v>597</v>
      </c>
      <c r="BA9" s="582">
        <f t="shared" si="20"/>
        <v>455</v>
      </c>
      <c r="BB9" s="582">
        <f t="shared" si="21"/>
        <v>434</v>
      </c>
      <c r="BC9" s="582">
        <f t="shared" si="22"/>
        <v>455</v>
      </c>
      <c r="BD9" s="582">
        <f t="shared" si="23"/>
        <v>289</v>
      </c>
      <c r="BE9" s="582">
        <f t="shared" si="24"/>
        <v>341</v>
      </c>
      <c r="BF9" s="582">
        <f t="shared" si="25"/>
        <v>354</v>
      </c>
      <c r="BG9" s="582">
        <f t="shared" si="26"/>
        <v>434</v>
      </c>
      <c r="BH9" s="582">
        <f t="shared" si="27"/>
        <v>434</v>
      </c>
      <c r="BI9" s="582">
        <f t="shared" si="28"/>
        <v>455</v>
      </c>
      <c r="BJ9" s="582">
        <f t="shared" si="29"/>
        <v>455</v>
      </c>
      <c r="BK9" s="582">
        <f t="shared" si="30"/>
        <v>341</v>
      </c>
      <c r="BL9" s="582">
        <f t="shared" si="31"/>
        <v>329</v>
      </c>
      <c r="BM9" s="74"/>
      <c r="BN9" s="74"/>
      <c r="BO9" s="582">
        <f t="shared" si="32"/>
        <v>1124</v>
      </c>
      <c r="BP9" s="602">
        <f t="shared" si="33"/>
        <v>1124</v>
      </c>
      <c r="BQ9" s="54">
        <v>5.0</v>
      </c>
      <c r="BR9" s="54">
        <v>13.0</v>
      </c>
      <c r="BS9" s="54">
        <v>10.0</v>
      </c>
      <c r="BT9" s="54">
        <v>100.0</v>
      </c>
      <c r="BU9" s="74"/>
      <c r="BV9" s="83">
        <f t="shared" si="34"/>
        <v>9</v>
      </c>
      <c r="BW9" s="608">
        <f t="shared" si="35"/>
        <v>461.9</v>
      </c>
      <c r="BX9" s="582">
        <f t="shared" si="36"/>
        <v>679.3</v>
      </c>
      <c r="BY9" s="582">
        <f t="shared" si="37"/>
        <v>721.7</v>
      </c>
      <c r="BZ9" s="582">
        <f t="shared" si="38"/>
        <v>679.3</v>
      </c>
      <c r="CA9" s="582">
        <f t="shared" si="39"/>
        <v>549.9</v>
      </c>
      <c r="CB9" s="582">
        <f t="shared" si="40"/>
        <v>549.9</v>
      </c>
      <c r="CC9" s="582">
        <f t="shared" si="41"/>
        <v>721.7</v>
      </c>
      <c r="CD9" s="582">
        <f t="shared" si="42"/>
        <v>524.9</v>
      </c>
      <c r="CE9" s="623" t="str">
        <f t="shared" si="43"/>
        <v/>
      </c>
      <c r="CF9" s="74">
        <f t="shared" ref="CF9:CG9" si="50">IF(ROUND(100*(AV9/BW9)-100,1)=0,"",ROUND(100*(AV9/BW9)-100,1))</f>
        <v>-17.3</v>
      </c>
      <c r="CG9" s="575">
        <f t="shared" si="50"/>
        <v>-17.3</v>
      </c>
      <c r="CH9" s="575" t="s">
        <v>215</v>
      </c>
      <c r="CI9" s="582">
        <f t="shared" ref="CI9:DF9" si="51">FLOOR($AV9/(CI$3/25),1)</f>
        <v>382</v>
      </c>
      <c r="CJ9" s="582">
        <f t="shared" si="51"/>
        <v>397</v>
      </c>
      <c r="CK9" s="582">
        <f t="shared" si="51"/>
        <v>415</v>
      </c>
      <c r="CL9" s="582">
        <f t="shared" si="51"/>
        <v>434</v>
      </c>
      <c r="CM9" s="582">
        <f t="shared" si="51"/>
        <v>454</v>
      </c>
      <c r="CN9" s="582">
        <f t="shared" si="51"/>
        <v>477</v>
      </c>
      <c r="CO9" s="582">
        <f t="shared" si="51"/>
        <v>502</v>
      </c>
      <c r="CP9" s="582">
        <f t="shared" si="51"/>
        <v>530</v>
      </c>
      <c r="CQ9" s="582">
        <f t="shared" si="51"/>
        <v>561</v>
      </c>
      <c r="CR9" s="582">
        <f t="shared" si="51"/>
        <v>596</v>
      </c>
      <c r="CS9" s="582">
        <f t="shared" si="51"/>
        <v>636</v>
      </c>
      <c r="CT9" s="582">
        <f t="shared" si="51"/>
        <v>682</v>
      </c>
      <c r="CU9" s="582">
        <f t="shared" si="51"/>
        <v>734</v>
      </c>
      <c r="CV9" s="582">
        <f t="shared" si="51"/>
        <v>795</v>
      </c>
      <c r="CW9" s="582">
        <f t="shared" si="51"/>
        <v>868</v>
      </c>
      <c r="CX9" s="582">
        <f t="shared" si="51"/>
        <v>955</v>
      </c>
      <c r="CY9" s="582">
        <f t="shared" si="51"/>
        <v>1061</v>
      </c>
      <c r="CZ9" s="582">
        <f t="shared" si="51"/>
        <v>1193</v>
      </c>
      <c r="DA9" s="582">
        <f t="shared" si="51"/>
        <v>1364</v>
      </c>
      <c r="DB9" s="582">
        <f t="shared" si="51"/>
        <v>1591</v>
      </c>
      <c r="DC9" s="582">
        <f t="shared" si="51"/>
        <v>1910</v>
      </c>
      <c r="DD9" s="582">
        <f t="shared" si="51"/>
        <v>2387</v>
      </c>
      <c r="DE9" s="582">
        <f t="shared" si="51"/>
        <v>3183</v>
      </c>
      <c r="DF9" s="602">
        <f t="shared" si="51"/>
        <v>4775</v>
      </c>
      <c r="DG9" s="575"/>
      <c r="DH9" s="575" t="str">
        <f t="shared" si="46"/>
        <v/>
      </c>
      <c r="DI9" s="74" t="str">
        <f t="shared" si="47"/>
        <v/>
      </c>
      <c r="DJ9" s="74" t="str">
        <f t="shared" si="48"/>
        <v/>
      </c>
      <c r="DK9" s="623" t="str">
        <f t="shared" si="49"/>
        <v/>
      </c>
      <c r="DL9" s="74"/>
      <c r="DM9" s="74"/>
      <c r="DN9" s="74"/>
      <c r="DO9" s="575"/>
      <c r="DP9" s="297"/>
    </row>
    <row r="10">
      <c r="A10" s="552">
        <v>4.0</v>
      </c>
      <c r="B10" s="86">
        <v>4.0</v>
      </c>
      <c r="C10" s="54">
        <v>7.0</v>
      </c>
      <c r="D10" s="54">
        <v>11.0</v>
      </c>
      <c r="E10" s="74"/>
      <c r="F10" s="68" t="s">
        <v>1246</v>
      </c>
      <c r="G10" s="68">
        <f t="shared" si="5"/>
        <v>16</v>
      </c>
      <c r="H10" s="68">
        <f t="shared" si="6"/>
        <v>15</v>
      </c>
      <c r="I10" s="68">
        <f t="shared" si="7"/>
        <v>16</v>
      </c>
      <c r="J10" s="68">
        <f t="shared" si="8"/>
        <v>19</v>
      </c>
      <c r="K10" s="68">
        <f t="shared" si="9"/>
        <v>19</v>
      </c>
      <c r="L10" s="68">
        <f t="shared" si="10"/>
        <v>15</v>
      </c>
      <c r="M10" s="569">
        <f t="shared" si="11"/>
        <v>20</v>
      </c>
      <c r="N10" s="74" t="s">
        <v>232</v>
      </c>
      <c r="O10" s="570" t="s">
        <v>1665</v>
      </c>
      <c r="P10" s="639" t="s">
        <v>1666</v>
      </c>
      <c r="Q10" s="571" t="s">
        <v>1313</v>
      </c>
      <c r="R10" s="571" t="s">
        <v>1314</v>
      </c>
      <c r="S10" s="571" t="s">
        <v>175</v>
      </c>
      <c r="T10" s="572" t="s">
        <v>233</v>
      </c>
      <c r="U10" s="54">
        <v>19.0</v>
      </c>
      <c r="V10" s="54">
        <v>0.0</v>
      </c>
      <c r="W10" s="54">
        <v>49.0</v>
      </c>
      <c r="X10" s="54">
        <v>33.0</v>
      </c>
      <c r="Y10" s="54">
        <v>6.0</v>
      </c>
      <c r="Z10" s="54">
        <v>-10.0</v>
      </c>
      <c r="AA10" s="54">
        <v>2.0</v>
      </c>
      <c r="AB10" s="54">
        <v>52.0</v>
      </c>
      <c r="AC10" s="54">
        <v>1421.0</v>
      </c>
      <c r="AD10" s="54">
        <v>4.0</v>
      </c>
      <c r="AE10" s="54">
        <v>100.0</v>
      </c>
      <c r="AF10" s="74"/>
      <c r="AG10" s="54">
        <v>7.0</v>
      </c>
      <c r="AH10" s="54">
        <v>11.0</v>
      </c>
      <c r="AI10" s="574">
        <f t="shared" si="12"/>
        <v>9</v>
      </c>
      <c r="AJ10" s="74"/>
      <c r="AK10" s="74"/>
      <c r="AL10" s="74"/>
      <c r="AM10" s="74"/>
      <c r="AN10" s="74"/>
      <c r="AO10" s="74"/>
      <c r="AP10" s="74"/>
      <c r="AQ10" s="74"/>
      <c r="AR10" s="74"/>
      <c r="AS10" s="575"/>
      <c r="AT10" s="68">
        <f t="shared" si="13"/>
        <v>347</v>
      </c>
      <c r="AU10" s="68">
        <f t="shared" si="14"/>
        <v>417</v>
      </c>
      <c r="AV10" s="581">
        <f t="shared" si="15"/>
        <v>382</v>
      </c>
      <c r="AW10" s="582">
        <f t="shared" si="16"/>
        <v>682</v>
      </c>
      <c r="AX10" s="582">
        <f t="shared" si="17"/>
        <v>735</v>
      </c>
      <c r="AY10" s="582">
        <f t="shared" si="18"/>
        <v>682</v>
      </c>
      <c r="AZ10" s="582">
        <f t="shared" si="19"/>
        <v>735</v>
      </c>
      <c r="BA10" s="582">
        <f t="shared" si="20"/>
        <v>562</v>
      </c>
      <c r="BB10" s="582">
        <f t="shared" si="21"/>
        <v>531</v>
      </c>
      <c r="BC10" s="582">
        <f t="shared" si="22"/>
        <v>562</v>
      </c>
      <c r="BD10" s="582">
        <f t="shared" si="23"/>
        <v>434</v>
      </c>
      <c r="BE10" s="582">
        <f t="shared" si="24"/>
        <v>531</v>
      </c>
      <c r="BF10" s="582">
        <f t="shared" si="25"/>
        <v>531</v>
      </c>
      <c r="BG10" s="582">
        <f t="shared" si="26"/>
        <v>637</v>
      </c>
      <c r="BH10" s="582">
        <f t="shared" si="27"/>
        <v>637</v>
      </c>
      <c r="BI10" s="582">
        <f t="shared" si="28"/>
        <v>682</v>
      </c>
      <c r="BJ10" s="582">
        <f t="shared" si="29"/>
        <v>682</v>
      </c>
      <c r="BK10" s="582">
        <f t="shared" si="30"/>
        <v>531</v>
      </c>
      <c r="BL10" s="582">
        <f t="shared" si="31"/>
        <v>503</v>
      </c>
      <c r="BM10" s="74"/>
      <c r="BN10" s="74"/>
      <c r="BO10" s="582">
        <f t="shared" si="32"/>
        <v>1364</v>
      </c>
      <c r="BP10" s="602">
        <f t="shared" si="33"/>
        <v>1364</v>
      </c>
      <c r="BQ10" s="54">
        <v>7.0</v>
      </c>
      <c r="BR10" s="54">
        <v>11.0</v>
      </c>
      <c r="BS10" s="54">
        <v>-10.0</v>
      </c>
      <c r="BT10" s="54">
        <v>100.0</v>
      </c>
      <c r="BU10" s="74"/>
      <c r="BV10" s="83">
        <f t="shared" si="34"/>
        <v>9</v>
      </c>
      <c r="BW10" s="608">
        <f t="shared" si="35"/>
        <v>461.9</v>
      </c>
      <c r="BX10" s="582">
        <f t="shared" si="36"/>
        <v>824.8</v>
      </c>
      <c r="BY10" s="582">
        <f t="shared" si="37"/>
        <v>888.3</v>
      </c>
      <c r="BZ10" s="582">
        <f t="shared" si="38"/>
        <v>824.8</v>
      </c>
      <c r="CA10" s="582">
        <f t="shared" si="39"/>
        <v>679.3</v>
      </c>
      <c r="CB10" s="582">
        <f t="shared" si="40"/>
        <v>679.3</v>
      </c>
      <c r="CC10" s="582">
        <f t="shared" si="41"/>
        <v>888.3</v>
      </c>
      <c r="CD10" s="582">
        <f t="shared" si="42"/>
        <v>641.5</v>
      </c>
      <c r="CE10" s="623" t="str">
        <f t="shared" si="43"/>
        <v/>
      </c>
      <c r="CF10" s="74">
        <f t="shared" ref="CF10:CG10" si="52">IF(ROUND(100*(AV10/BW10)-100,1)=0,"",ROUND(100*(AV10/BW10)-100,1))</f>
        <v>-17.3</v>
      </c>
      <c r="CG10" s="602">
        <f t="shared" si="52"/>
        <v>-17.3</v>
      </c>
      <c r="CH10" s="575" t="s">
        <v>232</v>
      </c>
      <c r="CI10" s="582">
        <f t="shared" ref="CI10:DF10" si="53">FLOOR($AV10/(CI$3/25),1)</f>
        <v>382</v>
      </c>
      <c r="CJ10" s="582">
        <f t="shared" si="53"/>
        <v>397</v>
      </c>
      <c r="CK10" s="582">
        <f t="shared" si="53"/>
        <v>415</v>
      </c>
      <c r="CL10" s="582">
        <f t="shared" si="53"/>
        <v>434</v>
      </c>
      <c r="CM10" s="582">
        <f t="shared" si="53"/>
        <v>454</v>
      </c>
      <c r="CN10" s="582">
        <f t="shared" si="53"/>
        <v>477</v>
      </c>
      <c r="CO10" s="582">
        <f t="shared" si="53"/>
        <v>502</v>
      </c>
      <c r="CP10" s="582">
        <f t="shared" si="53"/>
        <v>530</v>
      </c>
      <c r="CQ10" s="582">
        <f t="shared" si="53"/>
        <v>561</v>
      </c>
      <c r="CR10" s="582">
        <f t="shared" si="53"/>
        <v>596</v>
      </c>
      <c r="CS10" s="582">
        <f t="shared" si="53"/>
        <v>636</v>
      </c>
      <c r="CT10" s="582">
        <f t="shared" si="53"/>
        <v>682</v>
      </c>
      <c r="CU10" s="582">
        <f t="shared" si="53"/>
        <v>734</v>
      </c>
      <c r="CV10" s="582">
        <f t="shared" si="53"/>
        <v>795</v>
      </c>
      <c r="CW10" s="582">
        <f t="shared" si="53"/>
        <v>868</v>
      </c>
      <c r="CX10" s="582">
        <f t="shared" si="53"/>
        <v>955</v>
      </c>
      <c r="CY10" s="582">
        <f t="shared" si="53"/>
        <v>1061</v>
      </c>
      <c r="CZ10" s="582">
        <f t="shared" si="53"/>
        <v>1193</v>
      </c>
      <c r="DA10" s="582">
        <f t="shared" si="53"/>
        <v>1364</v>
      </c>
      <c r="DB10" s="582">
        <f t="shared" si="53"/>
        <v>1591</v>
      </c>
      <c r="DC10" s="582">
        <f t="shared" si="53"/>
        <v>1910</v>
      </c>
      <c r="DD10" s="582">
        <f t="shared" si="53"/>
        <v>2387</v>
      </c>
      <c r="DE10" s="582">
        <f t="shared" si="53"/>
        <v>3183</v>
      </c>
      <c r="DF10" s="602">
        <f t="shared" si="53"/>
        <v>4775</v>
      </c>
      <c r="DG10" s="575"/>
      <c r="DH10" s="575" t="str">
        <f t="shared" si="46"/>
        <v/>
      </c>
      <c r="DI10" s="74" t="str">
        <f t="shared" si="47"/>
        <v/>
      </c>
      <c r="DJ10" s="74" t="str">
        <f t="shared" si="48"/>
        <v/>
      </c>
      <c r="DK10" s="623" t="str">
        <f t="shared" si="49"/>
        <v/>
      </c>
      <c r="DL10" s="74"/>
      <c r="DM10" s="74"/>
      <c r="DN10" s="74"/>
      <c r="DO10" s="575"/>
      <c r="DP10" s="297"/>
    </row>
    <row r="11">
      <c r="A11" s="647">
        <v>5.0</v>
      </c>
      <c r="B11" s="141">
        <v>5.0</v>
      </c>
      <c r="C11" s="129">
        <v>12.0</v>
      </c>
      <c r="D11" s="129">
        <v>20.0</v>
      </c>
      <c r="E11" s="134"/>
      <c r="F11" s="154" t="s">
        <v>1246</v>
      </c>
      <c r="G11" s="154">
        <f t="shared" si="5"/>
        <v>16</v>
      </c>
      <c r="H11" s="154">
        <f t="shared" si="6"/>
        <v>15</v>
      </c>
      <c r="I11" s="154">
        <f t="shared" si="7"/>
        <v>16</v>
      </c>
      <c r="J11" s="154">
        <f t="shared" si="8"/>
        <v>19</v>
      </c>
      <c r="K11" s="154">
        <f t="shared" si="9"/>
        <v>19</v>
      </c>
      <c r="L11" s="154">
        <f t="shared" si="10"/>
        <v>15</v>
      </c>
      <c r="M11" s="648">
        <f t="shared" si="11"/>
        <v>20</v>
      </c>
      <c r="N11" s="134" t="s">
        <v>239</v>
      </c>
      <c r="O11" s="649" t="s">
        <v>1667</v>
      </c>
      <c r="P11" s="650"/>
      <c r="Q11" s="650" t="s">
        <v>1313</v>
      </c>
      <c r="R11" s="650" t="s">
        <v>1314</v>
      </c>
      <c r="S11" s="650" t="s">
        <v>175</v>
      </c>
      <c r="T11" s="651" t="s">
        <v>240</v>
      </c>
      <c r="U11" s="129">
        <v>25.0</v>
      </c>
      <c r="V11" s="129">
        <v>0.0</v>
      </c>
      <c r="W11" s="129">
        <v>67.0</v>
      </c>
      <c r="X11" s="134"/>
      <c r="Y11" s="129">
        <v>6.0</v>
      </c>
      <c r="Z11" s="129">
        <v>0.0</v>
      </c>
      <c r="AA11" s="129">
        <v>2.0</v>
      </c>
      <c r="AB11" s="129">
        <v>52.0</v>
      </c>
      <c r="AC11" s="129">
        <v>2123.0</v>
      </c>
      <c r="AD11" s="129">
        <v>4.0</v>
      </c>
      <c r="AE11" s="129">
        <v>100.0</v>
      </c>
      <c r="AF11" s="134"/>
      <c r="AG11" s="129">
        <v>12.0</v>
      </c>
      <c r="AH11" s="129">
        <v>20.0</v>
      </c>
      <c r="AI11" s="652">
        <f t="shared" si="12"/>
        <v>16</v>
      </c>
      <c r="AJ11" s="134"/>
      <c r="AK11" s="134"/>
      <c r="AL11" s="134"/>
      <c r="AM11" s="134"/>
      <c r="AN11" s="134"/>
      <c r="AO11" s="134"/>
      <c r="AP11" s="134"/>
      <c r="AQ11" s="134"/>
      <c r="AR11" s="134"/>
      <c r="AS11" s="653"/>
      <c r="AT11" s="154">
        <f t="shared" si="13"/>
        <v>432</v>
      </c>
      <c r="AU11" s="154">
        <f t="shared" si="14"/>
        <v>568</v>
      </c>
      <c r="AV11" s="654">
        <f t="shared" si="15"/>
        <v>500</v>
      </c>
      <c r="AW11" s="655">
        <f t="shared" si="16"/>
        <v>833</v>
      </c>
      <c r="AX11" s="655">
        <f t="shared" si="17"/>
        <v>893</v>
      </c>
      <c r="AY11" s="655">
        <f t="shared" si="18"/>
        <v>833</v>
      </c>
      <c r="AZ11" s="655">
        <f t="shared" si="19"/>
        <v>893</v>
      </c>
      <c r="BA11" s="655">
        <f t="shared" si="20"/>
        <v>694</v>
      </c>
      <c r="BB11" s="655">
        <f t="shared" si="21"/>
        <v>658</v>
      </c>
      <c r="BC11" s="655">
        <f t="shared" si="22"/>
        <v>694</v>
      </c>
      <c r="BD11" s="655">
        <f t="shared" si="23"/>
        <v>463</v>
      </c>
      <c r="BE11" s="655">
        <f t="shared" si="24"/>
        <v>568</v>
      </c>
      <c r="BF11" s="655">
        <f t="shared" si="25"/>
        <v>543</v>
      </c>
      <c r="BG11" s="655">
        <f t="shared" si="26"/>
        <v>658</v>
      </c>
      <c r="BH11" s="655">
        <f t="shared" si="27"/>
        <v>658</v>
      </c>
      <c r="BI11" s="655">
        <f t="shared" si="28"/>
        <v>694</v>
      </c>
      <c r="BJ11" s="655">
        <f t="shared" si="29"/>
        <v>694</v>
      </c>
      <c r="BK11" s="655">
        <f t="shared" si="30"/>
        <v>568</v>
      </c>
      <c r="BL11" s="655">
        <f t="shared" si="31"/>
        <v>543</v>
      </c>
      <c r="BM11" s="134"/>
      <c r="BN11" s="134"/>
      <c r="BO11" s="655">
        <f t="shared" si="32"/>
        <v>1667</v>
      </c>
      <c r="BP11" s="656">
        <f t="shared" si="33"/>
        <v>1667</v>
      </c>
      <c r="BQ11" s="129">
        <v>10.0</v>
      </c>
      <c r="BR11" s="129">
        <v>18.0</v>
      </c>
      <c r="BS11" s="134"/>
      <c r="BT11" s="129">
        <v>100.0</v>
      </c>
      <c r="BU11" s="134"/>
      <c r="BV11" s="135">
        <f t="shared" si="34"/>
        <v>14</v>
      </c>
      <c r="BW11" s="657">
        <f t="shared" si="35"/>
        <v>563.2</v>
      </c>
      <c r="BX11" s="655">
        <f t="shared" si="36"/>
        <v>938.7</v>
      </c>
      <c r="BY11" s="655">
        <f t="shared" si="37"/>
        <v>1005.7</v>
      </c>
      <c r="BZ11" s="655">
        <f t="shared" si="38"/>
        <v>938.7</v>
      </c>
      <c r="CA11" s="655">
        <f t="shared" si="39"/>
        <v>782.2</v>
      </c>
      <c r="CB11" s="655">
        <f t="shared" si="40"/>
        <v>782.2</v>
      </c>
      <c r="CC11" s="655">
        <f t="shared" si="41"/>
        <v>1005.7</v>
      </c>
      <c r="CD11" s="655">
        <f t="shared" si="42"/>
        <v>741.1</v>
      </c>
      <c r="CE11" s="659">
        <f t="shared" si="43"/>
        <v>14.3</v>
      </c>
      <c r="CF11" s="141">
        <f t="shared" ref="CF11:CG11" si="54">IF(ROUND(100*(AV11/BW11)-100,1)=0,"",ROUND(100*(AV11/BW11)-100,1))</f>
        <v>-11.2</v>
      </c>
      <c r="CG11" s="647">
        <f t="shared" si="54"/>
        <v>-11.3</v>
      </c>
      <c r="CH11" s="653" t="s">
        <v>239</v>
      </c>
      <c r="CI11" s="655">
        <f t="shared" ref="CI11:DF11" si="55">FLOOR($AV11/(CI$3/25),1)</f>
        <v>500</v>
      </c>
      <c r="CJ11" s="655">
        <f t="shared" si="55"/>
        <v>520</v>
      </c>
      <c r="CK11" s="655">
        <f t="shared" si="55"/>
        <v>543</v>
      </c>
      <c r="CL11" s="655">
        <f t="shared" si="55"/>
        <v>568</v>
      </c>
      <c r="CM11" s="655">
        <f t="shared" si="55"/>
        <v>595</v>
      </c>
      <c r="CN11" s="655">
        <f t="shared" si="55"/>
        <v>625</v>
      </c>
      <c r="CO11" s="655">
        <f t="shared" si="55"/>
        <v>657</v>
      </c>
      <c r="CP11" s="655">
        <f t="shared" si="55"/>
        <v>694</v>
      </c>
      <c r="CQ11" s="655">
        <f t="shared" si="55"/>
        <v>735</v>
      </c>
      <c r="CR11" s="655">
        <f t="shared" si="55"/>
        <v>781</v>
      </c>
      <c r="CS11" s="655">
        <f t="shared" si="55"/>
        <v>833</v>
      </c>
      <c r="CT11" s="655">
        <f t="shared" si="55"/>
        <v>892</v>
      </c>
      <c r="CU11" s="655">
        <f t="shared" si="55"/>
        <v>961</v>
      </c>
      <c r="CV11" s="655">
        <f t="shared" si="55"/>
        <v>1041</v>
      </c>
      <c r="CW11" s="655">
        <f t="shared" si="55"/>
        <v>1136</v>
      </c>
      <c r="CX11" s="655">
        <f t="shared" si="55"/>
        <v>1250</v>
      </c>
      <c r="CY11" s="655">
        <f t="shared" si="55"/>
        <v>1388</v>
      </c>
      <c r="CZ11" s="655">
        <f t="shared" si="55"/>
        <v>1562</v>
      </c>
      <c r="DA11" s="655">
        <f t="shared" si="55"/>
        <v>1785</v>
      </c>
      <c r="DB11" s="655">
        <f t="shared" si="55"/>
        <v>2083</v>
      </c>
      <c r="DC11" s="655">
        <f t="shared" si="55"/>
        <v>2500</v>
      </c>
      <c r="DD11" s="655">
        <f t="shared" si="55"/>
        <v>3125</v>
      </c>
      <c r="DE11" s="655">
        <f t="shared" si="55"/>
        <v>4166</v>
      </c>
      <c r="DF11" s="656">
        <f t="shared" si="55"/>
        <v>6250</v>
      </c>
      <c r="DG11" s="653"/>
      <c r="DH11" s="653" t="str">
        <f t="shared" si="46"/>
        <v/>
      </c>
      <c r="DI11" s="134" t="str">
        <f t="shared" si="47"/>
        <v/>
      </c>
      <c r="DJ11" s="134" t="str">
        <f t="shared" si="48"/>
        <v/>
      </c>
      <c r="DK11" s="662" t="str">
        <f t="shared" si="49"/>
        <v/>
      </c>
      <c r="DL11" s="134"/>
      <c r="DM11" s="134"/>
      <c r="DN11" s="134"/>
      <c r="DO11" s="653"/>
      <c r="DP11" s="663"/>
    </row>
    <row r="12">
      <c r="A12" s="552">
        <v>6.0</v>
      </c>
      <c r="B12" s="86">
        <v>109.0</v>
      </c>
      <c r="C12" s="54">
        <v>13.0</v>
      </c>
      <c r="D12" s="54">
        <v>26.0</v>
      </c>
      <c r="E12" s="74"/>
      <c r="F12" s="68" t="s">
        <v>1246</v>
      </c>
      <c r="G12" s="68">
        <f t="shared" si="5"/>
        <v>16</v>
      </c>
      <c r="H12" s="68">
        <f t="shared" si="6"/>
        <v>15</v>
      </c>
      <c r="I12" s="68">
        <f t="shared" si="7"/>
        <v>16</v>
      </c>
      <c r="J12" s="68">
        <f t="shared" si="8"/>
        <v>19</v>
      </c>
      <c r="K12" s="68">
        <f t="shared" si="9"/>
        <v>19</v>
      </c>
      <c r="L12" s="68">
        <f t="shared" si="10"/>
        <v>15</v>
      </c>
      <c r="M12" s="569">
        <f t="shared" si="11"/>
        <v>20</v>
      </c>
      <c r="N12" s="74" t="s">
        <v>118</v>
      </c>
      <c r="O12" s="570" t="s">
        <v>1669</v>
      </c>
      <c r="P12" s="571"/>
      <c r="Q12" s="571" t="s">
        <v>1670</v>
      </c>
      <c r="R12" s="571" t="s">
        <v>1314</v>
      </c>
      <c r="S12" s="571" t="s">
        <v>175</v>
      </c>
      <c r="T12" s="572" t="s">
        <v>119</v>
      </c>
      <c r="U12" s="54">
        <v>31.0</v>
      </c>
      <c r="V12" s="54">
        <v>19.0</v>
      </c>
      <c r="W12" s="54">
        <v>25.0</v>
      </c>
      <c r="X12" s="54">
        <v>25.0</v>
      </c>
      <c r="Y12" s="54">
        <v>3.0</v>
      </c>
      <c r="Z12" s="54">
        <v>0.0</v>
      </c>
      <c r="AA12" s="54">
        <v>2.0</v>
      </c>
      <c r="AB12" s="54">
        <v>56.0</v>
      </c>
      <c r="AC12" s="54">
        <v>810.0</v>
      </c>
      <c r="AD12" s="54">
        <v>3.0</v>
      </c>
      <c r="AE12" s="54">
        <v>100.0</v>
      </c>
      <c r="AF12" s="74"/>
      <c r="AG12" s="54">
        <v>15.0</v>
      </c>
      <c r="AH12" s="54">
        <v>30.0</v>
      </c>
      <c r="AI12" s="574">
        <f t="shared" si="12"/>
        <v>22.5</v>
      </c>
      <c r="AJ12" s="74"/>
      <c r="AK12" s="74"/>
      <c r="AL12" s="74"/>
      <c r="AM12" s="74"/>
      <c r="AN12" s="74"/>
      <c r="AO12" s="74"/>
      <c r="AP12" s="74"/>
      <c r="AQ12" s="74"/>
      <c r="AR12" s="74"/>
      <c r="AS12" s="575"/>
      <c r="AT12" s="68">
        <f t="shared" si="13"/>
        <v>483</v>
      </c>
      <c r="AU12" s="68">
        <f t="shared" si="14"/>
        <v>736</v>
      </c>
      <c r="AV12" s="581">
        <f t="shared" si="15"/>
        <v>609.5</v>
      </c>
      <c r="AW12" s="582">
        <f t="shared" si="16"/>
        <v>1016</v>
      </c>
      <c r="AX12" s="582">
        <f t="shared" si="17"/>
        <v>1088</v>
      </c>
      <c r="AY12" s="582">
        <f t="shared" si="18"/>
        <v>1016</v>
      </c>
      <c r="AZ12" s="582">
        <f t="shared" si="19"/>
        <v>1088</v>
      </c>
      <c r="BA12" s="582">
        <f t="shared" si="20"/>
        <v>847</v>
      </c>
      <c r="BB12" s="582">
        <f t="shared" si="21"/>
        <v>802</v>
      </c>
      <c r="BC12" s="582">
        <f t="shared" si="22"/>
        <v>847</v>
      </c>
      <c r="BD12" s="582">
        <f t="shared" si="23"/>
        <v>564</v>
      </c>
      <c r="BE12" s="582">
        <f t="shared" si="24"/>
        <v>693</v>
      </c>
      <c r="BF12" s="582">
        <f t="shared" si="25"/>
        <v>663</v>
      </c>
      <c r="BG12" s="582">
        <f t="shared" si="26"/>
        <v>802</v>
      </c>
      <c r="BH12" s="582">
        <f t="shared" si="27"/>
        <v>802</v>
      </c>
      <c r="BI12" s="582">
        <f t="shared" si="28"/>
        <v>847</v>
      </c>
      <c r="BJ12" s="582">
        <f t="shared" si="29"/>
        <v>847</v>
      </c>
      <c r="BK12" s="582">
        <f t="shared" si="30"/>
        <v>693</v>
      </c>
      <c r="BL12" s="582">
        <f t="shared" si="31"/>
        <v>663</v>
      </c>
      <c r="BM12" s="74"/>
      <c r="BN12" s="74"/>
      <c r="BO12" s="582">
        <f t="shared" si="32"/>
        <v>2032</v>
      </c>
      <c r="BP12" s="602">
        <f t="shared" si="33"/>
        <v>2032</v>
      </c>
      <c r="BQ12" s="54">
        <v>10.0</v>
      </c>
      <c r="BR12" s="54">
        <v>21.0</v>
      </c>
      <c r="BS12" s="74"/>
      <c r="BT12" s="54">
        <v>100.0</v>
      </c>
      <c r="BU12" s="74"/>
      <c r="BV12" s="83">
        <f t="shared" si="34"/>
        <v>15.5</v>
      </c>
      <c r="BW12" s="608">
        <f t="shared" si="35"/>
        <v>593.5</v>
      </c>
      <c r="BX12" s="582">
        <f t="shared" si="36"/>
        <v>989.2</v>
      </c>
      <c r="BY12" s="582">
        <f t="shared" si="37"/>
        <v>1059.8</v>
      </c>
      <c r="BZ12" s="582">
        <f t="shared" si="38"/>
        <v>989.2</v>
      </c>
      <c r="CA12" s="582">
        <f t="shared" si="39"/>
        <v>824.3</v>
      </c>
      <c r="CB12" s="582">
        <f t="shared" si="40"/>
        <v>824.3</v>
      </c>
      <c r="CC12" s="582">
        <f t="shared" si="41"/>
        <v>1059.8</v>
      </c>
      <c r="CD12" s="582">
        <f t="shared" si="42"/>
        <v>780.9</v>
      </c>
      <c r="CE12" s="664">
        <f t="shared" si="43"/>
        <v>45.2</v>
      </c>
      <c r="CF12" s="86">
        <f t="shared" ref="CF12:CG12" si="56">IF(ROUND(100*(AV12/BW12)-100,1)=0,"",ROUND(100*(AV12/BW12)-100,1))</f>
        <v>2.7</v>
      </c>
      <c r="CG12" s="552">
        <f t="shared" si="56"/>
        <v>2.7</v>
      </c>
      <c r="CH12" s="575" t="s">
        <v>118</v>
      </c>
      <c r="CI12" s="582">
        <f t="shared" ref="CI12:DF12" si="57">FLOOR($AV12/(CI$3/25),1)</f>
        <v>609</v>
      </c>
      <c r="CJ12" s="582">
        <f t="shared" si="57"/>
        <v>634</v>
      </c>
      <c r="CK12" s="582">
        <f t="shared" si="57"/>
        <v>662</v>
      </c>
      <c r="CL12" s="582">
        <f t="shared" si="57"/>
        <v>692</v>
      </c>
      <c r="CM12" s="582">
        <f t="shared" si="57"/>
        <v>725</v>
      </c>
      <c r="CN12" s="582">
        <f t="shared" si="57"/>
        <v>761</v>
      </c>
      <c r="CO12" s="582">
        <f t="shared" si="57"/>
        <v>801</v>
      </c>
      <c r="CP12" s="582">
        <f t="shared" si="57"/>
        <v>846</v>
      </c>
      <c r="CQ12" s="582">
        <f t="shared" si="57"/>
        <v>896</v>
      </c>
      <c r="CR12" s="582">
        <f t="shared" si="57"/>
        <v>952</v>
      </c>
      <c r="CS12" s="582">
        <f t="shared" si="57"/>
        <v>1015</v>
      </c>
      <c r="CT12" s="582">
        <f t="shared" si="57"/>
        <v>1088</v>
      </c>
      <c r="CU12" s="582">
        <f t="shared" si="57"/>
        <v>1172</v>
      </c>
      <c r="CV12" s="582">
        <f t="shared" si="57"/>
        <v>1269</v>
      </c>
      <c r="CW12" s="582">
        <f t="shared" si="57"/>
        <v>1385</v>
      </c>
      <c r="CX12" s="582">
        <f t="shared" si="57"/>
        <v>1523</v>
      </c>
      <c r="CY12" s="582">
        <f t="shared" si="57"/>
        <v>1693</v>
      </c>
      <c r="CZ12" s="582">
        <f t="shared" si="57"/>
        <v>1904</v>
      </c>
      <c r="DA12" s="582">
        <f t="shared" si="57"/>
        <v>2176</v>
      </c>
      <c r="DB12" s="582">
        <f t="shared" si="57"/>
        <v>2539</v>
      </c>
      <c r="DC12" s="582">
        <f t="shared" si="57"/>
        <v>3047</v>
      </c>
      <c r="DD12" s="582">
        <f t="shared" si="57"/>
        <v>3809</v>
      </c>
      <c r="DE12" s="582">
        <f t="shared" si="57"/>
        <v>5079</v>
      </c>
      <c r="DF12" s="602">
        <f t="shared" si="57"/>
        <v>7618</v>
      </c>
      <c r="DG12" s="575"/>
      <c r="DH12" s="575" t="str">
        <f t="shared" si="46"/>
        <v/>
      </c>
      <c r="DI12" s="74" t="str">
        <f t="shared" si="47"/>
        <v/>
      </c>
      <c r="DJ12" s="74" t="str">
        <f t="shared" si="48"/>
        <v/>
      </c>
      <c r="DK12" s="623" t="str">
        <f t="shared" si="49"/>
        <v/>
      </c>
      <c r="DL12" s="74"/>
      <c r="DM12" s="665">
        <v>-5.0</v>
      </c>
      <c r="DN12" s="582">
        <f t="shared" ref="DN12:DN21" si="60">IF(ISBLANK(DL12),ROUND(AI12/IF(ISBLANK(DL7),AI7,DL7),1),ROUND(DL12/IF(ISBLANK(DL7),AI7,DL7),1))</f>
        <v>5</v>
      </c>
      <c r="DO12" s="575" t="s">
        <v>1647</v>
      </c>
      <c r="DP12" s="297"/>
    </row>
    <row r="13">
      <c r="A13" s="552">
        <v>7.0</v>
      </c>
      <c r="B13" s="86">
        <v>110.0</v>
      </c>
      <c r="C13" s="54">
        <v>12.0</v>
      </c>
      <c r="D13" s="54">
        <v>41.0</v>
      </c>
      <c r="E13" s="74"/>
      <c r="F13" s="68" t="s">
        <v>1246</v>
      </c>
      <c r="G13" s="68">
        <f t="shared" si="5"/>
        <v>16</v>
      </c>
      <c r="H13" s="68">
        <f t="shared" si="6"/>
        <v>15</v>
      </c>
      <c r="I13" s="68">
        <f t="shared" si="7"/>
        <v>16</v>
      </c>
      <c r="J13" s="68">
        <f t="shared" si="8"/>
        <v>19</v>
      </c>
      <c r="K13" s="68">
        <f t="shared" si="9"/>
        <v>19</v>
      </c>
      <c r="L13" s="68">
        <f t="shared" si="10"/>
        <v>15</v>
      </c>
      <c r="M13" s="569">
        <f t="shared" si="11"/>
        <v>20</v>
      </c>
      <c r="N13" s="74" t="s">
        <v>190</v>
      </c>
      <c r="O13" s="570" t="s">
        <v>1671</v>
      </c>
      <c r="P13" s="571"/>
      <c r="Q13" s="571" t="s">
        <v>1670</v>
      </c>
      <c r="R13" s="571" t="s">
        <v>1314</v>
      </c>
      <c r="S13" s="571" t="s">
        <v>175</v>
      </c>
      <c r="T13" s="572" t="s">
        <v>193</v>
      </c>
      <c r="U13" s="54">
        <v>34.0</v>
      </c>
      <c r="V13" s="54">
        <v>22.0</v>
      </c>
      <c r="W13" s="54">
        <v>68.0</v>
      </c>
      <c r="X13" s="74"/>
      <c r="Y13" s="54">
        <v>4.0</v>
      </c>
      <c r="Z13" s="54">
        <v>10.0</v>
      </c>
      <c r="AA13" s="54">
        <v>2.0</v>
      </c>
      <c r="AB13" s="54">
        <v>48.0</v>
      </c>
      <c r="AC13" s="54">
        <v>1509.0</v>
      </c>
      <c r="AD13" s="54">
        <v>4.0</v>
      </c>
      <c r="AE13" s="54">
        <v>100.0</v>
      </c>
      <c r="AF13" s="74"/>
      <c r="AG13" s="54">
        <v>14.0</v>
      </c>
      <c r="AH13" s="54">
        <v>47.0</v>
      </c>
      <c r="AI13" s="574">
        <f t="shared" si="12"/>
        <v>30.5</v>
      </c>
      <c r="AJ13" s="74"/>
      <c r="AK13" s="74"/>
      <c r="AL13" s="74"/>
      <c r="AM13" s="74"/>
      <c r="AN13" s="74"/>
      <c r="AO13" s="74"/>
      <c r="AP13" s="74"/>
      <c r="AQ13" s="74"/>
      <c r="AR13" s="74"/>
      <c r="AS13" s="575"/>
      <c r="AT13" s="68">
        <f t="shared" si="13"/>
        <v>465</v>
      </c>
      <c r="AU13" s="68">
        <f t="shared" si="14"/>
        <v>1023</v>
      </c>
      <c r="AV13" s="581">
        <f t="shared" si="15"/>
        <v>744</v>
      </c>
      <c r="AW13" s="582">
        <f t="shared" si="16"/>
        <v>1094</v>
      </c>
      <c r="AX13" s="582">
        <f t="shared" si="17"/>
        <v>1163</v>
      </c>
      <c r="AY13" s="582">
        <f t="shared" si="18"/>
        <v>1094</v>
      </c>
      <c r="AZ13" s="582">
        <f t="shared" si="19"/>
        <v>1163</v>
      </c>
      <c r="BA13" s="582">
        <f t="shared" si="20"/>
        <v>886</v>
      </c>
      <c r="BB13" s="582">
        <f t="shared" si="21"/>
        <v>845</v>
      </c>
      <c r="BC13" s="582">
        <f t="shared" si="22"/>
        <v>886</v>
      </c>
      <c r="BD13" s="582">
        <f t="shared" si="23"/>
        <v>564</v>
      </c>
      <c r="BE13" s="582">
        <f t="shared" si="24"/>
        <v>664</v>
      </c>
      <c r="BF13" s="582">
        <f t="shared" si="25"/>
        <v>689</v>
      </c>
      <c r="BG13" s="582">
        <f t="shared" si="26"/>
        <v>845</v>
      </c>
      <c r="BH13" s="582">
        <f t="shared" si="27"/>
        <v>845</v>
      </c>
      <c r="BI13" s="582">
        <f t="shared" si="28"/>
        <v>886</v>
      </c>
      <c r="BJ13" s="582">
        <f t="shared" si="29"/>
        <v>886</v>
      </c>
      <c r="BK13" s="582">
        <f t="shared" si="30"/>
        <v>664</v>
      </c>
      <c r="BL13" s="582">
        <f t="shared" si="31"/>
        <v>641</v>
      </c>
      <c r="BM13" s="74"/>
      <c r="BN13" s="74"/>
      <c r="BO13" s="582">
        <f t="shared" si="32"/>
        <v>2188</v>
      </c>
      <c r="BP13" s="602">
        <f t="shared" si="33"/>
        <v>2188</v>
      </c>
      <c r="BQ13" s="54">
        <v>10.0</v>
      </c>
      <c r="BR13" s="54">
        <v>33.0</v>
      </c>
      <c r="BS13" s="54">
        <v>10.0</v>
      </c>
      <c r="BT13" s="54">
        <v>100.0</v>
      </c>
      <c r="BU13" s="74"/>
      <c r="BV13" s="83">
        <f t="shared" si="34"/>
        <v>21.5</v>
      </c>
      <c r="BW13" s="608">
        <f t="shared" si="35"/>
        <v>715</v>
      </c>
      <c r="BX13" s="582">
        <f t="shared" si="36"/>
        <v>1051.5</v>
      </c>
      <c r="BY13" s="582">
        <f t="shared" si="37"/>
        <v>1117.2</v>
      </c>
      <c r="BZ13" s="582">
        <f t="shared" si="38"/>
        <v>1051.5</v>
      </c>
      <c r="CA13" s="582">
        <f t="shared" si="39"/>
        <v>851.2</v>
      </c>
      <c r="CB13" s="582">
        <f t="shared" si="40"/>
        <v>851.2</v>
      </c>
      <c r="CC13" s="582">
        <f t="shared" si="41"/>
        <v>1117.2</v>
      </c>
      <c r="CD13" s="582">
        <f t="shared" si="42"/>
        <v>812.5</v>
      </c>
      <c r="CE13" s="664">
        <f t="shared" si="43"/>
        <v>41.9</v>
      </c>
      <c r="CF13" s="86">
        <f t="shared" ref="CF13:CG13" si="58">IF(ROUND(100*(AV13/BW13)-100,1)=0,"",ROUND(100*(AV13/BW13)-100,1))</f>
        <v>4.1</v>
      </c>
      <c r="CG13" s="552">
        <f t="shared" si="58"/>
        <v>4</v>
      </c>
      <c r="CH13" s="575" t="s">
        <v>190</v>
      </c>
      <c r="CI13" s="582">
        <f t="shared" ref="CI13:DF13" si="59">FLOOR($AV13/(CI$3/25),1)</f>
        <v>744</v>
      </c>
      <c r="CJ13" s="582">
        <f t="shared" si="59"/>
        <v>775</v>
      </c>
      <c r="CK13" s="582">
        <f t="shared" si="59"/>
        <v>808</v>
      </c>
      <c r="CL13" s="582">
        <f t="shared" si="59"/>
        <v>845</v>
      </c>
      <c r="CM13" s="582">
        <f t="shared" si="59"/>
        <v>885</v>
      </c>
      <c r="CN13" s="582">
        <f t="shared" si="59"/>
        <v>930</v>
      </c>
      <c r="CO13" s="582">
        <f t="shared" si="59"/>
        <v>978</v>
      </c>
      <c r="CP13" s="582">
        <f t="shared" si="59"/>
        <v>1033</v>
      </c>
      <c r="CQ13" s="582">
        <f t="shared" si="59"/>
        <v>1094</v>
      </c>
      <c r="CR13" s="582">
        <f t="shared" si="59"/>
        <v>1162</v>
      </c>
      <c r="CS13" s="582">
        <f t="shared" si="59"/>
        <v>1240</v>
      </c>
      <c r="CT13" s="582">
        <f t="shared" si="59"/>
        <v>1328</v>
      </c>
      <c r="CU13" s="582">
        <f t="shared" si="59"/>
        <v>1430</v>
      </c>
      <c r="CV13" s="582">
        <f t="shared" si="59"/>
        <v>1550</v>
      </c>
      <c r="CW13" s="582">
        <f t="shared" si="59"/>
        <v>1690</v>
      </c>
      <c r="CX13" s="582">
        <f t="shared" si="59"/>
        <v>1860</v>
      </c>
      <c r="CY13" s="582">
        <f t="shared" si="59"/>
        <v>2066</v>
      </c>
      <c r="CZ13" s="582">
        <f t="shared" si="59"/>
        <v>2325</v>
      </c>
      <c r="DA13" s="582">
        <f t="shared" si="59"/>
        <v>2657</v>
      </c>
      <c r="DB13" s="582">
        <f t="shared" si="59"/>
        <v>3100</v>
      </c>
      <c r="DC13" s="582">
        <f t="shared" si="59"/>
        <v>3720</v>
      </c>
      <c r="DD13" s="582">
        <f t="shared" si="59"/>
        <v>4650</v>
      </c>
      <c r="DE13" s="582">
        <f t="shared" si="59"/>
        <v>6200</v>
      </c>
      <c r="DF13" s="602">
        <f t="shared" si="59"/>
        <v>9300</v>
      </c>
      <c r="DG13" s="575"/>
      <c r="DH13" s="575" t="str">
        <f t="shared" si="46"/>
        <v/>
      </c>
      <c r="DI13" s="74" t="str">
        <f t="shared" si="47"/>
        <v/>
      </c>
      <c r="DJ13" s="74" t="str">
        <f t="shared" si="48"/>
        <v/>
      </c>
      <c r="DK13" s="623" t="str">
        <f t="shared" si="49"/>
        <v/>
      </c>
      <c r="DL13" s="74"/>
      <c r="DM13" s="74"/>
      <c r="DN13" s="582">
        <f t="shared" si="60"/>
        <v>4.1</v>
      </c>
      <c r="DO13" s="575"/>
      <c r="DP13" s="297"/>
    </row>
    <row r="14">
      <c r="A14" s="552">
        <v>8.0</v>
      </c>
      <c r="B14" s="86">
        <v>111.0</v>
      </c>
      <c r="C14" s="54">
        <v>16.0</v>
      </c>
      <c r="D14" s="54">
        <v>47.0</v>
      </c>
      <c r="E14" s="74"/>
      <c r="F14" s="68" t="s">
        <v>1246</v>
      </c>
      <c r="G14" s="68">
        <f t="shared" si="5"/>
        <v>16</v>
      </c>
      <c r="H14" s="68">
        <f t="shared" si="6"/>
        <v>15</v>
      </c>
      <c r="I14" s="68">
        <f t="shared" si="7"/>
        <v>16</v>
      </c>
      <c r="J14" s="68">
        <f t="shared" si="8"/>
        <v>19</v>
      </c>
      <c r="K14" s="68">
        <f t="shared" si="9"/>
        <v>19</v>
      </c>
      <c r="L14" s="68">
        <f t="shared" si="10"/>
        <v>15</v>
      </c>
      <c r="M14" s="569">
        <f t="shared" si="11"/>
        <v>20</v>
      </c>
      <c r="N14" s="74" t="s">
        <v>226</v>
      </c>
      <c r="O14" s="570" t="s">
        <v>1672</v>
      </c>
      <c r="P14" s="571"/>
      <c r="Q14" s="571" t="s">
        <v>1670</v>
      </c>
      <c r="R14" s="571" t="s">
        <v>1314</v>
      </c>
      <c r="S14" s="571" t="s">
        <v>175</v>
      </c>
      <c r="T14" s="572" t="s">
        <v>227</v>
      </c>
      <c r="U14" s="54">
        <v>39.0</v>
      </c>
      <c r="V14" s="54">
        <v>25.0</v>
      </c>
      <c r="W14" s="54">
        <v>85.0</v>
      </c>
      <c r="X14" s="74"/>
      <c r="Y14" s="54">
        <v>5.0</v>
      </c>
      <c r="Z14" s="54">
        <v>10.0</v>
      </c>
      <c r="AA14" s="54">
        <v>2.0</v>
      </c>
      <c r="AB14" s="54">
        <v>48.0</v>
      </c>
      <c r="AC14" s="54">
        <v>2919.0</v>
      </c>
      <c r="AD14" s="54">
        <v>4.0</v>
      </c>
      <c r="AE14" s="54">
        <v>100.0</v>
      </c>
      <c r="AF14" s="74"/>
      <c r="AG14" s="54">
        <v>18.0</v>
      </c>
      <c r="AH14" s="54">
        <v>54.0</v>
      </c>
      <c r="AI14" s="574">
        <f t="shared" si="12"/>
        <v>36</v>
      </c>
      <c r="AJ14" s="74"/>
      <c r="AK14" s="74"/>
      <c r="AL14" s="74"/>
      <c r="AM14" s="74"/>
      <c r="AN14" s="74"/>
      <c r="AO14" s="74"/>
      <c r="AP14" s="74"/>
      <c r="AQ14" s="74"/>
      <c r="AR14" s="74"/>
      <c r="AS14" s="575"/>
      <c r="AT14" s="68">
        <f t="shared" si="13"/>
        <v>536</v>
      </c>
      <c r="AU14" s="68">
        <f t="shared" si="14"/>
        <v>1142</v>
      </c>
      <c r="AV14" s="581">
        <f t="shared" si="15"/>
        <v>839</v>
      </c>
      <c r="AW14" s="582">
        <f t="shared" si="16"/>
        <v>1234</v>
      </c>
      <c r="AX14" s="582">
        <f t="shared" si="17"/>
        <v>1311</v>
      </c>
      <c r="AY14" s="582">
        <f t="shared" si="18"/>
        <v>1234</v>
      </c>
      <c r="AZ14" s="582">
        <f t="shared" si="19"/>
        <v>1311</v>
      </c>
      <c r="BA14" s="582">
        <f t="shared" si="20"/>
        <v>999</v>
      </c>
      <c r="BB14" s="582">
        <f t="shared" si="21"/>
        <v>953</v>
      </c>
      <c r="BC14" s="582">
        <f t="shared" si="22"/>
        <v>999</v>
      </c>
      <c r="BD14" s="582">
        <f t="shared" si="23"/>
        <v>636</v>
      </c>
      <c r="BE14" s="582">
        <f t="shared" si="24"/>
        <v>749</v>
      </c>
      <c r="BF14" s="582">
        <f t="shared" si="25"/>
        <v>777</v>
      </c>
      <c r="BG14" s="582">
        <f t="shared" si="26"/>
        <v>953</v>
      </c>
      <c r="BH14" s="582">
        <f t="shared" si="27"/>
        <v>953</v>
      </c>
      <c r="BI14" s="582">
        <f t="shared" si="28"/>
        <v>999</v>
      </c>
      <c r="BJ14" s="582">
        <f t="shared" si="29"/>
        <v>999</v>
      </c>
      <c r="BK14" s="582">
        <f t="shared" si="30"/>
        <v>749</v>
      </c>
      <c r="BL14" s="582">
        <f t="shared" si="31"/>
        <v>723</v>
      </c>
      <c r="BM14" s="74"/>
      <c r="BN14" s="74"/>
      <c r="BO14" s="582">
        <f t="shared" si="32"/>
        <v>2468</v>
      </c>
      <c r="BP14" s="602">
        <f t="shared" si="33"/>
        <v>2468</v>
      </c>
      <c r="BQ14" s="54">
        <v>13.0</v>
      </c>
      <c r="BR14" s="54">
        <v>38.0</v>
      </c>
      <c r="BS14" s="54">
        <v>10.0</v>
      </c>
      <c r="BT14" s="54">
        <v>100.0</v>
      </c>
      <c r="BU14" s="74"/>
      <c r="BV14" s="83">
        <f t="shared" si="34"/>
        <v>25.5</v>
      </c>
      <c r="BW14" s="608">
        <f t="shared" si="35"/>
        <v>796</v>
      </c>
      <c r="BX14" s="582">
        <f t="shared" si="36"/>
        <v>1170.6</v>
      </c>
      <c r="BY14" s="582">
        <f t="shared" si="37"/>
        <v>1243.8</v>
      </c>
      <c r="BZ14" s="582">
        <f t="shared" si="38"/>
        <v>1170.6</v>
      </c>
      <c r="CA14" s="582">
        <f t="shared" si="39"/>
        <v>947.6</v>
      </c>
      <c r="CB14" s="582">
        <f t="shared" si="40"/>
        <v>947.6</v>
      </c>
      <c r="CC14" s="582">
        <f t="shared" si="41"/>
        <v>1243.8</v>
      </c>
      <c r="CD14" s="582">
        <f t="shared" si="42"/>
        <v>904.5</v>
      </c>
      <c r="CE14" s="664">
        <f t="shared" si="43"/>
        <v>41.2</v>
      </c>
      <c r="CF14" s="86">
        <f t="shared" ref="CF14:CG14" si="61">IF(ROUND(100*(AV14/BW14)-100,1)=0,"",ROUND(100*(AV14/BW14)-100,1))</f>
        <v>5.4</v>
      </c>
      <c r="CG14" s="552">
        <f t="shared" si="61"/>
        <v>5.4</v>
      </c>
      <c r="CH14" s="575" t="s">
        <v>226</v>
      </c>
      <c r="CI14" s="582">
        <f t="shared" ref="CI14:DF14" si="62">FLOOR($AV14/(CI$3/25),1)</f>
        <v>839</v>
      </c>
      <c r="CJ14" s="582">
        <f t="shared" si="62"/>
        <v>873</v>
      </c>
      <c r="CK14" s="582">
        <f t="shared" si="62"/>
        <v>911</v>
      </c>
      <c r="CL14" s="582">
        <f t="shared" si="62"/>
        <v>953</v>
      </c>
      <c r="CM14" s="582">
        <f t="shared" si="62"/>
        <v>998</v>
      </c>
      <c r="CN14" s="582">
        <f t="shared" si="62"/>
        <v>1048</v>
      </c>
      <c r="CO14" s="582">
        <f t="shared" si="62"/>
        <v>1103</v>
      </c>
      <c r="CP14" s="582">
        <f t="shared" si="62"/>
        <v>1165</v>
      </c>
      <c r="CQ14" s="582">
        <f t="shared" si="62"/>
        <v>1233</v>
      </c>
      <c r="CR14" s="582">
        <f t="shared" si="62"/>
        <v>1310</v>
      </c>
      <c r="CS14" s="582">
        <f t="shared" si="62"/>
        <v>1398</v>
      </c>
      <c r="CT14" s="582">
        <f t="shared" si="62"/>
        <v>1498</v>
      </c>
      <c r="CU14" s="582">
        <f t="shared" si="62"/>
        <v>1613</v>
      </c>
      <c r="CV14" s="582">
        <f t="shared" si="62"/>
        <v>1747</v>
      </c>
      <c r="CW14" s="582">
        <f t="shared" si="62"/>
        <v>1906</v>
      </c>
      <c r="CX14" s="582">
        <f t="shared" si="62"/>
        <v>2097</v>
      </c>
      <c r="CY14" s="582">
        <f t="shared" si="62"/>
        <v>2330</v>
      </c>
      <c r="CZ14" s="582">
        <f t="shared" si="62"/>
        <v>2621</v>
      </c>
      <c r="DA14" s="582">
        <f t="shared" si="62"/>
        <v>2996</v>
      </c>
      <c r="DB14" s="582">
        <f t="shared" si="62"/>
        <v>3495</v>
      </c>
      <c r="DC14" s="582">
        <f t="shared" si="62"/>
        <v>4195</v>
      </c>
      <c r="DD14" s="582">
        <f t="shared" si="62"/>
        <v>5243</v>
      </c>
      <c r="DE14" s="582">
        <f t="shared" si="62"/>
        <v>6991</v>
      </c>
      <c r="DF14" s="602">
        <f t="shared" si="62"/>
        <v>10487</v>
      </c>
      <c r="DG14" s="575"/>
      <c r="DH14" s="575" t="str">
        <f t="shared" si="46"/>
        <v/>
      </c>
      <c r="DI14" s="74" t="str">
        <f t="shared" si="47"/>
        <v/>
      </c>
      <c r="DJ14" s="74" t="str">
        <f t="shared" si="48"/>
        <v/>
      </c>
      <c r="DK14" s="623" t="str">
        <f t="shared" si="49"/>
        <v/>
      </c>
      <c r="DL14" s="74"/>
      <c r="DM14" s="74"/>
      <c r="DN14" s="582">
        <f t="shared" si="60"/>
        <v>4</v>
      </c>
      <c r="DO14" s="575"/>
      <c r="DP14" s="297"/>
    </row>
    <row r="15">
      <c r="A15" s="552">
        <v>9.0</v>
      </c>
      <c r="B15" s="86">
        <v>112.0</v>
      </c>
      <c r="C15" s="54">
        <v>18.0</v>
      </c>
      <c r="D15" s="54">
        <v>42.0</v>
      </c>
      <c r="E15" s="74"/>
      <c r="F15" s="68" t="s">
        <v>1246</v>
      </c>
      <c r="G15" s="68">
        <f t="shared" si="5"/>
        <v>16</v>
      </c>
      <c r="H15" s="68">
        <f t="shared" si="6"/>
        <v>15</v>
      </c>
      <c r="I15" s="68">
        <f t="shared" si="7"/>
        <v>16</v>
      </c>
      <c r="J15" s="68">
        <f t="shared" si="8"/>
        <v>19</v>
      </c>
      <c r="K15" s="68">
        <f t="shared" si="9"/>
        <v>19</v>
      </c>
      <c r="L15" s="68">
        <f t="shared" si="10"/>
        <v>15</v>
      </c>
      <c r="M15" s="569">
        <f t="shared" si="11"/>
        <v>20</v>
      </c>
      <c r="N15" s="74" t="s">
        <v>234</v>
      </c>
      <c r="O15" s="570" t="s">
        <v>1673</v>
      </c>
      <c r="P15" s="571"/>
      <c r="Q15" s="571" t="s">
        <v>1670</v>
      </c>
      <c r="R15" s="571" t="s">
        <v>1314</v>
      </c>
      <c r="S15" s="571" t="s">
        <v>175</v>
      </c>
      <c r="T15" s="572" t="s">
        <v>235</v>
      </c>
      <c r="U15" s="54">
        <v>43.0</v>
      </c>
      <c r="V15" s="54">
        <v>25.0</v>
      </c>
      <c r="W15" s="54">
        <v>94.0</v>
      </c>
      <c r="X15" s="54">
        <v>70.0</v>
      </c>
      <c r="Y15" s="54">
        <v>6.0</v>
      </c>
      <c r="Z15" s="54">
        <v>-10.0</v>
      </c>
      <c r="AA15" s="54">
        <v>2.0</v>
      </c>
      <c r="AB15" s="54">
        <v>52.0</v>
      </c>
      <c r="AC15" s="54">
        <v>4563.0</v>
      </c>
      <c r="AD15" s="54">
        <v>4.0</v>
      </c>
      <c r="AE15" s="54">
        <v>100.0</v>
      </c>
      <c r="AF15" s="74"/>
      <c r="AG15" s="54">
        <v>21.0</v>
      </c>
      <c r="AH15" s="54">
        <v>48.0</v>
      </c>
      <c r="AI15" s="574">
        <f t="shared" si="12"/>
        <v>34.5</v>
      </c>
      <c r="AJ15" s="74"/>
      <c r="AK15" s="74"/>
      <c r="AL15" s="74"/>
      <c r="AM15" s="74"/>
      <c r="AN15" s="74"/>
      <c r="AO15" s="74"/>
      <c r="AP15" s="74"/>
      <c r="AQ15" s="74"/>
      <c r="AR15" s="74"/>
      <c r="AS15" s="575"/>
      <c r="AT15" s="68">
        <f t="shared" si="13"/>
        <v>583</v>
      </c>
      <c r="AU15" s="68">
        <f t="shared" si="14"/>
        <v>1038</v>
      </c>
      <c r="AV15" s="581">
        <f t="shared" si="15"/>
        <v>810.5</v>
      </c>
      <c r="AW15" s="582">
        <f t="shared" si="16"/>
        <v>1447</v>
      </c>
      <c r="AX15" s="582">
        <f t="shared" si="17"/>
        <v>1559</v>
      </c>
      <c r="AY15" s="582">
        <f t="shared" si="18"/>
        <v>1447</v>
      </c>
      <c r="AZ15" s="582">
        <f t="shared" si="19"/>
        <v>1559</v>
      </c>
      <c r="BA15" s="582">
        <f t="shared" si="20"/>
        <v>1192</v>
      </c>
      <c r="BB15" s="582">
        <f t="shared" si="21"/>
        <v>1126</v>
      </c>
      <c r="BC15" s="582">
        <f t="shared" si="22"/>
        <v>1192</v>
      </c>
      <c r="BD15" s="582">
        <f t="shared" si="23"/>
        <v>921</v>
      </c>
      <c r="BE15" s="582">
        <f t="shared" si="24"/>
        <v>1126</v>
      </c>
      <c r="BF15" s="582">
        <f t="shared" si="25"/>
        <v>1126</v>
      </c>
      <c r="BG15" s="582">
        <f t="shared" si="26"/>
        <v>1351</v>
      </c>
      <c r="BH15" s="582">
        <f t="shared" si="27"/>
        <v>1351</v>
      </c>
      <c r="BI15" s="582">
        <f t="shared" si="28"/>
        <v>1447</v>
      </c>
      <c r="BJ15" s="582">
        <f t="shared" si="29"/>
        <v>1447</v>
      </c>
      <c r="BK15" s="582">
        <f t="shared" si="30"/>
        <v>1126</v>
      </c>
      <c r="BL15" s="582">
        <f t="shared" si="31"/>
        <v>1066</v>
      </c>
      <c r="BM15" s="74"/>
      <c r="BN15" s="74"/>
      <c r="BO15" s="582">
        <f t="shared" si="32"/>
        <v>2895</v>
      </c>
      <c r="BP15" s="602">
        <f t="shared" si="33"/>
        <v>2895</v>
      </c>
      <c r="BQ15" s="54">
        <v>14.0</v>
      </c>
      <c r="BR15" s="54">
        <v>34.0</v>
      </c>
      <c r="BS15" s="54">
        <v>-10.0</v>
      </c>
      <c r="BT15" s="54">
        <v>100.0</v>
      </c>
      <c r="BU15" s="74"/>
      <c r="BV15" s="83">
        <f t="shared" si="34"/>
        <v>24</v>
      </c>
      <c r="BW15" s="608">
        <f t="shared" si="35"/>
        <v>765.6</v>
      </c>
      <c r="BX15" s="582">
        <f t="shared" si="36"/>
        <v>1367.1</v>
      </c>
      <c r="BY15" s="582">
        <f t="shared" si="37"/>
        <v>1472.3</v>
      </c>
      <c r="BZ15" s="582">
        <f t="shared" si="38"/>
        <v>1367.1</v>
      </c>
      <c r="CA15" s="582">
        <f t="shared" si="39"/>
        <v>1125.9</v>
      </c>
      <c r="CB15" s="582">
        <f t="shared" si="40"/>
        <v>1125.9</v>
      </c>
      <c r="CC15" s="582">
        <f t="shared" si="41"/>
        <v>1472.3</v>
      </c>
      <c r="CD15" s="582">
        <f t="shared" si="42"/>
        <v>1063.3</v>
      </c>
      <c r="CE15" s="664">
        <f t="shared" si="43"/>
        <v>43.8</v>
      </c>
      <c r="CF15" s="86">
        <f t="shared" ref="CF15:CG15" si="63">IF(ROUND(100*(AV15/BW15)-100,1)=0,"",ROUND(100*(AV15/BW15)-100,1))</f>
        <v>5.9</v>
      </c>
      <c r="CG15" s="552">
        <f t="shared" si="63"/>
        <v>5.8</v>
      </c>
      <c r="CH15" s="575" t="s">
        <v>234</v>
      </c>
      <c r="CI15" s="582">
        <f t="shared" ref="CI15:DF15" si="64">FLOOR($AV15/(CI$3/25),1)</f>
        <v>810</v>
      </c>
      <c r="CJ15" s="582">
        <f t="shared" si="64"/>
        <v>844</v>
      </c>
      <c r="CK15" s="582">
        <f t="shared" si="64"/>
        <v>880</v>
      </c>
      <c r="CL15" s="582">
        <f t="shared" si="64"/>
        <v>921</v>
      </c>
      <c r="CM15" s="582">
        <f t="shared" si="64"/>
        <v>964</v>
      </c>
      <c r="CN15" s="582">
        <f t="shared" si="64"/>
        <v>1013</v>
      </c>
      <c r="CO15" s="582">
        <f t="shared" si="64"/>
        <v>1066</v>
      </c>
      <c r="CP15" s="582">
        <f t="shared" si="64"/>
        <v>1125</v>
      </c>
      <c r="CQ15" s="582">
        <f t="shared" si="64"/>
        <v>1191</v>
      </c>
      <c r="CR15" s="582">
        <f t="shared" si="64"/>
        <v>1266</v>
      </c>
      <c r="CS15" s="582">
        <f t="shared" si="64"/>
        <v>1350</v>
      </c>
      <c r="CT15" s="582">
        <f t="shared" si="64"/>
        <v>1447</v>
      </c>
      <c r="CU15" s="582">
        <f t="shared" si="64"/>
        <v>1558</v>
      </c>
      <c r="CV15" s="582">
        <f t="shared" si="64"/>
        <v>1688</v>
      </c>
      <c r="CW15" s="582">
        <f t="shared" si="64"/>
        <v>1842</v>
      </c>
      <c r="CX15" s="582">
        <f t="shared" si="64"/>
        <v>2026</v>
      </c>
      <c r="CY15" s="582">
        <f t="shared" si="64"/>
        <v>2251</v>
      </c>
      <c r="CZ15" s="582">
        <f t="shared" si="64"/>
        <v>2532</v>
      </c>
      <c r="DA15" s="582">
        <f t="shared" si="64"/>
        <v>2894</v>
      </c>
      <c r="DB15" s="582">
        <f t="shared" si="64"/>
        <v>3377</v>
      </c>
      <c r="DC15" s="582">
        <f t="shared" si="64"/>
        <v>4052</v>
      </c>
      <c r="DD15" s="582">
        <f t="shared" si="64"/>
        <v>5065</v>
      </c>
      <c r="DE15" s="582">
        <f t="shared" si="64"/>
        <v>6754</v>
      </c>
      <c r="DF15" s="602">
        <f t="shared" si="64"/>
        <v>10131</v>
      </c>
      <c r="DG15" s="575"/>
      <c r="DH15" s="575" t="str">
        <f t="shared" si="46"/>
        <v/>
      </c>
      <c r="DI15" s="74" t="str">
        <f t="shared" si="47"/>
        <v/>
      </c>
      <c r="DJ15" s="74" t="str">
        <f t="shared" si="48"/>
        <v/>
      </c>
      <c r="DK15" s="623" t="str">
        <f t="shared" si="49"/>
        <v/>
      </c>
      <c r="DL15" s="74"/>
      <c r="DM15" s="74"/>
      <c r="DN15" s="582">
        <f t="shared" si="60"/>
        <v>3.8</v>
      </c>
      <c r="DO15" s="575"/>
      <c r="DP15" s="297"/>
    </row>
    <row r="16">
      <c r="A16" s="647">
        <v>10.0</v>
      </c>
      <c r="B16" s="141">
        <v>113.0</v>
      </c>
      <c r="C16" s="129">
        <v>20.0</v>
      </c>
      <c r="D16" s="129">
        <v>56.0</v>
      </c>
      <c r="E16" s="134"/>
      <c r="F16" s="154" t="s">
        <v>1246</v>
      </c>
      <c r="G16" s="154">
        <f t="shared" si="5"/>
        <v>16</v>
      </c>
      <c r="H16" s="154">
        <f t="shared" si="6"/>
        <v>15</v>
      </c>
      <c r="I16" s="154">
        <f t="shared" si="7"/>
        <v>16</v>
      </c>
      <c r="J16" s="154">
        <f t="shared" si="8"/>
        <v>19</v>
      </c>
      <c r="K16" s="154">
        <f t="shared" si="9"/>
        <v>19</v>
      </c>
      <c r="L16" s="154">
        <f t="shared" si="10"/>
        <v>15</v>
      </c>
      <c r="M16" s="648">
        <f t="shared" si="11"/>
        <v>20</v>
      </c>
      <c r="N16" s="134" t="s">
        <v>250</v>
      </c>
      <c r="O16" s="649" t="s">
        <v>1674</v>
      </c>
      <c r="P16" s="650"/>
      <c r="Q16" s="650" t="s">
        <v>1670</v>
      </c>
      <c r="R16" s="650" t="s">
        <v>1314</v>
      </c>
      <c r="S16" s="650" t="s">
        <v>175</v>
      </c>
      <c r="T16" s="651" t="s">
        <v>251</v>
      </c>
      <c r="U16" s="129">
        <v>48.0</v>
      </c>
      <c r="V16" s="129">
        <v>25.0</v>
      </c>
      <c r="W16" s="129">
        <v>121.0</v>
      </c>
      <c r="X16" s="134"/>
      <c r="Y16" s="129">
        <v>6.0</v>
      </c>
      <c r="Z16" s="129">
        <v>0.0</v>
      </c>
      <c r="AA16" s="129">
        <v>2.0</v>
      </c>
      <c r="AB16" s="129">
        <v>52.0</v>
      </c>
      <c r="AC16" s="129">
        <v>6669.0</v>
      </c>
      <c r="AD16" s="129">
        <v>4.0</v>
      </c>
      <c r="AE16" s="129">
        <v>100.0</v>
      </c>
      <c r="AF16" s="134"/>
      <c r="AG16" s="129">
        <v>23.0</v>
      </c>
      <c r="AH16" s="129">
        <v>64.0</v>
      </c>
      <c r="AI16" s="652">
        <f t="shared" si="12"/>
        <v>43.5</v>
      </c>
      <c r="AJ16" s="134"/>
      <c r="AK16" s="134"/>
      <c r="AL16" s="134"/>
      <c r="AM16" s="134"/>
      <c r="AN16" s="134"/>
      <c r="AO16" s="134"/>
      <c r="AP16" s="134"/>
      <c r="AQ16" s="134"/>
      <c r="AR16" s="134"/>
      <c r="AS16" s="653"/>
      <c r="AT16" s="154">
        <f t="shared" si="13"/>
        <v>617</v>
      </c>
      <c r="AU16" s="154">
        <f t="shared" si="14"/>
        <v>1308</v>
      </c>
      <c r="AV16" s="654">
        <f t="shared" si="15"/>
        <v>962.5</v>
      </c>
      <c r="AW16" s="655">
        <f t="shared" si="16"/>
        <v>1604</v>
      </c>
      <c r="AX16" s="655">
        <f t="shared" si="17"/>
        <v>1719</v>
      </c>
      <c r="AY16" s="655">
        <f t="shared" si="18"/>
        <v>1604</v>
      </c>
      <c r="AZ16" s="655">
        <f t="shared" si="19"/>
        <v>1719</v>
      </c>
      <c r="BA16" s="655">
        <f t="shared" si="20"/>
        <v>1337</v>
      </c>
      <c r="BB16" s="655">
        <f t="shared" si="21"/>
        <v>1266</v>
      </c>
      <c r="BC16" s="655">
        <f t="shared" si="22"/>
        <v>1337</v>
      </c>
      <c r="BD16" s="655">
        <f t="shared" si="23"/>
        <v>891</v>
      </c>
      <c r="BE16" s="655">
        <f t="shared" si="24"/>
        <v>1094</v>
      </c>
      <c r="BF16" s="655">
        <f t="shared" si="25"/>
        <v>1046</v>
      </c>
      <c r="BG16" s="655">
        <f t="shared" si="26"/>
        <v>1266</v>
      </c>
      <c r="BH16" s="655">
        <f t="shared" si="27"/>
        <v>1266</v>
      </c>
      <c r="BI16" s="655">
        <f t="shared" si="28"/>
        <v>1337</v>
      </c>
      <c r="BJ16" s="655">
        <f t="shared" si="29"/>
        <v>1337</v>
      </c>
      <c r="BK16" s="655">
        <f t="shared" si="30"/>
        <v>1094</v>
      </c>
      <c r="BL16" s="655">
        <f t="shared" si="31"/>
        <v>1046</v>
      </c>
      <c r="BM16" s="134"/>
      <c r="BN16" s="134"/>
      <c r="BO16" s="655">
        <f t="shared" si="32"/>
        <v>3208</v>
      </c>
      <c r="BP16" s="656">
        <f t="shared" si="33"/>
        <v>3208</v>
      </c>
      <c r="BQ16" s="129">
        <v>16.0</v>
      </c>
      <c r="BR16" s="129">
        <v>45.0</v>
      </c>
      <c r="BS16" s="134"/>
      <c r="BT16" s="129">
        <v>100.0</v>
      </c>
      <c r="BU16" s="134"/>
      <c r="BV16" s="135">
        <f t="shared" si="34"/>
        <v>30.5</v>
      </c>
      <c r="BW16" s="657">
        <f t="shared" si="35"/>
        <v>897.2</v>
      </c>
      <c r="BX16" s="655">
        <f t="shared" si="36"/>
        <v>1495.3</v>
      </c>
      <c r="BY16" s="655">
        <f t="shared" si="37"/>
        <v>1602.1</v>
      </c>
      <c r="BZ16" s="655">
        <f t="shared" si="38"/>
        <v>1495.3</v>
      </c>
      <c r="CA16" s="655">
        <f t="shared" si="39"/>
        <v>1246.1</v>
      </c>
      <c r="CB16" s="655">
        <f t="shared" si="40"/>
        <v>1246.1</v>
      </c>
      <c r="CC16" s="655">
        <f t="shared" si="41"/>
        <v>1602.1</v>
      </c>
      <c r="CD16" s="655">
        <f t="shared" si="42"/>
        <v>1180.5</v>
      </c>
      <c r="CE16" s="659">
        <f t="shared" si="43"/>
        <v>42.6</v>
      </c>
      <c r="CF16" s="141">
        <f t="shared" ref="CF16:CG16" si="65">IF(ROUND(100*(AV16/BW16)-100,1)=0,"",ROUND(100*(AV16/BW16)-100,1))</f>
        <v>7.3</v>
      </c>
      <c r="CG16" s="647">
        <f t="shared" si="65"/>
        <v>7.3</v>
      </c>
      <c r="CH16" s="653" t="s">
        <v>250</v>
      </c>
      <c r="CI16" s="655">
        <f t="shared" ref="CI16:DF16" si="66">FLOOR($AV16/(CI$3/25),1)</f>
        <v>962</v>
      </c>
      <c r="CJ16" s="655">
        <f t="shared" si="66"/>
        <v>1002</v>
      </c>
      <c r="CK16" s="655">
        <f t="shared" si="66"/>
        <v>1046</v>
      </c>
      <c r="CL16" s="655">
        <f t="shared" si="66"/>
        <v>1093</v>
      </c>
      <c r="CM16" s="655">
        <f t="shared" si="66"/>
        <v>1145</v>
      </c>
      <c r="CN16" s="655">
        <f t="shared" si="66"/>
        <v>1203</v>
      </c>
      <c r="CO16" s="655">
        <f t="shared" si="66"/>
        <v>1266</v>
      </c>
      <c r="CP16" s="655">
        <f t="shared" si="66"/>
        <v>1336</v>
      </c>
      <c r="CQ16" s="655">
        <f t="shared" si="66"/>
        <v>1415</v>
      </c>
      <c r="CR16" s="655">
        <f t="shared" si="66"/>
        <v>1503</v>
      </c>
      <c r="CS16" s="655">
        <f t="shared" si="66"/>
        <v>1604</v>
      </c>
      <c r="CT16" s="655">
        <f t="shared" si="66"/>
        <v>1718</v>
      </c>
      <c r="CU16" s="655">
        <f t="shared" si="66"/>
        <v>1850</v>
      </c>
      <c r="CV16" s="655">
        <f t="shared" si="66"/>
        <v>2005</v>
      </c>
      <c r="CW16" s="655">
        <f t="shared" si="66"/>
        <v>2187</v>
      </c>
      <c r="CX16" s="655">
        <f t="shared" si="66"/>
        <v>2406</v>
      </c>
      <c r="CY16" s="655">
        <f t="shared" si="66"/>
        <v>2673</v>
      </c>
      <c r="CZ16" s="655">
        <f t="shared" si="66"/>
        <v>3007</v>
      </c>
      <c r="DA16" s="655">
        <f t="shared" si="66"/>
        <v>3437</v>
      </c>
      <c r="DB16" s="655">
        <f t="shared" si="66"/>
        <v>4010</v>
      </c>
      <c r="DC16" s="655">
        <f t="shared" si="66"/>
        <v>4812</v>
      </c>
      <c r="DD16" s="655">
        <f t="shared" si="66"/>
        <v>6015</v>
      </c>
      <c r="DE16" s="655">
        <f t="shared" si="66"/>
        <v>8020</v>
      </c>
      <c r="DF16" s="656">
        <f t="shared" si="66"/>
        <v>12031</v>
      </c>
      <c r="DG16" s="653"/>
      <c r="DH16" s="653" t="str">
        <f t="shared" si="46"/>
        <v/>
      </c>
      <c r="DI16" s="134" t="str">
        <f t="shared" si="47"/>
        <v/>
      </c>
      <c r="DJ16" s="134" t="str">
        <f t="shared" si="48"/>
        <v/>
      </c>
      <c r="DK16" s="662" t="str">
        <f t="shared" si="49"/>
        <v/>
      </c>
      <c r="DL16" s="134"/>
      <c r="DM16" s="134"/>
      <c r="DN16" s="655">
        <f t="shared" si="60"/>
        <v>2.7</v>
      </c>
      <c r="DO16" s="653"/>
      <c r="DP16" s="663"/>
    </row>
    <row r="17">
      <c r="A17" s="552">
        <v>11.0</v>
      </c>
      <c r="B17" s="86">
        <v>228.0</v>
      </c>
      <c r="C17" s="54">
        <v>35.0</v>
      </c>
      <c r="D17" s="54">
        <v>60.0</v>
      </c>
      <c r="E17" s="74"/>
      <c r="F17" s="68" t="s">
        <v>1246</v>
      </c>
      <c r="G17" s="68">
        <f t="shared" si="5"/>
        <v>16</v>
      </c>
      <c r="H17" s="68">
        <f t="shared" si="6"/>
        <v>15</v>
      </c>
      <c r="I17" s="68">
        <f t="shared" si="7"/>
        <v>16</v>
      </c>
      <c r="J17" s="68">
        <f t="shared" si="8"/>
        <v>19</v>
      </c>
      <c r="K17" s="68">
        <f t="shared" si="9"/>
        <v>19</v>
      </c>
      <c r="L17" s="68">
        <f t="shared" si="10"/>
        <v>15</v>
      </c>
      <c r="M17" s="569">
        <f t="shared" si="11"/>
        <v>20</v>
      </c>
      <c r="N17" s="74" t="s">
        <v>141</v>
      </c>
      <c r="O17" s="570" t="s">
        <v>1675</v>
      </c>
      <c r="P17" s="571"/>
      <c r="Q17" s="571" t="s">
        <v>1676</v>
      </c>
      <c r="R17" s="571" t="s">
        <v>1314</v>
      </c>
      <c r="S17" s="571" t="s">
        <v>175</v>
      </c>
      <c r="T17" s="572" t="s">
        <v>144</v>
      </c>
      <c r="U17" s="54">
        <v>54.0</v>
      </c>
      <c r="V17" s="54">
        <v>40.0</v>
      </c>
      <c r="W17" s="54">
        <v>125.0</v>
      </c>
      <c r="X17" s="54">
        <v>67.0</v>
      </c>
      <c r="Y17" s="54">
        <v>3.0</v>
      </c>
      <c r="Z17" s="54">
        <v>0.0</v>
      </c>
      <c r="AA17" s="54">
        <v>2.0</v>
      </c>
      <c r="AB17" s="669">
        <v>84.0</v>
      </c>
      <c r="AC17" s="54">
        <v>14033.0</v>
      </c>
      <c r="AD17" s="54">
        <v>3.0</v>
      </c>
      <c r="AE17" s="54">
        <v>100.0</v>
      </c>
      <c r="AF17" s="74"/>
      <c r="AG17" s="54">
        <v>44.0</v>
      </c>
      <c r="AH17" s="54">
        <v>75.0</v>
      </c>
      <c r="AI17" s="574">
        <f t="shared" si="12"/>
        <v>59.5</v>
      </c>
      <c r="AJ17" s="37"/>
      <c r="AK17" s="37"/>
      <c r="AL17" s="37"/>
      <c r="AM17" s="37"/>
      <c r="AN17" s="37"/>
      <c r="AO17" s="37"/>
      <c r="AP17" s="37"/>
      <c r="AQ17" s="37"/>
      <c r="AR17" s="37"/>
      <c r="AS17" s="575"/>
      <c r="AT17" s="54">
        <f t="shared" si="13"/>
        <v>972</v>
      </c>
      <c r="AU17" s="54">
        <f t="shared" si="14"/>
        <v>1497</v>
      </c>
      <c r="AV17" s="581">
        <f t="shared" si="15"/>
        <v>1234.5</v>
      </c>
      <c r="AW17" s="582">
        <f t="shared" si="16"/>
        <v>2058</v>
      </c>
      <c r="AX17" s="582">
        <f t="shared" si="17"/>
        <v>2204</v>
      </c>
      <c r="AY17" s="582">
        <f t="shared" si="18"/>
        <v>2058</v>
      </c>
      <c r="AZ17" s="582">
        <f t="shared" si="19"/>
        <v>2204</v>
      </c>
      <c r="BA17" s="582">
        <f t="shared" si="20"/>
        <v>1715</v>
      </c>
      <c r="BB17" s="582">
        <f t="shared" si="21"/>
        <v>1624</v>
      </c>
      <c r="BC17" s="582">
        <f t="shared" si="22"/>
        <v>1715</v>
      </c>
      <c r="BD17" s="582">
        <f t="shared" si="23"/>
        <v>1143</v>
      </c>
      <c r="BE17" s="582">
        <f t="shared" si="24"/>
        <v>1403</v>
      </c>
      <c r="BF17" s="582">
        <f t="shared" si="25"/>
        <v>1342</v>
      </c>
      <c r="BG17" s="582">
        <f t="shared" si="26"/>
        <v>1624</v>
      </c>
      <c r="BH17" s="582">
        <f t="shared" si="27"/>
        <v>1624</v>
      </c>
      <c r="BI17" s="582">
        <f t="shared" si="28"/>
        <v>1715</v>
      </c>
      <c r="BJ17" s="582">
        <f t="shared" si="29"/>
        <v>1715</v>
      </c>
      <c r="BK17" s="582">
        <f t="shared" si="30"/>
        <v>1403</v>
      </c>
      <c r="BL17" s="582">
        <f t="shared" si="31"/>
        <v>1342</v>
      </c>
      <c r="BM17" s="74"/>
      <c r="BN17" s="74"/>
      <c r="BO17" s="582">
        <f t="shared" si="32"/>
        <v>4115</v>
      </c>
      <c r="BP17" s="602">
        <f t="shared" si="33"/>
        <v>4115</v>
      </c>
      <c r="BQ17" s="670">
        <v>33.0</v>
      </c>
      <c r="BR17" s="670">
        <v>58.0</v>
      </c>
      <c r="BS17" s="365"/>
      <c r="BT17" s="670">
        <v>100.0</v>
      </c>
      <c r="BU17" s="365"/>
      <c r="BV17" s="671">
        <f t="shared" si="34"/>
        <v>45.5</v>
      </c>
      <c r="BW17" s="672">
        <f t="shared" si="35"/>
        <v>1200.9</v>
      </c>
      <c r="BX17" s="673">
        <f t="shared" si="36"/>
        <v>2001.5</v>
      </c>
      <c r="BY17" s="673">
        <f t="shared" si="37"/>
        <v>2144.5</v>
      </c>
      <c r="BZ17" s="673">
        <f t="shared" si="38"/>
        <v>2001.5</v>
      </c>
      <c r="CA17" s="673">
        <f t="shared" si="39"/>
        <v>1667.9</v>
      </c>
      <c r="CB17" s="673">
        <f t="shared" si="40"/>
        <v>1667.9</v>
      </c>
      <c r="CC17" s="673">
        <f t="shared" si="41"/>
        <v>2144.5</v>
      </c>
      <c r="CD17" s="673">
        <f t="shared" si="42"/>
        <v>1580.1</v>
      </c>
      <c r="CE17" s="674">
        <f t="shared" si="43"/>
        <v>30.8</v>
      </c>
      <c r="CF17" s="675">
        <f t="shared" ref="CF17:CG17" si="67">IF(ROUND(100*(AV17/BW17)-100,1)=0,"",ROUND(100*(AV17/BW17)-100,1))</f>
        <v>2.8</v>
      </c>
      <c r="CG17" s="676">
        <f t="shared" si="67"/>
        <v>2.8</v>
      </c>
      <c r="CH17" s="575" t="s">
        <v>141</v>
      </c>
      <c r="CI17" s="582">
        <f t="shared" ref="CI17:DF17" si="68">FLOOR($AV17/(CI$3/25),1)</f>
        <v>1234</v>
      </c>
      <c r="CJ17" s="582">
        <f t="shared" si="68"/>
        <v>1285</v>
      </c>
      <c r="CK17" s="582">
        <f t="shared" si="68"/>
        <v>1341</v>
      </c>
      <c r="CL17" s="582">
        <f t="shared" si="68"/>
        <v>1402</v>
      </c>
      <c r="CM17" s="582">
        <f t="shared" si="68"/>
        <v>1469</v>
      </c>
      <c r="CN17" s="582">
        <f t="shared" si="68"/>
        <v>1543</v>
      </c>
      <c r="CO17" s="582">
        <f t="shared" si="68"/>
        <v>1624</v>
      </c>
      <c r="CP17" s="582">
        <f t="shared" si="68"/>
        <v>1714</v>
      </c>
      <c r="CQ17" s="582">
        <f t="shared" si="68"/>
        <v>1815</v>
      </c>
      <c r="CR17" s="582">
        <f t="shared" si="68"/>
        <v>1928</v>
      </c>
      <c r="CS17" s="582">
        <f t="shared" si="68"/>
        <v>2057</v>
      </c>
      <c r="CT17" s="582">
        <f t="shared" si="68"/>
        <v>2204</v>
      </c>
      <c r="CU17" s="582">
        <f t="shared" si="68"/>
        <v>2374</v>
      </c>
      <c r="CV17" s="582">
        <f t="shared" si="68"/>
        <v>2571</v>
      </c>
      <c r="CW17" s="582">
        <f t="shared" si="68"/>
        <v>2805</v>
      </c>
      <c r="CX17" s="582">
        <f t="shared" si="68"/>
        <v>3086</v>
      </c>
      <c r="CY17" s="582">
        <f t="shared" si="68"/>
        <v>3429</v>
      </c>
      <c r="CZ17" s="582">
        <f t="shared" si="68"/>
        <v>3857</v>
      </c>
      <c r="DA17" s="582">
        <f t="shared" si="68"/>
        <v>4408</v>
      </c>
      <c r="DB17" s="582">
        <f t="shared" si="68"/>
        <v>5143</v>
      </c>
      <c r="DC17" s="582">
        <f t="shared" si="68"/>
        <v>6172</v>
      </c>
      <c r="DD17" s="582">
        <f t="shared" si="68"/>
        <v>7715</v>
      </c>
      <c r="DE17" s="582">
        <f t="shared" si="68"/>
        <v>10287</v>
      </c>
      <c r="DF17" s="602">
        <f t="shared" si="68"/>
        <v>15431</v>
      </c>
      <c r="DG17" s="575"/>
      <c r="DH17" s="575" t="str">
        <f t="shared" si="46"/>
        <v/>
      </c>
      <c r="DI17" s="74" t="str">
        <f t="shared" si="47"/>
        <v/>
      </c>
      <c r="DJ17" s="74" t="str">
        <f t="shared" si="48"/>
        <v/>
      </c>
      <c r="DK17" s="623" t="str">
        <f t="shared" si="49"/>
        <v/>
      </c>
      <c r="DL17" s="74"/>
      <c r="DM17" s="665">
        <v>-5.0</v>
      </c>
      <c r="DN17" s="582">
        <f t="shared" si="60"/>
        <v>2.6</v>
      </c>
      <c r="DO17" s="575" t="s">
        <v>1677</v>
      </c>
      <c r="DP17" s="297"/>
    </row>
    <row r="18">
      <c r="A18" s="552">
        <v>12.0</v>
      </c>
      <c r="B18" s="86">
        <v>229.0</v>
      </c>
      <c r="C18" s="54">
        <v>38.0</v>
      </c>
      <c r="D18" s="54">
        <v>60.0</v>
      </c>
      <c r="E18" s="74"/>
      <c r="F18" s="68" t="s">
        <v>1246</v>
      </c>
      <c r="G18" s="68">
        <f t="shared" si="5"/>
        <v>16</v>
      </c>
      <c r="H18" s="68">
        <f t="shared" si="6"/>
        <v>15</v>
      </c>
      <c r="I18" s="68">
        <f t="shared" si="7"/>
        <v>16</v>
      </c>
      <c r="J18" s="68">
        <f t="shared" si="8"/>
        <v>19</v>
      </c>
      <c r="K18" s="68">
        <f t="shared" si="9"/>
        <v>19</v>
      </c>
      <c r="L18" s="68">
        <f t="shared" si="10"/>
        <v>15</v>
      </c>
      <c r="M18" s="569">
        <f t="shared" si="11"/>
        <v>20</v>
      </c>
      <c r="N18" s="74" t="s">
        <v>200</v>
      </c>
      <c r="O18" s="678"/>
      <c r="P18" s="571"/>
      <c r="Q18" s="571" t="s">
        <v>1676</v>
      </c>
      <c r="R18" s="571" t="s">
        <v>1314</v>
      </c>
      <c r="S18" s="571" t="s">
        <v>175</v>
      </c>
      <c r="T18" s="572" t="s">
        <v>202</v>
      </c>
      <c r="U18" s="54">
        <v>61.0</v>
      </c>
      <c r="V18" s="54">
        <v>45.0</v>
      </c>
      <c r="W18" s="54">
        <v>115.0</v>
      </c>
      <c r="X18" s="679">
        <v>83.0</v>
      </c>
      <c r="Y18" s="54">
        <v>4.0</v>
      </c>
      <c r="Z18" s="54">
        <v>10.0</v>
      </c>
      <c r="AA18" s="54">
        <v>2.0</v>
      </c>
      <c r="AB18" s="669">
        <v>72.0</v>
      </c>
      <c r="AC18" s="54">
        <v>15781.0</v>
      </c>
      <c r="AD18" s="54">
        <v>4.0</v>
      </c>
      <c r="AE18" s="54">
        <v>100.0</v>
      </c>
      <c r="AF18" s="74"/>
      <c r="AG18" s="54">
        <v>47.0</v>
      </c>
      <c r="AH18" s="54">
        <v>75.0</v>
      </c>
      <c r="AI18" s="574">
        <f t="shared" si="12"/>
        <v>61</v>
      </c>
      <c r="AJ18" s="74"/>
      <c r="AK18" s="74"/>
      <c r="AL18" s="74"/>
      <c r="AM18" s="74"/>
      <c r="AN18" s="74"/>
      <c r="AO18" s="74"/>
      <c r="AP18" s="74"/>
      <c r="AQ18" s="74"/>
      <c r="AR18" s="74"/>
      <c r="AS18" s="575"/>
      <c r="AT18" s="68">
        <f t="shared" si="13"/>
        <v>1023</v>
      </c>
      <c r="AU18" s="68">
        <f t="shared" si="14"/>
        <v>1497</v>
      </c>
      <c r="AV18" s="581">
        <f t="shared" si="15"/>
        <v>1260</v>
      </c>
      <c r="AW18" s="582">
        <f t="shared" si="16"/>
        <v>1853</v>
      </c>
      <c r="AX18" s="582">
        <f t="shared" si="17"/>
        <v>1969</v>
      </c>
      <c r="AY18" s="582">
        <f t="shared" si="18"/>
        <v>1853</v>
      </c>
      <c r="AZ18" s="582">
        <f t="shared" si="19"/>
        <v>1969</v>
      </c>
      <c r="BA18" s="582">
        <f t="shared" si="20"/>
        <v>1500</v>
      </c>
      <c r="BB18" s="582">
        <f t="shared" si="21"/>
        <v>1432</v>
      </c>
      <c r="BC18" s="582">
        <f t="shared" si="22"/>
        <v>1500</v>
      </c>
      <c r="BD18" s="582">
        <f t="shared" si="23"/>
        <v>955</v>
      </c>
      <c r="BE18" s="582">
        <f t="shared" si="24"/>
        <v>1125</v>
      </c>
      <c r="BF18" s="582">
        <f t="shared" si="25"/>
        <v>1167</v>
      </c>
      <c r="BG18" s="582">
        <f t="shared" si="26"/>
        <v>1432</v>
      </c>
      <c r="BH18" s="582">
        <f t="shared" si="27"/>
        <v>1432</v>
      </c>
      <c r="BI18" s="582">
        <f t="shared" si="28"/>
        <v>1500</v>
      </c>
      <c r="BJ18" s="582">
        <f t="shared" si="29"/>
        <v>1500</v>
      </c>
      <c r="BK18" s="582">
        <f t="shared" si="30"/>
        <v>1125</v>
      </c>
      <c r="BL18" s="582">
        <f t="shared" si="31"/>
        <v>1086</v>
      </c>
      <c r="BM18" s="74"/>
      <c r="BN18" s="74"/>
      <c r="BO18" s="582">
        <f t="shared" si="32"/>
        <v>3706</v>
      </c>
      <c r="BP18" s="602">
        <f t="shared" si="33"/>
        <v>3706</v>
      </c>
      <c r="BQ18" s="670">
        <v>38.0</v>
      </c>
      <c r="BR18" s="670">
        <v>60.0</v>
      </c>
      <c r="BS18" s="670">
        <v>10.0</v>
      </c>
      <c r="BT18" s="670">
        <v>100.0</v>
      </c>
      <c r="BU18" s="365"/>
      <c r="BV18" s="671">
        <f t="shared" si="34"/>
        <v>49</v>
      </c>
      <c r="BW18" s="672">
        <f t="shared" si="35"/>
        <v>1271.8</v>
      </c>
      <c r="BX18" s="673">
        <f t="shared" si="36"/>
        <v>1870.3</v>
      </c>
      <c r="BY18" s="673">
        <f t="shared" si="37"/>
        <v>1987.2</v>
      </c>
      <c r="BZ18" s="673">
        <f t="shared" si="38"/>
        <v>1870.3</v>
      </c>
      <c r="CA18" s="673">
        <f t="shared" si="39"/>
        <v>1514</v>
      </c>
      <c r="CB18" s="673">
        <f t="shared" si="40"/>
        <v>1514</v>
      </c>
      <c r="CC18" s="673">
        <f t="shared" si="41"/>
        <v>1987.2</v>
      </c>
      <c r="CD18" s="673">
        <f t="shared" si="42"/>
        <v>1445.2</v>
      </c>
      <c r="CE18" s="674">
        <f t="shared" si="43"/>
        <v>24.5</v>
      </c>
      <c r="CF18" s="675">
        <f t="shared" ref="CF18:CG18" si="69">IF(ROUND(100*(AV18/BW18)-100,1)=0,"",ROUND(100*(AV18/BW18)-100,1))</f>
        <v>-0.9</v>
      </c>
      <c r="CG18" s="676">
        <f t="shared" si="69"/>
        <v>-0.9</v>
      </c>
      <c r="CH18" s="575" t="s">
        <v>200</v>
      </c>
      <c r="CI18" s="582">
        <f t="shared" ref="CI18:DF18" si="70">FLOOR($AV18/(CI$3/25),1)</f>
        <v>1260</v>
      </c>
      <c r="CJ18" s="582">
        <f t="shared" si="70"/>
        <v>1312</v>
      </c>
      <c r="CK18" s="582">
        <f t="shared" si="70"/>
        <v>1369</v>
      </c>
      <c r="CL18" s="582">
        <f t="shared" si="70"/>
        <v>1431</v>
      </c>
      <c r="CM18" s="582">
        <f t="shared" si="70"/>
        <v>1500</v>
      </c>
      <c r="CN18" s="582">
        <f t="shared" si="70"/>
        <v>1575</v>
      </c>
      <c r="CO18" s="582">
        <f t="shared" si="70"/>
        <v>1657</v>
      </c>
      <c r="CP18" s="582">
        <f t="shared" si="70"/>
        <v>1750</v>
      </c>
      <c r="CQ18" s="582">
        <f t="shared" si="70"/>
        <v>1852</v>
      </c>
      <c r="CR18" s="582">
        <f t="shared" si="70"/>
        <v>1968</v>
      </c>
      <c r="CS18" s="582">
        <f t="shared" si="70"/>
        <v>2100</v>
      </c>
      <c r="CT18" s="582">
        <f t="shared" si="70"/>
        <v>2250</v>
      </c>
      <c r="CU18" s="582">
        <f t="shared" si="70"/>
        <v>2423</v>
      </c>
      <c r="CV18" s="582">
        <f t="shared" si="70"/>
        <v>2625</v>
      </c>
      <c r="CW18" s="582">
        <f t="shared" si="70"/>
        <v>2863</v>
      </c>
      <c r="CX18" s="582">
        <f t="shared" si="70"/>
        <v>3150</v>
      </c>
      <c r="CY18" s="582">
        <f t="shared" si="70"/>
        <v>3500</v>
      </c>
      <c r="CZ18" s="582">
        <f t="shared" si="70"/>
        <v>3937</v>
      </c>
      <c r="DA18" s="582">
        <f t="shared" si="70"/>
        <v>4500</v>
      </c>
      <c r="DB18" s="582">
        <f t="shared" si="70"/>
        <v>5250</v>
      </c>
      <c r="DC18" s="582">
        <f t="shared" si="70"/>
        <v>6300</v>
      </c>
      <c r="DD18" s="582">
        <f t="shared" si="70"/>
        <v>7875</v>
      </c>
      <c r="DE18" s="582">
        <f t="shared" si="70"/>
        <v>10500</v>
      </c>
      <c r="DF18" s="602">
        <f t="shared" si="70"/>
        <v>15750</v>
      </c>
      <c r="DG18" s="575"/>
      <c r="DH18" s="575" t="str">
        <f t="shared" si="46"/>
        <v/>
      </c>
      <c r="DI18" s="74" t="str">
        <f t="shared" si="47"/>
        <v/>
      </c>
      <c r="DJ18" s="74" t="str">
        <f t="shared" si="48"/>
        <v/>
      </c>
      <c r="DK18" s="664">
        <f t="shared" si="49"/>
        <v>-18</v>
      </c>
      <c r="DL18" s="685">
        <v>50.0</v>
      </c>
      <c r="DM18" s="74"/>
      <c r="DN18" s="582">
        <f t="shared" si="60"/>
        <v>1.6</v>
      </c>
      <c r="DO18" s="575"/>
      <c r="DP18" s="297"/>
    </row>
    <row r="19">
      <c r="A19" s="552">
        <v>13.0</v>
      </c>
      <c r="B19" s="86">
        <v>230.0</v>
      </c>
      <c r="C19" s="54">
        <v>33.0</v>
      </c>
      <c r="D19" s="54">
        <v>66.0</v>
      </c>
      <c r="E19" s="74"/>
      <c r="F19" s="68" t="s">
        <v>1246</v>
      </c>
      <c r="G19" s="68">
        <f t="shared" si="5"/>
        <v>16</v>
      </c>
      <c r="H19" s="68">
        <f t="shared" si="6"/>
        <v>15</v>
      </c>
      <c r="I19" s="68">
        <f t="shared" si="7"/>
        <v>16</v>
      </c>
      <c r="J19" s="68">
        <f t="shared" si="8"/>
        <v>19</v>
      </c>
      <c r="K19" s="68">
        <f t="shared" si="9"/>
        <v>19</v>
      </c>
      <c r="L19" s="68">
        <f t="shared" si="10"/>
        <v>15</v>
      </c>
      <c r="M19" s="569">
        <f t="shared" si="11"/>
        <v>20</v>
      </c>
      <c r="N19" s="74" t="s">
        <v>230</v>
      </c>
      <c r="O19" s="570" t="s">
        <v>1679</v>
      </c>
      <c r="P19" s="571"/>
      <c r="Q19" s="571" t="s">
        <v>1676</v>
      </c>
      <c r="R19" s="571" t="s">
        <v>1314</v>
      </c>
      <c r="S19" s="571" t="s">
        <v>175</v>
      </c>
      <c r="T19" s="572" t="s">
        <v>231</v>
      </c>
      <c r="U19" s="54">
        <v>70.0</v>
      </c>
      <c r="V19" s="54">
        <v>52.0</v>
      </c>
      <c r="W19" s="679">
        <v>145.0</v>
      </c>
      <c r="X19" s="54">
        <v>45.0</v>
      </c>
      <c r="Y19" s="54">
        <v>5.0</v>
      </c>
      <c r="Z19" s="54">
        <v>10.0</v>
      </c>
      <c r="AA19" s="54">
        <v>2.0</v>
      </c>
      <c r="AB19" s="669">
        <v>72.0</v>
      </c>
      <c r="AC19" s="54">
        <v>13496.0</v>
      </c>
      <c r="AD19" s="54">
        <v>4.0</v>
      </c>
      <c r="AE19" s="54">
        <v>100.0</v>
      </c>
      <c r="AF19" s="74"/>
      <c r="AG19" s="54">
        <v>41.0</v>
      </c>
      <c r="AH19" s="54">
        <v>83.0</v>
      </c>
      <c r="AI19" s="574">
        <f t="shared" si="12"/>
        <v>62</v>
      </c>
      <c r="AJ19" s="74"/>
      <c r="AK19" s="74"/>
      <c r="AL19" s="74"/>
      <c r="AM19" s="74"/>
      <c r="AN19" s="74"/>
      <c r="AO19" s="74"/>
      <c r="AP19" s="74"/>
      <c r="AQ19" s="74"/>
      <c r="AR19" s="74"/>
      <c r="AS19" s="575"/>
      <c r="AT19" s="68">
        <f t="shared" si="13"/>
        <v>921</v>
      </c>
      <c r="AU19" s="68">
        <f t="shared" si="14"/>
        <v>1631</v>
      </c>
      <c r="AV19" s="581">
        <f t="shared" si="15"/>
        <v>1276</v>
      </c>
      <c r="AW19" s="582">
        <f t="shared" si="16"/>
        <v>1876</v>
      </c>
      <c r="AX19" s="582">
        <f t="shared" si="17"/>
        <v>1994</v>
      </c>
      <c r="AY19" s="582">
        <f t="shared" si="18"/>
        <v>1876</v>
      </c>
      <c r="AZ19" s="582">
        <f t="shared" si="19"/>
        <v>1994</v>
      </c>
      <c r="BA19" s="582">
        <f t="shared" si="20"/>
        <v>1519</v>
      </c>
      <c r="BB19" s="582">
        <f t="shared" si="21"/>
        <v>1450</v>
      </c>
      <c r="BC19" s="582">
        <f t="shared" si="22"/>
        <v>1519</v>
      </c>
      <c r="BD19" s="582">
        <f t="shared" si="23"/>
        <v>967</v>
      </c>
      <c r="BE19" s="582">
        <f t="shared" si="24"/>
        <v>1139</v>
      </c>
      <c r="BF19" s="582">
        <f t="shared" si="25"/>
        <v>1181</v>
      </c>
      <c r="BG19" s="582">
        <f t="shared" si="26"/>
        <v>1450</v>
      </c>
      <c r="BH19" s="582">
        <f t="shared" si="27"/>
        <v>1450</v>
      </c>
      <c r="BI19" s="582">
        <f t="shared" si="28"/>
        <v>1519</v>
      </c>
      <c r="BJ19" s="582">
        <f t="shared" si="29"/>
        <v>1519</v>
      </c>
      <c r="BK19" s="582">
        <f t="shared" si="30"/>
        <v>1139</v>
      </c>
      <c r="BL19" s="582">
        <f t="shared" si="31"/>
        <v>1100</v>
      </c>
      <c r="BM19" s="74"/>
      <c r="BN19" s="74"/>
      <c r="BO19" s="582">
        <f t="shared" si="32"/>
        <v>3753</v>
      </c>
      <c r="BP19" s="602">
        <f t="shared" si="33"/>
        <v>3753</v>
      </c>
      <c r="BQ19" s="670">
        <v>33.0</v>
      </c>
      <c r="BR19" s="670">
        <v>66.0</v>
      </c>
      <c r="BS19" s="670">
        <v>10.0</v>
      </c>
      <c r="BT19" s="670">
        <v>100.0</v>
      </c>
      <c r="BU19" s="365"/>
      <c r="BV19" s="671">
        <f t="shared" si="34"/>
        <v>49.5</v>
      </c>
      <c r="BW19" s="672">
        <f t="shared" si="35"/>
        <v>1281.9</v>
      </c>
      <c r="BX19" s="673">
        <f t="shared" si="36"/>
        <v>1885.1</v>
      </c>
      <c r="BY19" s="673">
        <f t="shared" si="37"/>
        <v>2003</v>
      </c>
      <c r="BZ19" s="673">
        <f t="shared" si="38"/>
        <v>1885.1</v>
      </c>
      <c r="CA19" s="673">
        <f t="shared" si="39"/>
        <v>1526.1</v>
      </c>
      <c r="CB19" s="673">
        <f t="shared" si="40"/>
        <v>1526.1</v>
      </c>
      <c r="CC19" s="673">
        <f t="shared" si="41"/>
        <v>2003</v>
      </c>
      <c r="CD19" s="673">
        <f t="shared" si="42"/>
        <v>1456.7</v>
      </c>
      <c r="CE19" s="674">
        <f t="shared" si="43"/>
        <v>25.3</v>
      </c>
      <c r="CF19" s="675">
        <f t="shared" ref="CF19:CG19" si="71">IF(ROUND(100*(AV19/BW19)-100,1)=0,"",ROUND(100*(AV19/BW19)-100,1))</f>
        <v>-0.5</v>
      </c>
      <c r="CG19" s="676">
        <f t="shared" si="71"/>
        <v>-0.5</v>
      </c>
      <c r="CH19" s="575" t="s">
        <v>230</v>
      </c>
      <c r="CI19" s="582">
        <f t="shared" ref="CI19:DF19" si="72">FLOOR($AV19/(CI$3/25),1)</f>
        <v>1276</v>
      </c>
      <c r="CJ19" s="582">
        <f t="shared" si="72"/>
        <v>1329</v>
      </c>
      <c r="CK19" s="582">
        <f t="shared" si="72"/>
        <v>1386</v>
      </c>
      <c r="CL19" s="582">
        <f t="shared" si="72"/>
        <v>1450</v>
      </c>
      <c r="CM19" s="582">
        <f t="shared" si="72"/>
        <v>1519</v>
      </c>
      <c r="CN19" s="582">
        <f t="shared" si="72"/>
        <v>1595</v>
      </c>
      <c r="CO19" s="582">
        <f t="shared" si="72"/>
        <v>1678</v>
      </c>
      <c r="CP19" s="582">
        <f t="shared" si="72"/>
        <v>1772</v>
      </c>
      <c r="CQ19" s="582">
        <f t="shared" si="72"/>
        <v>1876</v>
      </c>
      <c r="CR19" s="582">
        <f t="shared" si="72"/>
        <v>1993</v>
      </c>
      <c r="CS19" s="582">
        <f t="shared" si="72"/>
        <v>2126</v>
      </c>
      <c r="CT19" s="582">
        <f t="shared" si="72"/>
        <v>2278</v>
      </c>
      <c r="CU19" s="582">
        <f t="shared" si="72"/>
        <v>2453</v>
      </c>
      <c r="CV19" s="582">
        <f t="shared" si="72"/>
        <v>2658</v>
      </c>
      <c r="CW19" s="582">
        <f t="shared" si="72"/>
        <v>2900</v>
      </c>
      <c r="CX19" s="582">
        <f t="shared" si="72"/>
        <v>3190</v>
      </c>
      <c r="CY19" s="582">
        <f t="shared" si="72"/>
        <v>3544</v>
      </c>
      <c r="CZ19" s="582">
        <f t="shared" si="72"/>
        <v>3987</v>
      </c>
      <c r="DA19" s="582">
        <f t="shared" si="72"/>
        <v>4557</v>
      </c>
      <c r="DB19" s="582">
        <f t="shared" si="72"/>
        <v>5316</v>
      </c>
      <c r="DC19" s="582">
        <f t="shared" si="72"/>
        <v>6380</v>
      </c>
      <c r="DD19" s="582">
        <f t="shared" si="72"/>
        <v>7975</v>
      </c>
      <c r="DE19" s="582">
        <f t="shared" si="72"/>
        <v>10633</v>
      </c>
      <c r="DF19" s="602">
        <f t="shared" si="72"/>
        <v>15950</v>
      </c>
      <c r="DG19" s="575"/>
      <c r="DH19" s="575" t="str">
        <f t="shared" si="46"/>
        <v/>
      </c>
      <c r="DI19" s="74" t="str">
        <f t="shared" si="47"/>
        <v/>
      </c>
      <c r="DJ19" s="74" t="str">
        <f t="shared" si="48"/>
        <v/>
      </c>
      <c r="DK19" s="664">
        <f t="shared" si="49"/>
        <v>-19.4</v>
      </c>
      <c r="DL19" s="685">
        <v>50.0</v>
      </c>
      <c r="DM19" s="74"/>
      <c r="DN19" s="582">
        <f t="shared" si="60"/>
        <v>1.4</v>
      </c>
      <c r="DO19" s="575"/>
      <c r="DP19" s="297"/>
    </row>
    <row r="20">
      <c r="A20" s="552">
        <v>14.0</v>
      </c>
      <c r="B20" s="86">
        <v>231.0</v>
      </c>
      <c r="C20" s="54">
        <v>30.0</v>
      </c>
      <c r="D20" s="54">
        <v>48.0</v>
      </c>
      <c r="E20" s="74"/>
      <c r="F20" s="68" t="s">
        <v>1246</v>
      </c>
      <c r="G20" s="68">
        <f t="shared" si="5"/>
        <v>16</v>
      </c>
      <c r="H20" s="68">
        <f t="shared" si="6"/>
        <v>15</v>
      </c>
      <c r="I20" s="68">
        <f t="shared" si="7"/>
        <v>16</v>
      </c>
      <c r="J20" s="68">
        <f t="shared" si="8"/>
        <v>19</v>
      </c>
      <c r="K20" s="68">
        <f t="shared" si="9"/>
        <v>19</v>
      </c>
      <c r="L20" s="68">
        <f t="shared" si="10"/>
        <v>15</v>
      </c>
      <c r="M20" s="569">
        <f t="shared" si="11"/>
        <v>20</v>
      </c>
      <c r="N20" s="74" t="s">
        <v>236</v>
      </c>
      <c r="O20" s="570" t="s">
        <v>1680</v>
      </c>
      <c r="P20" s="571"/>
      <c r="Q20" s="571" t="s">
        <v>1676</v>
      </c>
      <c r="R20" s="571" t="s">
        <v>1314</v>
      </c>
      <c r="S20" s="571" t="s">
        <v>175</v>
      </c>
      <c r="T20" s="572" t="s">
        <v>237</v>
      </c>
      <c r="U20" s="54">
        <v>79.0</v>
      </c>
      <c r="V20" s="54">
        <v>59.0</v>
      </c>
      <c r="W20" s="54">
        <v>133.0</v>
      </c>
      <c r="X20" s="54">
        <v>54.0</v>
      </c>
      <c r="Y20" s="54">
        <v>6.0</v>
      </c>
      <c r="Z20" s="54">
        <v>-10.0</v>
      </c>
      <c r="AA20" s="54">
        <v>2.0</v>
      </c>
      <c r="AB20" s="669">
        <v>78.0</v>
      </c>
      <c r="AC20" s="54">
        <v>16108.0</v>
      </c>
      <c r="AD20" s="54">
        <v>4.0</v>
      </c>
      <c r="AE20" s="54">
        <v>100.0</v>
      </c>
      <c r="AF20" s="74"/>
      <c r="AG20" s="54">
        <v>38.0</v>
      </c>
      <c r="AH20" s="54">
        <v>60.0</v>
      </c>
      <c r="AI20" s="574">
        <f t="shared" si="12"/>
        <v>49</v>
      </c>
      <c r="AJ20" s="74"/>
      <c r="AK20" s="74"/>
      <c r="AL20" s="74"/>
      <c r="AM20" s="74"/>
      <c r="AN20" s="74"/>
      <c r="AO20" s="74"/>
      <c r="AP20" s="74"/>
      <c r="AQ20" s="74"/>
      <c r="AR20" s="74"/>
      <c r="AS20" s="575"/>
      <c r="AT20" s="68">
        <f t="shared" si="13"/>
        <v>872</v>
      </c>
      <c r="AU20" s="68">
        <f t="shared" si="14"/>
        <v>1242</v>
      </c>
      <c r="AV20" s="581">
        <f t="shared" si="15"/>
        <v>1057</v>
      </c>
      <c r="AW20" s="582">
        <f t="shared" si="16"/>
        <v>1888</v>
      </c>
      <c r="AX20" s="582">
        <f t="shared" si="17"/>
        <v>2033</v>
      </c>
      <c r="AY20" s="582">
        <f t="shared" si="18"/>
        <v>1888</v>
      </c>
      <c r="AZ20" s="582">
        <f t="shared" si="19"/>
        <v>2033</v>
      </c>
      <c r="BA20" s="582">
        <f t="shared" si="20"/>
        <v>1554</v>
      </c>
      <c r="BB20" s="582">
        <f t="shared" si="21"/>
        <v>1468</v>
      </c>
      <c r="BC20" s="582">
        <f t="shared" si="22"/>
        <v>1554</v>
      </c>
      <c r="BD20" s="582">
        <f t="shared" si="23"/>
        <v>1201</v>
      </c>
      <c r="BE20" s="582">
        <f t="shared" si="24"/>
        <v>1468</v>
      </c>
      <c r="BF20" s="582">
        <f t="shared" si="25"/>
        <v>1468</v>
      </c>
      <c r="BG20" s="582">
        <f t="shared" si="26"/>
        <v>1762</v>
      </c>
      <c r="BH20" s="582">
        <f t="shared" si="27"/>
        <v>1762</v>
      </c>
      <c r="BI20" s="582">
        <f t="shared" si="28"/>
        <v>1888</v>
      </c>
      <c r="BJ20" s="582">
        <f t="shared" si="29"/>
        <v>1888</v>
      </c>
      <c r="BK20" s="582">
        <f t="shared" si="30"/>
        <v>1468</v>
      </c>
      <c r="BL20" s="582">
        <f t="shared" si="31"/>
        <v>1391</v>
      </c>
      <c r="BM20" s="74"/>
      <c r="BN20" s="74"/>
      <c r="BO20" s="582">
        <f t="shared" si="32"/>
        <v>3775</v>
      </c>
      <c r="BP20" s="602">
        <f t="shared" si="33"/>
        <v>3775</v>
      </c>
      <c r="BQ20" s="670">
        <v>30.0</v>
      </c>
      <c r="BR20" s="670">
        <v>48.0</v>
      </c>
      <c r="BS20" s="670">
        <v>-10.0</v>
      </c>
      <c r="BT20" s="670">
        <v>100.0</v>
      </c>
      <c r="BU20" s="365"/>
      <c r="BV20" s="671">
        <f t="shared" si="34"/>
        <v>39</v>
      </c>
      <c r="BW20" s="672">
        <f t="shared" si="35"/>
        <v>1069.3</v>
      </c>
      <c r="BX20" s="673">
        <f t="shared" si="36"/>
        <v>1909.5</v>
      </c>
      <c r="BY20" s="673">
        <f t="shared" si="37"/>
        <v>2056.3</v>
      </c>
      <c r="BZ20" s="673">
        <f t="shared" si="38"/>
        <v>1909.5</v>
      </c>
      <c r="CA20" s="673">
        <f t="shared" si="39"/>
        <v>1572.5</v>
      </c>
      <c r="CB20" s="673">
        <f t="shared" si="40"/>
        <v>1572.5</v>
      </c>
      <c r="CC20" s="673">
        <f t="shared" si="41"/>
        <v>2056.3</v>
      </c>
      <c r="CD20" s="673">
        <f t="shared" si="42"/>
        <v>1485.1</v>
      </c>
      <c r="CE20" s="674">
        <f t="shared" si="43"/>
        <v>25.6</v>
      </c>
      <c r="CF20" s="675">
        <f t="shared" ref="CF20:CG20" si="73">IF(ROUND(100*(AV20/BW20)-100,1)=0,"",ROUND(100*(AV20/BW20)-100,1))</f>
        <v>-1.2</v>
      </c>
      <c r="CG20" s="676">
        <f t="shared" si="73"/>
        <v>-1.1</v>
      </c>
      <c r="CH20" s="575" t="s">
        <v>236</v>
      </c>
      <c r="CI20" s="582">
        <f t="shared" ref="CI20:DF20" si="74">FLOOR($AV20/(CI$3/25),1)</f>
        <v>1057</v>
      </c>
      <c r="CJ20" s="582">
        <f t="shared" si="74"/>
        <v>1101</v>
      </c>
      <c r="CK20" s="582">
        <f t="shared" si="74"/>
        <v>1148</v>
      </c>
      <c r="CL20" s="582">
        <f t="shared" si="74"/>
        <v>1201</v>
      </c>
      <c r="CM20" s="582">
        <f t="shared" si="74"/>
        <v>1258</v>
      </c>
      <c r="CN20" s="582">
        <f t="shared" si="74"/>
        <v>1321</v>
      </c>
      <c r="CO20" s="582">
        <f t="shared" si="74"/>
        <v>1390</v>
      </c>
      <c r="CP20" s="582">
        <f t="shared" si="74"/>
        <v>1468</v>
      </c>
      <c r="CQ20" s="582">
        <f t="shared" si="74"/>
        <v>1554</v>
      </c>
      <c r="CR20" s="582">
        <f t="shared" si="74"/>
        <v>1651</v>
      </c>
      <c r="CS20" s="582">
        <f t="shared" si="74"/>
        <v>1761</v>
      </c>
      <c r="CT20" s="582">
        <f t="shared" si="74"/>
        <v>1887</v>
      </c>
      <c r="CU20" s="582">
        <f t="shared" si="74"/>
        <v>2032</v>
      </c>
      <c r="CV20" s="582">
        <f t="shared" si="74"/>
        <v>2202</v>
      </c>
      <c r="CW20" s="582">
        <f t="shared" si="74"/>
        <v>2402</v>
      </c>
      <c r="CX20" s="582">
        <f t="shared" si="74"/>
        <v>2642</v>
      </c>
      <c r="CY20" s="582">
        <f t="shared" si="74"/>
        <v>2936</v>
      </c>
      <c r="CZ20" s="582">
        <f t="shared" si="74"/>
        <v>3303</v>
      </c>
      <c r="DA20" s="582">
        <f t="shared" si="74"/>
        <v>3775</v>
      </c>
      <c r="DB20" s="582">
        <f t="shared" si="74"/>
        <v>4404</v>
      </c>
      <c r="DC20" s="582">
        <f t="shared" si="74"/>
        <v>5285</v>
      </c>
      <c r="DD20" s="582">
        <f t="shared" si="74"/>
        <v>6606</v>
      </c>
      <c r="DE20" s="582">
        <f t="shared" si="74"/>
        <v>8808</v>
      </c>
      <c r="DF20" s="602">
        <f t="shared" si="74"/>
        <v>13212</v>
      </c>
      <c r="DG20" s="575"/>
      <c r="DH20" s="575" t="str">
        <f t="shared" si="46"/>
        <v/>
      </c>
      <c r="DI20" s="74" t="str">
        <f t="shared" si="47"/>
        <v/>
      </c>
      <c r="DJ20" s="74" t="str">
        <f t="shared" si="48"/>
        <v/>
      </c>
      <c r="DK20" s="664">
        <f t="shared" si="49"/>
        <v>-9.2</v>
      </c>
      <c r="DL20" s="685">
        <v>44.5</v>
      </c>
      <c r="DM20" s="74"/>
      <c r="DN20" s="582">
        <f t="shared" si="60"/>
        <v>1.3</v>
      </c>
      <c r="DO20" s="575" t="s">
        <v>1681</v>
      </c>
      <c r="DP20" s="297"/>
    </row>
    <row r="21">
      <c r="A21" s="686">
        <v>15.0</v>
      </c>
      <c r="B21" s="196">
        <v>232.0</v>
      </c>
      <c r="C21" s="186">
        <v>24.0</v>
      </c>
      <c r="D21" s="186">
        <v>71.0</v>
      </c>
      <c r="E21" s="190"/>
      <c r="F21" s="221" t="s">
        <v>1246</v>
      </c>
      <c r="G21" s="221">
        <f t="shared" si="5"/>
        <v>16</v>
      </c>
      <c r="H21" s="221">
        <f t="shared" si="6"/>
        <v>15</v>
      </c>
      <c r="I21" s="221">
        <f t="shared" si="7"/>
        <v>16</v>
      </c>
      <c r="J21" s="221">
        <f t="shared" si="8"/>
        <v>19</v>
      </c>
      <c r="K21" s="221">
        <f t="shared" si="9"/>
        <v>19</v>
      </c>
      <c r="L21" s="221">
        <f t="shared" si="10"/>
        <v>15</v>
      </c>
      <c r="M21" s="687">
        <f t="shared" si="11"/>
        <v>20</v>
      </c>
      <c r="N21" s="190" t="s">
        <v>254</v>
      </c>
      <c r="O21" s="688" t="s">
        <v>1682</v>
      </c>
      <c r="P21" s="689"/>
      <c r="Q21" s="689" t="s">
        <v>1676</v>
      </c>
      <c r="R21" s="689" t="s">
        <v>1314</v>
      </c>
      <c r="S21" s="689" t="s">
        <v>175</v>
      </c>
      <c r="T21" s="690" t="s">
        <v>255</v>
      </c>
      <c r="U21" s="186">
        <v>85.0</v>
      </c>
      <c r="V21" s="186">
        <v>64.0</v>
      </c>
      <c r="W21" s="186">
        <v>138.0</v>
      </c>
      <c r="X21" s="186">
        <v>59.0</v>
      </c>
      <c r="Y21" s="186">
        <v>6.0</v>
      </c>
      <c r="Z21" s="186">
        <v>0.0</v>
      </c>
      <c r="AA21" s="186">
        <v>2.0</v>
      </c>
      <c r="AB21" s="691">
        <v>78.0</v>
      </c>
      <c r="AC21" s="186">
        <v>15957.0</v>
      </c>
      <c r="AD21" s="186">
        <v>4.0</v>
      </c>
      <c r="AE21" s="186">
        <v>100.0</v>
      </c>
      <c r="AF21" s="190"/>
      <c r="AG21" s="186">
        <v>30.0</v>
      </c>
      <c r="AH21" s="186">
        <v>89.0</v>
      </c>
      <c r="AI21" s="692">
        <f t="shared" si="12"/>
        <v>59.5</v>
      </c>
      <c r="AJ21" s="190"/>
      <c r="AK21" s="190"/>
      <c r="AL21" s="190"/>
      <c r="AM21" s="190"/>
      <c r="AN21" s="190"/>
      <c r="AO21" s="190"/>
      <c r="AP21" s="190"/>
      <c r="AQ21" s="190"/>
      <c r="AR21" s="190"/>
      <c r="AS21" s="377"/>
      <c r="AT21" s="221">
        <f t="shared" si="13"/>
        <v>736</v>
      </c>
      <c r="AU21" s="221">
        <f t="shared" si="14"/>
        <v>1731</v>
      </c>
      <c r="AV21" s="693">
        <f t="shared" si="15"/>
        <v>1233.5</v>
      </c>
      <c r="AW21" s="694">
        <f t="shared" si="16"/>
        <v>2056</v>
      </c>
      <c r="AX21" s="694">
        <f t="shared" si="17"/>
        <v>2203</v>
      </c>
      <c r="AY21" s="694">
        <f t="shared" si="18"/>
        <v>2056</v>
      </c>
      <c r="AZ21" s="694">
        <f t="shared" si="19"/>
        <v>2203</v>
      </c>
      <c r="BA21" s="694">
        <f t="shared" si="20"/>
        <v>1713</v>
      </c>
      <c r="BB21" s="694">
        <f t="shared" si="21"/>
        <v>1623</v>
      </c>
      <c r="BC21" s="694">
        <f t="shared" si="22"/>
        <v>1713</v>
      </c>
      <c r="BD21" s="694">
        <f t="shared" si="23"/>
        <v>1142</v>
      </c>
      <c r="BE21" s="694">
        <f t="shared" si="24"/>
        <v>1402</v>
      </c>
      <c r="BF21" s="694">
        <f t="shared" si="25"/>
        <v>1341</v>
      </c>
      <c r="BG21" s="694">
        <f t="shared" si="26"/>
        <v>1623</v>
      </c>
      <c r="BH21" s="694">
        <f t="shared" si="27"/>
        <v>1623</v>
      </c>
      <c r="BI21" s="694">
        <f t="shared" si="28"/>
        <v>1713</v>
      </c>
      <c r="BJ21" s="694">
        <f t="shared" si="29"/>
        <v>1713</v>
      </c>
      <c r="BK21" s="694">
        <f t="shared" si="30"/>
        <v>1402</v>
      </c>
      <c r="BL21" s="694">
        <f t="shared" si="31"/>
        <v>1341</v>
      </c>
      <c r="BM21" s="190"/>
      <c r="BN21" s="190"/>
      <c r="BO21" s="694">
        <f t="shared" si="32"/>
        <v>4112</v>
      </c>
      <c r="BP21" s="695">
        <f t="shared" si="33"/>
        <v>4112</v>
      </c>
      <c r="BQ21" s="696">
        <v>24.0</v>
      </c>
      <c r="BR21" s="696">
        <v>71.0</v>
      </c>
      <c r="BS21" s="697"/>
      <c r="BT21" s="696">
        <v>100.0</v>
      </c>
      <c r="BU21" s="697"/>
      <c r="BV21" s="698">
        <f t="shared" si="34"/>
        <v>47.5</v>
      </c>
      <c r="BW21" s="699">
        <f t="shared" si="35"/>
        <v>1241.4</v>
      </c>
      <c r="BX21" s="700">
        <f t="shared" si="36"/>
        <v>2069</v>
      </c>
      <c r="BY21" s="700">
        <f t="shared" si="37"/>
        <v>2216.8</v>
      </c>
      <c r="BZ21" s="700">
        <f t="shared" si="38"/>
        <v>2069</v>
      </c>
      <c r="CA21" s="700">
        <f t="shared" si="39"/>
        <v>1724.2</v>
      </c>
      <c r="CB21" s="700">
        <f t="shared" si="40"/>
        <v>1724.2</v>
      </c>
      <c r="CC21" s="700">
        <f t="shared" si="41"/>
        <v>2216.8</v>
      </c>
      <c r="CD21" s="700">
        <f t="shared" si="42"/>
        <v>1633.4</v>
      </c>
      <c r="CE21" s="701">
        <f t="shared" si="43"/>
        <v>25.3</v>
      </c>
      <c r="CF21" s="702">
        <f t="shared" ref="CF21:CG21" si="75">IF(ROUND(100*(AV21/BW21)-100,1)=0,"",ROUND(100*(AV21/BW21)-100,1))</f>
        <v>-0.6</v>
      </c>
      <c r="CG21" s="703">
        <f t="shared" si="75"/>
        <v>-0.6</v>
      </c>
      <c r="CH21" s="377" t="s">
        <v>254</v>
      </c>
      <c r="CI21" s="694">
        <f t="shared" ref="CI21:DF21" si="76">FLOOR($AV21/(CI$3/25),1)</f>
        <v>1233</v>
      </c>
      <c r="CJ21" s="694">
        <f t="shared" si="76"/>
        <v>1284</v>
      </c>
      <c r="CK21" s="694">
        <f t="shared" si="76"/>
        <v>1340</v>
      </c>
      <c r="CL21" s="694">
        <f t="shared" si="76"/>
        <v>1401</v>
      </c>
      <c r="CM21" s="694">
        <f t="shared" si="76"/>
        <v>1468</v>
      </c>
      <c r="CN21" s="694">
        <f t="shared" si="76"/>
        <v>1541</v>
      </c>
      <c r="CO21" s="694">
        <f t="shared" si="76"/>
        <v>1623</v>
      </c>
      <c r="CP21" s="694">
        <f t="shared" si="76"/>
        <v>1713</v>
      </c>
      <c r="CQ21" s="694">
        <f t="shared" si="76"/>
        <v>1813</v>
      </c>
      <c r="CR21" s="694">
        <f t="shared" si="76"/>
        <v>1927</v>
      </c>
      <c r="CS21" s="694">
        <f t="shared" si="76"/>
        <v>2055</v>
      </c>
      <c r="CT21" s="694">
        <f t="shared" si="76"/>
        <v>2202</v>
      </c>
      <c r="CU21" s="694">
        <f t="shared" si="76"/>
        <v>2372</v>
      </c>
      <c r="CV21" s="694">
        <f t="shared" si="76"/>
        <v>2569</v>
      </c>
      <c r="CW21" s="694">
        <f t="shared" si="76"/>
        <v>2803</v>
      </c>
      <c r="CX21" s="694">
        <f t="shared" si="76"/>
        <v>3083</v>
      </c>
      <c r="CY21" s="694">
        <f t="shared" si="76"/>
        <v>3426</v>
      </c>
      <c r="CZ21" s="694">
        <f t="shared" si="76"/>
        <v>3854</v>
      </c>
      <c r="DA21" s="694">
        <f t="shared" si="76"/>
        <v>4405</v>
      </c>
      <c r="DB21" s="694">
        <f t="shared" si="76"/>
        <v>5139</v>
      </c>
      <c r="DC21" s="694">
        <f t="shared" si="76"/>
        <v>6167</v>
      </c>
      <c r="DD21" s="694">
        <f t="shared" si="76"/>
        <v>7709</v>
      </c>
      <c r="DE21" s="694">
        <f t="shared" si="76"/>
        <v>10279</v>
      </c>
      <c r="DF21" s="695">
        <f t="shared" si="76"/>
        <v>15418</v>
      </c>
      <c r="DG21" s="377"/>
      <c r="DH21" s="377" t="str">
        <f t="shared" si="46"/>
        <v/>
      </c>
      <c r="DI21" s="190" t="str">
        <f t="shared" si="47"/>
        <v/>
      </c>
      <c r="DJ21" s="190" t="str">
        <f t="shared" si="48"/>
        <v/>
      </c>
      <c r="DK21" s="704" t="str">
        <f t="shared" si="49"/>
        <v/>
      </c>
      <c r="DL21" s="190"/>
      <c r="DM21" s="190"/>
      <c r="DN21" s="694">
        <f t="shared" si="60"/>
        <v>1.4</v>
      </c>
      <c r="DO21" s="377"/>
      <c r="DP21" s="705"/>
    </row>
    <row r="22">
      <c r="A22" s="552">
        <v>16.0</v>
      </c>
      <c r="B22" s="86">
        <v>6.0</v>
      </c>
      <c r="C22" s="54">
        <v>6.0</v>
      </c>
      <c r="D22" s="54">
        <v>13.0</v>
      </c>
      <c r="E22" s="74"/>
      <c r="F22" s="68" t="s">
        <v>1683</v>
      </c>
      <c r="G22" s="68">
        <f t="shared" si="5"/>
        <v>20</v>
      </c>
      <c r="H22" s="68">
        <f t="shared" si="6"/>
        <v>19</v>
      </c>
      <c r="I22" s="68">
        <f t="shared" si="7"/>
        <v>19</v>
      </c>
      <c r="J22" s="68">
        <f t="shared" si="8"/>
        <v>17</v>
      </c>
      <c r="K22" s="68">
        <f t="shared" si="9"/>
        <v>20</v>
      </c>
      <c r="L22" s="68">
        <f t="shared" si="10"/>
        <v>18</v>
      </c>
      <c r="M22" s="569">
        <f t="shared" si="11"/>
        <v>18</v>
      </c>
      <c r="N22" s="74" t="s">
        <v>268</v>
      </c>
      <c r="O22" s="570" t="s">
        <v>1684</v>
      </c>
      <c r="P22" s="571"/>
      <c r="Q22" s="571" t="s">
        <v>1313</v>
      </c>
      <c r="R22" s="571" t="s">
        <v>1685</v>
      </c>
      <c r="S22" s="571" t="s">
        <v>175</v>
      </c>
      <c r="T22" s="572" t="s">
        <v>270</v>
      </c>
      <c r="U22" s="54">
        <v>6.0</v>
      </c>
      <c r="V22" s="54">
        <v>0.0</v>
      </c>
      <c r="W22" s="54">
        <v>35.0</v>
      </c>
      <c r="X22" s="74"/>
      <c r="Y22" s="573">
        <v>4.0</v>
      </c>
      <c r="Z22" s="54">
        <v>-10.0</v>
      </c>
      <c r="AA22" s="54">
        <v>3.0</v>
      </c>
      <c r="AB22" s="54">
        <v>60.0</v>
      </c>
      <c r="AC22" s="54">
        <v>354.0</v>
      </c>
      <c r="AD22" s="54">
        <v>4.0</v>
      </c>
      <c r="AE22" s="54">
        <v>110.0</v>
      </c>
      <c r="AF22" s="74"/>
      <c r="AG22" s="54">
        <v>6.0</v>
      </c>
      <c r="AH22" s="54">
        <v>13.0</v>
      </c>
      <c r="AI22" s="574">
        <f t="shared" si="12"/>
        <v>9.5</v>
      </c>
      <c r="AJ22" s="74"/>
      <c r="AK22" s="74"/>
      <c r="AL22" s="74"/>
      <c r="AM22" s="74"/>
      <c r="AN22" s="74"/>
      <c r="AO22" s="74"/>
      <c r="AP22" s="74"/>
      <c r="AQ22" s="74"/>
      <c r="AR22" s="74"/>
      <c r="AS22" s="575"/>
      <c r="AT22" s="68">
        <f t="shared" si="13"/>
        <v>355</v>
      </c>
      <c r="AU22" s="68">
        <f t="shared" si="14"/>
        <v>481</v>
      </c>
      <c r="AV22" s="581">
        <f t="shared" si="15"/>
        <v>418</v>
      </c>
      <c r="AW22" s="582">
        <f t="shared" si="16"/>
        <v>581</v>
      </c>
      <c r="AX22" s="582">
        <f t="shared" si="17"/>
        <v>615</v>
      </c>
      <c r="AY22" s="582">
        <f t="shared" si="18"/>
        <v>615</v>
      </c>
      <c r="AZ22" s="582">
        <f t="shared" si="19"/>
        <v>653</v>
      </c>
      <c r="BA22" s="582">
        <f t="shared" si="20"/>
        <v>581</v>
      </c>
      <c r="BB22" s="582">
        <f t="shared" si="21"/>
        <v>653</v>
      </c>
      <c r="BC22" s="582">
        <f t="shared" si="22"/>
        <v>697</v>
      </c>
      <c r="BD22" s="582">
        <f t="shared" si="23"/>
        <v>550</v>
      </c>
      <c r="BE22" s="582">
        <f t="shared" si="24"/>
        <v>653</v>
      </c>
      <c r="BF22" s="582">
        <f t="shared" si="25"/>
        <v>475</v>
      </c>
      <c r="BG22" s="582">
        <f t="shared" si="26"/>
        <v>581</v>
      </c>
      <c r="BH22" s="582">
        <f t="shared" si="27"/>
        <v>550</v>
      </c>
      <c r="BI22" s="582">
        <f t="shared" si="28"/>
        <v>581</v>
      </c>
      <c r="BJ22" s="582">
        <f t="shared" si="29"/>
        <v>615</v>
      </c>
      <c r="BK22" s="582">
        <f t="shared" si="30"/>
        <v>550</v>
      </c>
      <c r="BL22" s="582">
        <f t="shared" si="31"/>
        <v>615</v>
      </c>
      <c r="BM22" s="74"/>
      <c r="BN22" s="74"/>
      <c r="BO22" s="582">
        <f t="shared" si="32"/>
        <v>746</v>
      </c>
      <c r="BP22" s="602">
        <f t="shared" si="33"/>
        <v>746</v>
      </c>
      <c r="BQ22" s="54">
        <v>6.0</v>
      </c>
      <c r="BR22" s="54">
        <v>13.0</v>
      </c>
      <c r="BS22" s="54">
        <v>-10.0</v>
      </c>
      <c r="BT22" s="54">
        <v>100.0</v>
      </c>
      <c r="BU22" s="74"/>
      <c r="BV22" s="83">
        <f t="shared" si="34"/>
        <v>9.5</v>
      </c>
      <c r="BW22" s="608">
        <f t="shared" si="35"/>
        <v>472.1</v>
      </c>
      <c r="BX22" s="582">
        <f t="shared" si="36"/>
        <v>655.7</v>
      </c>
      <c r="BY22" s="582">
        <f t="shared" si="37"/>
        <v>694.3</v>
      </c>
      <c r="BZ22" s="582">
        <f t="shared" si="38"/>
        <v>694.3</v>
      </c>
      <c r="CA22" s="582">
        <f t="shared" si="39"/>
        <v>786.8</v>
      </c>
      <c r="CB22" s="582">
        <f t="shared" si="40"/>
        <v>655.7</v>
      </c>
      <c r="CC22" s="582">
        <f t="shared" si="41"/>
        <v>737.7</v>
      </c>
      <c r="CD22" s="582">
        <f t="shared" si="42"/>
        <v>737.7</v>
      </c>
      <c r="CE22" s="623" t="str">
        <f t="shared" si="43"/>
        <v/>
      </c>
      <c r="CF22" s="706">
        <f t="shared" ref="CF22:CG22" si="77">IF(ROUND(100*(AV22/BW22)-100,1)=0,"",ROUND(100*(AV22/BW22)-100,1))</f>
        <v>-11.5</v>
      </c>
      <c r="CG22" s="552">
        <f t="shared" si="77"/>
        <v>-11.4</v>
      </c>
      <c r="CH22" s="575" t="s">
        <v>268</v>
      </c>
      <c r="CI22" s="582">
        <f t="shared" ref="CI22:DF22" si="78">FLOOR($AV22/(CI$3/25),1)</f>
        <v>418</v>
      </c>
      <c r="CJ22" s="582">
        <f t="shared" si="78"/>
        <v>435</v>
      </c>
      <c r="CK22" s="582">
        <f t="shared" si="78"/>
        <v>454</v>
      </c>
      <c r="CL22" s="582">
        <f t="shared" si="78"/>
        <v>475</v>
      </c>
      <c r="CM22" s="582">
        <f t="shared" si="78"/>
        <v>497</v>
      </c>
      <c r="CN22" s="582">
        <f t="shared" si="78"/>
        <v>522</v>
      </c>
      <c r="CO22" s="582">
        <f t="shared" si="78"/>
        <v>550</v>
      </c>
      <c r="CP22" s="582">
        <f t="shared" si="78"/>
        <v>580</v>
      </c>
      <c r="CQ22" s="582">
        <f t="shared" si="78"/>
        <v>614</v>
      </c>
      <c r="CR22" s="582">
        <f t="shared" si="78"/>
        <v>653</v>
      </c>
      <c r="CS22" s="582">
        <f t="shared" si="78"/>
        <v>696</v>
      </c>
      <c r="CT22" s="582">
        <f t="shared" si="78"/>
        <v>746</v>
      </c>
      <c r="CU22" s="582">
        <f t="shared" si="78"/>
        <v>803</v>
      </c>
      <c r="CV22" s="582">
        <f t="shared" si="78"/>
        <v>870</v>
      </c>
      <c r="CW22" s="582">
        <f t="shared" si="78"/>
        <v>950</v>
      </c>
      <c r="CX22" s="582">
        <f t="shared" si="78"/>
        <v>1045</v>
      </c>
      <c r="CY22" s="582">
        <f t="shared" si="78"/>
        <v>1161</v>
      </c>
      <c r="CZ22" s="582">
        <f t="shared" si="78"/>
        <v>1306</v>
      </c>
      <c r="DA22" s="582">
        <f t="shared" si="78"/>
        <v>1492</v>
      </c>
      <c r="DB22" s="582">
        <f t="shared" si="78"/>
        <v>1741</v>
      </c>
      <c r="DC22" s="582">
        <f t="shared" si="78"/>
        <v>2090</v>
      </c>
      <c r="DD22" s="582">
        <f t="shared" si="78"/>
        <v>2612</v>
      </c>
      <c r="DE22" s="582">
        <f t="shared" si="78"/>
        <v>3483</v>
      </c>
      <c r="DF22" s="602">
        <f t="shared" si="78"/>
        <v>5225</v>
      </c>
      <c r="DG22" s="575"/>
      <c r="DH22" s="575" t="str">
        <f t="shared" si="46"/>
        <v/>
      </c>
      <c r="DI22" s="74" t="str">
        <f t="shared" si="47"/>
        <v/>
      </c>
      <c r="DJ22" s="74" t="str">
        <f t="shared" si="48"/>
        <v/>
      </c>
      <c r="DK22" s="623" t="str">
        <f t="shared" si="49"/>
        <v/>
      </c>
      <c r="DL22" s="74"/>
      <c r="DM22" s="74"/>
      <c r="DN22" s="74"/>
      <c r="DO22" s="575"/>
      <c r="DP22" s="297"/>
    </row>
    <row r="23">
      <c r="A23" s="552">
        <v>17.0</v>
      </c>
      <c r="B23" s="86">
        <v>7.0</v>
      </c>
      <c r="C23" s="54">
        <v>10.0</v>
      </c>
      <c r="D23" s="54">
        <v>18.0</v>
      </c>
      <c r="E23" s="74"/>
      <c r="F23" s="68" t="s">
        <v>1683</v>
      </c>
      <c r="G23" s="68">
        <f t="shared" si="5"/>
        <v>20</v>
      </c>
      <c r="H23" s="68">
        <f t="shared" si="6"/>
        <v>19</v>
      </c>
      <c r="I23" s="68">
        <f t="shared" si="7"/>
        <v>19</v>
      </c>
      <c r="J23" s="68">
        <f t="shared" si="8"/>
        <v>17</v>
      </c>
      <c r="K23" s="68">
        <f t="shared" si="9"/>
        <v>20</v>
      </c>
      <c r="L23" s="68">
        <f t="shared" si="10"/>
        <v>18</v>
      </c>
      <c r="M23" s="569">
        <f t="shared" si="11"/>
        <v>18</v>
      </c>
      <c r="N23" s="74" t="s">
        <v>296</v>
      </c>
      <c r="O23" s="570" t="s">
        <v>1686</v>
      </c>
      <c r="P23" s="571"/>
      <c r="Q23" s="571" t="s">
        <v>1313</v>
      </c>
      <c r="R23" s="571" t="s">
        <v>1685</v>
      </c>
      <c r="S23" s="571" t="s">
        <v>175</v>
      </c>
      <c r="T23" s="572" t="s">
        <v>297</v>
      </c>
      <c r="U23" s="54">
        <v>12.0</v>
      </c>
      <c r="V23" s="54">
        <v>0.0</v>
      </c>
      <c r="W23" s="54">
        <v>48.0</v>
      </c>
      <c r="X23" s="74"/>
      <c r="Y23" s="54">
        <v>5.0</v>
      </c>
      <c r="Z23" s="54">
        <v>0.0</v>
      </c>
      <c r="AA23" s="54">
        <v>3.0</v>
      </c>
      <c r="AB23" s="54">
        <v>70.0</v>
      </c>
      <c r="AC23" s="54">
        <v>806.0</v>
      </c>
      <c r="AD23" s="54">
        <v>4.0</v>
      </c>
      <c r="AE23" s="54">
        <v>110.0</v>
      </c>
      <c r="AF23" s="74"/>
      <c r="AG23" s="54">
        <v>10.0</v>
      </c>
      <c r="AH23" s="54">
        <v>18.0</v>
      </c>
      <c r="AI23" s="574">
        <f t="shared" si="12"/>
        <v>14</v>
      </c>
      <c r="AJ23" s="74"/>
      <c r="AK23" s="74"/>
      <c r="AL23" s="74"/>
      <c r="AM23" s="74"/>
      <c r="AN23" s="74"/>
      <c r="AO23" s="74"/>
      <c r="AP23" s="74"/>
      <c r="AQ23" s="74"/>
      <c r="AR23" s="74"/>
      <c r="AS23" s="575"/>
      <c r="AT23" s="68">
        <f t="shared" si="13"/>
        <v>425</v>
      </c>
      <c r="AU23" s="68">
        <f t="shared" si="14"/>
        <v>571</v>
      </c>
      <c r="AV23" s="581">
        <f t="shared" si="15"/>
        <v>498</v>
      </c>
      <c r="AW23" s="582">
        <f t="shared" si="16"/>
        <v>655</v>
      </c>
      <c r="AX23" s="582">
        <f t="shared" si="17"/>
        <v>692</v>
      </c>
      <c r="AY23" s="582">
        <f t="shared" si="18"/>
        <v>692</v>
      </c>
      <c r="AZ23" s="582">
        <f t="shared" si="19"/>
        <v>732</v>
      </c>
      <c r="BA23" s="582">
        <f t="shared" si="20"/>
        <v>655</v>
      </c>
      <c r="BB23" s="582">
        <f t="shared" si="21"/>
        <v>732</v>
      </c>
      <c r="BC23" s="582">
        <f t="shared" si="22"/>
        <v>778</v>
      </c>
      <c r="BD23" s="582">
        <f t="shared" si="23"/>
        <v>519</v>
      </c>
      <c r="BE23" s="582">
        <f t="shared" si="24"/>
        <v>623</v>
      </c>
      <c r="BF23" s="582">
        <f t="shared" si="25"/>
        <v>461</v>
      </c>
      <c r="BG23" s="582">
        <f t="shared" si="26"/>
        <v>566</v>
      </c>
      <c r="BH23" s="582">
        <f t="shared" si="27"/>
        <v>541</v>
      </c>
      <c r="BI23" s="582">
        <f t="shared" si="28"/>
        <v>566</v>
      </c>
      <c r="BJ23" s="582">
        <f t="shared" si="29"/>
        <v>593</v>
      </c>
      <c r="BK23" s="582">
        <f t="shared" si="30"/>
        <v>541</v>
      </c>
      <c r="BL23" s="582">
        <f t="shared" si="31"/>
        <v>593</v>
      </c>
      <c r="BM23" s="74"/>
      <c r="BN23" s="74"/>
      <c r="BO23" s="582">
        <f t="shared" si="32"/>
        <v>830</v>
      </c>
      <c r="BP23" s="602">
        <f t="shared" si="33"/>
        <v>830</v>
      </c>
      <c r="BQ23" s="54">
        <v>10.0</v>
      </c>
      <c r="BR23" s="54">
        <v>18.0</v>
      </c>
      <c r="BS23" s="74"/>
      <c r="BT23" s="54">
        <v>100.0</v>
      </c>
      <c r="BU23" s="74"/>
      <c r="BV23" s="83">
        <f t="shared" si="34"/>
        <v>14</v>
      </c>
      <c r="BW23" s="608">
        <f t="shared" si="35"/>
        <v>563.2</v>
      </c>
      <c r="BX23" s="582">
        <f t="shared" si="36"/>
        <v>741.1</v>
      </c>
      <c r="BY23" s="582">
        <f t="shared" si="37"/>
        <v>782.2</v>
      </c>
      <c r="BZ23" s="582">
        <f t="shared" si="38"/>
        <v>782.2</v>
      </c>
      <c r="CA23" s="582">
        <f t="shared" si="39"/>
        <v>880</v>
      </c>
      <c r="CB23" s="582">
        <f t="shared" si="40"/>
        <v>741.1</v>
      </c>
      <c r="CC23" s="582">
        <f t="shared" si="41"/>
        <v>828.2</v>
      </c>
      <c r="CD23" s="582">
        <f t="shared" si="42"/>
        <v>828.2</v>
      </c>
      <c r="CE23" s="623" t="str">
        <f t="shared" si="43"/>
        <v/>
      </c>
      <c r="CF23" s="706">
        <f t="shared" ref="CF23:CG23" si="79">IF(ROUND(100*(AV23/BW23)-100,1)=0,"",ROUND(100*(AV23/BW23)-100,1))</f>
        <v>-11.6</v>
      </c>
      <c r="CG23" s="602">
        <f t="shared" si="79"/>
        <v>-11.6</v>
      </c>
      <c r="CH23" s="575" t="s">
        <v>296</v>
      </c>
      <c r="CI23" s="582">
        <f t="shared" ref="CI23:DF23" si="80">FLOOR($AV23/(CI$3/25),1)</f>
        <v>498</v>
      </c>
      <c r="CJ23" s="582">
        <f t="shared" si="80"/>
        <v>518</v>
      </c>
      <c r="CK23" s="582">
        <f t="shared" si="80"/>
        <v>541</v>
      </c>
      <c r="CL23" s="582">
        <f t="shared" si="80"/>
        <v>565</v>
      </c>
      <c r="CM23" s="582">
        <f t="shared" si="80"/>
        <v>592</v>
      </c>
      <c r="CN23" s="582">
        <f t="shared" si="80"/>
        <v>622</v>
      </c>
      <c r="CO23" s="582">
        <f t="shared" si="80"/>
        <v>655</v>
      </c>
      <c r="CP23" s="582">
        <f t="shared" si="80"/>
        <v>691</v>
      </c>
      <c r="CQ23" s="582">
        <f t="shared" si="80"/>
        <v>732</v>
      </c>
      <c r="CR23" s="582">
        <f t="shared" si="80"/>
        <v>778</v>
      </c>
      <c r="CS23" s="582">
        <f t="shared" si="80"/>
        <v>830</v>
      </c>
      <c r="CT23" s="582">
        <f t="shared" si="80"/>
        <v>889</v>
      </c>
      <c r="CU23" s="582">
        <f t="shared" si="80"/>
        <v>957</v>
      </c>
      <c r="CV23" s="582">
        <f t="shared" si="80"/>
        <v>1037</v>
      </c>
      <c r="CW23" s="582">
        <f t="shared" si="80"/>
        <v>1131</v>
      </c>
      <c r="CX23" s="582">
        <f t="shared" si="80"/>
        <v>1245</v>
      </c>
      <c r="CY23" s="582">
        <f t="shared" si="80"/>
        <v>1383</v>
      </c>
      <c r="CZ23" s="582">
        <f t="shared" si="80"/>
        <v>1556</v>
      </c>
      <c r="DA23" s="582">
        <f t="shared" si="80"/>
        <v>1778</v>
      </c>
      <c r="DB23" s="582">
        <f t="shared" si="80"/>
        <v>2075</v>
      </c>
      <c r="DC23" s="582">
        <f t="shared" si="80"/>
        <v>2490</v>
      </c>
      <c r="DD23" s="582">
        <f t="shared" si="80"/>
        <v>3112</v>
      </c>
      <c r="DE23" s="582">
        <f t="shared" si="80"/>
        <v>4150</v>
      </c>
      <c r="DF23" s="602">
        <f t="shared" si="80"/>
        <v>6225</v>
      </c>
      <c r="DG23" s="575"/>
      <c r="DH23" s="575" t="str">
        <f t="shared" si="46"/>
        <v/>
      </c>
      <c r="DI23" s="74" t="str">
        <f t="shared" si="47"/>
        <v/>
      </c>
      <c r="DJ23" s="74" t="str">
        <f t="shared" si="48"/>
        <v/>
      </c>
      <c r="DK23" s="623" t="str">
        <f t="shared" si="49"/>
        <v/>
      </c>
      <c r="DL23" s="74"/>
      <c r="DM23" s="74"/>
      <c r="DN23" s="74"/>
      <c r="DO23" s="575"/>
      <c r="DP23" s="297"/>
    </row>
    <row r="24">
      <c r="A24" s="552">
        <v>18.0</v>
      </c>
      <c r="B24" s="86">
        <v>8.0</v>
      </c>
      <c r="C24" s="54">
        <v>12.0</v>
      </c>
      <c r="D24" s="54">
        <v>32.0</v>
      </c>
      <c r="E24" s="74"/>
      <c r="F24" s="68" t="s">
        <v>1683</v>
      </c>
      <c r="G24" s="68">
        <f t="shared" si="5"/>
        <v>20</v>
      </c>
      <c r="H24" s="68">
        <f t="shared" si="6"/>
        <v>19</v>
      </c>
      <c r="I24" s="68">
        <f t="shared" si="7"/>
        <v>19</v>
      </c>
      <c r="J24" s="68">
        <f t="shared" si="8"/>
        <v>17</v>
      </c>
      <c r="K24" s="68">
        <f t="shared" si="9"/>
        <v>20</v>
      </c>
      <c r="L24" s="68">
        <f t="shared" si="10"/>
        <v>18</v>
      </c>
      <c r="M24" s="569">
        <f t="shared" si="11"/>
        <v>18</v>
      </c>
      <c r="N24" s="74" t="s">
        <v>323</v>
      </c>
      <c r="O24" s="570" t="s">
        <v>1687</v>
      </c>
      <c r="P24" s="571"/>
      <c r="Q24" s="571" t="s">
        <v>1313</v>
      </c>
      <c r="R24" s="571" t="s">
        <v>1685</v>
      </c>
      <c r="S24" s="571" t="s">
        <v>175</v>
      </c>
      <c r="T24" s="572" t="s">
        <v>325</v>
      </c>
      <c r="U24" s="54">
        <v>17.0</v>
      </c>
      <c r="V24" s="54">
        <v>0.0</v>
      </c>
      <c r="W24" s="54">
        <v>54.0</v>
      </c>
      <c r="X24" s="74"/>
      <c r="Y24" s="54">
        <v>5.0</v>
      </c>
      <c r="Z24" s="54">
        <v>10.0</v>
      </c>
      <c r="AA24" s="54">
        <v>3.0</v>
      </c>
      <c r="AB24" s="54">
        <v>80.0</v>
      </c>
      <c r="AC24" s="54">
        <v>1262.0</v>
      </c>
      <c r="AD24" s="54">
        <v>4.0</v>
      </c>
      <c r="AE24" s="54">
        <v>110.0</v>
      </c>
      <c r="AF24" s="74"/>
      <c r="AG24" s="54">
        <v>12.0</v>
      </c>
      <c r="AH24" s="54">
        <v>32.0</v>
      </c>
      <c r="AI24" s="574">
        <f t="shared" si="12"/>
        <v>22</v>
      </c>
      <c r="AJ24" s="74"/>
      <c r="AK24" s="74"/>
      <c r="AL24" s="74"/>
      <c r="AM24" s="74"/>
      <c r="AN24" s="74"/>
      <c r="AO24" s="74"/>
      <c r="AP24" s="74"/>
      <c r="AQ24" s="74"/>
      <c r="AR24" s="74"/>
      <c r="AS24" s="575"/>
      <c r="AT24" s="68">
        <f t="shared" si="13"/>
        <v>461</v>
      </c>
      <c r="AU24" s="68">
        <f t="shared" si="14"/>
        <v>820</v>
      </c>
      <c r="AV24" s="581">
        <f t="shared" si="15"/>
        <v>640.5</v>
      </c>
      <c r="AW24" s="582">
        <f t="shared" si="16"/>
        <v>728</v>
      </c>
      <c r="AX24" s="582">
        <f t="shared" si="17"/>
        <v>763</v>
      </c>
      <c r="AY24" s="582">
        <f t="shared" si="18"/>
        <v>763</v>
      </c>
      <c r="AZ24" s="582">
        <f t="shared" si="19"/>
        <v>801</v>
      </c>
      <c r="BA24" s="582">
        <f t="shared" si="20"/>
        <v>728</v>
      </c>
      <c r="BB24" s="582">
        <f t="shared" si="21"/>
        <v>801</v>
      </c>
      <c r="BC24" s="582">
        <f t="shared" si="22"/>
        <v>890</v>
      </c>
      <c r="BD24" s="582">
        <f t="shared" si="23"/>
        <v>572</v>
      </c>
      <c r="BE24" s="582">
        <f t="shared" si="24"/>
        <v>667</v>
      </c>
      <c r="BF24" s="582">
        <f t="shared" si="25"/>
        <v>485</v>
      </c>
      <c r="BG24" s="582">
        <f t="shared" si="26"/>
        <v>572</v>
      </c>
      <c r="BH24" s="582">
        <f t="shared" si="27"/>
        <v>552</v>
      </c>
      <c r="BI24" s="582">
        <f t="shared" si="28"/>
        <v>572</v>
      </c>
      <c r="BJ24" s="582">
        <f t="shared" si="29"/>
        <v>616</v>
      </c>
      <c r="BK24" s="582">
        <f t="shared" si="30"/>
        <v>552</v>
      </c>
      <c r="BL24" s="582">
        <f t="shared" si="31"/>
        <v>616</v>
      </c>
      <c r="BM24" s="74"/>
      <c r="BN24" s="74"/>
      <c r="BO24" s="582">
        <f t="shared" si="32"/>
        <v>942</v>
      </c>
      <c r="BP24" s="602">
        <f t="shared" si="33"/>
        <v>942</v>
      </c>
      <c r="BQ24" s="54">
        <v>12.0</v>
      </c>
      <c r="BR24" s="54">
        <v>32.0</v>
      </c>
      <c r="BS24" s="54">
        <v>10.0</v>
      </c>
      <c r="BT24" s="54">
        <v>100.0</v>
      </c>
      <c r="BU24" s="74"/>
      <c r="BV24" s="83">
        <f t="shared" si="34"/>
        <v>22</v>
      </c>
      <c r="BW24" s="608">
        <f t="shared" si="35"/>
        <v>725.1</v>
      </c>
      <c r="BX24" s="582">
        <f t="shared" si="36"/>
        <v>824</v>
      </c>
      <c r="BY24" s="582">
        <f t="shared" si="37"/>
        <v>863.2</v>
      </c>
      <c r="BZ24" s="582">
        <f t="shared" si="38"/>
        <v>863.2</v>
      </c>
      <c r="CA24" s="582">
        <f t="shared" si="39"/>
        <v>1007.1</v>
      </c>
      <c r="CB24" s="582">
        <f t="shared" si="40"/>
        <v>824</v>
      </c>
      <c r="CC24" s="582">
        <f t="shared" si="41"/>
        <v>906.4</v>
      </c>
      <c r="CD24" s="582">
        <f t="shared" si="42"/>
        <v>906.4</v>
      </c>
      <c r="CE24" s="623" t="str">
        <f t="shared" si="43"/>
        <v/>
      </c>
      <c r="CF24" s="706">
        <f t="shared" ref="CF24:CG24" si="81">IF(ROUND(100*(AV24/BW24)-100,1)=0,"",ROUND(100*(AV24/BW24)-100,1))</f>
        <v>-11.7</v>
      </c>
      <c r="CG24" s="552">
        <f t="shared" si="81"/>
        <v>-11.7</v>
      </c>
      <c r="CH24" s="575" t="s">
        <v>323</v>
      </c>
      <c r="CI24" s="582">
        <f t="shared" ref="CI24:DF24" si="82">FLOOR($AV24/(CI$3/25),1)</f>
        <v>640</v>
      </c>
      <c r="CJ24" s="582">
        <f t="shared" si="82"/>
        <v>667</v>
      </c>
      <c r="CK24" s="582">
        <f t="shared" si="82"/>
        <v>696</v>
      </c>
      <c r="CL24" s="582">
        <f t="shared" si="82"/>
        <v>727</v>
      </c>
      <c r="CM24" s="582">
        <f t="shared" si="82"/>
        <v>762</v>
      </c>
      <c r="CN24" s="582">
        <f t="shared" si="82"/>
        <v>800</v>
      </c>
      <c r="CO24" s="582">
        <f t="shared" si="82"/>
        <v>842</v>
      </c>
      <c r="CP24" s="582">
        <f t="shared" si="82"/>
        <v>889</v>
      </c>
      <c r="CQ24" s="582">
        <f t="shared" si="82"/>
        <v>941</v>
      </c>
      <c r="CR24" s="582">
        <f t="shared" si="82"/>
        <v>1000</v>
      </c>
      <c r="CS24" s="582">
        <f t="shared" si="82"/>
        <v>1067</v>
      </c>
      <c r="CT24" s="582">
        <f t="shared" si="82"/>
        <v>1143</v>
      </c>
      <c r="CU24" s="582">
        <f t="shared" si="82"/>
        <v>1231</v>
      </c>
      <c r="CV24" s="582">
        <f t="shared" si="82"/>
        <v>1334</v>
      </c>
      <c r="CW24" s="582">
        <f t="shared" si="82"/>
        <v>1455</v>
      </c>
      <c r="CX24" s="582">
        <f t="shared" si="82"/>
        <v>1601</v>
      </c>
      <c r="CY24" s="582">
        <f t="shared" si="82"/>
        <v>1779</v>
      </c>
      <c r="CZ24" s="582">
        <f t="shared" si="82"/>
        <v>2001</v>
      </c>
      <c r="DA24" s="582">
        <f t="shared" si="82"/>
        <v>2287</v>
      </c>
      <c r="DB24" s="582">
        <f t="shared" si="82"/>
        <v>2668</v>
      </c>
      <c r="DC24" s="582">
        <f t="shared" si="82"/>
        <v>3202</v>
      </c>
      <c r="DD24" s="582">
        <f t="shared" si="82"/>
        <v>4003</v>
      </c>
      <c r="DE24" s="582">
        <f t="shared" si="82"/>
        <v>5337</v>
      </c>
      <c r="DF24" s="602">
        <f t="shared" si="82"/>
        <v>8006</v>
      </c>
      <c r="DG24" s="575"/>
      <c r="DH24" s="575" t="str">
        <f t="shared" si="46"/>
        <v/>
      </c>
      <c r="DI24" s="74" t="str">
        <f t="shared" si="47"/>
        <v/>
      </c>
      <c r="DJ24" s="74" t="str">
        <f t="shared" si="48"/>
        <v/>
      </c>
      <c r="DK24" s="623" t="str">
        <f t="shared" si="49"/>
        <v/>
      </c>
      <c r="DL24" s="74"/>
      <c r="DM24" s="74"/>
      <c r="DN24" s="74"/>
      <c r="DO24" s="575"/>
      <c r="DP24" s="297"/>
    </row>
    <row r="25">
      <c r="A25" s="552">
        <v>19.0</v>
      </c>
      <c r="B25" s="86">
        <v>9.0</v>
      </c>
      <c r="C25" s="54">
        <v>9.0</v>
      </c>
      <c r="D25" s="54">
        <v>30.0</v>
      </c>
      <c r="E25" s="74"/>
      <c r="F25" s="68" t="s">
        <v>1683</v>
      </c>
      <c r="G25" s="68">
        <f t="shared" si="5"/>
        <v>20</v>
      </c>
      <c r="H25" s="68">
        <f t="shared" si="6"/>
        <v>19</v>
      </c>
      <c r="I25" s="68">
        <f t="shared" si="7"/>
        <v>19</v>
      </c>
      <c r="J25" s="68">
        <f t="shared" si="8"/>
        <v>17</v>
      </c>
      <c r="K25" s="68">
        <f t="shared" si="9"/>
        <v>20</v>
      </c>
      <c r="L25" s="68">
        <f t="shared" si="10"/>
        <v>18</v>
      </c>
      <c r="M25" s="569">
        <f t="shared" si="11"/>
        <v>18</v>
      </c>
      <c r="N25" s="74" t="s">
        <v>360</v>
      </c>
      <c r="O25" s="570" t="s">
        <v>1688</v>
      </c>
      <c r="P25" s="571"/>
      <c r="Q25" s="571" t="s">
        <v>1313</v>
      </c>
      <c r="R25" s="571" t="s">
        <v>1685</v>
      </c>
      <c r="S25" s="571" t="s">
        <v>175</v>
      </c>
      <c r="T25" s="572" t="s">
        <v>362</v>
      </c>
      <c r="U25" s="54">
        <v>23.0</v>
      </c>
      <c r="V25" s="54">
        <v>0.0</v>
      </c>
      <c r="W25" s="54">
        <v>63.0</v>
      </c>
      <c r="X25" s="54">
        <v>39.0</v>
      </c>
      <c r="Y25" s="54">
        <v>6.0</v>
      </c>
      <c r="Z25" s="54">
        <v>-10.0</v>
      </c>
      <c r="AA25" s="54">
        <v>4.0</v>
      </c>
      <c r="AB25" s="54">
        <v>100.0</v>
      </c>
      <c r="AC25" s="54">
        <v>1916.0</v>
      </c>
      <c r="AD25" s="54">
        <v>4.0</v>
      </c>
      <c r="AE25" s="54">
        <v>110.0</v>
      </c>
      <c r="AF25" s="74"/>
      <c r="AG25" s="54">
        <v>9.0</v>
      </c>
      <c r="AH25" s="54">
        <v>30.0</v>
      </c>
      <c r="AI25" s="574">
        <f t="shared" si="12"/>
        <v>19.5</v>
      </c>
      <c r="AJ25" s="74"/>
      <c r="AK25" s="74"/>
      <c r="AL25" s="74"/>
      <c r="AM25" s="74"/>
      <c r="AN25" s="74"/>
      <c r="AO25" s="74"/>
      <c r="AP25" s="74"/>
      <c r="AQ25" s="74"/>
      <c r="AR25" s="74"/>
      <c r="AS25" s="575"/>
      <c r="AT25" s="68">
        <f t="shared" si="13"/>
        <v>410</v>
      </c>
      <c r="AU25" s="68">
        <f t="shared" si="14"/>
        <v>785</v>
      </c>
      <c r="AV25" s="581">
        <f t="shared" si="15"/>
        <v>597.5</v>
      </c>
      <c r="AW25" s="582">
        <f t="shared" si="16"/>
        <v>830</v>
      </c>
      <c r="AX25" s="582">
        <f t="shared" si="17"/>
        <v>879</v>
      </c>
      <c r="AY25" s="582">
        <f t="shared" si="18"/>
        <v>879</v>
      </c>
      <c r="AZ25" s="582">
        <f t="shared" si="19"/>
        <v>934</v>
      </c>
      <c r="BA25" s="582">
        <f t="shared" si="20"/>
        <v>830</v>
      </c>
      <c r="BB25" s="582">
        <f t="shared" si="21"/>
        <v>934</v>
      </c>
      <c r="BC25" s="582">
        <f t="shared" si="22"/>
        <v>996</v>
      </c>
      <c r="BD25" s="582">
        <f t="shared" si="23"/>
        <v>786</v>
      </c>
      <c r="BE25" s="582">
        <f t="shared" si="24"/>
        <v>934</v>
      </c>
      <c r="BF25" s="582">
        <f t="shared" si="25"/>
        <v>679</v>
      </c>
      <c r="BG25" s="582">
        <f t="shared" si="26"/>
        <v>830</v>
      </c>
      <c r="BH25" s="582">
        <f t="shared" si="27"/>
        <v>786</v>
      </c>
      <c r="BI25" s="582">
        <f t="shared" si="28"/>
        <v>830</v>
      </c>
      <c r="BJ25" s="582">
        <f t="shared" si="29"/>
        <v>879</v>
      </c>
      <c r="BK25" s="582">
        <f t="shared" si="30"/>
        <v>786</v>
      </c>
      <c r="BL25" s="582">
        <f t="shared" si="31"/>
        <v>879</v>
      </c>
      <c r="BM25" s="74"/>
      <c r="BN25" s="74"/>
      <c r="BO25" s="582">
        <f t="shared" si="32"/>
        <v>1067</v>
      </c>
      <c r="BP25" s="602">
        <f t="shared" si="33"/>
        <v>1067</v>
      </c>
      <c r="BQ25" s="54">
        <v>9.0</v>
      </c>
      <c r="BR25" s="54">
        <v>30.0</v>
      </c>
      <c r="BS25" s="54">
        <v>-10.0</v>
      </c>
      <c r="BT25" s="54">
        <v>100.0</v>
      </c>
      <c r="BU25" s="74"/>
      <c r="BV25" s="83">
        <f t="shared" si="34"/>
        <v>19.5</v>
      </c>
      <c r="BW25" s="608">
        <f t="shared" si="35"/>
        <v>674.5</v>
      </c>
      <c r="BX25" s="582">
        <f t="shared" si="36"/>
        <v>936.8</v>
      </c>
      <c r="BY25" s="582">
        <f t="shared" si="37"/>
        <v>991.9</v>
      </c>
      <c r="BZ25" s="582">
        <f t="shared" si="38"/>
        <v>991.9</v>
      </c>
      <c r="CA25" s="582">
        <f t="shared" si="39"/>
        <v>1124.2</v>
      </c>
      <c r="CB25" s="582">
        <f t="shared" si="40"/>
        <v>936.8</v>
      </c>
      <c r="CC25" s="582">
        <f t="shared" si="41"/>
        <v>1053.9</v>
      </c>
      <c r="CD25" s="582">
        <f t="shared" si="42"/>
        <v>1053.9</v>
      </c>
      <c r="CE25" s="623" t="str">
        <f t="shared" si="43"/>
        <v/>
      </c>
      <c r="CF25" s="706">
        <f t="shared" ref="CF25:CG25" si="83">IF(ROUND(100*(AV25/BW25)-100,1)=0,"",ROUND(100*(AV25/BW25)-100,1))</f>
        <v>-11.4</v>
      </c>
      <c r="CG25" s="552">
        <f t="shared" si="83"/>
        <v>-11.4</v>
      </c>
      <c r="CH25" s="575" t="s">
        <v>360</v>
      </c>
      <c r="CI25" s="582">
        <f t="shared" ref="CI25:DF25" si="84">FLOOR($AV25/(CI$3/25),1)</f>
        <v>597</v>
      </c>
      <c r="CJ25" s="582">
        <f t="shared" si="84"/>
        <v>622</v>
      </c>
      <c r="CK25" s="582">
        <f t="shared" si="84"/>
        <v>649</v>
      </c>
      <c r="CL25" s="582">
        <f t="shared" si="84"/>
        <v>678</v>
      </c>
      <c r="CM25" s="582">
        <f t="shared" si="84"/>
        <v>711</v>
      </c>
      <c r="CN25" s="582">
        <f t="shared" si="84"/>
        <v>746</v>
      </c>
      <c r="CO25" s="582">
        <f t="shared" si="84"/>
        <v>786</v>
      </c>
      <c r="CP25" s="582">
        <f t="shared" si="84"/>
        <v>829</v>
      </c>
      <c r="CQ25" s="582">
        <f t="shared" si="84"/>
        <v>878</v>
      </c>
      <c r="CR25" s="582">
        <f t="shared" si="84"/>
        <v>933</v>
      </c>
      <c r="CS25" s="582">
        <f t="shared" si="84"/>
        <v>995</v>
      </c>
      <c r="CT25" s="582">
        <f t="shared" si="84"/>
        <v>1066</v>
      </c>
      <c r="CU25" s="582">
        <f t="shared" si="84"/>
        <v>1149</v>
      </c>
      <c r="CV25" s="582">
        <f t="shared" si="84"/>
        <v>1244</v>
      </c>
      <c r="CW25" s="582">
        <f t="shared" si="84"/>
        <v>1357</v>
      </c>
      <c r="CX25" s="582">
        <f t="shared" si="84"/>
        <v>1493</v>
      </c>
      <c r="CY25" s="582">
        <f t="shared" si="84"/>
        <v>1659</v>
      </c>
      <c r="CZ25" s="582">
        <f t="shared" si="84"/>
        <v>1867</v>
      </c>
      <c r="DA25" s="582">
        <f t="shared" si="84"/>
        <v>2133</v>
      </c>
      <c r="DB25" s="582">
        <f t="shared" si="84"/>
        <v>2489</v>
      </c>
      <c r="DC25" s="582">
        <f t="shared" si="84"/>
        <v>2987</v>
      </c>
      <c r="DD25" s="582">
        <f t="shared" si="84"/>
        <v>3734</v>
      </c>
      <c r="DE25" s="582">
        <f t="shared" si="84"/>
        <v>4979</v>
      </c>
      <c r="DF25" s="602">
        <f t="shared" si="84"/>
        <v>7468</v>
      </c>
      <c r="DG25" s="575"/>
      <c r="DH25" s="575" t="str">
        <f t="shared" si="46"/>
        <v/>
      </c>
      <c r="DI25" s="74" t="str">
        <f t="shared" si="47"/>
        <v/>
      </c>
      <c r="DJ25" s="74" t="str">
        <f t="shared" si="48"/>
        <v/>
      </c>
      <c r="DK25" s="623" t="str">
        <f t="shared" si="49"/>
        <v/>
      </c>
      <c r="DL25" s="74"/>
      <c r="DM25" s="74"/>
      <c r="DN25" s="74"/>
      <c r="DO25" s="575"/>
      <c r="DP25" s="297"/>
    </row>
    <row r="26">
      <c r="A26" s="647">
        <v>20.0</v>
      </c>
      <c r="B26" s="141">
        <v>10.0</v>
      </c>
      <c r="C26" s="129">
        <v>22.0</v>
      </c>
      <c r="D26" s="129">
        <v>45.0</v>
      </c>
      <c r="E26" s="134"/>
      <c r="F26" s="154" t="s">
        <v>1683</v>
      </c>
      <c r="G26" s="154">
        <f t="shared" si="5"/>
        <v>20</v>
      </c>
      <c r="H26" s="154">
        <f t="shared" si="6"/>
        <v>19</v>
      </c>
      <c r="I26" s="154">
        <f t="shared" si="7"/>
        <v>19</v>
      </c>
      <c r="J26" s="154">
        <f t="shared" si="8"/>
        <v>17</v>
      </c>
      <c r="K26" s="154">
        <f t="shared" si="9"/>
        <v>20</v>
      </c>
      <c r="L26" s="154">
        <f t="shared" si="10"/>
        <v>18</v>
      </c>
      <c r="M26" s="648">
        <f t="shared" si="11"/>
        <v>18</v>
      </c>
      <c r="N26" s="134" t="s">
        <v>380</v>
      </c>
      <c r="O26" s="649" t="s">
        <v>1689</v>
      </c>
      <c r="P26" s="650"/>
      <c r="Q26" s="650" t="s">
        <v>1313</v>
      </c>
      <c r="R26" s="650" t="s">
        <v>1685</v>
      </c>
      <c r="S26" s="650" t="s">
        <v>175</v>
      </c>
      <c r="T26" s="651" t="s">
        <v>383</v>
      </c>
      <c r="U26" s="129">
        <v>27.0</v>
      </c>
      <c r="V26" s="129">
        <v>0.0</v>
      </c>
      <c r="W26" s="129">
        <v>70.0</v>
      </c>
      <c r="X26" s="134"/>
      <c r="Y26" s="129">
        <v>6.0</v>
      </c>
      <c r="Z26" s="129">
        <v>10.0</v>
      </c>
      <c r="AA26" s="129">
        <v>3.0</v>
      </c>
      <c r="AB26" s="129">
        <v>100.0</v>
      </c>
      <c r="AC26" s="129">
        <v>2410.0</v>
      </c>
      <c r="AD26" s="129">
        <v>4.0</v>
      </c>
      <c r="AE26" s="129">
        <v>110.0</v>
      </c>
      <c r="AF26" s="134"/>
      <c r="AG26" s="129">
        <v>22.0</v>
      </c>
      <c r="AH26" s="129">
        <v>45.0</v>
      </c>
      <c r="AI26" s="652">
        <f t="shared" si="12"/>
        <v>33.5</v>
      </c>
      <c r="AJ26" s="134"/>
      <c r="AK26" s="134"/>
      <c r="AL26" s="134"/>
      <c r="AM26" s="134"/>
      <c r="AN26" s="134"/>
      <c r="AO26" s="134"/>
      <c r="AP26" s="134"/>
      <c r="AQ26" s="134"/>
      <c r="AR26" s="134"/>
      <c r="AS26" s="653"/>
      <c r="AT26" s="154">
        <f t="shared" si="13"/>
        <v>642</v>
      </c>
      <c r="AU26" s="154">
        <f t="shared" si="14"/>
        <v>1056</v>
      </c>
      <c r="AV26" s="654">
        <f t="shared" si="15"/>
        <v>849</v>
      </c>
      <c r="AW26" s="655">
        <f t="shared" si="16"/>
        <v>965</v>
      </c>
      <c r="AX26" s="655">
        <f t="shared" si="17"/>
        <v>1011</v>
      </c>
      <c r="AY26" s="655">
        <f t="shared" si="18"/>
        <v>1011</v>
      </c>
      <c r="AZ26" s="655">
        <f t="shared" si="19"/>
        <v>1061</v>
      </c>
      <c r="BA26" s="655">
        <f t="shared" si="20"/>
        <v>965</v>
      </c>
      <c r="BB26" s="655">
        <f t="shared" si="21"/>
        <v>1061</v>
      </c>
      <c r="BC26" s="655">
        <f t="shared" si="22"/>
        <v>1179</v>
      </c>
      <c r="BD26" s="655">
        <f t="shared" si="23"/>
        <v>758</v>
      </c>
      <c r="BE26" s="655">
        <f t="shared" si="24"/>
        <v>884</v>
      </c>
      <c r="BF26" s="655">
        <f t="shared" si="25"/>
        <v>643</v>
      </c>
      <c r="BG26" s="655">
        <f t="shared" si="26"/>
        <v>758</v>
      </c>
      <c r="BH26" s="655">
        <f t="shared" si="27"/>
        <v>732</v>
      </c>
      <c r="BI26" s="655">
        <f t="shared" si="28"/>
        <v>758</v>
      </c>
      <c r="BJ26" s="655">
        <f t="shared" si="29"/>
        <v>816</v>
      </c>
      <c r="BK26" s="655">
        <f t="shared" si="30"/>
        <v>732</v>
      </c>
      <c r="BL26" s="655">
        <f t="shared" si="31"/>
        <v>816</v>
      </c>
      <c r="BM26" s="134"/>
      <c r="BN26" s="134"/>
      <c r="BO26" s="655">
        <f t="shared" si="32"/>
        <v>1249</v>
      </c>
      <c r="BP26" s="656">
        <f t="shared" si="33"/>
        <v>1249</v>
      </c>
      <c r="BQ26" s="129">
        <v>22.0</v>
      </c>
      <c r="BR26" s="129">
        <v>45.0</v>
      </c>
      <c r="BS26" s="129">
        <v>10.0</v>
      </c>
      <c r="BT26" s="129">
        <v>100.0</v>
      </c>
      <c r="BU26" s="134"/>
      <c r="BV26" s="135">
        <f t="shared" si="34"/>
        <v>33.5</v>
      </c>
      <c r="BW26" s="657">
        <f t="shared" si="35"/>
        <v>958</v>
      </c>
      <c r="BX26" s="655">
        <f t="shared" si="36"/>
        <v>1088.6</v>
      </c>
      <c r="BY26" s="655">
        <f t="shared" si="37"/>
        <v>1140.5</v>
      </c>
      <c r="BZ26" s="655">
        <f t="shared" si="38"/>
        <v>1140.5</v>
      </c>
      <c r="CA26" s="655">
        <f t="shared" si="39"/>
        <v>1330.6</v>
      </c>
      <c r="CB26" s="655">
        <f t="shared" si="40"/>
        <v>1088.6</v>
      </c>
      <c r="CC26" s="655">
        <f t="shared" si="41"/>
        <v>1197.5</v>
      </c>
      <c r="CD26" s="655">
        <f t="shared" si="42"/>
        <v>1197.5</v>
      </c>
      <c r="CE26" s="662" t="str">
        <f t="shared" si="43"/>
        <v/>
      </c>
      <c r="CF26" s="712">
        <f t="shared" ref="CF26:CG26" si="85">IF(ROUND(100*(AV26/BW26)-100,1)=0,"",ROUND(100*(AV26/BW26)-100,1))</f>
        <v>-11.4</v>
      </c>
      <c r="CG26" s="647">
        <f t="shared" si="85"/>
        <v>-11.4</v>
      </c>
      <c r="CH26" s="653" t="s">
        <v>380</v>
      </c>
      <c r="CI26" s="655">
        <f t="shared" ref="CI26:DF26" si="86">FLOOR($AV26/(CI$3/25),1)</f>
        <v>849</v>
      </c>
      <c r="CJ26" s="655">
        <f t="shared" si="86"/>
        <v>884</v>
      </c>
      <c r="CK26" s="655">
        <f t="shared" si="86"/>
        <v>922</v>
      </c>
      <c r="CL26" s="655">
        <f t="shared" si="86"/>
        <v>964</v>
      </c>
      <c r="CM26" s="655">
        <f t="shared" si="86"/>
        <v>1010</v>
      </c>
      <c r="CN26" s="655">
        <f t="shared" si="86"/>
        <v>1061</v>
      </c>
      <c r="CO26" s="655">
        <f t="shared" si="86"/>
        <v>1117</v>
      </c>
      <c r="CP26" s="655">
        <f t="shared" si="86"/>
        <v>1179</v>
      </c>
      <c r="CQ26" s="655">
        <f t="shared" si="86"/>
        <v>1248</v>
      </c>
      <c r="CR26" s="655">
        <f t="shared" si="86"/>
        <v>1326</v>
      </c>
      <c r="CS26" s="655">
        <f t="shared" si="86"/>
        <v>1415</v>
      </c>
      <c r="CT26" s="655">
        <f t="shared" si="86"/>
        <v>1516</v>
      </c>
      <c r="CU26" s="655">
        <f t="shared" si="86"/>
        <v>1632</v>
      </c>
      <c r="CV26" s="655">
        <f t="shared" si="86"/>
        <v>1768</v>
      </c>
      <c r="CW26" s="655">
        <f t="shared" si="86"/>
        <v>1929</v>
      </c>
      <c r="CX26" s="655">
        <f t="shared" si="86"/>
        <v>2122</v>
      </c>
      <c r="CY26" s="655">
        <f t="shared" si="86"/>
        <v>2358</v>
      </c>
      <c r="CZ26" s="655">
        <f t="shared" si="86"/>
        <v>2653</v>
      </c>
      <c r="DA26" s="655">
        <f t="shared" si="86"/>
        <v>3032</v>
      </c>
      <c r="DB26" s="655">
        <f t="shared" si="86"/>
        <v>3537</v>
      </c>
      <c r="DC26" s="655">
        <f t="shared" si="86"/>
        <v>4245</v>
      </c>
      <c r="DD26" s="655">
        <f t="shared" si="86"/>
        <v>5306</v>
      </c>
      <c r="DE26" s="655">
        <f t="shared" si="86"/>
        <v>7075</v>
      </c>
      <c r="DF26" s="656">
        <f t="shared" si="86"/>
        <v>10612</v>
      </c>
      <c r="DG26" s="653"/>
      <c r="DH26" s="653" t="str">
        <f t="shared" si="46"/>
        <v/>
      </c>
      <c r="DI26" s="134" t="str">
        <f t="shared" si="47"/>
        <v/>
      </c>
      <c r="DJ26" s="134" t="str">
        <f t="shared" si="48"/>
        <v/>
      </c>
      <c r="DK26" s="662" t="str">
        <f t="shared" si="49"/>
        <v/>
      </c>
      <c r="DL26" s="134"/>
      <c r="DM26" s="134"/>
      <c r="DN26" s="134"/>
      <c r="DO26" s="653"/>
      <c r="DP26" s="663"/>
    </row>
    <row r="27">
      <c r="A27" s="552">
        <v>21.0</v>
      </c>
      <c r="B27" s="86">
        <v>114.0</v>
      </c>
      <c r="C27" s="54">
        <v>18.0</v>
      </c>
      <c r="D27" s="54">
        <v>53.0</v>
      </c>
      <c r="E27" s="74"/>
      <c r="F27" s="68" t="s">
        <v>1683</v>
      </c>
      <c r="G27" s="68">
        <f t="shared" si="5"/>
        <v>20</v>
      </c>
      <c r="H27" s="68">
        <f t="shared" si="6"/>
        <v>19</v>
      </c>
      <c r="I27" s="68">
        <f t="shared" si="7"/>
        <v>19</v>
      </c>
      <c r="J27" s="68">
        <f t="shared" si="8"/>
        <v>17</v>
      </c>
      <c r="K27" s="68">
        <f t="shared" si="9"/>
        <v>20</v>
      </c>
      <c r="L27" s="68">
        <f t="shared" si="10"/>
        <v>18</v>
      </c>
      <c r="M27" s="569">
        <f t="shared" si="11"/>
        <v>18</v>
      </c>
      <c r="N27" s="74" t="s">
        <v>275</v>
      </c>
      <c r="O27" s="570" t="s">
        <v>1691</v>
      </c>
      <c r="P27" s="571"/>
      <c r="Q27" s="571" t="s">
        <v>1670</v>
      </c>
      <c r="R27" s="571" t="s">
        <v>1685</v>
      </c>
      <c r="S27" s="571" t="s">
        <v>175</v>
      </c>
      <c r="T27" s="572" t="s">
        <v>277</v>
      </c>
      <c r="U27" s="54">
        <v>34.0</v>
      </c>
      <c r="V27" s="54">
        <v>22.0</v>
      </c>
      <c r="W27" s="54">
        <v>73.0</v>
      </c>
      <c r="X27" s="74"/>
      <c r="Y27" s="54">
        <v>5.0</v>
      </c>
      <c r="Z27" s="54">
        <v>-10.0</v>
      </c>
      <c r="AA27" s="54">
        <v>3.0</v>
      </c>
      <c r="AB27" s="54">
        <v>60.0</v>
      </c>
      <c r="AC27" s="54">
        <v>1362.0</v>
      </c>
      <c r="AD27" s="54">
        <v>4.0</v>
      </c>
      <c r="AE27" s="54">
        <v>110.0</v>
      </c>
      <c r="AF27" s="74"/>
      <c r="AG27" s="54">
        <v>21.0</v>
      </c>
      <c r="AH27" s="54">
        <v>61.0</v>
      </c>
      <c r="AI27" s="574">
        <f t="shared" si="12"/>
        <v>41</v>
      </c>
      <c r="AJ27" s="74"/>
      <c r="AK27" s="74"/>
      <c r="AL27" s="74"/>
      <c r="AM27" s="74"/>
      <c r="AN27" s="74"/>
      <c r="AO27" s="74"/>
      <c r="AP27" s="74"/>
      <c r="AQ27" s="74"/>
      <c r="AR27" s="74"/>
      <c r="AS27" s="575"/>
      <c r="AT27" s="68">
        <f t="shared" si="13"/>
        <v>622</v>
      </c>
      <c r="AU27" s="68">
        <f t="shared" si="14"/>
        <v>1345</v>
      </c>
      <c r="AV27" s="581">
        <f t="shared" si="15"/>
        <v>983.5</v>
      </c>
      <c r="AW27" s="582">
        <f t="shared" si="16"/>
        <v>1366</v>
      </c>
      <c r="AX27" s="582">
        <f t="shared" si="17"/>
        <v>1446</v>
      </c>
      <c r="AY27" s="582">
        <f t="shared" si="18"/>
        <v>1446</v>
      </c>
      <c r="AZ27" s="582">
        <f t="shared" si="19"/>
        <v>1537</v>
      </c>
      <c r="BA27" s="582">
        <f t="shared" si="20"/>
        <v>1366</v>
      </c>
      <c r="BB27" s="582">
        <f t="shared" si="21"/>
        <v>1537</v>
      </c>
      <c r="BC27" s="582">
        <f t="shared" si="22"/>
        <v>1639</v>
      </c>
      <c r="BD27" s="582">
        <f t="shared" si="23"/>
        <v>1294</v>
      </c>
      <c r="BE27" s="582">
        <f t="shared" si="24"/>
        <v>1537</v>
      </c>
      <c r="BF27" s="582">
        <f t="shared" si="25"/>
        <v>1118</v>
      </c>
      <c r="BG27" s="582">
        <f t="shared" si="26"/>
        <v>1366</v>
      </c>
      <c r="BH27" s="582">
        <f t="shared" si="27"/>
        <v>1294</v>
      </c>
      <c r="BI27" s="582">
        <f t="shared" si="28"/>
        <v>1366</v>
      </c>
      <c r="BJ27" s="582">
        <f t="shared" si="29"/>
        <v>1446</v>
      </c>
      <c r="BK27" s="582">
        <f t="shared" si="30"/>
        <v>1294</v>
      </c>
      <c r="BL27" s="582">
        <f t="shared" si="31"/>
        <v>1446</v>
      </c>
      <c r="BM27" s="74"/>
      <c r="BN27" s="74"/>
      <c r="BO27" s="582">
        <f t="shared" si="32"/>
        <v>1756</v>
      </c>
      <c r="BP27" s="602">
        <f t="shared" si="33"/>
        <v>1756</v>
      </c>
      <c r="BQ27" s="54">
        <v>14.0</v>
      </c>
      <c r="BR27" s="54">
        <v>34.0</v>
      </c>
      <c r="BS27" s="54">
        <v>-10.0</v>
      </c>
      <c r="BT27" s="54">
        <v>100.0</v>
      </c>
      <c r="BU27" s="74"/>
      <c r="BV27" s="83">
        <f t="shared" si="34"/>
        <v>24</v>
      </c>
      <c r="BW27" s="608">
        <f t="shared" si="35"/>
        <v>765.6</v>
      </c>
      <c r="BX27" s="582">
        <f t="shared" si="36"/>
        <v>1063.3</v>
      </c>
      <c r="BY27" s="582">
        <f t="shared" si="37"/>
        <v>1125.9</v>
      </c>
      <c r="BZ27" s="582">
        <f t="shared" si="38"/>
        <v>1125.9</v>
      </c>
      <c r="CA27" s="582">
        <f t="shared" si="39"/>
        <v>1276</v>
      </c>
      <c r="CB27" s="582">
        <f t="shared" si="40"/>
        <v>1063.3</v>
      </c>
      <c r="CC27" s="582">
        <f t="shared" si="41"/>
        <v>1196.3</v>
      </c>
      <c r="CD27" s="582">
        <f t="shared" si="42"/>
        <v>1196.3</v>
      </c>
      <c r="CE27" s="664">
        <f t="shared" si="43"/>
        <v>70.8</v>
      </c>
      <c r="CF27" s="706">
        <f t="shared" ref="CF27:CG27" si="87">IF(ROUND(100*(AV27/BW27)-100,1)=0,"",ROUND(100*(AV27/BW27)-100,1))</f>
        <v>28.5</v>
      </c>
      <c r="CG27" s="552">
        <f t="shared" si="87"/>
        <v>28.5</v>
      </c>
      <c r="CH27" s="575" t="s">
        <v>275</v>
      </c>
      <c r="CI27" s="582">
        <f t="shared" ref="CI27:DF27" si="88">FLOOR($AV27/(CI$3/25),1)</f>
        <v>983</v>
      </c>
      <c r="CJ27" s="582">
        <f t="shared" si="88"/>
        <v>1024</v>
      </c>
      <c r="CK27" s="582">
        <f t="shared" si="88"/>
        <v>1069</v>
      </c>
      <c r="CL27" s="582">
        <f t="shared" si="88"/>
        <v>1117</v>
      </c>
      <c r="CM27" s="582">
        <f t="shared" si="88"/>
        <v>1170</v>
      </c>
      <c r="CN27" s="582">
        <f t="shared" si="88"/>
        <v>1229</v>
      </c>
      <c r="CO27" s="582">
        <f t="shared" si="88"/>
        <v>1294</v>
      </c>
      <c r="CP27" s="582">
        <f t="shared" si="88"/>
        <v>1365</v>
      </c>
      <c r="CQ27" s="582">
        <f t="shared" si="88"/>
        <v>1446</v>
      </c>
      <c r="CR27" s="582">
        <f t="shared" si="88"/>
        <v>1536</v>
      </c>
      <c r="CS27" s="582">
        <f t="shared" si="88"/>
        <v>1639</v>
      </c>
      <c r="CT27" s="582">
        <f t="shared" si="88"/>
        <v>1756</v>
      </c>
      <c r="CU27" s="582">
        <f t="shared" si="88"/>
        <v>1891</v>
      </c>
      <c r="CV27" s="582">
        <f t="shared" si="88"/>
        <v>2048</v>
      </c>
      <c r="CW27" s="582">
        <f t="shared" si="88"/>
        <v>2235</v>
      </c>
      <c r="CX27" s="582">
        <f t="shared" si="88"/>
        <v>2458</v>
      </c>
      <c r="CY27" s="582">
        <f t="shared" si="88"/>
        <v>2731</v>
      </c>
      <c r="CZ27" s="582">
        <f t="shared" si="88"/>
        <v>3073</v>
      </c>
      <c r="DA27" s="582">
        <f t="shared" si="88"/>
        <v>3512</v>
      </c>
      <c r="DB27" s="582">
        <f t="shared" si="88"/>
        <v>4097</v>
      </c>
      <c r="DC27" s="582">
        <f t="shared" si="88"/>
        <v>4917</v>
      </c>
      <c r="DD27" s="582">
        <f t="shared" si="88"/>
        <v>6146</v>
      </c>
      <c r="DE27" s="582">
        <f t="shared" si="88"/>
        <v>8195</v>
      </c>
      <c r="DF27" s="602">
        <f t="shared" si="88"/>
        <v>12293</v>
      </c>
      <c r="DG27" s="575"/>
      <c r="DH27" s="575" t="str">
        <f t="shared" si="46"/>
        <v/>
      </c>
      <c r="DI27" s="74" t="str">
        <f t="shared" si="47"/>
        <v/>
      </c>
      <c r="DJ27" s="74" t="str">
        <f t="shared" si="48"/>
        <v/>
      </c>
      <c r="DK27" s="623" t="str">
        <f t="shared" si="49"/>
        <v/>
      </c>
      <c r="DL27" s="74"/>
      <c r="DM27" s="74"/>
      <c r="DN27" s="582">
        <f t="shared" ref="DN27:DN36" si="91">IF(ISBLANK(DL27),ROUND(AI27/IF(ISBLANK(DL22),AI22,DL22),1),ROUND(DL27/IF(ISBLANK(DL22),AI22,DL22),1))</f>
        <v>4.3</v>
      </c>
      <c r="DO27" s="575"/>
      <c r="DP27" s="297"/>
    </row>
    <row r="28">
      <c r="A28" s="552">
        <v>22.0</v>
      </c>
      <c r="B28" s="86">
        <v>115.0</v>
      </c>
      <c r="C28" s="54">
        <v>26.0</v>
      </c>
      <c r="D28" s="54">
        <v>61.0</v>
      </c>
      <c r="E28" s="74"/>
      <c r="F28" s="68" t="s">
        <v>1683</v>
      </c>
      <c r="G28" s="68">
        <f t="shared" si="5"/>
        <v>20</v>
      </c>
      <c r="H28" s="68">
        <f t="shared" si="6"/>
        <v>19</v>
      </c>
      <c r="I28" s="68">
        <f t="shared" si="7"/>
        <v>19</v>
      </c>
      <c r="J28" s="68">
        <f t="shared" si="8"/>
        <v>17</v>
      </c>
      <c r="K28" s="68">
        <f t="shared" si="9"/>
        <v>20</v>
      </c>
      <c r="L28" s="68">
        <f t="shared" si="10"/>
        <v>18</v>
      </c>
      <c r="M28" s="569">
        <f t="shared" si="11"/>
        <v>18</v>
      </c>
      <c r="N28" s="74" t="s">
        <v>300</v>
      </c>
      <c r="O28" s="570" t="s">
        <v>1692</v>
      </c>
      <c r="P28" s="571"/>
      <c r="Q28" s="571" t="s">
        <v>1670</v>
      </c>
      <c r="R28" s="571" t="s">
        <v>1685</v>
      </c>
      <c r="S28" s="571" t="s">
        <v>175</v>
      </c>
      <c r="T28" s="572" t="s">
        <v>301</v>
      </c>
      <c r="U28" s="54">
        <v>38.0</v>
      </c>
      <c r="V28" s="54">
        <v>25.0</v>
      </c>
      <c r="W28" s="54">
        <v>92.0</v>
      </c>
      <c r="X28" s="74"/>
      <c r="Y28" s="54">
        <v>5.0</v>
      </c>
      <c r="Z28" s="54">
        <v>0.0</v>
      </c>
      <c r="AA28" s="54">
        <v>3.0</v>
      </c>
      <c r="AB28" s="54">
        <v>70.0</v>
      </c>
      <c r="AC28" s="54">
        <v>2718.0</v>
      </c>
      <c r="AD28" s="54">
        <v>4.0</v>
      </c>
      <c r="AE28" s="54">
        <v>110.0</v>
      </c>
      <c r="AF28" s="74"/>
      <c r="AG28" s="54">
        <v>30.0</v>
      </c>
      <c r="AH28" s="54">
        <v>70.0</v>
      </c>
      <c r="AI28" s="574">
        <f t="shared" si="12"/>
        <v>50</v>
      </c>
      <c r="AJ28" s="74"/>
      <c r="AK28" s="74"/>
      <c r="AL28" s="74"/>
      <c r="AM28" s="74"/>
      <c r="AN28" s="74"/>
      <c r="AO28" s="74"/>
      <c r="AP28" s="74"/>
      <c r="AQ28" s="74"/>
      <c r="AR28" s="74"/>
      <c r="AS28" s="575"/>
      <c r="AT28" s="68">
        <f t="shared" si="13"/>
        <v>785</v>
      </c>
      <c r="AU28" s="68">
        <f t="shared" si="14"/>
        <v>1506</v>
      </c>
      <c r="AV28" s="581">
        <f t="shared" si="15"/>
        <v>1145.5</v>
      </c>
      <c r="AW28" s="582">
        <f t="shared" si="16"/>
        <v>1507</v>
      </c>
      <c r="AX28" s="582">
        <f t="shared" si="17"/>
        <v>1591</v>
      </c>
      <c r="AY28" s="582">
        <f t="shared" si="18"/>
        <v>1591</v>
      </c>
      <c r="AZ28" s="582">
        <f t="shared" si="19"/>
        <v>1685</v>
      </c>
      <c r="BA28" s="582">
        <f t="shared" si="20"/>
        <v>1507</v>
      </c>
      <c r="BB28" s="582">
        <f t="shared" si="21"/>
        <v>1685</v>
      </c>
      <c r="BC28" s="582">
        <f t="shared" si="22"/>
        <v>1790</v>
      </c>
      <c r="BD28" s="582">
        <f t="shared" si="23"/>
        <v>1193</v>
      </c>
      <c r="BE28" s="582">
        <f t="shared" si="24"/>
        <v>1432</v>
      </c>
      <c r="BF28" s="582">
        <f t="shared" si="25"/>
        <v>1061</v>
      </c>
      <c r="BG28" s="582">
        <f t="shared" si="26"/>
        <v>1302</v>
      </c>
      <c r="BH28" s="582">
        <f t="shared" si="27"/>
        <v>1245</v>
      </c>
      <c r="BI28" s="582">
        <f t="shared" si="28"/>
        <v>1302</v>
      </c>
      <c r="BJ28" s="582">
        <f t="shared" si="29"/>
        <v>1364</v>
      </c>
      <c r="BK28" s="582">
        <f t="shared" si="30"/>
        <v>1245</v>
      </c>
      <c r="BL28" s="582">
        <f t="shared" si="31"/>
        <v>1364</v>
      </c>
      <c r="BM28" s="74"/>
      <c r="BN28" s="74"/>
      <c r="BO28" s="582">
        <f t="shared" si="32"/>
        <v>1909</v>
      </c>
      <c r="BP28" s="602">
        <f t="shared" si="33"/>
        <v>1909</v>
      </c>
      <c r="BQ28" s="54">
        <v>21.0</v>
      </c>
      <c r="BR28" s="54">
        <v>49.0</v>
      </c>
      <c r="BS28" s="74"/>
      <c r="BT28" s="54">
        <v>100.0</v>
      </c>
      <c r="BU28" s="74"/>
      <c r="BV28" s="83">
        <f t="shared" si="34"/>
        <v>35</v>
      </c>
      <c r="BW28" s="608">
        <f t="shared" si="35"/>
        <v>988.3</v>
      </c>
      <c r="BX28" s="582">
        <f t="shared" si="36"/>
        <v>1300.4</v>
      </c>
      <c r="BY28" s="582">
        <f t="shared" si="37"/>
        <v>1372.6</v>
      </c>
      <c r="BZ28" s="582">
        <f t="shared" si="38"/>
        <v>1372.6</v>
      </c>
      <c r="CA28" s="582">
        <f t="shared" si="39"/>
        <v>1544.2</v>
      </c>
      <c r="CB28" s="582">
        <f t="shared" si="40"/>
        <v>1300.4</v>
      </c>
      <c r="CC28" s="582">
        <f t="shared" si="41"/>
        <v>1453.4</v>
      </c>
      <c r="CD28" s="582">
        <f t="shared" si="42"/>
        <v>1453.4</v>
      </c>
      <c r="CE28" s="664">
        <f t="shared" si="43"/>
        <v>42.9</v>
      </c>
      <c r="CF28" s="706">
        <f t="shared" ref="CF28:CG28" si="89">IF(ROUND(100*(AV28/BW28)-100,1)=0,"",ROUND(100*(AV28/BW28)-100,1))</f>
        <v>15.9</v>
      </c>
      <c r="CG28" s="552">
        <f t="shared" si="89"/>
        <v>15.9</v>
      </c>
      <c r="CH28" s="575" t="s">
        <v>300</v>
      </c>
      <c r="CI28" s="582">
        <f t="shared" ref="CI28:DF28" si="90">FLOOR($AV28/(CI$3/25),1)</f>
        <v>1145</v>
      </c>
      <c r="CJ28" s="582">
        <f t="shared" si="90"/>
        <v>1193</v>
      </c>
      <c r="CK28" s="582">
        <f t="shared" si="90"/>
        <v>1245</v>
      </c>
      <c r="CL28" s="582">
        <f t="shared" si="90"/>
        <v>1301</v>
      </c>
      <c r="CM28" s="582">
        <f t="shared" si="90"/>
        <v>1363</v>
      </c>
      <c r="CN28" s="582">
        <f t="shared" si="90"/>
        <v>1431</v>
      </c>
      <c r="CO28" s="582">
        <f t="shared" si="90"/>
        <v>1507</v>
      </c>
      <c r="CP28" s="582">
        <f t="shared" si="90"/>
        <v>1590</v>
      </c>
      <c r="CQ28" s="582">
        <f t="shared" si="90"/>
        <v>1684</v>
      </c>
      <c r="CR28" s="582">
        <f t="shared" si="90"/>
        <v>1789</v>
      </c>
      <c r="CS28" s="582">
        <f t="shared" si="90"/>
        <v>1909</v>
      </c>
      <c r="CT28" s="582">
        <f t="shared" si="90"/>
        <v>2045</v>
      </c>
      <c r="CU28" s="582">
        <f t="shared" si="90"/>
        <v>2202</v>
      </c>
      <c r="CV28" s="582">
        <f t="shared" si="90"/>
        <v>2386</v>
      </c>
      <c r="CW28" s="582">
        <f t="shared" si="90"/>
        <v>2603</v>
      </c>
      <c r="CX28" s="582">
        <f t="shared" si="90"/>
        <v>2863</v>
      </c>
      <c r="CY28" s="582">
        <f t="shared" si="90"/>
        <v>3181</v>
      </c>
      <c r="CZ28" s="582">
        <f t="shared" si="90"/>
        <v>3579</v>
      </c>
      <c r="DA28" s="582">
        <f t="shared" si="90"/>
        <v>4091</v>
      </c>
      <c r="DB28" s="582">
        <f t="shared" si="90"/>
        <v>4772</v>
      </c>
      <c r="DC28" s="582">
        <f t="shared" si="90"/>
        <v>5727</v>
      </c>
      <c r="DD28" s="582">
        <f t="shared" si="90"/>
        <v>7159</v>
      </c>
      <c r="DE28" s="582">
        <f t="shared" si="90"/>
        <v>9545</v>
      </c>
      <c r="DF28" s="602">
        <f t="shared" si="90"/>
        <v>14318</v>
      </c>
      <c r="DG28" s="575"/>
      <c r="DH28" s="575" t="str">
        <f t="shared" si="46"/>
        <v/>
      </c>
      <c r="DI28" s="74" t="str">
        <f t="shared" si="47"/>
        <v/>
      </c>
      <c r="DJ28" s="74" t="str">
        <f t="shared" si="48"/>
        <v/>
      </c>
      <c r="DK28" s="623" t="str">
        <f t="shared" si="49"/>
        <v/>
      </c>
      <c r="DL28" s="74"/>
      <c r="DM28" s="74"/>
      <c r="DN28" s="582">
        <f t="shared" si="91"/>
        <v>3.6</v>
      </c>
      <c r="DO28" s="575"/>
      <c r="DP28" s="297"/>
    </row>
    <row r="29">
      <c r="A29" s="552">
        <v>23.0</v>
      </c>
      <c r="B29" s="86">
        <v>116.0</v>
      </c>
      <c r="C29" s="54">
        <v>30.0</v>
      </c>
      <c r="D29" s="54">
        <v>86.0</v>
      </c>
      <c r="E29" s="74"/>
      <c r="F29" s="68" t="s">
        <v>1683</v>
      </c>
      <c r="G29" s="68">
        <f t="shared" si="5"/>
        <v>20</v>
      </c>
      <c r="H29" s="68">
        <f t="shared" si="6"/>
        <v>19</v>
      </c>
      <c r="I29" s="68">
        <f t="shared" si="7"/>
        <v>19</v>
      </c>
      <c r="J29" s="68">
        <f t="shared" si="8"/>
        <v>17</v>
      </c>
      <c r="K29" s="68">
        <f t="shared" si="9"/>
        <v>20</v>
      </c>
      <c r="L29" s="68">
        <f t="shared" si="10"/>
        <v>18</v>
      </c>
      <c r="M29" s="569">
        <f t="shared" si="11"/>
        <v>18</v>
      </c>
      <c r="N29" s="74" t="s">
        <v>338</v>
      </c>
      <c r="O29" s="570" t="s">
        <v>1702</v>
      </c>
      <c r="P29" s="571"/>
      <c r="Q29" s="571" t="s">
        <v>1670</v>
      </c>
      <c r="R29" s="571" t="s">
        <v>1685</v>
      </c>
      <c r="S29" s="571" t="s">
        <v>175</v>
      </c>
      <c r="T29" s="572" t="s">
        <v>340</v>
      </c>
      <c r="U29" s="54">
        <v>42.0</v>
      </c>
      <c r="V29" s="54">
        <v>25.0</v>
      </c>
      <c r="W29" s="54">
        <v>101.0</v>
      </c>
      <c r="X29" s="74"/>
      <c r="Y29" s="54">
        <v>5.0</v>
      </c>
      <c r="Z29" s="54">
        <v>10.0</v>
      </c>
      <c r="AA29" s="54">
        <v>3.0</v>
      </c>
      <c r="AB29" s="54">
        <v>80.0</v>
      </c>
      <c r="AC29" s="54">
        <v>4086.0</v>
      </c>
      <c r="AD29" s="54">
        <v>4.0</v>
      </c>
      <c r="AE29" s="54">
        <v>110.0</v>
      </c>
      <c r="AF29" s="74"/>
      <c r="AG29" s="54">
        <v>35.0</v>
      </c>
      <c r="AH29" s="54">
        <v>99.0</v>
      </c>
      <c r="AI29" s="574">
        <f t="shared" si="12"/>
        <v>67</v>
      </c>
      <c r="AJ29" s="74"/>
      <c r="AK29" s="74"/>
      <c r="AL29" s="74"/>
      <c r="AM29" s="74"/>
      <c r="AN29" s="74"/>
      <c r="AO29" s="74"/>
      <c r="AP29" s="74"/>
      <c r="AQ29" s="74"/>
      <c r="AR29" s="74"/>
      <c r="AS29" s="575"/>
      <c r="AT29" s="68">
        <f t="shared" si="13"/>
        <v>875</v>
      </c>
      <c r="AU29" s="68">
        <f t="shared" si="14"/>
        <v>2027</v>
      </c>
      <c r="AV29" s="581">
        <f t="shared" si="15"/>
        <v>1451</v>
      </c>
      <c r="AW29" s="582">
        <f t="shared" si="16"/>
        <v>1649</v>
      </c>
      <c r="AX29" s="582">
        <f t="shared" si="17"/>
        <v>1727</v>
      </c>
      <c r="AY29" s="582">
        <f t="shared" si="18"/>
        <v>1727</v>
      </c>
      <c r="AZ29" s="582">
        <f t="shared" si="19"/>
        <v>1814</v>
      </c>
      <c r="BA29" s="582">
        <f t="shared" si="20"/>
        <v>1649</v>
      </c>
      <c r="BB29" s="582">
        <f t="shared" si="21"/>
        <v>1814</v>
      </c>
      <c r="BC29" s="582">
        <f t="shared" si="22"/>
        <v>2015</v>
      </c>
      <c r="BD29" s="582">
        <f t="shared" si="23"/>
        <v>1296</v>
      </c>
      <c r="BE29" s="582">
        <f t="shared" si="24"/>
        <v>1511</v>
      </c>
      <c r="BF29" s="582">
        <f t="shared" si="25"/>
        <v>1099</v>
      </c>
      <c r="BG29" s="582">
        <f t="shared" si="26"/>
        <v>1296</v>
      </c>
      <c r="BH29" s="582">
        <f t="shared" si="27"/>
        <v>1251</v>
      </c>
      <c r="BI29" s="582">
        <f t="shared" si="28"/>
        <v>1296</v>
      </c>
      <c r="BJ29" s="582">
        <f t="shared" si="29"/>
        <v>1395</v>
      </c>
      <c r="BK29" s="582">
        <f t="shared" si="30"/>
        <v>1251</v>
      </c>
      <c r="BL29" s="582">
        <f t="shared" si="31"/>
        <v>1395</v>
      </c>
      <c r="BM29" s="74"/>
      <c r="BN29" s="74"/>
      <c r="BO29" s="582">
        <f t="shared" si="32"/>
        <v>2134</v>
      </c>
      <c r="BP29" s="602">
        <f t="shared" si="33"/>
        <v>2134</v>
      </c>
      <c r="BQ29" s="54">
        <v>24.0</v>
      </c>
      <c r="BR29" s="54">
        <v>77.0</v>
      </c>
      <c r="BS29" s="54">
        <v>10.0</v>
      </c>
      <c r="BT29" s="54">
        <v>100.0</v>
      </c>
      <c r="BU29" s="74"/>
      <c r="BV29" s="83">
        <f t="shared" si="34"/>
        <v>50.5</v>
      </c>
      <c r="BW29" s="608">
        <f t="shared" si="35"/>
        <v>1302.2</v>
      </c>
      <c r="BX29" s="582">
        <f t="shared" si="36"/>
        <v>1479.8</v>
      </c>
      <c r="BY29" s="582">
        <f t="shared" si="37"/>
        <v>1550.2</v>
      </c>
      <c r="BZ29" s="582">
        <f t="shared" si="38"/>
        <v>1550.2</v>
      </c>
      <c r="CA29" s="582">
        <f t="shared" si="39"/>
        <v>1808.6</v>
      </c>
      <c r="CB29" s="582">
        <f t="shared" si="40"/>
        <v>1479.8</v>
      </c>
      <c r="CC29" s="582">
        <f t="shared" si="41"/>
        <v>1627.8</v>
      </c>
      <c r="CD29" s="582">
        <f t="shared" si="42"/>
        <v>1627.8</v>
      </c>
      <c r="CE29" s="664">
        <f t="shared" si="43"/>
        <v>32.7</v>
      </c>
      <c r="CF29" s="706">
        <f t="shared" ref="CF29:CG29" si="92">IF(ROUND(100*(AV29/BW29)-100,1)=0,"",ROUND(100*(AV29/BW29)-100,1))</f>
        <v>11.4</v>
      </c>
      <c r="CG29" s="552">
        <f t="shared" si="92"/>
        <v>11.4</v>
      </c>
      <c r="CH29" s="575" t="s">
        <v>338</v>
      </c>
      <c r="CI29" s="582">
        <f t="shared" ref="CI29:DF29" si="93">FLOOR($AV29/(CI$3/25),1)</f>
        <v>1451</v>
      </c>
      <c r="CJ29" s="582">
        <f t="shared" si="93"/>
        <v>1511</v>
      </c>
      <c r="CK29" s="582">
        <f t="shared" si="93"/>
        <v>1577</v>
      </c>
      <c r="CL29" s="582">
        <f t="shared" si="93"/>
        <v>1648</v>
      </c>
      <c r="CM29" s="582">
        <f t="shared" si="93"/>
        <v>1727</v>
      </c>
      <c r="CN29" s="582">
        <f t="shared" si="93"/>
        <v>1813</v>
      </c>
      <c r="CO29" s="582">
        <f t="shared" si="93"/>
        <v>1909</v>
      </c>
      <c r="CP29" s="582">
        <f t="shared" si="93"/>
        <v>2015</v>
      </c>
      <c r="CQ29" s="582">
        <f t="shared" si="93"/>
        <v>2133</v>
      </c>
      <c r="CR29" s="582">
        <f t="shared" si="93"/>
        <v>2267</v>
      </c>
      <c r="CS29" s="582">
        <f t="shared" si="93"/>
        <v>2418</v>
      </c>
      <c r="CT29" s="582">
        <f t="shared" si="93"/>
        <v>2591</v>
      </c>
      <c r="CU29" s="582">
        <f t="shared" si="93"/>
        <v>2790</v>
      </c>
      <c r="CV29" s="582">
        <f t="shared" si="93"/>
        <v>3022</v>
      </c>
      <c r="CW29" s="582">
        <f t="shared" si="93"/>
        <v>3297</v>
      </c>
      <c r="CX29" s="582">
        <f t="shared" si="93"/>
        <v>3627</v>
      </c>
      <c r="CY29" s="582">
        <f t="shared" si="93"/>
        <v>4030</v>
      </c>
      <c r="CZ29" s="582">
        <f t="shared" si="93"/>
        <v>4534</v>
      </c>
      <c r="DA29" s="582">
        <f t="shared" si="93"/>
        <v>5182</v>
      </c>
      <c r="DB29" s="582">
        <f t="shared" si="93"/>
        <v>6045</v>
      </c>
      <c r="DC29" s="582">
        <f t="shared" si="93"/>
        <v>7255</v>
      </c>
      <c r="DD29" s="582">
        <f t="shared" si="93"/>
        <v>9068</v>
      </c>
      <c r="DE29" s="582">
        <f t="shared" si="93"/>
        <v>12091</v>
      </c>
      <c r="DF29" s="602">
        <f t="shared" si="93"/>
        <v>18137</v>
      </c>
      <c r="DG29" s="575"/>
      <c r="DH29" s="575" t="str">
        <f t="shared" si="46"/>
        <v/>
      </c>
      <c r="DI29" s="74" t="str">
        <f t="shared" si="47"/>
        <v/>
      </c>
      <c r="DJ29" s="74" t="str">
        <f t="shared" si="48"/>
        <v/>
      </c>
      <c r="DK29" s="664">
        <f t="shared" si="49"/>
        <v>-10.4</v>
      </c>
      <c r="DL29" s="685">
        <v>60.0</v>
      </c>
      <c r="DM29" s="74"/>
      <c r="DN29" s="582">
        <f t="shared" si="91"/>
        <v>2.7</v>
      </c>
      <c r="DO29" s="575"/>
      <c r="DP29" s="297"/>
    </row>
    <row r="30">
      <c r="A30" s="552">
        <v>24.0</v>
      </c>
      <c r="B30" s="86">
        <v>117.0</v>
      </c>
      <c r="C30" s="54">
        <v>20.0</v>
      </c>
      <c r="D30" s="54">
        <v>87.0</v>
      </c>
      <c r="E30" s="74"/>
      <c r="F30" s="68" t="s">
        <v>1683</v>
      </c>
      <c r="G30" s="68">
        <f t="shared" si="5"/>
        <v>20</v>
      </c>
      <c r="H30" s="68">
        <f t="shared" si="6"/>
        <v>19</v>
      </c>
      <c r="I30" s="68">
        <f t="shared" si="7"/>
        <v>19</v>
      </c>
      <c r="J30" s="68">
        <f t="shared" si="8"/>
        <v>17</v>
      </c>
      <c r="K30" s="68">
        <f t="shared" si="9"/>
        <v>20</v>
      </c>
      <c r="L30" s="68">
        <f t="shared" si="10"/>
        <v>18</v>
      </c>
      <c r="M30" s="569">
        <f t="shared" si="11"/>
        <v>18</v>
      </c>
      <c r="N30" s="74" t="s">
        <v>368</v>
      </c>
      <c r="O30" s="570" t="s">
        <v>1751</v>
      </c>
      <c r="P30" s="571"/>
      <c r="Q30" s="571" t="s">
        <v>1670</v>
      </c>
      <c r="R30" s="571" t="s">
        <v>1685</v>
      </c>
      <c r="S30" s="571" t="s">
        <v>175</v>
      </c>
      <c r="T30" s="572" t="s">
        <v>369</v>
      </c>
      <c r="U30" s="54">
        <v>46.0</v>
      </c>
      <c r="V30" s="54">
        <v>25.0</v>
      </c>
      <c r="W30" s="54">
        <v>115.0</v>
      </c>
      <c r="X30" s="54">
        <v>79.0</v>
      </c>
      <c r="Y30" s="54">
        <v>6.0</v>
      </c>
      <c r="Z30" s="54">
        <v>-10.0</v>
      </c>
      <c r="AA30" s="54">
        <v>4.0</v>
      </c>
      <c r="AB30" s="54">
        <v>100.0</v>
      </c>
      <c r="AC30" s="54">
        <v>6048.0</v>
      </c>
      <c r="AD30" s="54">
        <v>4.0</v>
      </c>
      <c r="AE30" s="54">
        <v>110.0</v>
      </c>
      <c r="AF30" s="74"/>
      <c r="AG30" s="54">
        <v>23.0</v>
      </c>
      <c r="AH30" s="54">
        <v>100.0</v>
      </c>
      <c r="AI30" s="574">
        <f t="shared" si="12"/>
        <v>61.5</v>
      </c>
      <c r="AJ30" s="74"/>
      <c r="AK30" s="74"/>
      <c r="AL30" s="74"/>
      <c r="AM30" s="74"/>
      <c r="AN30" s="74"/>
      <c r="AO30" s="74"/>
      <c r="AP30" s="74"/>
      <c r="AQ30" s="74"/>
      <c r="AR30" s="74"/>
      <c r="AS30" s="575"/>
      <c r="AT30" s="68">
        <f t="shared" si="13"/>
        <v>658</v>
      </c>
      <c r="AU30" s="68">
        <f t="shared" si="14"/>
        <v>2046</v>
      </c>
      <c r="AV30" s="581">
        <f t="shared" si="15"/>
        <v>1352</v>
      </c>
      <c r="AW30" s="582">
        <f t="shared" si="16"/>
        <v>1878</v>
      </c>
      <c r="AX30" s="582">
        <f t="shared" si="17"/>
        <v>1988</v>
      </c>
      <c r="AY30" s="582">
        <f t="shared" si="18"/>
        <v>1988</v>
      </c>
      <c r="AZ30" s="582">
        <f t="shared" si="19"/>
        <v>2113</v>
      </c>
      <c r="BA30" s="582">
        <f t="shared" si="20"/>
        <v>1878</v>
      </c>
      <c r="BB30" s="582">
        <f t="shared" si="21"/>
        <v>2113</v>
      </c>
      <c r="BC30" s="582">
        <f t="shared" si="22"/>
        <v>2253</v>
      </c>
      <c r="BD30" s="582">
        <f t="shared" si="23"/>
        <v>1779</v>
      </c>
      <c r="BE30" s="582">
        <f t="shared" si="24"/>
        <v>2113</v>
      </c>
      <c r="BF30" s="582">
        <f t="shared" si="25"/>
        <v>1536</v>
      </c>
      <c r="BG30" s="582">
        <f t="shared" si="26"/>
        <v>1878</v>
      </c>
      <c r="BH30" s="582">
        <f t="shared" si="27"/>
        <v>1779</v>
      </c>
      <c r="BI30" s="582">
        <f t="shared" si="28"/>
        <v>1878</v>
      </c>
      <c r="BJ30" s="582">
        <f t="shared" si="29"/>
        <v>1988</v>
      </c>
      <c r="BK30" s="582">
        <f t="shared" si="30"/>
        <v>1779</v>
      </c>
      <c r="BL30" s="582">
        <f t="shared" si="31"/>
        <v>1988</v>
      </c>
      <c r="BM30" s="74"/>
      <c r="BN30" s="74"/>
      <c r="BO30" s="582">
        <f t="shared" si="32"/>
        <v>2414</v>
      </c>
      <c r="BP30" s="602">
        <f t="shared" si="33"/>
        <v>2414</v>
      </c>
      <c r="BQ30" s="54">
        <v>18.0</v>
      </c>
      <c r="BR30" s="54">
        <v>70.0</v>
      </c>
      <c r="BS30" s="54">
        <v>-10.0</v>
      </c>
      <c r="BT30" s="54">
        <v>100.0</v>
      </c>
      <c r="BU30" s="74"/>
      <c r="BV30" s="83">
        <f t="shared" si="34"/>
        <v>44</v>
      </c>
      <c r="BW30" s="608">
        <f t="shared" si="35"/>
        <v>1170.6</v>
      </c>
      <c r="BX30" s="582">
        <f t="shared" si="36"/>
        <v>1625.8</v>
      </c>
      <c r="BY30" s="582">
        <f t="shared" si="37"/>
        <v>1721.5</v>
      </c>
      <c r="BZ30" s="582">
        <f t="shared" si="38"/>
        <v>1721.5</v>
      </c>
      <c r="CA30" s="582">
        <f t="shared" si="39"/>
        <v>1951</v>
      </c>
      <c r="CB30" s="582">
        <f t="shared" si="40"/>
        <v>1625.8</v>
      </c>
      <c r="CC30" s="582">
        <f t="shared" si="41"/>
        <v>1829.1</v>
      </c>
      <c r="CD30" s="582">
        <f t="shared" si="42"/>
        <v>1829.1</v>
      </c>
      <c r="CE30" s="664">
        <f t="shared" si="43"/>
        <v>39.8</v>
      </c>
      <c r="CF30" s="706">
        <f t="shared" ref="CF30:CG30" si="94">IF(ROUND(100*(AV30/BW30)-100,1)=0,"",ROUND(100*(AV30/BW30)-100,1))</f>
        <v>15.5</v>
      </c>
      <c r="CG30" s="552">
        <f t="shared" si="94"/>
        <v>15.5</v>
      </c>
      <c r="CH30" s="575" t="s">
        <v>368</v>
      </c>
      <c r="CI30" s="582">
        <f t="shared" ref="CI30:DF30" si="95">FLOOR($AV30/(CI$3/25),1)</f>
        <v>1352</v>
      </c>
      <c r="CJ30" s="582">
        <f t="shared" si="95"/>
        <v>1408</v>
      </c>
      <c r="CK30" s="582">
        <f t="shared" si="95"/>
        <v>1469</v>
      </c>
      <c r="CL30" s="582">
        <f t="shared" si="95"/>
        <v>1536</v>
      </c>
      <c r="CM30" s="582">
        <f t="shared" si="95"/>
        <v>1609</v>
      </c>
      <c r="CN30" s="582">
        <f t="shared" si="95"/>
        <v>1690</v>
      </c>
      <c r="CO30" s="582">
        <f t="shared" si="95"/>
        <v>1778</v>
      </c>
      <c r="CP30" s="582">
        <f t="shared" si="95"/>
        <v>1877</v>
      </c>
      <c r="CQ30" s="582">
        <f t="shared" si="95"/>
        <v>1988</v>
      </c>
      <c r="CR30" s="582">
        <f t="shared" si="95"/>
        <v>2112</v>
      </c>
      <c r="CS30" s="582">
        <f t="shared" si="95"/>
        <v>2253</v>
      </c>
      <c r="CT30" s="582">
        <f t="shared" si="95"/>
        <v>2414</v>
      </c>
      <c r="CU30" s="582">
        <f t="shared" si="95"/>
        <v>2600</v>
      </c>
      <c r="CV30" s="582">
        <f t="shared" si="95"/>
        <v>2816</v>
      </c>
      <c r="CW30" s="582">
        <f t="shared" si="95"/>
        <v>3072</v>
      </c>
      <c r="CX30" s="582">
        <f t="shared" si="95"/>
        <v>3380</v>
      </c>
      <c r="CY30" s="582">
        <f t="shared" si="95"/>
        <v>3755</v>
      </c>
      <c r="CZ30" s="582">
        <f t="shared" si="95"/>
        <v>4225</v>
      </c>
      <c r="DA30" s="582">
        <f t="shared" si="95"/>
        <v>4828</v>
      </c>
      <c r="DB30" s="582">
        <f t="shared" si="95"/>
        <v>5633</v>
      </c>
      <c r="DC30" s="582">
        <f t="shared" si="95"/>
        <v>6760</v>
      </c>
      <c r="DD30" s="582">
        <f t="shared" si="95"/>
        <v>8450</v>
      </c>
      <c r="DE30" s="582">
        <f t="shared" si="95"/>
        <v>11266</v>
      </c>
      <c r="DF30" s="602">
        <f t="shared" si="95"/>
        <v>16900</v>
      </c>
      <c r="DG30" s="575"/>
      <c r="DH30" s="575" t="str">
        <f t="shared" si="46"/>
        <v/>
      </c>
      <c r="DI30" s="74" t="str">
        <f t="shared" si="47"/>
        <v/>
      </c>
      <c r="DJ30" s="74" t="str">
        <f t="shared" si="48"/>
        <v/>
      </c>
      <c r="DK30" s="623" t="str">
        <f t="shared" si="49"/>
        <v/>
      </c>
      <c r="DL30" s="74"/>
      <c r="DM30" s="74"/>
      <c r="DN30" s="582">
        <f t="shared" si="91"/>
        <v>3.2</v>
      </c>
      <c r="DO30" s="575"/>
      <c r="DP30" s="297"/>
    </row>
    <row r="31">
      <c r="A31" s="647">
        <v>25.0</v>
      </c>
      <c r="B31" s="141">
        <v>118.0</v>
      </c>
      <c r="C31" s="129">
        <v>54.0</v>
      </c>
      <c r="D31" s="129">
        <v>106.0</v>
      </c>
      <c r="E31" s="134"/>
      <c r="F31" s="154" t="s">
        <v>1683</v>
      </c>
      <c r="G31" s="154">
        <f t="shared" si="5"/>
        <v>20</v>
      </c>
      <c r="H31" s="154">
        <f t="shared" si="6"/>
        <v>19</v>
      </c>
      <c r="I31" s="154">
        <f t="shared" si="7"/>
        <v>19</v>
      </c>
      <c r="J31" s="154">
        <f t="shared" si="8"/>
        <v>17</v>
      </c>
      <c r="K31" s="154">
        <f t="shared" si="9"/>
        <v>20</v>
      </c>
      <c r="L31" s="154">
        <f t="shared" si="10"/>
        <v>18</v>
      </c>
      <c r="M31" s="648">
        <f t="shared" si="11"/>
        <v>18</v>
      </c>
      <c r="N31" s="134" t="s">
        <v>396</v>
      </c>
      <c r="O31" s="649" t="s">
        <v>1792</v>
      </c>
      <c r="P31" s="650"/>
      <c r="Q31" s="650" t="s">
        <v>1670</v>
      </c>
      <c r="R31" s="650" t="s">
        <v>1685</v>
      </c>
      <c r="S31" s="650" t="s">
        <v>175</v>
      </c>
      <c r="T31" s="651" t="s">
        <v>397</v>
      </c>
      <c r="U31" s="129">
        <v>51.0</v>
      </c>
      <c r="V31" s="129">
        <v>25.0</v>
      </c>
      <c r="W31" s="129">
        <v>125.0</v>
      </c>
      <c r="X31" s="134"/>
      <c r="Y31" s="129">
        <v>6.0</v>
      </c>
      <c r="Z31" s="129">
        <v>10.0</v>
      </c>
      <c r="AA31" s="129">
        <v>3.0</v>
      </c>
      <c r="AB31" s="129">
        <v>100.0</v>
      </c>
      <c r="AC31" s="129">
        <v>7530.0</v>
      </c>
      <c r="AD31" s="129">
        <v>4.0</v>
      </c>
      <c r="AE31" s="129">
        <v>110.0</v>
      </c>
      <c r="AF31" s="134"/>
      <c r="AG31" s="129">
        <v>62.0</v>
      </c>
      <c r="AH31" s="129">
        <v>122.0</v>
      </c>
      <c r="AI31" s="652">
        <f t="shared" si="12"/>
        <v>92</v>
      </c>
      <c r="AJ31" s="134"/>
      <c r="AK31" s="134"/>
      <c r="AL31" s="134"/>
      <c r="AM31" s="134"/>
      <c r="AN31" s="134"/>
      <c r="AO31" s="134"/>
      <c r="AP31" s="134"/>
      <c r="AQ31" s="134"/>
      <c r="AR31" s="134"/>
      <c r="AS31" s="653"/>
      <c r="AT31" s="154">
        <f t="shared" si="13"/>
        <v>1360</v>
      </c>
      <c r="AU31" s="154">
        <f t="shared" si="14"/>
        <v>2441</v>
      </c>
      <c r="AV31" s="654">
        <f t="shared" si="15"/>
        <v>1900.5</v>
      </c>
      <c r="AW31" s="655">
        <f t="shared" si="16"/>
        <v>2160</v>
      </c>
      <c r="AX31" s="655">
        <f t="shared" si="17"/>
        <v>2263</v>
      </c>
      <c r="AY31" s="655">
        <f t="shared" si="18"/>
        <v>2263</v>
      </c>
      <c r="AZ31" s="655">
        <f t="shared" si="19"/>
        <v>2376</v>
      </c>
      <c r="BA31" s="655">
        <f t="shared" si="20"/>
        <v>2160</v>
      </c>
      <c r="BB31" s="655">
        <f t="shared" si="21"/>
        <v>2376</v>
      </c>
      <c r="BC31" s="655">
        <f t="shared" si="22"/>
        <v>2640</v>
      </c>
      <c r="BD31" s="655">
        <f t="shared" si="23"/>
        <v>1697</v>
      </c>
      <c r="BE31" s="655">
        <f t="shared" si="24"/>
        <v>1980</v>
      </c>
      <c r="BF31" s="655">
        <f t="shared" si="25"/>
        <v>1440</v>
      </c>
      <c r="BG31" s="655">
        <f t="shared" si="26"/>
        <v>1697</v>
      </c>
      <c r="BH31" s="655">
        <f t="shared" si="27"/>
        <v>1638</v>
      </c>
      <c r="BI31" s="655">
        <f t="shared" si="28"/>
        <v>1697</v>
      </c>
      <c r="BJ31" s="655">
        <f t="shared" si="29"/>
        <v>1827</v>
      </c>
      <c r="BK31" s="655">
        <f t="shared" si="30"/>
        <v>1638</v>
      </c>
      <c r="BL31" s="655">
        <f t="shared" si="31"/>
        <v>1827</v>
      </c>
      <c r="BM31" s="134"/>
      <c r="BN31" s="134"/>
      <c r="BO31" s="655">
        <f t="shared" si="32"/>
        <v>2795</v>
      </c>
      <c r="BP31" s="656">
        <f t="shared" si="33"/>
        <v>2795</v>
      </c>
      <c r="BQ31" s="129">
        <v>43.0</v>
      </c>
      <c r="BR31" s="129">
        <v>85.0</v>
      </c>
      <c r="BS31" s="129">
        <v>10.0</v>
      </c>
      <c r="BT31" s="129">
        <v>100.0</v>
      </c>
      <c r="BU31" s="134"/>
      <c r="BV31" s="135">
        <f t="shared" si="34"/>
        <v>64</v>
      </c>
      <c r="BW31" s="657">
        <f t="shared" si="35"/>
        <v>1575.5</v>
      </c>
      <c r="BX31" s="655">
        <f t="shared" si="36"/>
        <v>1790.3</v>
      </c>
      <c r="BY31" s="655">
        <f t="shared" si="37"/>
        <v>1875.6</v>
      </c>
      <c r="BZ31" s="655">
        <f t="shared" si="38"/>
        <v>1875.6</v>
      </c>
      <c r="CA31" s="655">
        <f t="shared" si="39"/>
        <v>2188.2</v>
      </c>
      <c r="CB31" s="655">
        <f t="shared" si="40"/>
        <v>1790.3</v>
      </c>
      <c r="CC31" s="655">
        <f t="shared" si="41"/>
        <v>1969.4</v>
      </c>
      <c r="CD31" s="655">
        <f t="shared" si="42"/>
        <v>1969.4</v>
      </c>
      <c r="CE31" s="659">
        <f t="shared" si="43"/>
        <v>43.8</v>
      </c>
      <c r="CF31" s="712">
        <f t="shared" ref="CF31:CG31" si="96">IF(ROUND(100*(AV31/BW31)-100,1)=0,"",ROUND(100*(AV31/BW31)-100,1))</f>
        <v>20.6</v>
      </c>
      <c r="CG31" s="647">
        <f t="shared" si="96"/>
        <v>20.7</v>
      </c>
      <c r="CH31" s="653" t="s">
        <v>396</v>
      </c>
      <c r="CI31" s="655">
        <f t="shared" ref="CI31:DF31" si="97">FLOOR($AV31/(CI$3/25),1)</f>
        <v>1900</v>
      </c>
      <c r="CJ31" s="655">
        <f t="shared" si="97"/>
        <v>1979</v>
      </c>
      <c r="CK31" s="655">
        <f t="shared" si="97"/>
        <v>2065</v>
      </c>
      <c r="CL31" s="655">
        <f t="shared" si="97"/>
        <v>2159</v>
      </c>
      <c r="CM31" s="655">
        <f t="shared" si="97"/>
        <v>2262</v>
      </c>
      <c r="CN31" s="655">
        <f t="shared" si="97"/>
        <v>2375</v>
      </c>
      <c r="CO31" s="655">
        <f t="shared" si="97"/>
        <v>2500</v>
      </c>
      <c r="CP31" s="655">
        <f t="shared" si="97"/>
        <v>2639</v>
      </c>
      <c r="CQ31" s="655">
        <f t="shared" si="97"/>
        <v>2794</v>
      </c>
      <c r="CR31" s="655">
        <f t="shared" si="97"/>
        <v>2969</v>
      </c>
      <c r="CS31" s="655">
        <f t="shared" si="97"/>
        <v>3167</v>
      </c>
      <c r="CT31" s="655">
        <f t="shared" si="97"/>
        <v>3393</v>
      </c>
      <c r="CU31" s="655">
        <f t="shared" si="97"/>
        <v>3654</v>
      </c>
      <c r="CV31" s="655">
        <f t="shared" si="97"/>
        <v>3959</v>
      </c>
      <c r="CW31" s="655">
        <f t="shared" si="97"/>
        <v>4319</v>
      </c>
      <c r="CX31" s="655">
        <f t="shared" si="97"/>
        <v>4751</v>
      </c>
      <c r="CY31" s="655">
        <f t="shared" si="97"/>
        <v>5279</v>
      </c>
      <c r="CZ31" s="655">
        <f t="shared" si="97"/>
        <v>5939</v>
      </c>
      <c r="DA31" s="655">
        <f t="shared" si="97"/>
        <v>6787</v>
      </c>
      <c r="DB31" s="655">
        <f t="shared" si="97"/>
        <v>7918</v>
      </c>
      <c r="DC31" s="655">
        <f t="shared" si="97"/>
        <v>9502</v>
      </c>
      <c r="DD31" s="655">
        <f t="shared" si="97"/>
        <v>11878</v>
      </c>
      <c r="DE31" s="655">
        <f t="shared" si="97"/>
        <v>15837</v>
      </c>
      <c r="DF31" s="656">
        <f t="shared" si="97"/>
        <v>23756</v>
      </c>
      <c r="DG31" s="653"/>
      <c r="DH31" s="653" t="str">
        <f t="shared" si="46"/>
        <v/>
      </c>
      <c r="DI31" s="134" t="str">
        <f t="shared" si="47"/>
        <v/>
      </c>
      <c r="DJ31" s="134" t="str">
        <f t="shared" si="48"/>
        <v/>
      </c>
      <c r="DK31" s="662" t="str">
        <f t="shared" si="49"/>
        <v/>
      </c>
      <c r="DL31" s="134"/>
      <c r="DM31" s="134"/>
      <c r="DN31" s="655">
        <f t="shared" si="91"/>
        <v>2.7</v>
      </c>
      <c r="DO31" s="653"/>
      <c r="DP31" s="663"/>
    </row>
    <row r="32">
      <c r="A32" s="552">
        <v>26.0</v>
      </c>
      <c r="B32" s="86">
        <v>233.0</v>
      </c>
      <c r="C32" s="54">
        <v>25.0</v>
      </c>
      <c r="D32" s="54">
        <v>123.0</v>
      </c>
      <c r="E32" s="74"/>
      <c r="F32" s="68" t="s">
        <v>1683</v>
      </c>
      <c r="G32" s="68">
        <f t="shared" si="5"/>
        <v>20</v>
      </c>
      <c r="H32" s="68">
        <f t="shared" si="6"/>
        <v>19</v>
      </c>
      <c r="I32" s="68">
        <f t="shared" si="7"/>
        <v>19</v>
      </c>
      <c r="J32" s="68">
        <f t="shared" si="8"/>
        <v>17</v>
      </c>
      <c r="K32" s="68">
        <f t="shared" si="9"/>
        <v>20</v>
      </c>
      <c r="L32" s="68">
        <f t="shared" si="10"/>
        <v>18</v>
      </c>
      <c r="M32" s="569">
        <f t="shared" si="11"/>
        <v>18</v>
      </c>
      <c r="N32" s="74" t="s">
        <v>281</v>
      </c>
      <c r="O32" s="678"/>
      <c r="P32" s="571"/>
      <c r="Q32" s="571" t="s">
        <v>1676</v>
      </c>
      <c r="R32" s="571" t="s">
        <v>1685</v>
      </c>
      <c r="S32" s="571" t="s">
        <v>175</v>
      </c>
      <c r="T32" s="572" t="s">
        <v>283</v>
      </c>
      <c r="U32" s="54">
        <v>57.0</v>
      </c>
      <c r="V32" s="54">
        <v>42.0</v>
      </c>
      <c r="W32" s="679">
        <v>196.0</v>
      </c>
      <c r="X32" s="74"/>
      <c r="Y32" s="54">
        <v>5.0</v>
      </c>
      <c r="Z32" s="669">
        <v>-15.0</v>
      </c>
      <c r="AA32" s="54">
        <v>3.0</v>
      </c>
      <c r="AB32" s="669">
        <v>90.0</v>
      </c>
      <c r="AC32" s="54">
        <v>17430.0</v>
      </c>
      <c r="AD32" s="54">
        <v>4.0</v>
      </c>
      <c r="AE32" s="54">
        <v>110.0</v>
      </c>
      <c r="AF32" s="74"/>
      <c r="AG32" s="54">
        <v>31.0</v>
      </c>
      <c r="AH32" s="54">
        <v>154.0</v>
      </c>
      <c r="AI32" s="574">
        <f t="shared" si="12"/>
        <v>92.5</v>
      </c>
      <c r="AJ32" s="37"/>
      <c r="AK32" s="37"/>
      <c r="AL32" s="37"/>
      <c r="AM32" s="37"/>
      <c r="AN32" s="37"/>
      <c r="AO32" s="37"/>
      <c r="AP32" s="37"/>
      <c r="AQ32" s="37"/>
      <c r="AR32" s="37"/>
      <c r="AS32" s="575"/>
      <c r="AT32" s="68">
        <f t="shared" si="13"/>
        <v>803</v>
      </c>
      <c r="AU32" s="68">
        <f t="shared" si="14"/>
        <v>3017</v>
      </c>
      <c r="AV32" s="581">
        <f t="shared" si="15"/>
        <v>1910</v>
      </c>
      <c r="AW32" s="582">
        <f t="shared" si="16"/>
        <v>2809</v>
      </c>
      <c r="AX32" s="582">
        <f t="shared" si="17"/>
        <v>2984</v>
      </c>
      <c r="AY32" s="582">
        <f t="shared" si="18"/>
        <v>2984</v>
      </c>
      <c r="AZ32" s="582">
        <f t="shared" si="19"/>
        <v>3183</v>
      </c>
      <c r="BA32" s="582">
        <f t="shared" si="20"/>
        <v>2809</v>
      </c>
      <c r="BB32" s="582">
        <f t="shared" si="21"/>
        <v>3183</v>
      </c>
      <c r="BC32" s="582">
        <f t="shared" si="22"/>
        <v>3411</v>
      </c>
      <c r="BD32" s="582">
        <f t="shared" si="23"/>
        <v>2809</v>
      </c>
      <c r="BE32" s="582">
        <f t="shared" si="24"/>
        <v>3411</v>
      </c>
      <c r="BF32" s="582">
        <f t="shared" si="25"/>
        <v>2388</v>
      </c>
      <c r="BG32" s="582">
        <f t="shared" si="26"/>
        <v>2984</v>
      </c>
      <c r="BH32" s="582">
        <f t="shared" si="27"/>
        <v>2809</v>
      </c>
      <c r="BI32" s="582">
        <f t="shared" si="28"/>
        <v>2984</v>
      </c>
      <c r="BJ32" s="582">
        <f t="shared" si="29"/>
        <v>3183</v>
      </c>
      <c r="BK32" s="582">
        <f t="shared" si="30"/>
        <v>2809</v>
      </c>
      <c r="BL32" s="582">
        <f t="shared" si="31"/>
        <v>3183</v>
      </c>
      <c r="BM32" s="74"/>
      <c r="BN32" s="74"/>
      <c r="BO32" s="582">
        <f t="shared" si="32"/>
        <v>3673</v>
      </c>
      <c r="BP32" s="602">
        <f t="shared" si="33"/>
        <v>3673</v>
      </c>
      <c r="BQ32" s="670">
        <v>25.0</v>
      </c>
      <c r="BR32" s="670">
        <v>123.0</v>
      </c>
      <c r="BS32" s="670">
        <v>-15.0</v>
      </c>
      <c r="BT32" s="670">
        <v>100.0</v>
      </c>
      <c r="BU32" s="365"/>
      <c r="BV32" s="671">
        <f t="shared" si="34"/>
        <v>74</v>
      </c>
      <c r="BW32" s="672">
        <f t="shared" si="35"/>
        <v>1778</v>
      </c>
      <c r="BX32" s="673">
        <f t="shared" si="36"/>
        <v>2614.7</v>
      </c>
      <c r="BY32" s="673">
        <f t="shared" si="37"/>
        <v>2778.1</v>
      </c>
      <c r="BZ32" s="673">
        <f t="shared" si="38"/>
        <v>2778.1</v>
      </c>
      <c r="CA32" s="673">
        <f t="shared" si="39"/>
        <v>3175</v>
      </c>
      <c r="CB32" s="673">
        <f t="shared" si="40"/>
        <v>2614.7</v>
      </c>
      <c r="CC32" s="673">
        <f t="shared" si="41"/>
        <v>2963.3</v>
      </c>
      <c r="CD32" s="673">
        <f t="shared" si="42"/>
        <v>2963.3</v>
      </c>
      <c r="CE32" s="674">
        <f t="shared" si="43"/>
        <v>25</v>
      </c>
      <c r="CF32" s="763">
        <f t="shared" ref="CF32:CG32" si="98">IF(ROUND(100*(AV32/BW32)-100,1)=0,"",ROUND(100*(AV32/BW32)-100,1))</f>
        <v>7.4</v>
      </c>
      <c r="CG32" s="676">
        <f t="shared" si="98"/>
        <v>7.4</v>
      </c>
      <c r="CH32" s="575" t="s">
        <v>281</v>
      </c>
      <c r="CI32" s="582">
        <f t="shared" ref="CI32:DF32" si="99">FLOOR($AV32/(CI$3/25),1)</f>
        <v>1910</v>
      </c>
      <c r="CJ32" s="582">
        <f t="shared" si="99"/>
        <v>1989</v>
      </c>
      <c r="CK32" s="582">
        <f t="shared" si="99"/>
        <v>2076</v>
      </c>
      <c r="CL32" s="582">
        <f t="shared" si="99"/>
        <v>2170</v>
      </c>
      <c r="CM32" s="582">
        <f t="shared" si="99"/>
        <v>2273</v>
      </c>
      <c r="CN32" s="582">
        <f t="shared" si="99"/>
        <v>2387</v>
      </c>
      <c r="CO32" s="582">
        <f t="shared" si="99"/>
        <v>2513</v>
      </c>
      <c r="CP32" s="582">
        <f t="shared" si="99"/>
        <v>2652</v>
      </c>
      <c r="CQ32" s="582">
        <f t="shared" si="99"/>
        <v>2808</v>
      </c>
      <c r="CR32" s="582">
        <f t="shared" si="99"/>
        <v>2984</v>
      </c>
      <c r="CS32" s="582">
        <f t="shared" si="99"/>
        <v>3183</v>
      </c>
      <c r="CT32" s="582">
        <f t="shared" si="99"/>
        <v>3410</v>
      </c>
      <c r="CU32" s="582">
        <f t="shared" si="99"/>
        <v>3673</v>
      </c>
      <c r="CV32" s="582">
        <f t="shared" si="99"/>
        <v>3979</v>
      </c>
      <c r="CW32" s="582">
        <f t="shared" si="99"/>
        <v>4340</v>
      </c>
      <c r="CX32" s="582">
        <f t="shared" si="99"/>
        <v>4775</v>
      </c>
      <c r="CY32" s="582">
        <f t="shared" si="99"/>
        <v>5305</v>
      </c>
      <c r="CZ32" s="582">
        <f t="shared" si="99"/>
        <v>5968</v>
      </c>
      <c r="DA32" s="582">
        <f t="shared" si="99"/>
        <v>6821</v>
      </c>
      <c r="DB32" s="582">
        <f t="shared" si="99"/>
        <v>7958</v>
      </c>
      <c r="DC32" s="582">
        <f t="shared" si="99"/>
        <v>9550</v>
      </c>
      <c r="DD32" s="582">
        <f t="shared" si="99"/>
        <v>11937</v>
      </c>
      <c r="DE32" s="582">
        <f t="shared" si="99"/>
        <v>15916</v>
      </c>
      <c r="DF32" s="602">
        <f t="shared" si="99"/>
        <v>23875</v>
      </c>
      <c r="DG32" s="575"/>
      <c r="DH32" s="575" t="str">
        <f t="shared" si="46"/>
        <v/>
      </c>
      <c r="DI32" s="74" t="str">
        <f t="shared" si="47"/>
        <v/>
      </c>
      <c r="DJ32" s="74" t="str">
        <f t="shared" si="48"/>
        <v/>
      </c>
      <c r="DK32" s="664">
        <f t="shared" si="49"/>
        <v>-16.2</v>
      </c>
      <c r="DL32" s="685">
        <v>77.5</v>
      </c>
      <c r="DM32" s="74"/>
      <c r="DN32" s="582">
        <f t="shared" si="91"/>
        <v>1.9</v>
      </c>
      <c r="DO32" s="575"/>
      <c r="DP32" s="297"/>
    </row>
    <row r="33">
      <c r="A33" s="552">
        <v>27.0</v>
      </c>
      <c r="B33" s="86">
        <v>234.0</v>
      </c>
      <c r="C33" s="54">
        <v>62.0</v>
      </c>
      <c r="D33" s="54">
        <v>110.0</v>
      </c>
      <c r="E33" s="74"/>
      <c r="F33" s="68" t="s">
        <v>1683</v>
      </c>
      <c r="G33" s="68">
        <f t="shared" si="5"/>
        <v>20</v>
      </c>
      <c r="H33" s="68">
        <f t="shared" si="6"/>
        <v>19</v>
      </c>
      <c r="I33" s="68">
        <f t="shared" si="7"/>
        <v>19</v>
      </c>
      <c r="J33" s="68">
        <f t="shared" si="8"/>
        <v>17</v>
      </c>
      <c r="K33" s="68">
        <f t="shared" si="9"/>
        <v>20</v>
      </c>
      <c r="L33" s="68">
        <f t="shared" si="10"/>
        <v>18</v>
      </c>
      <c r="M33" s="569">
        <f t="shared" si="11"/>
        <v>18</v>
      </c>
      <c r="N33" s="74" t="s">
        <v>306</v>
      </c>
      <c r="O33" s="570" t="s">
        <v>1883</v>
      </c>
      <c r="P33" s="571"/>
      <c r="Q33" s="571" t="s">
        <v>1676</v>
      </c>
      <c r="R33" s="571" t="s">
        <v>1685</v>
      </c>
      <c r="S33" s="571" t="s">
        <v>175</v>
      </c>
      <c r="T33" s="572" t="s">
        <v>308</v>
      </c>
      <c r="U33" s="54">
        <v>65.0</v>
      </c>
      <c r="V33" s="54">
        <v>48.0</v>
      </c>
      <c r="W33" s="679">
        <v>166.0</v>
      </c>
      <c r="X33" s="54">
        <v>65.0</v>
      </c>
      <c r="Y33" s="54">
        <v>5.0</v>
      </c>
      <c r="Z33" s="54">
        <v>0.0</v>
      </c>
      <c r="AA33" s="54">
        <v>3.0</v>
      </c>
      <c r="AB33" s="669">
        <v>105.0</v>
      </c>
      <c r="AC33" s="54">
        <v>18956.0</v>
      </c>
      <c r="AD33" s="54">
        <v>4.0</v>
      </c>
      <c r="AE33" s="54">
        <v>110.0</v>
      </c>
      <c r="AF33" s="74"/>
      <c r="AG33" s="54">
        <v>78.0</v>
      </c>
      <c r="AH33" s="54">
        <v>138.0</v>
      </c>
      <c r="AI33" s="574">
        <f t="shared" si="12"/>
        <v>108</v>
      </c>
      <c r="AJ33" s="74"/>
      <c r="AK33" s="74"/>
      <c r="AL33" s="74"/>
      <c r="AM33" s="74"/>
      <c r="AN33" s="74"/>
      <c r="AO33" s="74"/>
      <c r="AP33" s="74"/>
      <c r="AQ33" s="74"/>
      <c r="AR33" s="74"/>
      <c r="AS33" s="575"/>
      <c r="AT33" s="68">
        <f t="shared" si="13"/>
        <v>1648</v>
      </c>
      <c r="AU33" s="68">
        <f t="shared" si="14"/>
        <v>2728</v>
      </c>
      <c r="AV33" s="581">
        <f t="shared" si="15"/>
        <v>2188</v>
      </c>
      <c r="AW33" s="582">
        <f t="shared" si="16"/>
        <v>2879</v>
      </c>
      <c r="AX33" s="582">
        <f t="shared" si="17"/>
        <v>3039</v>
      </c>
      <c r="AY33" s="582">
        <f t="shared" si="18"/>
        <v>3039</v>
      </c>
      <c r="AZ33" s="582">
        <f t="shared" si="19"/>
        <v>3218</v>
      </c>
      <c r="BA33" s="582">
        <f t="shared" si="20"/>
        <v>2879</v>
      </c>
      <c r="BB33" s="582">
        <f t="shared" si="21"/>
        <v>3218</v>
      </c>
      <c r="BC33" s="582">
        <f t="shared" si="22"/>
        <v>3419</v>
      </c>
      <c r="BD33" s="582">
        <f t="shared" si="23"/>
        <v>2279</v>
      </c>
      <c r="BE33" s="582">
        <f t="shared" si="24"/>
        <v>2735</v>
      </c>
      <c r="BF33" s="582">
        <f t="shared" si="25"/>
        <v>2026</v>
      </c>
      <c r="BG33" s="582">
        <f t="shared" si="26"/>
        <v>2486</v>
      </c>
      <c r="BH33" s="582">
        <f t="shared" si="27"/>
        <v>2378</v>
      </c>
      <c r="BI33" s="582">
        <f t="shared" si="28"/>
        <v>2486</v>
      </c>
      <c r="BJ33" s="582">
        <f t="shared" si="29"/>
        <v>2605</v>
      </c>
      <c r="BK33" s="582">
        <f t="shared" si="30"/>
        <v>2378</v>
      </c>
      <c r="BL33" s="582">
        <f t="shared" si="31"/>
        <v>2605</v>
      </c>
      <c r="BM33" s="74"/>
      <c r="BN33" s="74"/>
      <c r="BO33" s="582">
        <f t="shared" si="32"/>
        <v>3647</v>
      </c>
      <c r="BP33" s="602">
        <f t="shared" si="33"/>
        <v>3647</v>
      </c>
      <c r="BQ33" s="670">
        <v>62.0</v>
      </c>
      <c r="BR33" s="670">
        <v>110.0</v>
      </c>
      <c r="BS33" s="365"/>
      <c r="BT33" s="670">
        <v>100.0</v>
      </c>
      <c r="BU33" s="365"/>
      <c r="BV33" s="671">
        <f t="shared" si="34"/>
        <v>86</v>
      </c>
      <c r="BW33" s="672">
        <f t="shared" si="35"/>
        <v>2020.9</v>
      </c>
      <c r="BX33" s="673">
        <f t="shared" si="36"/>
        <v>2659.1</v>
      </c>
      <c r="BY33" s="673">
        <f t="shared" si="37"/>
        <v>2806.8</v>
      </c>
      <c r="BZ33" s="673">
        <f t="shared" si="38"/>
        <v>2806.8</v>
      </c>
      <c r="CA33" s="673">
        <f t="shared" si="39"/>
        <v>3157.7</v>
      </c>
      <c r="CB33" s="673">
        <f t="shared" si="40"/>
        <v>2659.1</v>
      </c>
      <c r="CC33" s="673">
        <f t="shared" si="41"/>
        <v>2971.9</v>
      </c>
      <c r="CD33" s="673">
        <f t="shared" si="42"/>
        <v>2971.9</v>
      </c>
      <c r="CE33" s="674">
        <f t="shared" si="43"/>
        <v>25.6</v>
      </c>
      <c r="CF33" s="763">
        <f t="shared" ref="CF33:CG33" si="100">IF(ROUND(100*(AV33/BW33)-100,1)=0,"",ROUND(100*(AV33/BW33)-100,1))</f>
        <v>8.3</v>
      </c>
      <c r="CG33" s="676">
        <f t="shared" si="100"/>
        <v>8.3</v>
      </c>
      <c r="CH33" s="575" t="s">
        <v>306</v>
      </c>
      <c r="CI33" s="582">
        <f t="shared" ref="CI33:DF33" si="101">FLOOR($AV33/(CI$3/25),1)</f>
        <v>2188</v>
      </c>
      <c r="CJ33" s="582">
        <f t="shared" si="101"/>
        <v>2279</v>
      </c>
      <c r="CK33" s="582">
        <f t="shared" si="101"/>
        <v>2378</v>
      </c>
      <c r="CL33" s="582">
        <f t="shared" si="101"/>
        <v>2486</v>
      </c>
      <c r="CM33" s="582">
        <f t="shared" si="101"/>
        <v>2604</v>
      </c>
      <c r="CN33" s="582">
        <f t="shared" si="101"/>
        <v>2735</v>
      </c>
      <c r="CO33" s="582">
        <f t="shared" si="101"/>
        <v>2878</v>
      </c>
      <c r="CP33" s="582">
        <f t="shared" si="101"/>
        <v>3038</v>
      </c>
      <c r="CQ33" s="582">
        <f t="shared" si="101"/>
        <v>3217</v>
      </c>
      <c r="CR33" s="582">
        <f t="shared" si="101"/>
        <v>3418</v>
      </c>
      <c r="CS33" s="582">
        <f t="shared" si="101"/>
        <v>3646</v>
      </c>
      <c r="CT33" s="582">
        <f t="shared" si="101"/>
        <v>3907</v>
      </c>
      <c r="CU33" s="582">
        <f t="shared" si="101"/>
        <v>4207</v>
      </c>
      <c r="CV33" s="582">
        <f t="shared" si="101"/>
        <v>4558</v>
      </c>
      <c r="CW33" s="582">
        <f t="shared" si="101"/>
        <v>4972</v>
      </c>
      <c r="CX33" s="582">
        <f t="shared" si="101"/>
        <v>5470</v>
      </c>
      <c r="CY33" s="582">
        <f t="shared" si="101"/>
        <v>6077</v>
      </c>
      <c r="CZ33" s="582">
        <f t="shared" si="101"/>
        <v>6837</v>
      </c>
      <c r="DA33" s="582">
        <f t="shared" si="101"/>
        <v>7814</v>
      </c>
      <c r="DB33" s="582">
        <f t="shared" si="101"/>
        <v>9116</v>
      </c>
      <c r="DC33" s="582">
        <f t="shared" si="101"/>
        <v>10940</v>
      </c>
      <c r="DD33" s="582">
        <f t="shared" si="101"/>
        <v>13675</v>
      </c>
      <c r="DE33" s="582">
        <f t="shared" si="101"/>
        <v>18233</v>
      </c>
      <c r="DF33" s="602">
        <f t="shared" si="101"/>
        <v>27350</v>
      </c>
      <c r="DG33" s="575"/>
      <c r="DH33" s="575" t="str">
        <f t="shared" si="46"/>
        <v/>
      </c>
      <c r="DI33" s="74" t="str">
        <f t="shared" si="47"/>
        <v/>
      </c>
      <c r="DJ33" s="74" t="str">
        <f t="shared" si="48"/>
        <v/>
      </c>
      <c r="DK33" s="623" t="str">
        <f t="shared" si="49"/>
        <v/>
      </c>
      <c r="DL33" s="74"/>
      <c r="DM33" s="74"/>
      <c r="DN33" s="582">
        <f t="shared" si="91"/>
        <v>2.2</v>
      </c>
      <c r="DO33" s="575" t="s">
        <v>1913</v>
      </c>
      <c r="DP33" s="297"/>
    </row>
    <row r="34">
      <c r="A34" s="552">
        <v>28.0</v>
      </c>
      <c r="B34" s="86">
        <v>235.0</v>
      </c>
      <c r="C34" s="54">
        <v>49.0</v>
      </c>
      <c r="D34" s="54">
        <v>137.0</v>
      </c>
      <c r="E34" s="74"/>
      <c r="F34" s="68" t="s">
        <v>1683</v>
      </c>
      <c r="G34" s="68">
        <f t="shared" si="5"/>
        <v>20</v>
      </c>
      <c r="H34" s="68">
        <f t="shared" si="6"/>
        <v>19</v>
      </c>
      <c r="I34" s="68">
        <f t="shared" si="7"/>
        <v>19</v>
      </c>
      <c r="J34" s="68">
        <f t="shared" si="8"/>
        <v>17</v>
      </c>
      <c r="K34" s="68">
        <f t="shared" si="9"/>
        <v>20</v>
      </c>
      <c r="L34" s="68">
        <f t="shared" si="10"/>
        <v>18</v>
      </c>
      <c r="M34" s="569">
        <f t="shared" si="11"/>
        <v>18</v>
      </c>
      <c r="N34" s="74" t="s">
        <v>351</v>
      </c>
      <c r="O34" s="570" t="s">
        <v>1915</v>
      </c>
      <c r="P34" s="571"/>
      <c r="Q34" s="571" t="s">
        <v>1676</v>
      </c>
      <c r="R34" s="571" t="s">
        <v>1685</v>
      </c>
      <c r="S34" s="571" t="s">
        <v>175</v>
      </c>
      <c r="T34" s="572" t="s">
        <v>352</v>
      </c>
      <c r="U34" s="54">
        <v>73.0</v>
      </c>
      <c r="V34" s="54">
        <v>54.0</v>
      </c>
      <c r="W34" s="679">
        <v>189.0</v>
      </c>
      <c r="X34" s="54">
        <v>33.0</v>
      </c>
      <c r="Y34" s="54">
        <v>5.0</v>
      </c>
      <c r="Z34" s="54">
        <v>10.0</v>
      </c>
      <c r="AA34" s="54">
        <v>3.0</v>
      </c>
      <c r="AB34" s="669">
        <v>100.0</v>
      </c>
      <c r="AC34" s="54">
        <v>16377.0</v>
      </c>
      <c r="AD34" s="54">
        <v>4.0</v>
      </c>
      <c r="AE34" s="54">
        <v>110.0</v>
      </c>
      <c r="AF34" s="74"/>
      <c r="AG34" s="54">
        <v>61.0</v>
      </c>
      <c r="AH34" s="54">
        <v>171.0</v>
      </c>
      <c r="AI34" s="574">
        <f t="shared" si="12"/>
        <v>116</v>
      </c>
      <c r="AJ34" s="74"/>
      <c r="AK34" s="74"/>
      <c r="AL34" s="74"/>
      <c r="AM34" s="74"/>
      <c r="AN34" s="74"/>
      <c r="AO34" s="74"/>
      <c r="AP34" s="74"/>
      <c r="AQ34" s="74"/>
      <c r="AR34" s="74"/>
      <c r="AS34" s="575"/>
      <c r="AT34" s="68">
        <f t="shared" si="13"/>
        <v>1345</v>
      </c>
      <c r="AU34" s="68">
        <f t="shared" si="14"/>
        <v>3321</v>
      </c>
      <c r="AV34" s="581">
        <f t="shared" si="15"/>
        <v>2333</v>
      </c>
      <c r="AW34" s="582">
        <f t="shared" si="16"/>
        <v>2651</v>
      </c>
      <c r="AX34" s="582">
        <f t="shared" si="17"/>
        <v>2777</v>
      </c>
      <c r="AY34" s="582">
        <f t="shared" si="18"/>
        <v>2777</v>
      </c>
      <c r="AZ34" s="582">
        <f t="shared" si="19"/>
        <v>2916</v>
      </c>
      <c r="BA34" s="582">
        <f t="shared" si="20"/>
        <v>2651</v>
      </c>
      <c r="BB34" s="582">
        <f t="shared" si="21"/>
        <v>2916</v>
      </c>
      <c r="BC34" s="582">
        <f t="shared" si="22"/>
        <v>3240</v>
      </c>
      <c r="BD34" s="582">
        <f t="shared" si="23"/>
        <v>2083</v>
      </c>
      <c r="BE34" s="582">
        <f t="shared" si="24"/>
        <v>2430</v>
      </c>
      <c r="BF34" s="582">
        <f t="shared" si="25"/>
        <v>1767</v>
      </c>
      <c r="BG34" s="582">
        <f t="shared" si="26"/>
        <v>2083</v>
      </c>
      <c r="BH34" s="582">
        <f t="shared" si="27"/>
        <v>2011</v>
      </c>
      <c r="BI34" s="582">
        <f t="shared" si="28"/>
        <v>2083</v>
      </c>
      <c r="BJ34" s="582">
        <f t="shared" si="29"/>
        <v>2243</v>
      </c>
      <c r="BK34" s="582">
        <f t="shared" si="30"/>
        <v>2011</v>
      </c>
      <c r="BL34" s="582">
        <f t="shared" si="31"/>
        <v>2243</v>
      </c>
      <c r="BM34" s="74"/>
      <c r="BN34" s="74"/>
      <c r="BO34" s="582">
        <f t="shared" si="32"/>
        <v>3431</v>
      </c>
      <c r="BP34" s="602">
        <f t="shared" si="33"/>
        <v>3431</v>
      </c>
      <c r="BQ34" s="670">
        <v>49.0</v>
      </c>
      <c r="BR34" s="670">
        <v>137.0</v>
      </c>
      <c r="BS34" s="670">
        <v>10.0</v>
      </c>
      <c r="BT34" s="670">
        <v>100.0</v>
      </c>
      <c r="BU34" s="365"/>
      <c r="BV34" s="671">
        <f t="shared" si="34"/>
        <v>93</v>
      </c>
      <c r="BW34" s="672">
        <f t="shared" si="35"/>
        <v>2162.6</v>
      </c>
      <c r="BX34" s="673">
        <f t="shared" si="36"/>
        <v>2457.5</v>
      </c>
      <c r="BY34" s="673">
        <f t="shared" si="37"/>
        <v>2574.5</v>
      </c>
      <c r="BZ34" s="673">
        <f t="shared" si="38"/>
        <v>2574.5</v>
      </c>
      <c r="CA34" s="673">
        <f t="shared" si="39"/>
        <v>3003.6</v>
      </c>
      <c r="CB34" s="673">
        <f t="shared" si="40"/>
        <v>2457.5</v>
      </c>
      <c r="CC34" s="673">
        <f t="shared" si="41"/>
        <v>2703.3</v>
      </c>
      <c r="CD34" s="673">
        <f t="shared" si="42"/>
        <v>2703.3</v>
      </c>
      <c r="CE34" s="674">
        <f t="shared" si="43"/>
        <v>24.7</v>
      </c>
      <c r="CF34" s="763">
        <f t="shared" ref="CF34:CG34" si="102">IF(ROUND(100*(AV34/BW34)-100,1)=0,"",ROUND(100*(AV34/BW34)-100,1))</f>
        <v>7.9</v>
      </c>
      <c r="CG34" s="676">
        <f t="shared" si="102"/>
        <v>7.9</v>
      </c>
      <c r="CH34" s="575" t="s">
        <v>351</v>
      </c>
      <c r="CI34" s="582">
        <f t="shared" ref="CI34:DF34" si="103">FLOOR($AV34/(CI$3/25),1)</f>
        <v>2333</v>
      </c>
      <c r="CJ34" s="582">
        <f t="shared" si="103"/>
        <v>2430</v>
      </c>
      <c r="CK34" s="582">
        <f t="shared" si="103"/>
        <v>2535</v>
      </c>
      <c r="CL34" s="582">
        <f t="shared" si="103"/>
        <v>2651</v>
      </c>
      <c r="CM34" s="582">
        <f t="shared" si="103"/>
        <v>2777</v>
      </c>
      <c r="CN34" s="582">
        <f t="shared" si="103"/>
        <v>2916</v>
      </c>
      <c r="CO34" s="582">
        <f t="shared" si="103"/>
        <v>3069</v>
      </c>
      <c r="CP34" s="582">
        <f t="shared" si="103"/>
        <v>3240</v>
      </c>
      <c r="CQ34" s="582">
        <f t="shared" si="103"/>
        <v>3430</v>
      </c>
      <c r="CR34" s="582">
        <f t="shared" si="103"/>
        <v>3645</v>
      </c>
      <c r="CS34" s="582">
        <f t="shared" si="103"/>
        <v>3888</v>
      </c>
      <c r="CT34" s="582">
        <f t="shared" si="103"/>
        <v>4166</v>
      </c>
      <c r="CU34" s="582">
        <f t="shared" si="103"/>
        <v>4486</v>
      </c>
      <c r="CV34" s="582">
        <f t="shared" si="103"/>
        <v>4860</v>
      </c>
      <c r="CW34" s="582">
        <f t="shared" si="103"/>
        <v>5302</v>
      </c>
      <c r="CX34" s="582">
        <f t="shared" si="103"/>
        <v>5832</v>
      </c>
      <c r="CY34" s="582">
        <f t="shared" si="103"/>
        <v>6480</v>
      </c>
      <c r="CZ34" s="582">
        <f t="shared" si="103"/>
        <v>7290</v>
      </c>
      <c r="DA34" s="582">
        <f t="shared" si="103"/>
        <v>8332</v>
      </c>
      <c r="DB34" s="582">
        <f t="shared" si="103"/>
        <v>9720</v>
      </c>
      <c r="DC34" s="582">
        <f t="shared" si="103"/>
        <v>11665</v>
      </c>
      <c r="DD34" s="582">
        <f t="shared" si="103"/>
        <v>14581</v>
      </c>
      <c r="DE34" s="582">
        <f t="shared" si="103"/>
        <v>19441</v>
      </c>
      <c r="DF34" s="602">
        <f t="shared" si="103"/>
        <v>29162</v>
      </c>
      <c r="DG34" s="575"/>
      <c r="DH34" s="575" t="str">
        <f t="shared" si="46"/>
        <v/>
      </c>
      <c r="DI34" s="74" t="str">
        <f t="shared" si="47"/>
        <v/>
      </c>
      <c r="DJ34" s="74" t="str">
        <f t="shared" si="48"/>
        <v/>
      </c>
      <c r="DK34" s="623" t="str">
        <f t="shared" si="49"/>
        <v/>
      </c>
      <c r="DL34" s="74"/>
      <c r="DM34" s="74"/>
      <c r="DN34" s="582">
        <f t="shared" si="91"/>
        <v>1.9</v>
      </c>
      <c r="DO34" s="575"/>
      <c r="DP34" s="297"/>
    </row>
    <row r="35">
      <c r="A35" s="552">
        <v>29.0</v>
      </c>
      <c r="B35" s="86">
        <v>236.0</v>
      </c>
      <c r="C35" s="54">
        <v>59.0</v>
      </c>
      <c r="D35" s="54">
        <v>94.0</v>
      </c>
      <c r="E35" s="74"/>
      <c r="F35" s="68" t="s">
        <v>1683</v>
      </c>
      <c r="G35" s="68">
        <f t="shared" si="5"/>
        <v>20</v>
      </c>
      <c r="H35" s="68">
        <f t="shared" si="6"/>
        <v>19</v>
      </c>
      <c r="I35" s="68">
        <f t="shared" si="7"/>
        <v>19</v>
      </c>
      <c r="J35" s="68">
        <f t="shared" si="8"/>
        <v>17</v>
      </c>
      <c r="K35" s="68">
        <f t="shared" si="9"/>
        <v>20</v>
      </c>
      <c r="L35" s="68">
        <f t="shared" si="10"/>
        <v>18</v>
      </c>
      <c r="M35" s="569">
        <f t="shared" si="11"/>
        <v>18</v>
      </c>
      <c r="N35" s="74" t="s">
        <v>372</v>
      </c>
      <c r="O35" s="570" t="s">
        <v>1917</v>
      </c>
      <c r="P35" s="571"/>
      <c r="Q35" s="571" t="s">
        <v>1676</v>
      </c>
      <c r="R35" s="571" t="s">
        <v>1685</v>
      </c>
      <c r="S35" s="571" t="s">
        <v>175</v>
      </c>
      <c r="T35" s="572" t="s">
        <v>373</v>
      </c>
      <c r="U35" s="54">
        <v>82.0</v>
      </c>
      <c r="V35" s="54">
        <v>61.0</v>
      </c>
      <c r="W35" s="679">
        <v>167.0</v>
      </c>
      <c r="X35" s="54">
        <v>59.0</v>
      </c>
      <c r="Y35" s="54">
        <v>6.0</v>
      </c>
      <c r="Z35" s="54">
        <v>-10.0</v>
      </c>
      <c r="AA35" s="54">
        <v>4.0</v>
      </c>
      <c r="AB35" s="669">
        <v>120.0</v>
      </c>
      <c r="AC35" s="54">
        <v>19245.0</v>
      </c>
      <c r="AD35" s="54">
        <v>4.0</v>
      </c>
      <c r="AE35" s="54">
        <v>110.0</v>
      </c>
      <c r="AF35" s="74"/>
      <c r="AG35" s="54">
        <v>74.0</v>
      </c>
      <c r="AH35" s="54">
        <v>118.0</v>
      </c>
      <c r="AI35" s="574">
        <f t="shared" si="12"/>
        <v>96</v>
      </c>
      <c r="AJ35" s="74"/>
      <c r="AK35" s="74"/>
      <c r="AL35" s="74"/>
      <c r="AM35" s="74"/>
      <c r="AN35" s="74"/>
      <c r="AO35" s="74"/>
      <c r="AP35" s="74"/>
      <c r="AQ35" s="74"/>
      <c r="AR35" s="74"/>
      <c r="AS35" s="575"/>
      <c r="AT35" s="68">
        <f t="shared" si="13"/>
        <v>1577</v>
      </c>
      <c r="AU35" s="68">
        <f t="shared" si="14"/>
        <v>2370</v>
      </c>
      <c r="AV35" s="581">
        <f t="shared" si="15"/>
        <v>1973.5</v>
      </c>
      <c r="AW35" s="582">
        <f t="shared" si="16"/>
        <v>2741</v>
      </c>
      <c r="AX35" s="582">
        <f t="shared" si="17"/>
        <v>2902</v>
      </c>
      <c r="AY35" s="582">
        <f t="shared" si="18"/>
        <v>2902</v>
      </c>
      <c r="AZ35" s="582">
        <f t="shared" si="19"/>
        <v>3084</v>
      </c>
      <c r="BA35" s="582">
        <f t="shared" si="20"/>
        <v>2741</v>
      </c>
      <c r="BB35" s="582">
        <f t="shared" si="21"/>
        <v>3084</v>
      </c>
      <c r="BC35" s="582">
        <f t="shared" si="22"/>
        <v>3289</v>
      </c>
      <c r="BD35" s="582">
        <f t="shared" si="23"/>
        <v>2597</v>
      </c>
      <c r="BE35" s="582">
        <f t="shared" si="24"/>
        <v>3084</v>
      </c>
      <c r="BF35" s="582">
        <f t="shared" si="25"/>
        <v>2243</v>
      </c>
      <c r="BG35" s="582">
        <f t="shared" si="26"/>
        <v>2741</v>
      </c>
      <c r="BH35" s="582">
        <f t="shared" si="27"/>
        <v>2597</v>
      </c>
      <c r="BI35" s="582">
        <f t="shared" si="28"/>
        <v>2741</v>
      </c>
      <c r="BJ35" s="582">
        <f t="shared" si="29"/>
        <v>2902</v>
      </c>
      <c r="BK35" s="582">
        <f t="shared" si="30"/>
        <v>2597</v>
      </c>
      <c r="BL35" s="582">
        <f t="shared" si="31"/>
        <v>2902</v>
      </c>
      <c r="BM35" s="74"/>
      <c r="BN35" s="74"/>
      <c r="BO35" s="582">
        <f t="shared" si="32"/>
        <v>3524</v>
      </c>
      <c r="BP35" s="602">
        <f t="shared" si="33"/>
        <v>3524</v>
      </c>
      <c r="BQ35" s="670">
        <v>59.0</v>
      </c>
      <c r="BR35" s="670">
        <v>94.0</v>
      </c>
      <c r="BS35" s="670">
        <v>-10.0</v>
      </c>
      <c r="BT35" s="670">
        <v>100.0</v>
      </c>
      <c r="BU35" s="365"/>
      <c r="BV35" s="671">
        <f t="shared" si="34"/>
        <v>76.5</v>
      </c>
      <c r="BW35" s="672">
        <f t="shared" si="35"/>
        <v>1828.6</v>
      </c>
      <c r="BX35" s="673">
        <f t="shared" si="36"/>
        <v>2539.7</v>
      </c>
      <c r="BY35" s="673">
        <f t="shared" si="37"/>
        <v>2689.1</v>
      </c>
      <c r="BZ35" s="673">
        <f t="shared" si="38"/>
        <v>2689.1</v>
      </c>
      <c r="CA35" s="673">
        <f t="shared" si="39"/>
        <v>3047.7</v>
      </c>
      <c r="CB35" s="673">
        <f t="shared" si="40"/>
        <v>2539.7</v>
      </c>
      <c r="CC35" s="673">
        <f t="shared" si="41"/>
        <v>2857.2</v>
      </c>
      <c r="CD35" s="673">
        <f t="shared" si="42"/>
        <v>2857.2</v>
      </c>
      <c r="CE35" s="674">
        <f t="shared" si="43"/>
        <v>25.5</v>
      </c>
      <c r="CF35" s="763">
        <f t="shared" ref="CF35:CG35" si="104">IF(ROUND(100*(AV35/BW35)-100,1)=0,"",ROUND(100*(AV35/BW35)-100,1))</f>
        <v>7.9</v>
      </c>
      <c r="CG35" s="676">
        <f t="shared" si="104"/>
        <v>7.9</v>
      </c>
      <c r="CH35" s="575" t="s">
        <v>372</v>
      </c>
      <c r="CI35" s="582">
        <f t="shared" ref="CI35:DF35" si="105">FLOOR($AV35/(CI$3/25),1)</f>
        <v>1973</v>
      </c>
      <c r="CJ35" s="582">
        <f t="shared" si="105"/>
        <v>2055</v>
      </c>
      <c r="CK35" s="582">
        <f t="shared" si="105"/>
        <v>2145</v>
      </c>
      <c r="CL35" s="582">
        <f t="shared" si="105"/>
        <v>2242</v>
      </c>
      <c r="CM35" s="582">
        <f t="shared" si="105"/>
        <v>2349</v>
      </c>
      <c r="CN35" s="582">
        <f t="shared" si="105"/>
        <v>2466</v>
      </c>
      <c r="CO35" s="582">
        <f t="shared" si="105"/>
        <v>2596</v>
      </c>
      <c r="CP35" s="582">
        <f t="shared" si="105"/>
        <v>2740</v>
      </c>
      <c r="CQ35" s="582">
        <f t="shared" si="105"/>
        <v>2902</v>
      </c>
      <c r="CR35" s="582">
        <f t="shared" si="105"/>
        <v>3083</v>
      </c>
      <c r="CS35" s="582">
        <f t="shared" si="105"/>
        <v>3289</v>
      </c>
      <c r="CT35" s="582">
        <f t="shared" si="105"/>
        <v>3524</v>
      </c>
      <c r="CU35" s="582">
        <f t="shared" si="105"/>
        <v>3795</v>
      </c>
      <c r="CV35" s="582">
        <f t="shared" si="105"/>
        <v>4111</v>
      </c>
      <c r="CW35" s="582">
        <f t="shared" si="105"/>
        <v>4485</v>
      </c>
      <c r="CX35" s="582">
        <f t="shared" si="105"/>
        <v>4933</v>
      </c>
      <c r="CY35" s="582">
        <f t="shared" si="105"/>
        <v>5481</v>
      </c>
      <c r="CZ35" s="582">
        <f t="shared" si="105"/>
        <v>6167</v>
      </c>
      <c r="DA35" s="582">
        <f t="shared" si="105"/>
        <v>7048</v>
      </c>
      <c r="DB35" s="582">
        <f t="shared" si="105"/>
        <v>8222</v>
      </c>
      <c r="DC35" s="582">
        <f t="shared" si="105"/>
        <v>9867</v>
      </c>
      <c r="DD35" s="582">
        <f t="shared" si="105"/>
        <v>12334</v>
      </c>
      <c r="DE35" s="582">
        <f t="shared" si="105"/>
        <v>16445</v>
      </c>
      <c r="DF35" s="602">
        <f t="shared" si="105"/>
        <v>24668</v>
      </c>
      <c r="DG35" s="575"/>
      <c r="DH35" s="575" t="str">
        <f t="shared" si="46"/>
        <v/>
      </c>
      <c r="DI35" s="74" t="str">
        <f t="shared" si="47"/>
        <v/>
      </c>
      <c r="DJ35" s="74" t="str">
        <f t="shared" si="48"/>
        <v/>
      </c>
      <c r="DK35" s="664">
        <f t="shared" si="49"/>
        <v>-14.6</v>
      </c>
      <c r="DL35" s="685">
        <v>82.0</v>
      </c>
      <c r="DM35" s="74"/>
      <c r="DN35" s="582">
        <f t="shared" si="91"/>
        <v>1.3</v>
      </c>
      <c r="DO35" s="575"/>
      <c r="DP35" s="297"/>
    </row>
    <row r="36">
      <c r="A36" s="764">
        <v>30.0</v>
      </c>
      <c r="B36" s="765">
        <v>237.0</v>
      </c>
      <c r="C36" s="766">
        <v>60.0</v>
      </c>
      <c r="D36" s="766">
        <v>124.0</v>
      </c>
      <c r="E36" s="767"/>
      <c r="F36" s="768" t="s">
        <v>1683</v>
      </c>
      <c r="G36" s="768">
        <f t="shared" si="5"/>
        <v>20</v>
      </c>
      <c r="H36" s="768">
        <f t="shared" si="6"/>
        <v>19</v>
      </c>
      <c r="I36" s="768">
        <f t="shared" si="7"/>
        <v>19</v>
      </c>
      <c r="J36" s="768">
        <f t="shared" si="8"/>
        <v>17</v>
      </c>
      <c r="K36" s="768">
        <f t="shared" si="9"/>
        <v>20</v>
      </c>
      <c r="L36" s="768">
        <f t="shared" si="10"/>
        <v>18</v>
      </c>
      <c r="M36" s="769">
        <f t="shared" si="11"/>
        <v>18</v>
      </c>
      <c r="N36" s="767" t="s">
        <v>414</v>
      </c>
      <c r="O36" s="770" t="s">
        <v>1918</v>
      </c>
      <c r="P36" s="771"/>
      <c r="Q36" s="771" t="s">
        <v>1676</v>
      </c>
      <c r="R36" s="771" t="s">
        <v>1685</v>
      </c>
      <c r="S36" s="771" t="s">
        <v>175</v>
      </c>
      <c r="T36" s="772" t="s">
        <v>415</v>
      </c>
      <c r="U36" s="766">
        <v>85.0</v>
      </c>
      <c r="V36" s="766">
        <v>66.0</v>
      </c>
      <c r="W36" s="773">
        <v>164.0</v>
      </c>
      <c r="X36" s="766">
        <v>55.0</v>
      </c>
      <c r="Y36" s="766">
        <v>6.0</v>
      </c>
      <c r="Z36" s="766">
        <v>10.0</v>
      </c>
      <c r="AA36" s="766">
        <v>3.0</v>
      </c>
      <c r="AB36" s="774">
        <v>120.0</v>
      </c>
      <c r="AC36" s="766">
        <v>18431.0</v>
      </c>
      <c r="AD36" s="766">
        <v>4.0</v>
      </c>
      <c r="AE36" s="766">
        <v>110.0</v>
      </c>
      <c r="AF36" s="767"/>
      <c r="AG36" s="766">
        <v>75.0</v>
      </c>
      <c r="AH36" s="766">
        <v>155.0</v>
      </c>
      <c r="AI36" s="775">
        <f t="shared" si="12"/>
        <v>115</v>
      </c>
      <c r="AJ36" s="767"/>
      <c r="AK36" s="767"/>
      <c r="AL36" s="767"/>
      <c r="AM36" s="767"/>
      <c r="AN36" s="767"/>
      <c r="AO36" s="767"/>
      <c r="AP36" s="767"/>
      <c r="AQ36" s="767"/>
      <c r="AR36" s="767"/>
      <c r="AS36" s="776"/>
      <c r="AT36" s="768">
        <f t="shared" si="13"/>
        <v>1597</v>
      </c>
      <c r="AU36" s="768">
        <f t="shared" si="14"/>
        <v>3032</v>
      </c>
      <c r="AV36" s="777">
        <f t="shared" si="15"/>
        <v>2314.5</v>
      </c>
      <c r="AW36" s="778">
        <f t="shared" si="16"/>
        <v>2630</v>
      </c>
      <c r="AX36" s="778">
        <f t="shared" si="17"/>
        <v>2755</v>
      </c>
      <c r="AY36" s="778">
        <f t="shared" si="18"/>
        <v>2755</v>
      </c>
      <c r="AZ36" s="778">
        <f t="shared" si="19"/>
        <v>2893</v>
      </c>
      <c r="BA36" s="778">
        <f t="shared" si="20"/>
        <v>2630</v>
      </c>
      <c r="BB36" s="778">
        <f t="shared" si="21"/>
        <v>2893</v>
      </c>
      <c r="BC36" s="778">
        <f t="shared" si="22"/>
        <v>3215</v>
      </c>
      <c r="BD36" s="778">
        <f t="shared" si="23"/>
        <v>2067</v>
      </c>
      <c r="BE36" s="778">
        <f t="shared" si="24"/>
        <v>2411</v>
      </c>
      <c r="BF36" s="778">
        <f t="shared" si="25"/>
        <v>1753</v>
      </c>
      <c r="BG36" s="778">
        <f t="shared" si="26"/>
        <v>2067</v>
      </c>
      <c r="BH36" s="778">
        <f t="shared" si="27"/>
        <v>1995</v>
      </c>
      <c r="BI36" s="778">
        <f t="shared" si="28"/>
        <v>2067</v>
      </c>
      <c r="BJ36" s="778">
        <f t="shared" si="29"/>
        <v>2225</v>
      </c>
      <c r="BK36" s="778">
        <f t="shared" si="30"/>
        <v>1995</v>
      </c>
      <c r="BL36" s="778">
        <f t="shared" si="31"/>
        <v>2225</v>
      </c>
      <c r="BM36" s="767"/>
      <c r="BN36" s="767"/>
      <c r="BO36" s="778">
        <f t="shared" si="32"/>
        <v>3404</v>
      </c>
      <c r="BP36" s="779">
        <f t="shared" si="33"/>
        <v>3404</v>
      </c>
      <c r="BQ36" s="780">
        <v>60.0</v>
      </c>
      <c r="BR36" s="780">
        <v>124.0</v>
      </c>
      <c r="BS36" s="780">
        <v>10.0</v>
      </c>
      <c r="BT36" s="780">
        <v>100.0</v>
      </c>
      <c r="BU36" s="781"/>
      <c r="BV36" s="782">
        <f t="shared" si="34"/>
        <v>92</v>
      </c>
      <c r="BW36" s="783">
        <f t="shared" si="35"/>
        <v>2142.4</v>
      </c>
      <c r="BX36" s="784">
        <f t="shared" si="36"/>
        <v>2434.5</v>
      </c>
      <c r="BY36" s="784">
        <f t="shared" si="37"/>
        <v>2550.5</v>
      </c>
      <c r="BZ36" s="784">
        <f t="shared" si="38"/>
        <v>2550.5</v>
      </c>
      <c r="CA36" s="784">
        <f t="shared" si="39"/>
        <v>2975.6</v>
      </c>
      <c r="CB36" s="784">
        <f t="shared" si="40"/>
        <v>2434.5</v>
      </c>
      <c r="CC36" s="784">
        <f t="shared" si="41"/>
        <v>2678</v>
      </c>
      <c r="CD36" s="784">
        <f t="shared" si="42"/>
        <v>2678</v>
      </c>
      <c r="CE36" s="785">
        <f t="shared" si="43"/>
        <v>25</v>
      </c>
      <c r="CF36" s="786">
        <f t="shared" ref="CF36:CG36" si="106">IF(ROUND(100*(AV36/BW36)-100,1)=0,"",ROUND(100*(AV36/BW36)-100,1))</f>
        <v>8</v>
      </c>
      <c r="CG36" s="787">
        <f t="shared" si="106"/>
        <v>8</v>
      </c>
      <c r="CH36" s="776" t="s">
        <v>414</v>
      </c>
      <c r="CI36" s="778">
        <f t="shared" ref="CI36:DF36" si="107">FLOOR($AV36/(CI$3/25),1)</f>
        <v>2314</v>
      </c>
      <c r="CJ36" s="778">
        <f t="shared" si="107"/>
        <v>2410</v>
      </c>
      <c r="CK36" s="778">
        <f t="shared" si="107"/>
        <v>2515</v>
      </c>
      <c r="CL36" s="778">
        <f t="shared" si="107"/>
        <v>2630</v>
      </c>
      <c r="CM36" s="778">
        <f t="shared" si="107"/>
        <v>2755</v>
      </c>
      <c r="CN36" s="778">
        <f t="shared" si="107"/>
        <v>2893</v>
      </c>
      <c r="CO36" s="778">
        <f t="shared" si="107"/>
        <v>3045</v>
      </c>
      <c r="CP36" s="778">
        <f t="shared" si="107"/>
        <v>3214</v>
      </c>
      <c r="CQ36" s="778">
        <f t="shared" si="107"/>
        <v>3403</v>
      </c>
      <c r="CR36" s="778">
        <f t="shared" si="107"/>
        <v>3616</v>
      </c>
      <c r="CS36" s="778">
        <f t="shared" si="107"/>
        <v>3857</v>
      </c>
      <c r="CT36" s="778">
        <f t="shared" si="107"/>
        <v>4133</v>
      </c>
      <c r="CU36" s="778">
        <f t="shared" si="107"/>
        <v>4450</v>
      </c>
      <c r="CV36" s="778">
        <f t="shared" si="107"/>
        <v>4821</v>
      </c>
      <c r="CW36" s="778">
        <f t="shared" si="107"/>
        <v>5260</v>
      </c>
      <c r="CX36" s="778">
        <f t="shared" si="107"/>
        <v>5786</v>
      </c>
      <c r="CY36" s="778">
        <f t="shared" si="107"/>
        <v>6429</v>
      </c>
      <c r="CZ36" s="778">
        <f t="shared" si="107"/>
        <v>7232</v>
      </c>
      <c r="DA36" s="778">
        <f t="shared" si="107"/>
        <v>8266</v>
      </c>
      <c r="DB36" s="778">
        <f t="shared" si="107"/>
        <v>9643</v>
      </c>
      <c r="DC36" s="778">
        <f t="shared" si="107"/>
        <v>11572</v>
      </c>
      <c r="DD36" s="778">
        <f t="shared" si="107"/>
        <v>14465</v>
      </c>
      <c r="DE36" s="778">
        <f t="shared" si="107"/>
        <v>19287</v>
      </c>
      <c r="DF36" s="779">
        <f t="shared" si="107"/>
        <v>28931</v>
      </c>
      <c r="DG36" s="776"/>
      <c r="DH36" s="776" t="str">
        <f t="shared" si="46"/>
        <v/>
      </c>
      <c r="DI36" s="767" t="str">
        <f t="shared" si="47"/>
        <v/>
      </c>
      <c r="DJ36" s="767" t="str">
        <f t="shared" si="48"/>
        <v/>
      </c>
      <c r="DK36" s="788">
        <f t="shared" si="49"/>
        <v>-19.1</v>
      </c>
      <c r="DL36" s="789">
        <v>93.0</v>
      </c>
      <c r="DM36" s="767"/>
      <c r="DN36" s="778">
        <f t="shared" si="91"/>
        <v>1</v>
      </c>
      <c r="DO36" s="776"/>
      <c r="DP36" s="790"/>
    </row>
    <row r="37">
      <c r="A37" s="552">
        <v>31.0</v>
      </c>
      <c r="B37" s="86">
        <v>15.0</v>
      </c>
      <c r="C37" s="54">
        <v>1.0</v>
      </c>
      <c r="D37" s="54">
        <v>6.0</v>
      </c>
      <c r="E37" s="74"/>
      <c r="F37" s="68" t="s">
        <v>1246</v>
      </c>
      <c r="G37" s="68">
        <f t="shared" si="5"/>
        <v>16</v>
      </c>
      <c r="H37" s="68">
        <f t="shared" si="6"/>
        <v>15</v>
      </c>
      <c r="I37" s="68">
        <f t="shared" si="7"/>
        <v>16</v>
      </c>
      <c r="J37" s="68">
        <f t="shared" si="8"/>
        <v>19</v>
      </c>
      <c r="K37" s="68">
        <f t="shared" si="9"/>
        <v>19</v>
      </c>
      <c r="L37" s="68">
        <f t="shared" si="10"/>
        <v>15</v>
      </c>
      <c r="M37" s="569">
        <f t="shared" si="11"/>
        <v>20</v>
      </c>
      <c r="N37" s="74" t="s">
        <v>422</v>
      </c>
      <c r="O37" s="570" t="s">
        <v>1919</v>
      </c>
      <c r="P37" s="571"/>
      <c r="Q37" s="571" t="s">
        <v>1313</v>
      </c>
      <c r="R37" s="571" t="s">
        <v>1314</v>
      </c>
      <c r="S37" s="791" t="s">
        <v>2095</v>
      </c>
      <c r="T37" s="572" t="s">
        <v>423</v>
      </c>
      <c r="U37" s="54">
        <v>1.0</v>
      </c>
      <c r="V37" s="54">
        <v>0.0</v>
      </c>
      <c r="W37" s="74"/>
      <c r="X37" s="74"/>
      <c r="Y37" s="573">
        <v>2.0</v>
      </c>
      <c r="Z37" s="54">
        <v>-10.0</v>
      </c>
      <c r="AA37" s="54">
        <v>2.0</v>
      </c>
      <c r="AB37" s="54">
        <v>48.0</v>
      </c>
      <c r="AC37" s="54">
        <v>53.0</v>
      </c>
      <c r="AD37" s="54">
        <v>1.0</v>
      </c>
      <c r="AE37" s="54">
        <v>100.0</v>
      </c>
      <c r="AF37" s="74"/>
      <c r="AG37" s="54">
        <v>1.0</v>
      </c>
      <c r="AH37" s="54">
        <v>6.0</v>
      </c>
      <c r="AI37" s="574">
        <f t="shared" si="12"/>
        <v>3.5</v>
      </c>
      <c r="AJ37" s="74"/>
      <c r="AK37" s="74"/>
      <c r="AL37" s="74"/>
      <c r="AM37" s="74"/>
      <c r="AN37" s="74"/>
      <c r="AO37" s="74"/>
      <c r="AP37" s="74"/>
      <c r="AQ37" s="74"/>
      <c r="AR37" s="74"/>
      <c r="AS37" s="575"/>
      <c r="AT37" s="68">
        <f t="shared" si="13"/>
        <v>247</v>
      </c>
      <c r="AU37" s="68">
        <f t="shared" si="14"/>
        <v>332</v>
      </c>
      <c r="AV37" s="581">
        <f t="shared" si="15"/>
        <v>289.5</v>
      </c>
      <c r="AW37" s="582">
        <f t="shared" si="16"/>
        <v>517</v>
      </c>
      <c r="AX37" s="582">
        <f t="shared" si="17"/>
        <v>557</v>
      </c>
      <c r="AY37" s="582">
        <f t="shared" si="18"/>
        <v>517</v>
      </c>
      <c r="AZ37" s="582">
        <f t="shared" si="19"/>
        <v>557</v>
      </c>
      <c r="BA37" s="582">
        <f t="shared" si="20"/>
        <v>426</v>
      </c>
      <c r="BB37" s="582">
        <f t="shared" si="21"/>
        <v>402</v>
      </c>
      <c r="BC37" s="582">
        <f t="shared" si="22"/>
        <v>426</v>
      </c>
      <c r="BD37" s="582">
        <f t="shared" si="23"/>
        <v>329</v>
      </c>
      <c r="BE37" s="582">
        <f t="shared" si="24"/>
        <v>402</v>
      </c>
      <c r="BF37" s="582">
        <f t="shared" si="25"/>
        <v>402</v>
      </c>
      <c r="BG37" s="582">
        <f t="shared" si="26"/>
        <v>483</v>
      </c>
      <c r="BH37" s="582">
        <f t="shared" si="27"/>
        <v>483</v>
      </c>
      <c r="BI37" s="582">
        <f t="shared" si="28"/>
        <v>517</v>
      </c>
      <c r="BJ37" s="582">
        <f t="shared" si="29"/>
        <v>517</v>
      </c>
      <c r="BK37" s="582">
        <f t="shared" si="30"/>
        <v>402</v>
      </c>
      <c r="BL37" s="582">
        <f t="shared" si="31"/>
        <v>381</v>
      </c>
      <c r="BM37" s="74"/>
      <c r="BN37" s="74"/>
      <c r="BO37" s="74"/>
      <c r="BP37" s="575" t="str">
        <f t="shared" si="33"/>
        <v/>
      </c>
      <c r="BQ37" s="54">
        <v>1.0</v>
      </c>
      <c r="BR37" s="54">
        <v>6.0</v>
      </c>
      <c r="BS37" s="54">
        <v>-10.0</v>
      </c>
      <c r="BT37" s="54">
        <v>100.0</v>
      </c>
      <c r="BU37" s="74"/>
      <c r="BV37" s="83">
        <f t="shared" si="34"/>
        <v>3.5</v>
      </c>
      <c r="BW37" s="608">
        <f t="shared" si="35"/>
        <v>350.6</v>
      </c>
      <c r="BX37" s="582">
        <f t="shared" si="36"/>
        <v>626.1</v>
      </c>
      <c r="BY37" s="582">
        <f t="shared" si="37"/>
        <v>674.2</v>
      </c>
      <c r="BZ37" s="582">
        <f t="shared" si="38"/>
        <v>626.1</v>
      </c>
      <c r="CA37" s="582">
        <f t="shared" si="39"/>
        <v>515.6</v>
      </c>
      <c r="CB37" s="582">
        <f t="shared" si="40"/>
        <v>515.6</v>
      </c>
      <c r="CC37" s="582">
        <f t="shared" si="41"/>
        <v>674.2</v>
      </c>
      <c r="CD37" s="582">
        <f t="shared" si="42"/>
        <v>486.9</v>
      </c>
      <c r="CE37" s="623" t="str">
        <f t="shared" si="43"/>
        <v/>
      </c>
      <c r="CF37" s="74">
        <f t="shared" ref="CF37:CG37" si="108">IF(ROUND(100*(AV37/BW37)-100,1)=0,"",ROUND(100*(AV37/BW37)-100,1))</f>
        <v>-17.4</v>
      </c>
      <c r="CG37" s="602">
        <f t="shared" si="108"/>
        <v>-17.4</v>
      </c>
      <c r="CH37" s="575" t="s">
        <v>422</v>
      </c>
      <c r="CI37" s="582">
        <f t="shared" ref="CI37:DF37" si="109">FLOOR($AV37/(CI$3/25),1)</f>
        <v>289</v>
      </c>
      <c r="CJ37" s="582">
        <f t="shared" si="109"/>
        <v>301</v>
      </c>
      <c r="CK37" s="582">
        <f t="shared" si="109"/>
        <v>314</v>
      </c>
      <c r="CL37" s="582">
        <f t="shared" si="109"/>
        <v>328</v>
      </c>
      <c r="CM37" s="582">
        <f t="shared" si="109"/>
        <v>344</v>
      </c>
      <c r="CN37" s="582">
        <f t="shared" si="109"/>
        <v>361</v>
      </c>
      <c r="CO37" s="582">
        <f t="shared" si="109"/>
        <v>380</v>
      </c>
      <c r="CP37" s="582">
        <f t="shared" si="109"/>
        <v>402</v>
      </c>
      <c r="CQ37" s="582">
        <f t="shared" si="109"/>
        <v>425</v>
      </c>
      <c r="CR37" s="582">
        <f t="shared" si="109"/>
        <v>452</v>
      </c>
      <c r="CS37" s="582">
        <f t="shared" si="109"/>
        <v>482</v>
      </c>
      <c r="CT37" s="582">
        <f t="shared" si="109"/>
        <v>516</v>
      </c>
      <c r="CU37" s="582">
        <f t="shared" si="109"/>
        <v>556</v>
      </c>
      <c r="CV37" s="582">
        <f t="shared" si="109"/>
        <v>603</v>
      </c>
      <c r="CW37" s="582">
        <f t="shared" si="109"/>
        <v>657</v>
      </c>
      <c r="CX37" s="582">
        <f t="shared" si="109"/>
        <v>723</v>
      </c>
      <c r="CY37" s="582">
        <f t="shared" si="109"/>
        <v>804</v>
      </c>
      <c r="CZ37" s="582">
        <f t="shared" si="109"/>
        <v>904</v>
      </c>
      <c r="DA37" s="582">
        <f t="shared" si="109"/>
        <v>1033</v>
      </c>
      <c r="DB37" s="582">
        <f t="shared" si="109"/>
        <v>1206</v>
      </c>
      <c r="DC37" s="582">
        <f t="shared" si="109"/>
        <v>1447</v>
      </c>
      <c r="DD37" s="582">
        <f t="shared" si="109"/>
        <v>1809</v>
      </c>
      <c r="DE37" s="582">
        <f t="shared" si="109"/>
        <v>2412</v>
      </c>
      <c r="DF37" s="602">
        <f t="shared" si="109"/>
        <v>3618</v>
      </c>
      <c r="DG37" s="575"/>
      <c r="DH37" s="575" t="str">
        <f t="shared" si="46"/>
        <v/>
      </c>
      <c r="DI37" s="74" t="str">
        <f t="shared" si="47"/>
        <v/>
      </c>
      <c r="DJ37" s="74" t="str">
        <f t="shared" si="48"/>
        <v/>
      </c>
      <c r="DK37" s="792" t="str">
        <f t="shared" si="49"/>
        <v/>
      </c>
      <c r="DL37" s="793"/>
      <c r="DM37" s="793"/>
      <c r="DN37" s="793"/>
      <c r="DO37" s="575"/>
      <c r="DP37" s="61" t="s">
        <v>2140</v>
      </c>
    </row>
    <row r="38">
      <c r="A38" s="552">
        <v>32.0</v>
      </c>
      <c r="B38" s="86">
        <v>19.0</v>
      </c>
      <c r="C38" s="54">
        <v>5.0</v>
      </c>
      <c r="D38" s="54">
        <v>8.0</v>
      </c>
      <c r="E38" s="74"/>
      <c r="F38" s="68" t="s">
        <v>1246</v>
      </c>
      <c r="G38" s="68">
        <f t="shared" si="5"/>
        <v>16</v>
      </c>
      <c r="H38" s="68">
        <f t="shared" si="6"/>
        <v>15</v>
      </c>
      <c r="I38" s="68">
        <f t="shared" si="7"/>
        <v>16</v>
      </c>
      <c r="J38" s="68">
        <f t="shared" si="8"/>
        <v>19</v>
      </c>
      <c r="K38" s="68">
        <f t="shared" si="9"/>
        <v>19</v>
      </c>
      <c r="L38" s="68">
        <f t="shared" si="10"/>
        <v>15</v>
      </c>
      <c r="M38" s="569">
        <f t="shared" si="11"/>
        <v>20</v>
      </c>
      <c r="N38" s="74" t="s">
        <v>442</v>
      </c>
      <c r="O38" s="570" t="s">
        <v>1920</v>
      </c>
      <c r="P38" s="571"/>
      <c r="Q38" s="571" t="s">
        <v>1313</v>
      </c>
      <c r="R38" s="571" t="s">
        <v>1314</v>
      </c>
      <c r="S38" s="791" t="s">
        <v>2095</v>
      </c>
      <c r="T38" s="572" t="s">
        <v>443</v>
      </c>
      <c r="U38" s="54">
        <v>4.0</v>
      </c>
      <c r="V38" s="54">
        <v>0.0</v>
      </c>
      <c r="W38" s="74"/>
      <c r="X38" s="74"/>
      <c r="Y38" s="573">
        <v>2.0</v>
      </c>
      <c r="Z38" s="54">
        <v>0.0</v>
      </c>
      <c r="AA38" s="54">
        <v>2.0</v>
      </c>
      <c r="AB38" s="54">
        <v>72.0</v>
      </c>
      <c r="AC38" s="54">
        <v>64.0</v>
      </c>
      <c r="AD38" s="54">
        <v>3.0</v>
      </c>
      <c r="AE38" s="54">
        <v>100.0</v>
      </c>
      <c r="AF38" s="74"/>
      <c r="AG38" s="54">
        <v>5.0</v>
      </c>
      <c r="AH38" s="54">
        <v>8.0</v>
      </c>
      <c r="AI38" s="574">
        <f t="shared" si="12"/>
        <v>6.5</v>
      </c>
      <c r="AJ38" s="74"/>
      <c r="AK38" s="74"/>
      <c r="AL38" s="74"/>
      <c r="AM38" s="74"/>
      <c r="AN38" s="74"/>
      <c r="AO38" s="74"/>
      <c r="AP38" s="74"/>
      <c r="AQ38" s="74"/>
      <c r="AR38" s="74"/>
      <c r="AS38" s="575"/>
      <c r="AT38" s="68">
        <f t="shared" si="13"/>
        <v>313</v>
      </c>
      <c r="AU38" s="68">
        <f t="shared" si="14"/>
        <v>366</v>
      </c>
      <c r="AV38" s="581">
        <f t="shared" si="15"/>
        <v>339.5</v>
      </c>
      <c r="AW38" s="582">
        <f t="shared" si="16"/>
        <v>566</v>
      </c>
      <c r="AX38" s="582">
        <f t="shared" si="17"/>
        <v>606</v>
      </c>
      <c r="AY38" s="582">
        <f t="shared" si="18"/>
        <v>566</v>
      </c>
      <c r="AZ38" s="582">
        <f t="shared" si="19"/>
        <v>606</v>
      </c>
      <c r="BA38" s="582">
        <f t="shared" si="20"/>
        <v>472</v>
      </c>
      <c r="BB38" s="582">
        <f t="shared" si="21"/>
        <v>447</v>
      </c>
      <c r="BC38" s="582">
        <f t="shared" si="22"/>
        <v>472</v>
      </c>
      <c r="BD38" s="582">
        <f t="shared" si="23"/>
        <v>314</v>
      </c>
      <c r="BE38" s="582">
        <f t="shared" si="24"/>
        <v>386</v>
      </c>
      <c r="BF38" s="582">
        <f t="shared" si="25"/>
        <v>369</v>
      </c>
      <c r="BG38" s="582">
        <f t="shared" si="26"/>
        <v>447</v>
      </c>
      <c r="BH38" s="582">
        <f t="shared" si="27"/>
        <v>447</v>
      </c>
      <c r="BI38" s="582">
        <f t="shared" si="28"/>
        <v>472</v>
      </c>
      <c r="BJ38" s="582">
        <f t="shared" si="29"/>
        <v>472</v>
      </c>
      <c r="BK38" s="582">
        <f t="shared" si="30"/>
        <v>386</v>
      </c>
      <c r="BL38" s="582">
        <f t="shared" si="31"/>
        <v>369</v>
      </c>
      <c r="BM38" s="74"/>
      <c r="BN38" s="74"/>
      <c r="BO38" s="74"/>
      <c r="BP38" s="575" t="str">
        <f t="shared" si="33"/>
        <v/>
      </c>
      <c r="BQ38" s="54">
        <v>5.0</v>
      </c>
      <c r="BR38" s="54">
        <v>8.0</v>
      </c>
      <c r="BS38" s="74"/>
      <c r="BT38" s="54">
        <v>100.0</v>
      </c>
      <c r="BU38" s="74"/>
      <c r="BV38" s="83">
        <f t="shared" si="34"/>
        <v>6.5</v>
      </c>
      <c r="BW38" s="608">
        <f t="shared" si="35"/>
        <v>411.3</v>
      </c>
      <c r="BX38" s="582">
        <f t="shared" si="36"/>
        <v>685.5</v>
      </c>
      <c r="BY38" s="582">
        <f t="shared" si="37"/>
        <v>734.5</v>
      </c>
      <c r="BZ38" s="582">
        <f t="shared" si="38"/>
        <v>685.5</v>
      </c>
      <c r="CA38" s="582">
        <f t="shared" si="39"/>
        <v>571.3</v>
      </c>
      <c r="CB38" s="582">
        <f t="shared" si="40"/>
        <v>571.3</v>
      </c>
      <c r="CC38" s="582">
        <f t="shared" si="41"/>
        <v>734.5</v>
      </c>
      <c r="CD38" s="582">
        <f t="shared" si="42"/>
        <v>541.2</v>
      </c>
      <c r="CE38" s="623" t="str">
        <f t="shared" si="43"/>
        <v/>
      </c>
      <c r="CF38" s="74">
        <f t="shared" ref="CF38:CG38" si="110">IF(ROUND(100*(AV38/BW38)-100,1)=0,"",ROUND(100*(AV38/BW38)-100,1))</f>
        <v>-17.5</v>
      </c>
      <c r="CG38" s="575">
        <f t="shared" si="110"/>
        <v>-17.4</v>
      </c>
      <c r="CH38" s="575" t="s">
        <v>442</v>
      </c>
      <c r="CI38" s="582">
        <f t="shared" ref="CI38:DF38" si="111">FLOOR($AV38/(CI$3/25),1)</f>
        <v>339</v>
      </c>
      <c r="CJ38" s="582">
        <f t="shared" si="111"/>
        <v>353</v>
      </c>
      <c r="CK38" s="582">
        <f t="shared" si="111"/>
        <v>369</v>
      </c>
      <c r="CL38" s="582">
        <f t="shared" si="111"/>
        <v>385</v>
      </c>
      <c r="CM38" s="582">
        <f t="shared" si="111"/>
        <v>404</v>
      </c>
      <c r="CN38" s="582">
        <f t="shared" si="111"/>
        <v>424</v>
      </c>
      <c r="CO38" s="582">
        <f t="shared" si="111"/>
        <v>446</v>
      </c>
      <c r="CP38" s="582">
        <f t="shared" si="111"/>
        <v>471</v>
      </c>
      <c r="CQ38" s="582">
        <f t="shared" si="111"/>
        <v>499</v>
      </c>
      <c r="CR38" s="582">
        <f t="shared" si="111"/>
        <v>530</v>
      </c>
      <c r="CS38" s="582">
        <f t="shared" si="111"/>
        <v>565</v>
      </c>
      <c r="CT38" s="582">
        <f t="shared" si="111"/>
        <v>606</v>
      </c>
      <c r="CU38" s="582">
        <f t="shared" si="111"/>
        <v>652</v>
      </c>
      <c r="CV38" s="582">
        <f t="shared" si="111"/>
        <v>707</v>
      </c>
      <c r="CW38" s="582">
        <f t="shared" si="111"/>
        <v>771</v>
      </c>
      <c r="CX38" s="582">
        <f t="shared" si="111"/>
        <v>848</v>
      </c>
      <c r="CY38" s="582">
        <f t="shared" si="111"/>
        <v>943</v>
      </c>
      <c r="CZ38" s="582">
        <f t="shared" si="111"/>
        <v>1060</v>
      </c>
      <c r="DA38" s="582">
        <f t="shared" si="111"/>
        <v>1212</v>
      </c>
      <c r="DB38" s="582">
        <f t="shared" si="111"/>
        <v>1414</v>
      </c>
      <c r="DC38" s="582">
        <f t="shared" si="111"/>
        <v>1697</v>
      </c>
      <c r="DD38" s="582">
        <f t="shared" si="111"/>
        <v>2121</v>
      </c>
      <c r="DE38" s="582">
        <f t="shared" si="111"/>
        <v>2829</v>
      </c>
      <c r="DF38" s="602">
        <f t="shared" si="111"/>
        <v>4243</v>
      </c>
      <c r="DG38" s="575"/>
      <c r="DH38" s="575" t="str">
        <f t="shared" si="46"/>
        <v/>
      </c>
      <c r="DI38" s="74" t="str">
        <f t="shared" si="47"/>
        <v/>
      </c>
      <c r="DJ38" s="74" t="str">
        <f t="shared" si="48"/>
        <v/>
      </c>
      <c r="DK38" s="623" t="str">
        <f t="shared" si="49"/>
        <v/>
      </c>
      <c r="DL38" s="74"/>
      <c r="DM38" s="74"/>
      <c r="DN38" s="74"/>
      <c r="DO38" s="575"/>
      <c r="DP38" s="61" t="s">
        <v>2140</v>
      </c>
    </row>
    <row r="39">
      <c r="A39" s="552">
        <v>33.0</v>
      </c>
      <c r="B39" s="86">
        <v>20.0</v>
      </c>
      <c r="C39" s="54">
        <v>3.0</v>
      </c>
      <c r="D39" s="54">
        <v>10.0</v>
      </c>
      <c r="E39" s="74"/>
      <c r="F39" s="68" t="s">
        <v>1246</v>
      </c>
      <c r="G39" s="68">
        <f t="shared" si="5"/>
        <v>16</v>
      </c>
      <c r="H39" s="68">
        <f t="shared" si="6"/>
        <v>15</v>
      </c>
      <c r="I39" s="68">
        <f t="shared" si="7"/>
        <v>16</v>
      </c>
      <c r="J39" s="68">
        <f t="shared" si="8"/>
        <v>19</v>
      </c>
      <c r="K39" s="68">
        <f t="shared" si="9"/>
        <v>19</v>
      </c>
      <c r="L39" s="68">
        <f t="shared" si="10"/>
        <v>15</v>
      </c>
      <c r="M39" s="569">
        <f t="shared" si="11"/>
        <v>20</v>
      </c>
      <c r="N39" s="74" t="s">
        <v>461</v>
      </c>
      <c r="O39" s="570" t="s">
        <v>1921</v>
      </c>
      <c r="P39" s="571"/>
      <c r="Q39" s="571" t="s">
        <v>1313</v>
      </c>
      <c r="R39" s="571" t="s">
        <v>1314</v>
      </c>
      <c r="S39" s="791" t="s">
        <v>2195</v>
      </c>
      <c r="T39" s="572" t="s">
        <v>462</v>
      </c>
      <c r="U39" s="54">
        <v>8.0</v>
      </c>
      <c r="V39" s="54">
        <v>0.0</v>
      </c>
      <c r="W39" s="54">
        <v>27.0</v>
      </c>
      <c r="X39" s="74"/>
      <c r="Y39" s="573">
        <v>2.0</v>
      </c>
      <c r="Z39" s="54">
        <v>0.0</v>
      </c>
      <c r="AA39" s="54">
        <v>2.0</v>
      </c>
      <c r="AB39" s="54">
        <v>120.0</v>
      </c>
      <c r="AC39" s="54">
        <v>463.0</v>
      </c>
      <c r="AD39" s="54">
        <v>4.0</v>
      </c>
      <c r="AE39" s="54">
        <v>100.0</v>
      </c>
      <c r="AF39" s="74"/>
      <c r="AG39" s="54">
        <v>3.0</v>
      </c>
      <c r="AH39" s="54">
        <v>10.0</v>
      </c>
      <c r="AI39" s="574">
        <f t="shared" si="12"/>
        <v>6.5</v>
      </c>
      <c r="AJ39" s="74"/>
      <c r="AK39" s="74"/>
      <c r="AL39" s="74"/>
      <c r="AM39" s="74"/>
      <c r="AN39" s="74"/>
      <c r="AO39" s="74"/>
      <c r="AP39" s="74"/>
      <c r="AQ39" s="74"/>
      <c r="AR39" s="74"/>
      <c r="AS39" s="575"/>
      <c r="AT39" s="68">
        <f t="shared" si="13"/>
        <v>280</v>
      </c>
      <c r="AU39" s="68">
        <f t="shared" si="14"/>
        <v>398</v>
      </c>
      <c r="AV39" s="581">
        <f t="shared" si="15"/>
        <v>339</v>
      </c>
      <c r="AW39" s="582">
        <f t="shared" si="16"/>
        <v>565</v>
      </c>
      <c r="AX39" s="582">
        <f t="shared" si="17"/>
        <v>605</v>
      </c>
      <c r="AY39" s="582">
        <f t="shared" si="18"/>
        <v>565</v>
      </c>
      <c r="AZ39" s="582">
        <f t="shared" si="19"/>
        <v>605</v>
      </c>
      <c r="BA39" s="582">
        <f t="shared" si="20"/>
        <v>471</v>
      </c>
      <c r="BB39" s="582">
        <f t="shared" si="21"/>
        <v>446</v>
      </c>
      <c r="BC39" s="582">
        <f t="shared" si="22"/>
        <v>471</v>
      </c>
      <c r="BD39" s="582">
        <f t="shared" si="23"/>
        <v>314</v>
      </c>
      <c r="BE39" s="582">
        <f t="shared" si="24"/>
        <v>385</v>
      </c>
      <c r="BF39" s="582">
        <f t="shared" si="25"/>
        <v>368</v>
      </c>
      <c r="BG39" s="582">
        <f t="shared" si="26"/>
        <v>446</v>
      </c>
      <c r="BH39" s="582">
        <f t="shared" si="27"/>
        <v>446</v>
      </c>
      <c r="BI39" s="582">
        <f t="shared" si="28"/>
        <v>471</v>
      </c>
      <c r="BJ39" s="582">
        <f t="shared" si="29"/>
        <v>471</v>
      </c>
      <c r="BK39" s="582">
        <f t="shared" si="30"/>
        <v>385</v>
      </c>
      <c r="BL39" s="582">
        <f t="shared" si="31"/>
        <v>368</v>
      </c>
      <c r="BM39" s="74"/>
      <c r="BN39" s="74"/>
      <c r="BO39" s="582">
        <f t="shared" ref="BO39:BO42" si="114">ROUND(IF($F39="1hs",2*$AV39,$AV39)*25/(CEILING((16*256)/FLOOR(256*MIN(175,MAX(15,100+IF($AS39="",$AS$1,AS39)+FLOOR((120*IF($AQ39="",$AQ$1,$AQ39))/(120+IF($AQ39="",$AQ$1,$AQ39)),1)-$Z39))/100,1),1)-1),0)</f>
        <v>1130</v>
      </c>
      <c r="BP39" s="602">
        <f t="shared" si="33"/>
        <v>1130</v>
      </c>
      <c r="BQ39" s="54">
        <v>3.0</v>
      </c>
      <c r="BR39" s="54">
        <v>10.0</v>
      </c>
      <c r="BS39" s="74"/>
      <c r="BT39" s="54">
        <v>100.0</v>
      </c>
      <c r="BU39" s="74"/>
      <c r="BV39" s="83">
        <f t="shared" si="34"/>
        <v>6.5</v>
      </c>
      <c r="BW39" s="608">
        <f t="shared" si="35"/>
        <v>411.3</v>
      </c>
      <c r="BX39" s="582">
        <f t="shared" si="36"/>
        <v>685.5</v>
      </c>
      <c r="BY39" s="582">
        <f t="shared" si="37"/>
        <v>734.5</v>
      </c>
      <c r="BZ39" s="582">
        <f t="shared" si="38"/>
        <v>685.5</v>
      </c>
      <c r="CA39" s="582">
        <f t="shared" si="39"/>
        <v>571.3</v>
      </c>
      <c r="CB39" s="582">
        <f t="shared" si="40"/>
        <v>571.3</v>
      </c>
      <c r="CC39" s="582">
        <f t="shared" si="41"/>
        <v>734.5</v>
      </c>
      <c r="CD39" s="582">
        <f t="shared" si="42"/>
        <v>541.2</v>
      </c>
      <c r="CE39" s="623" t="str">
        <f t="shared" si="43"/>
        <v/>
      </c>
      <c r="CF39" s="74">
        <f t="shared" ref="CF39:CG39" si="112">IF(ROUND(100*(AV39/BW39)-100,1)=0,"",ROUND(100*(AV39/BW39)-100,1))</f>
        <v>-17.6</v>
      </c>
      <c r="CG39" s="575">
        <f t="shared" si="112"/>
        <v>-17.6</v>
      </c>
      <c r="CH39" s="575" t="s">
        <v>461</v>
      </c>
      <c r="CI39" s="582">
        <f t="shared" ref="CI39:DF39" si="113">FLOOR($AV39/(CI$3/25),1)</f>
        <v>339</v>
      </c>
      <c r="CJ39" s="582">
        <f t="shared" si="113"/>
        <v>353</v>
      </c>
      <c r="CK39" s="582">
        <f t="shared" si="113"/>
        <v>368</v>
      </c>
      <c r="CL39" s="582">
        <f t="shared" si="113"/>
        <v>385</v>
      </c>
      <c r="CM39" s="582">
        <f t="shared" si="113"/>
        <v>403</v>
      </c>
      <c r="CN39" s="582">
        <f t="shared" si="113"/>
        <v>423</v>
      </c>
      <c r="CO39" s="582">
        <f t="shared" si="113"/>
        <v>446</v>
      </c>
      <c r="CP39" s="582">
        <f t="shared" si="113"/>
        <v>470</v>
      </c>
      <c r="CQ39" s="582">
        <f t="shared" si="113"/>
        <v>498</v>
      </c>
      <c r="CR39" s="582">
        <f t="shared" si="113"/>
        <v>529</v>
      </c>
      <c r="CS39" s="582">
        <f t="shared" si="113"/>
        <v>565</v>
      </c>
      <c r="CT39" s="582">
        <f t="shared" si="113"/>
        <v>605</v>
      </c>
      <c r="CU39" s="582">
        <f t="shared" si="113"/>
        <v>651</v>
      </c>
      <c r="CV39" s="582">
        <f t="shared" si="113"/>
        <v>706</v>
      </c>
      <c r="CW39" s="582">
        <f t="shared" si="113"/>
        <v>770</v>
      </c>
      <c r="CX39" s="582">
        <f t="shared" si="113"/>
        <v>847</v>
      </c>
      <c r="CY39" s="582">
        <f t="shared" si="113"/>
        <v>941</v>
      </c>
      <c r="CZ39" s="582">
        <f t="shared" si="113"/>
        <v>1059</v>
      </c>
      <c r="DA39" s="582">
        <f t="shared" si="113"/>
        <v>1210</v>
      </c>
      <c r="DB39" s="582">
        <f t="shared" si="113"/>
        <v>1412</v>
      </c>
      <c r="DC39" s="582">
        <f t="shared" si="113"/>
        <v>1695</v>
      </c>
      <c r="DD39" s="582">
        <f t="shared" si="113"/>
        <v>2118</v>
      </c>
      <c r="DE39" s="582">
        <f t="shared" si="113"/>
        <v>2825</v>
      </c>
      <c r="DF39" s="602">
        <f t="shared" si="113"/>
        <v>4237</v>
      </c>
      <c r="DG39" s="575"/>
      <c r="DH39" s="575" t="str">
        <f t="shared" si="46"/>
        <v/>
      </c>
      <c r="DI39" s="74" t="str">
        <f t="shared" si="47"/>
        <v/>
      </c>
      <c r="DJ39" s="74" t="str">
        <f t="shared" si="48"/>
        <v/>
      </c>
      <c r="DK39" s="623" t="str">
        <f t="shared" si="49"/>
        <v/>
      </c>
      <c r="DL39" s="74"/>
      <c r="DM39" s="74"/>
      <c r="DN39" s="74"/>
      <c r="DO39" s="575"/>
      <c r="DP39" s="61" t="s">
        <v>2242</v>
      </c>
    </row>
    <row r="40">
      <c r="A40" s="552">
        <v>34.0</v>
      </c>
      <c r="B40" s="86">
        <v>21.0</v>
      </c>
      <c r="C40" s="54">
        <v>7.0</v>
      </c>
      <c r="D40" s="54">
        <v>16.0</v>
      </c>
      <c r="E40" s="74"/>
      <c r="F40" s="68" t="s">
        <v>1246</v>
      </c>
      <c r="G40" s="68">
        <f t="shared" si="5"/>
        <v>16</v>
      </c>
      <c r="H40" s="68">
        <f t="shared" si="6"/>
        <v>15</v>
      </c>
      <c r="I40" s="68">
        <f t="shared" si="7"/>
        <v>16</v>
      </c>
      <c r="J40" s="68">
        <f t="shared" si="8"/>
        <v>19</v>
      </c>
      <c r="K40" s="68">
        <f t="shared" si="9"/>
        <v>19</v>
      </c>
      <c r="L40" s="68">
        <f t="shared" si="10"/>
        <v>15</v>
      </c>
      <c r="M40" s="569">
        <f t="shared" si="11"/>
        <v>20</v>
      </c>
      <c r="N40" s="74" t="s">
        <v>474</v>
      </c>
      <c r="O40" s="570" t="s">
        <v>1922</v>
      </c>
      <c r="P40" s="571"/>
      <c r="Q40" s="571" t="s">
        <v>1313</v>
      </c>
      <c r="R40" s="571" t="s">
        <v>1314</v>
      </c>
      <c r="S40" s="791" t="s">
        <v>2195</v>
      </c>
      <c r="T40" s="572" t="s">
        <v>475</v>
      </c>
      <c r="U40" s="54">
        <v>13.0</v>
      </c>
      <c r="V40" s="54">
        <v>0.0</v>
      </c>
      <c r="W40" s="54">
        <v>36.0</v>
      </c>
      <c r="X40" s="74"/>
      <c r="Y40" s="54">
        <v>3.0</v>
      </c>
      <c r="Z40" s="54">
        <v>10.0</v>
      </c>
      <c r="AA40" s="54">
        <v>2.0</v>
      </c>
      <c r="AB40" s="54">
        <v>144.0</v>
      </c>
      <c r="AC40" s="54">
        <v>844.0</v>
      </c>
      <c r="AD40" s="54">
        <v>4.0</v>
      </c>
      <c r="AE40" s="54">
        <v>100.0</v>
      </c>
      <c r="AF40" s="74"/>
      <c r="AG40" s="54">
        <v>7.0</v>
      </c>
      <c r="AH40" s="54">
        <v>16.0</v>
      </c>
      <c r="AI40" s="574">
        <f t="shared" si="12"/>
        <v>11.5</v>
      </c>
      <c r="AJ40" s="74"/>
      <c r="AK40" s="74"/>
      <c r="AL40" s="74"/>
      <c r="AM40" s="74"/>
      <c r="AN40" s="74"/>
      <c r="AO40" s="74"/>
      <c r="AP40" s="74"/>
      <c r="AQ40" s="74"/>
      <c r="AR40" s="74"/>
      <c r="AS40" s="575"/>
      <c r="AT40" s="68">
        <f t="shared" si="13"/>
        <v>347</v>
      </c>
      <c r="AU40" s="68">
        <f t="shared" si="14"/>
        <v>498</v>
      </c>
      <c r="AV40" s="581">
        <f t="shared" si="15"/>
        <v>422.5</v>
      </c>
      <c r="AW40" s="582">
        <f t="shared" si="16"/>
        <v>621</v>
      </c>
      <c r="AX40" s="582">
        <f t="shared" si="17"/>
        <v>660</v>
      </c>
      <c r="AY40" s="582">
        <f t="shared" si="18"/>
        <v>621</v>
      </c>
      <c r="AZ40" s="582">
        <f t="shared" si="19"/>
        <v>660</v>
      </c>
      <c r="BA40" s="582">
        <f t="shared" si="20"/>
        <v>503</v>
      </c>
      <c r="BB40" s="582">
        <f t="shared" si="21"/>
        <v>480</v>
      </c>
      <c r="BC40" s="582">
        <f t="shared" si="22"/>
        <v>503</v>
      </c>
      <c r="BD40" s="582">
        <f t="shared" si="23"/>
        <v>320</v>
      </c>
      <c r="BE40" s="582">
        <f t="shared" si="24"/>
        <v>377</v>
      </c>
      <c r="BF40" s="582">
        <f t="shared" si="25"/>
        <v>391</v>
      </c>
      <c r="BG40" s="582">
        <f t="shared" si="26"/>
        <v>480</v>
      </c>
      <c r="BH40" s="582">
        <f t="shared" si="27"/>
        <v>480</v>
      </c>
      <c r="BI40" s="582">
        <f t="shared" si="28"/>
        <v>503</v>
      </c>
      <c r="BJ40" s="582">
        <f t="shared" si="29"/>
        <v>503</v>
      </c>
      <c r="BK40" s="582">
        <f t="shared" si="30"/>
        <v>377</v>
      </c>
      <c r="BL40" s="582">
        <f t="shared" si="31"/>
        <v>364</v>
      </c>
      <c r="BM40" s="74"/>
      <c r="BN40" s="74"/>
      <c r="BO40" s="582">
        <f t="shared" si="114"/>
        <v>1243</v>
      </c>
      <c r="BP40" s="602">
        <f t="shared" si="33"/>
        <v>1243</v>
      </c>
      <c r="BQ40" s="54">
        <v>7.0</v>
      </c>
      <c r="BR40" s="54">
        <v>16.0</v>
      </c>
      <c r="BS40" s="54">
        <v>10.0</v>
      </c>
      <c r="BT40" s="54">
        <v>100.0</v>
      </c>
      <c r="BU40" s="74"/>
      <c r="BV40" s="83">
        <f t="shared" si="34"/>
        <v>11.5</v>
      </c>
      <c r="BW40" s="608">
        <f t="shared" si="35"/>
        <v>512.6</v>
      </c>
      <c r="BX40" s="582">
        <f t="shared" si="36"/>
        <v>753.8</v>
      </c>
      <c r="BY40" s="582">
        <f t="shared" si="37"/>
        <v>800.9</v>
      </c>
      <c r="BZ40" s="582">
        <f t="shared" si="38"/>
        <v>753.8</v>
      </c>
      <c r="CA40" s="582">
        <f t="shared" si="39"/>
        <v>610.2</v>
      </c>
      <c r="CB40" s="582">
        <f t="shared" si="40"/>
        <v>610.2</v>
      </c>
      <c r="CC40" s="582">
        <f t="shared" si="41"/>
        <v>800.9</v>
      </c>
      <c r="CD40" s="582">
        <f t="shared" si="42"/>
        <v>582.5</v>
      </c>
      <c r="CE40" s="623" t="str">
        <f t="shared" si="43"/>
        <v/>
      </c>
      <c r="CF40" s="74">
        <f t="shared" ref="CF40:CG40" si="115">IF(ROUND(100*(AV40/BW40)-100,1)=0,"",ROUND(100*(AV40/BW40)-100,1))</f>
        <v>-17.6</v>
      </c>
      <c r="CG40" s="575">
        <f t="shared" si="115"/>
        <v>-17.6</v>
      </c>
      <c r="CH40" s="575" t="s">
        <v>474</v>
      </c>
      <c r="CI40" s="582">
        <f t="shared" ref="CI40:DF40" si="116">FLOOR($AV40/(CI$3/25),1)</f>
        <v>422</v>
      </c>
      <c r="CJ40" s="582">
        <f t="shared" si="116"/>
        <v>440</v>
      </c>
      <c r="CK40" s="582">
        <f t="shared" si="116"/>
        <v>459</v>
      </c>
      <c r="CL40" s="582">
        <f t="shared" si="116"/>
        <v>480</v>
      </c>
      <c r="CM40" s="582">
        <f t="shared" si="116"/>
        <v>502</v>
      </c>
      <c r="CN40" s="582">
        <f t="shared" si="116"/>
        <v>528</v>
      </c>
      <c r="CO40" s="582">
        <f t="shared" si="116"/>
        <v>555</v>
      </c>
      <c r="CP40" s="582">
        <f t="shared" si="116"/>
        <v>586</v>
      </c>
      <c r="CQ40" s="582">
        <f t="shared" si="116"/>
        <v>621</v>
      </c>
      <c r="CR40" s="582">
        <f t="shared" si="116"/>
        <v>660</v>
      </c>
      <c r="CS40" s="582">
        <f t="shared" si="116"/>
        <v>704</v>
      </c>
      <c r="CT40" s="582">
        <f t="shared" si="116"/>
        <v>754</v>
      </c>
      <c r="CU40" s="582">
        <f t="shared" si="116"/>
        <v>812</v>
      </c>
      <c r="CV40" s="582">
        <f t="shared" si="116"/>
        <v>880</v>
      </c>
      <c r="CW40" s="582">
        <f t="shared" si="116"/>
        <v>960</v>
      </c>
      <c r="CX40" s="582">
        <f t="shared" si="116"/>
        <v>1056</v>
      </c>
      <c r="CY40" s="582">
        <f t="shared" si="116"/>
        <v>1173</v>
      </c>
      <c r="CZ40" s="582">
        <f t="shared" si="116"/>
        <v>1320</v>
      </c>
      <c r="DA40" s="582">
        <f t="shared" si="116"/>
        <v>1508</v>
      </c>
      <c r="DB40" s="582">
        <f t="shared" si="116"/>
        <v>1760</v>
      </c>
      <c r="DC40" s="582">
        <f t="shared" si="116"/>
        <v>2112</v>
      </c>
      <c r="DD40" s="582">
        <f t="shared" si="116"/>
        <v>2640</v>
      </c>
      <c r="DE40" s="582">
        <f t="shared" si="116"/>
        <v>3520</v>
      </c>
      <c r="DF40" s="602">
        <f t="shared" si="116"/>
        <v>5281</v>
      </c>
      <c r="DG40" s="575"/>
      <c r="DH40" s="575" t="str">
        <f t="shared" si="46"/>
        <v/>
      </c>
      <c r="DI40" s="74" t="str">
        <f t="shared" si="47"/>
        <v/>
      </c>
      <c r="DJ40" s="74" t="str">
        <f t="shared" si="48"/>
        <v/>
      </c>
      <c r="DK40" s="623" t="str">
        <f t="shared" si="49"/>
        <v/>
      </c>
      <c r="DL40" s="74"/>
      <c r="DM40" s="74"/>
      <c r="DN40" s="74"/>
      <c r="DO40" s="575"/>
      <c r="DP40" s="61" t="s">
        <v>2242</v>
      </c>
    </row>
    <row r="41">
      <c r="A41" s="552">
        <v>35.0</v>
      </c>
      <c r="B41" s="86">
        <v>22.0</v>
      </c>
      <c r="C41" s="54">
        <v>1.0</v>
      </c>
      <c r="D41" s="54">
        <v>24.0</v>
      </c>
      <c r="E41" s="74"/>
      <c r="F41" s="68" t="s">
        <v>1246</v>
      </c>
      <c r="G41" s="68">
        <f t="shared" si="5"/>
        <v>16</v>
      </c>
      <c r="H41" s="68">
        <f t="shared" si="6"/>
        <v>15</v>
      </c>
      <c r="I41" s="68">
        <f t="shared" si="7"/>
        <v>16</v>
      </c>
      <c r="J41" s="68">
        <f t="shared" si="8"/>
        <v>19</v>
      </c>
      <c r="K41" s="68">
        <f t="shared" si="9"/>
        <v>19</v>
      </c>
      <c r="L41" s="68">
        <f t="shared" si="10"/>
        <v>15</v>
      </c>
      <c r="M41" s="569">
        <f t="shared" si="11"/>
        <v>20</v>
      </c>
      <c r="N41" s="74" t="s">
        <v>485</v>
      </c>
      <c r="O41" s="570" t="s">
        <v>1923</v>
      </c>
      <c r="P41" s="571"/>
      <c r="Q41" s="571" t="s">
        <v>1313</v>
      </c>
      <c r="R41" s="571" t="s">
        <v>1314</v>
      </c>
      <c r="S41" s="791" t="s">
        <v>2195</v>
      </c>
      <c r="T41" s="572" t="s">
        <v>486</v>
      </c>
      <c r="U41" s="54">
        <v>19.0</v>
      </c>
      <c r="V41" s="54">
        <v>0.0</v>
      </c>
      <c r="W41" s="54">
        <v>41.0</v>
      </c>
      <c r="X41" s="54">
        <v>35.0</v>
      </c>
      <c r="Y41" s="54">
        <v>5.0</v>
      </c>
      <c r="Z41" s="54">
        <v>-10.0</v>
      </c>
      <c r="AA41" s="54">
        <v>2.0</v>
      </c>
      <c r="AB41" s="54">
        <v>60.0</v>
      </c>
      <c r="AC41" s="54">
        <v>1412.0</v>
      </c>
      <c r="AD41" s="54">
        <v>4.0</v>
      </c>
      <c r="AE41" s="54">
        <v>100.0</v>
      </c>
      <c r="AF41" s="74"/>
      <c r="AG41" s="54">
        <v>1.0</v>
      </c>
      <c r="AH41" s="54">
        <v>24.0</v>
      </c>
      <c r="AI41" s="574">
        <f t="shared" si="12"/>
        <v>12.5</v>
      </c>
      <c r="AJ41" s="74"/>
      <c r="AK41" s="74"/>
      <c r="AL41" s="74"/>
      <c r="AM41" s="74"/>
      <c r="AN41" s="74"/>
      <c r="AO41" s="74"/>
      <c r="AP41" s="74"/>
      <c r="AQ41" s="74"/>
      <c r="AR41" s="74"/>
      <c r="AS41" s="575"/>
      <c r="AT41" s="68">
        <f t="shared" si="13"/>
        <v>247</v>
      </c>
      <c r="AU41" s="68">
        <f t="shared" si="14"/>
        <v>636</v>
      </c>
      <c r="AV41" s="581">
        <f t="shared" si="15"/>
        <v>441.5</v>
      </c>
      <c r="AW41" s="582">
        <f t="shared" si="16"/>
        <v>788</v>
      </c>
      <c r="AX41" s="582">
        <f t="shared" si="17"/>
        <v>849</v>
      </c>
      <c r="AY41" s="582">
        <f t="shared" si="18"/>
        <v>788</v>
      </c>
      <c r="AZ41" s="582">
        <f t="shared" si="19"/>
        <v>849</v>
      </c>
      <c r="BA41" s="582">
        <f t="shared" si="20"/>
        <v>649</v>
      </c>
      <c r="BB41" s="582">
        <f t="shared" si="21"/>
        <v>613</v>
      </c>
      <c r="BC41" s="582">
        <f t="shared" si="22"/>
        <v>649</v>
      </c>
      <c r="BD41" s="582">
        <f t="shared" si="23"/>
        <v>502</v>
      </c>
      <c r="BE41" s="582">
        <f t="shared" si="24"/>
        <v>613</v>
      </c>
      <c r="BF41" s="582">
        <f t="shared" si="25"/>
        <v>613</v>
      </c>
      <c r="BG41" s="582">
        <f t="shared" si="26"/>
        <v>736</v>
      </c>
      <c r="BH41" s="582">
        <f t="shared" si="27"/>
        <v>736</v>
      </c>
      <c r="BI41" s="582">
        <f t="shared" si="28"/>
        <v>788</v>
      </c>
      <c r="BJ41" s="582">
        <f t="shared" si="29"/>
        <v>788</v>
      </c>
      <c r="BK41" s="582">
        <f t="shared" si="30"/>
        <v>613</v>
      </c>
      <c r="BL41" s="582">
        <f t="shared" si="31"/>
        <v>581</v>
      </c>
      <c r="BM41" s="74"/>
      <c r="BN41" s="74"/>
      <c r="BO41" s="582">
        <f t="shared" si="114"/>
        <v>1577</v>
      </c>
      <c r="BP41" s="602">
        <f t="shared" si="33"/>
        <v>1577</v>
      </c>
      <c r="BQ41" s="54">
        <v>1.0</v>
      </c>
      <c r="BR41" s="54">
        <v>24.0</v>
      </c>
      <c r="BS41" s="54">
        <v>-10.0</v>
      </c>
      <c r="BT41" s="54">
        <v>100.0</v>
      </c>
      <c r="BU41" s="74"/>
      <c r="BV41" s="83">
        <f t="shared" si="34"/>
        <v>12.5</v>
      </c>
      <c r="BW41" s="608">
        <f t="shared" si="35"/>
        <v>532.8</v>
      </c>
      <c r="BX41" s="582">
        <f t="shared" si="36"/>
        <v>951.4</v>
      </c>
      <c r="BY41" s="582">
        <f t="shared" si="37"/>
        <v>1024.6</v>
      </c>
      <c r="BZ41" s="582">
        <f t="shared" si="38"/>
        <v>951.4</v>
      </c>
      <c r="CA41" s="582">
        <f t="shared" si="39"/>
        <v>783.5</v>
      </c>
      <c r="CB41" s="582">
        <f t="shared" si="40"/>
        <v>783.5</v>
      </c>
      <c r="CC41" s="582">
        <f t="shared" si="41"/>
        <v>1024.6</v>
      </c>
      <c r="CD41" s="582">
        <f t="shared" si="42"/>
        <v>740</v>
      </c>
      <c r="CE41" s="623" t="str">
        <f t="shared" si="43"/>
        <v/>
      </c>
      <c r="CF41" s="74">
        <f t="shared" ref="CF41:CG41" si="117">IF(ROUND(100*(AV41/BW41)-100,1)=0,"",ROUND(100*(AV41/BW41)-100,1))</f>
        <v>-17.1</v>
      </c>
      <c r="CG41" s="552">
        <f t="shared" si="117"/>
        <v>-17.2</v>
      </c>
      <c r="CH41" s="575" t="s">
        <v>485</v>
      </c>
      <c r="CI41" s="582">
        <f t="shared" ref="CI41:DF41" si="118">FLOOR($AV41/(CI$3/25),1)</f>
        <v>441</v>
      </c>
      <c r="CJ41" s="582">
        <f t="shared" si="118"/>
        <v>459</v>
      </c>
      <c r="CK41" s="582">
        <f t="shared" si="118"/>
        <v>479</v>
      </c>
      <c r="CL41" s="582">
        <f t="shared" si="118"/>
        <v>501</v>
      </c>
      <c r="CM41" s="582">
        <f t="shared" si="118"/>
        <v>525</v>
      </c>
      <c r="CN41" s="582">
        <f t="shared" si="118"/>
        <v>551</v>
      </c>
      <c r="CO41" s="582">
        <f t="shared" si="118"/>
        <v>580</v>
      </c>
      <c r="CP41" s="582">
        <f t="shared" si="118"/>
        <v>613</v>
      </c>
      <c r="CQ41" s="582">
        <f t="shared" si="118"/>
        <v>649</v>
      </c>
      <c r="CR41" s="582">
        <f t="shared" si="118"/>
        <v>689</v>
      </c>
      <c r="CS41" s="582">
        <f t="shared" si="118"/>
        <v>735</v>
      </c>
      <c r="CT41" s="582">
        <f t="shared" si="118"/>
        <v>788</v>
      </c>
      <c r="CU41" s="582">
        <f t="shared" si="118"/>
        <v>849</v>
      </c>
      <c r="CV41" s="582">
        <f t="shared" si="118"/>
        <v>919</v>
      </c>
      <c r="CW41" s="582">
        <f t="shared" si="118"/>
        <v>1003</v>
      </c>
      <c r="CX41" s="582">
        <f t="shared" si="118"/>
        <v>1103</v>
      </c>
      <c r="CY41" s="582">
        <f t="shared" si="118"/>
        <v>1226</v>
      </c>
      <c r="CZ41" s="582">
        <f t="shared" si="118"/>
        <v>1379</v>
      </c>
      <c r="DA41" s="582">
        <f t="shared" si="118"/>
        <v>1576</v>
      </c>
      <c r="DB41" s="582">
        <f t="shared" si="118"/>
        <v>1839</v>
      </c>
      <c r="DC41" s="582">
        <f t="shared" si="118"/>
        <v>2207</v>
      </c>
      <c r="DD41" s="582">
        <f t="shared" si="118"/>
        <v>2759</v>
      </c>
      <c r="DE41" s="582">
        <f t="shared" si="118"/>
        <v>3679</v>
      </c>
      <c r="DF41" s="602">
        <f t="shared" si="118"/>
        <v>5518</v>
      </c>
      <c r="DG41" s="575"/>
      <c r="DH41" s="575" t="str">
        <f t="shared" si="46"/>
        <v/>
      </c>
      <c r="DI41" s="74" t="str">
        <f t="shared" si="47"/>
        <v/>
      </c>
      <c r="DJ41" s="74" t="str">
        <f t="shared" si="48"/>
        <v/>
      </c>
      <c r="DK41" s="623" t="str">
        <f t="shared" si="49"/>
        <v/>
      </c>
      <c r="DL41" s="74"/>
      <c r="DM41" s="74"/>
      <c r="DN41" s="74"/>
      <c r="DO41" s="575"/>
      <c r="DP41" s="297"/>
    </row>
    <row r="42">
      <c r="A42" s="647">
        <v>36.0</v>
      </c>
      <c r="B42" s="141">
        <v>23.0</v>
      </c>
      <c r="C42" s="129">
        <v>22.0</v>
      </c>
      <c r="D42" s="129">
        <v>32.0</v>
      </c>
      <c r="E42" s="134"/>
      <c r="F42" s="154" t="s">
        <v>1246</v>
      </c>
      <c r="G42" s="154">
        <f t="shared" si="5"/>
        <v>16</v>
      </c>
      <c r="H42" s="154">
        <f t="shared" si="6"/>
        <v>15</v>
      </c>
      <c r="I42" s="154">
        <f t="shared" si="7"/>
        <v>16</v>
      </c>
      <c r="J42" s="154">
        <f t="shared" si="8"/>
        <v>19</v>
      </c>
      <c r="K42" s="154">
        <f t="shared" si="9"/>
        <v>19</v>
      </c>
      <c r="L42" s="154">
        <f t="shared" si="10"/>
        <v>15</v>
      </c>
      <c r="M42" s="648">
        <f t="shared" si="11"/>
        <v>20</v>
      </c>
      <c r="N42" s="134" t="s">
        <v>499</v>
      </c>
      <c r="O42" s="649" t="s">
        <v>1924</v>
      </c>
      <c r="P42" s="650"/>
      <c r="Q42" s="650" t="s">
        <v>1313</v>
      </c>
      <c r="R42" s="650" t="s">
        <v>1314</v>
      </c>
      <c r="S42" s="796" t="s">
        <v>2307</v>
      </c>
      <c r="T42" s="651" t="s">
        <v>501</v>
      </c>
      <c r="U42" s="129">
        <v>25.0</v>
      </c>
      <c r="V42" s="129">
        <v>0.0</v>
      </c>
      <c r="W42" s="129">
        <v>53.0</v>
      </c>
      <c r="X42" s="134"/>
      <c r="Y42" s="129">
        <v>4.0</v>
      </c>
      <c r="Z42" s="129">
        <v>20.0</v>
      </c>
      <c r="AA42" s="129">
        <v>2.0</v>
      </c>
      <c r="AB42" s="129">
        <v>110.0</v>
      </c>
      <c r="AC42" s="129">
        <v>2081.0</v>
      </c>
      <c r="AD42" s="129">
        <v>4.0</v>
      </c>
      <c r="AE42" s="129">
        <v>110.0</v>
      </c>
      <c r="AF42" s="134"/>
      <c r="AG42" s="129">
        <v>22.0</v>
      </c>
      <c r="AH42" s="129">
        <v>32.0</v>
      </c>
      <c r="AI42" s="652">
        <f t="shared" si="12"/>
        <v>27</v>
      </c>
      <c r="AJ42" s="134"/>
      <c r="AK42" s="134"/>
      <c r="AL42" s="134"/>
      <c r="AM42" s="134"/>
      <c r="AN42" s="134"/>
      <c r="AO42" s="134"/>
      <c r="AP42" s="134"/>
      <c r="AQ42" s="134"/>
      <c r="AR42" s="134"/>
      <c r="AS42" s="653"/>
      <c r="AT42" s="154">
        <f t="shared" si="13"/>
        <v>642</v>
      </c>
      <c r="AU42" s="154">
        <f t="shared" si="14"/>
        <v>820</v>
      </c>
      <c r="AV42" s="654">
        <f t="shared" si="15"/>
        <v>731</v>
      </c>
      <c r="AW42" s="655">
        <f t="shared" si="16"/>
        <v>914</v>
      </c>
      <c r="AX42" s="655">
        <f t="shared" si="17"/>
        <v>1015</v>
      </c>
      <c r="AY42" s="655">
        <f t="shared" si="18"/>
        <v>914</v>
      </c>
      <c r="AZ42" s="655">
        <f t="shared" si="19"/>
        <v>1015</v>
      </c>
      <c r="BA42" s="655">
        <f t="shared" si="20"/>
        <v>795</v>
      </c>
      <c r="BB42" s="655">
        <f t="shared" si="21"/>
        <v>731</v>
      </c>
      <c r="BC42" s="655">
        <f t="shared" si="22"/>
        <v>795</v>
      </c>
      <c r="BD42" s="655">
        <f t="shared" si="23"/>
        <v>446</v>
      </c>
      <c r="BE42" s="655">
        <f t="shared" si="24"/>
        <v>538</v>
      </c>
      <c r="BF42" s="655">
        <f t="shared" si="25"/>
        <v>508</v>
      </c>
      <c r="BG42" s="655">
        <f t="shared" si="26"/>
        <v>609</v>
      </c>
      <c r="BH42" s="655">
        <f t="shared" si="27"/>
        <v>609</v>
      </c>
      <c r="BI42" s="655">
        <f t="shared" si="28"/>
        <v>677</v>
      </c>
      <c r="BJ42" s="655">
        <f t="shared" si="29"/>
        <v>677</v>
      </c>
      <c r="BK42" s="655">
        <f t="shared" si="30"/>
        <v>538</v>
      </c>
      <c r="BL42" s="655">
        <f t="shared" si="31"/>
        <v>494</v>
      </c>
      <c r="BM42" s="134"/>
      <c r="BN42" s="134"/>
      <c r="BO42" s="655">
        <f t="shared" si="114"/>
        <v>1828</v>
      </c>
      <c r="BP42" s="656">
        <f t="shared" si="33"/>
        <v>1828</v>
      </c>
      <c r="BQ42" s="129">
        <v>19.0</v>
      </c>
      <c r="BR42" s="129">
        <v>29.0</v>
      </c>
      <c r="BS42" s="129">
        <v>20.0</v>
      </c>
      <c r="BT42" s="129">
        <v>110.0</v>
      </c>
      <c r="BU42" s="134"/>
      <c r="BV42" s="135">
        <f t="shared" si="34"/>
        <v>24</v>
      </c>
      <c r="BW42" s="657">
        <f t="shared" si="35"/>
        <v>816.3</v>
      </c>
      <c r="BX42" s="655">
        <f t="shared" si="36"/>
        <v>1020.4</v>
      </c>
      <c r="BY42" s="655">
        <f t="shared" si="37"/>
        <v>1133.8</v>
      </c>
      <c r="BZ42" s="655">
        <f t="shared" si="38"/>
        <v>1020.4</v>
      </c>
      <c r="CA42" s="655">
        <f t="shared" si="39"/>
        <v>887.3</v>
      </c>
      <c r="CB42" s="655">
        <f t="shared" si="40"/>
        <v>887.3</v>
      </c>
      <c r="CC42" s="655">
        <f t="shared" si="41"/>
        <v>1133.8</v>
      </c>
      <c r="CD42" s="655">
        <f t="shared" si="42"/>
        <v>816.3</v>
      </c>
      <c r="CE42" s="659">
        <f t="shared" si="43"/>
        <v>12.5</v>
      </c>
      <c r="CF42" s="141">
        <f t="shared" ref="CF42:CG42" si="119">IF(ROUND(100*(AV42/BW42)-100,1)=0,"",ROUND(100*(AV42/BW42)-100,1))</f>
        <v>-10.4</v>
      </c>
      <c r="CG42" s="647">
        <f t="shared" si="119"/>
        <v>-10.4</v>
      </c>
      <c r="CH42" s="653" t="s">
        <v>499</v>
      </c>
      <c r="CI42" s="655">
        <f t="shared" ref="CI42:DF42" si="120">FLOOR($AV42/(CI$3/25),1)</f>
        <v>731</v>
      </c>
      <c r="CJ42" s="655">
        <f t="shared" si="120"/>
        <v>761</v>
      </c>
      <c r="CK42" s="655">
        <f t="shared" si="120"/>
        <v>794</v>
      </c>
      <c r="CL42" s="655">
        <f t="shared" si="120"/>
        <v>830</v>
      </c>
      <c r="CM42" s="655">
        <f t="shared" si="120"/>
        <v>870</v>
      </c>
      <c r="CN42" s="655">
        <f t="shared" si="120"/>
        <v>913</v>
      </c>
      <c r="CO42" s="655">
        <f t="shared" si="120"/>
        <v>961</v>
      </c>
      <c r="CP42" s="655">
        <f t="shared" si="120"/>
        <v>1015</v>
      </c>
      <c r="CQ42" s="655">
        <f t="shared" si="120"/>
        <v>1075</v>
      </c>
      <c r="CR42" s="655">
        <f t="shared" si="120"/>
        <v>1142</v>
      </c>
      <c r="CS42" s="655">
        <f t="shared" si="120"/>
        <v>1218</v>
      </c>
      <c r="CT42" s="655">
        <f t="shared" si="120"/>
        <v>1305</v>
      </c>
      <c r="CU42" s="655">
        <f t="shared" si="120"/>
        <v>1405</v>
      </c>
      <c r="CV42" s="655">
        <f t="shared" si="120"/>
        <v>1522</v>
      </c>
      <c r="CW42" s="655">
        <f t="shared" si="120"/>
        <v>1661</v>
      </c>
      <c r="CX42" s="655">
        <f t="shared" si="120"/>
        <v>1827</v>
      </c>
      <c r="CY42" s="655">
        <f t="shared" si="120"/>
        <v>2030</v>
      </c>
      <c r="CZ42" s="655">
        <f t="shared" si="120"/>
        <v>2284</v>
      </c>
      <c r="DA42" s="655">
        <f t="shared" si="120"/>
        <v>2610</v>
      </c>
      <c r="DB42" s="655">
        <f t="shared" si="120"/>
        <v>3045</v>
      </c>
      <c r="DC42" s="655">
        <f t="shared" si="120"/>
        <v>3655</v>
      </c>
      <c r="DD42" s="655">
        <f t="shared" si="120"/>
        <v>4568</v>
      </c>
      <c r="DE42" s="655">
        <f t="shared" si="120"/>
        <v>6091</v>
      </c>
      <c r="DF42" s="656">
        <f t="shared" si="120"/>
        <v>9137</v>
      </c>
      <c r="DG42" s="653"/>
      <c r="DH42" s="653" t="str">
        <f t="shared" si="46"/>
        <v/>
      </c>
      <c r="DI42" s="134" t="str">
        <f t="shared" si="47"/>
        <v/>
      </c>
      <c r="DJ42" s="134" t="str">
        <f t="shared" si="48"/>
        <v/>
      </c>
      <c r="DK42" s="662" t="str">
        <f t="shared" si="49"/>
        <v/>
      </c>
      <c r="DL42" s="134"/>
      <c r="DM42" s="134"/>
      <c r="DN42" s="134"/>
      <c r="DO42" s="653"/>
      <c r="DP42" s="663"/>
    </row>
    <row r="43">
      <c r="A43" s="552">
        <v>37.0</v>
      </c>
      <c r="B43" s="86">
        <v>123.0</v>
      </c>
      <c r="C43" s="54">
        <v>9.0</v>
      </c>
      <c r="D43" s="54">
        <v>26.0</v>
      </c>
      <c r="E43" s="74"/>
      <c r="F43" s="68" t="s">
        <v>1246</v>
      </c>
      <c r="G43" s="68">
        <f t="shared" si="5"/>
        <v>16</v>
      </c>
      <c r="H43" s="68">
        <f t="shared" si="6"/>
        <v>15</v>
      </c>
      <c r="I43" s="68">
        <f t="shared" si="7"/>
        <v>16</v>
      </c>
      <c r="J43" s="68">
        <f t="shared" si="8"/>
        <v>19</v>
      </c>
      <c r="K43" s="68">
        <f t="shared" si="9"/>
        <v>19</v>
      </c>
      <c r="L43" s="68">
        <f t="shared" si="10"/>
        <v>15</v>
      </c>
      <c r="M43" s="569">
        <f t="shared" si="11"/>
        <v>20</v>
      </c>
      <c r="N43" s="74" t="s">
        <v>430</v>
      </c>
      <c r="O43" s="570" t="s">
        <v>1927</v>
      </c>
      <c r="P43" s="571"/>
      <c r="Q43" s="571" t="s">
        <v>1670</v>
      </c>
      <c r="R43" s="571" t="s">
        <v>1314</v>
      </c>
      <c r="S43" s="791" t="s">
        <v>2095</v>
      </c>
      <c r="T43" s="572" t="s">
        <v>431</v>
      </c>
      <c r="U43" s="54">
        <v>30.0</v>
      </c>
      <c r="V43" s="54">
        <v>18.0</v>
      </c>
      <c r="W43" s="54">
        <v>25.0</v>
      </c>
      <c r="X43" s="74"/>
      <c r="Y43" s="54">
        <v>3.0</v>
      </c>
      <c r="Z43" s="54">
        <v>-10.0</v>
      </c>
      <c r="AA43" s="54">
        <v>2.0</v>
      </c>
      <c r="AB43" s="54">
        <v>48.0</v>
      </c>
      <c r="AC43" s="54">
        <v>439.0</v>
      </c>
      <c r="AD43" s="54">
        <v>1.0</v>
      </c>
      <c r="AE43" s="54">
        <v>100.0</v>
      </c>
      <c r="AF43" s="74"/>
      <c r="AG43" s="54">
        <v>10.0</v>
      </c>
      <c r="AH43" s="54">
        <v>30.0</v>
      </c>
      <c r="AI43" s="574">
        <f t="shared" si="12"/>
        <v>20</v>
      </c>
      <c r="AJ43" s="74"/>
      <c r="AK43" s="74"/>
      <c r="AL43" s="74"/>
      <c r="AM43" s="74"/>
      <c r="AN43" s="74"/>
      <c r="AO43" s="74"/>
      <c r="AP43" s="74"/>
      <c r="AQ43" s="74"/>
      <c r="AR43" s="74"/>
      <c r="AS43" s="575"/>
      <c r="AT43" s="68">
        <f t="shared" si="13"/>
        <v>398</v>
      </c>
      <c r="AU43" s="68">
        <f t="shared" si="14"/>
        <v>736</v>
      </c>
      <c r="AV43" s="581">
        <f t="shared" si="15"/>
        <v>567</v>
      </c>
      <c r="AW43" s="582">
        <f t="shared" si="16"/>
        <v>1013</v>
      </c>
      <c r="AX43" s="582">
        <f t="shared" si="17"/>
        <v>1090</v>
      </c>
      <c r="AY43" s="582">
        <f t="shared" si="18"/>
        <v>1013</v>
      </c>
      <c r="AZ43" s="582">
        <f t="shared" si="19"/>
        <v>1090</v>
      </c>
      <c r="BA43" s="582">
        <f t="shared" si="20"/>
        <v>834</v>
      </c>
      <c r="BB43" s="582">
        <f t="shared" si="21"/>
        <v>788</v>
      </c>
      <c r="BC43" s="582">
        <f t="shared" si="22"/>
        <v>834</v>
      </c>
      <c r="BD43" s="582">
        <f t="shared" si="23"/>
        <v>644</v>
      </c>
      <c r="BE43" s="582">
        <f t="shared" si="24"/>
        <v>788</v>
      </c>
      <c r="BF43" s="582">
        <f t="shared" si="25"/>
        <v>788</v>
      </c>
      <c r="BG43" s="582">
        <f t="shared" si="26"/>
        <v>945</v>
      </c>
      <c r="BH43" s="582">
        <f t="shared" si="27"/>
        <v>945</v>
      </c>
      <c r="BI43" s="582">
        <f t="shared" si="28"/>
        <v>1013</v>
      </c>
      <c r="BJ43" s="582">
        <f t="shared" si="29"/>
        <v>1013</v>
      </c>
      <c r="BK43" s="582">
        <f t="shared" si="30"/>
        <v>788</v>
      </c>
      <c r="BL43" s="582">
        <f t="shared" si="31"/>
        <v>746</v>
      </c>
      <c r="BM43" s="74"/>
      <c r="BN43" s="74"/>
      <c r="BO43" s="74"/>
      <c r="BP43" s="575" t="str">
        <f t="shared" si="33"/>
        <v/>
      </c>
      <c r="BQ43" s="54">
        <v>6.0</v>
      </c>
      <c r="BR43" s="54">
        <v>21.0</v>
      </c>
      <c r="BS43" s="54">
        <v>-10.0</v>
      </c>
      <c r="BT43" s="54">
        <v>100.0</v>
      </c>
      <c r="BU43" s="74"/>
      <c r="BV43" s="83">
        <f t="shared" si="34"/>
        <v>13.5</v>
      </c>
      <c r="BW43" s="608">
        <f t="shared" si="35"/>
        <v>553</v>
      </c>
      <c r="BX43" s="582">
        <f t="shared" si="36"/>
        <v>987.5</v>
      </c>
      <c r="BY43" s="582">
        <f t="shared" si="37"/>
        <v>1063.5</v>
      </c>
      <c r="BZ43" s="582">
        <f t="shared" si="38"/>
        <v>987.5</v>
      </c>
      <c r="CA43" s="582">
        <f t="shared" si="39"/>
        <v>813.2</v>
      </c>
      <c r="CB43" s="582">
        <f t="shared" si="40"/>
        <v>813.2</v>
      </c>
      <c r="CC43" s="582">
        <f t="shared" si="41"/>
        <v>1063.5</v>
      </c>
      <c r="CD43" s="582">
        <f t="shared" si="42"/>
        <v>768.1</v>
      </c>
      <c r="CE43" s="664">
        <f t="shared" si="43"/>
        <v>48.1</v>
      </c>
      <c r="CF43" s="86">
        <f t="shared" ref="CF43:CG43" si="121">IF(ROUND(100*(AV43/BW43)-100,1)=0,"",ROUND(100*(AV43/BW43)-100,1))</f>
        <v>2.5</v>
      </c>
      <c r="CG43" s="552">
        <f t="shared" si="121"/>
        <v>2.6</v>
      </c>
      <c r="CH43" s="575" t="s">
        <v>430</v>
      </c>
      <c r="CI43" s="582">
        <f t="shared" ref="CI43:DF43" si="122">FLOOR($AV43/(CI$3/25),1)</f>
        <v>567</v>
      </c>
      <c r="CJ43" s="582">
        <f t="shared" si="122"/>
        <v>590</v>
      </c>
      <c r="CK43" s="582">
        <f t="shared" si="122"/>
        <v>616</v>
      </c>
      <c r="CL43" s="582">
        <f t="shared" si="122"/>
        <v>644</v>
      </c>
      <c r="CM43" s="582">
        <f t="shared" si="122"/>
        <v>675</v>
      </c>
      <c r="CN43" s="582">
        <f t="shared" si="122"/>
        <v>708</v>
      </c>
      <c r="CO43" s="582">
        <f t="shared" si="122"/>
        <v>746</v>
      </c>
      <c r="CP43" s="582">
        <f t="shared" si="122"/>
        <v>787</v>
      </c>
      <c r="CQ43" s="582">
        <f t="shared" si="122"/>
        <v>833</v>
      </c>
      <c r="CR43" s="582">
        <f t="shared" si="122"/>
        <v>885</v>
      </c>
      <c r="CS43" s="582">
        <f t="shared" si="122"/>
        <v>945</v>
      </c>
      <c r="CT43" s="582">
        <f t="shared" si="122"/>
        <v>1012</v>
      </c>
      <c r="CU43" s="582">
        <f t="shared" si="122"/>
        <v>1090</v>
      </c>
      <c r="CV43" s="582">
        <f t="shared" si="122"/>
        <v>1181</v>
      </c>
      <c r="CW43" s="582">
        <f t="shared" si="122"/>
        <v>1288</v>
      </c>
      <c r="CX43" s="582">
        <f t="shared" si="122"/>
        <v>1417</v>
      </c>
      <c r="CY43" s="582">
        <f t="shared" si="122"/>
        <v>1575</v>
      </c>
      <c r="CZ43" s="582">
        <f t="shared" si="122"/>
        <v>1771</v>
      </c>
      <c r="DA43" s="582">
        <f t="shared" si="122"/>
        <v>2025</v>
      </c>
      <c r="DB43" s="582">
        <f t="shared" si="122"/>
        <v>2362</v>
      </c>
      <c r="DC43" s="582">
        <f t="shared" si="122"/>
        <v>2835</v>
      </c>
      <c r="DD43" s="582">
        <f t="shared" si="122"/>
        <v>3543</v>
      </c>
      <c r="DE43" s="582">
        <f t="shared" si="122"/>
        <v>4725</v>
      </c>
      <c r="DF43" s="602">
        <f t="shared" si="122"/>
        <v>7087</v>
      </c>
      <c r="DG43" s="575"/>
      <c r="DH43" s="575" t="str">
        <f t="shared" si="46"/>
        <v/>
      </c>
      <c r="DI43" s="74" t="str">
        <f t="shared" si="47"/>
        <v/>
      </c>
      <c r="DJ43" s="74" t="str">
        <f t="shared" si="48"/>
        <v/>
      </c>
      <c r="DK43" s="623" t="str">
        <f t="shared" si="49"/>
        <v/>
      </c>
      <c r="DL43" s="74"/>
      <c r="DM43" s="74"/>
      <c r="DN43" s="582">
        <f t="shared" ref="DN43:DN54" si="125">IF(ISBLANK(DL43),ROUND(AI43/IF(ISBLANK(DL37),AI37,DL37),1),ROUND(DL43/IF(ISBLANK(DL37),AI37,DL37),1))</f>
        <v>5.7</v>
      </c>
      <c r="DO43" s="575"/>
      <c r="DP43" s="61" t="s">
        <v>2140</v>
      </c>
    </row>
    <row r="44">
      <c r="A44" s="552">
        <v>38.0</v>
      </c>
      <c r="B44" s="86">
        <v>127.0</v>
      </c>
      <c r="C44" s="54">
        <v>16.0</v>
      </c>
      <c r="D44" s="54">
        <v>31.0</v>
      </c>
      <c r="E44" s="74"/>
      <c r="F44" s="68" t="s">
        <v>1246</v>
      </c>
      <c r="G44" s="68">
        <f t="shared" si="5"/>
        <v>16</v>
      </c>
      <c r="H44" s="68">
        <f t="shared" si="6"/>
        <v>15</v>
      </c>
      <c r="I44" s="68">
        <f t="shared" si="7"/>
        <v>16</v>
      </c>
      <c r="J44" s="68">
        <f t="shared" si="8"/>
        <v>19</v>
      </c>
      <c r="K44" s="68">
        <f t="shared" si="9"/>
        <v>19</v>
      </c>
      <c r="L44" s="68">
        <f t="shared" si="10"/>
        <v>15</v>
      </c>
      <c r="M44" s="569">
        <f t="shared" si="11"/>
        <v>20</v>
      </c>
      <c r="N44" s="74" t="s">
        <v>448</v>
      </c>
      <c r="O44" s="570" t="s">
        <v>1928</v>
      </c>
      <c r="P44" s="571"/>
      <c r="Q44" s="571" t="s">
        <v>1670</v>
      </c>
      <c r="R44" s="571" t="s">
        <v>1314</v>
      </c>
      <c r="S44" s="791" t="s">
        <v>2095</v>
      </c>
      <c r="T44" s="572" t="s">
        <v>449</v>
      </c>
      <c r="U44" s="54">
        <v>32.0</v>
      </c>
      <c r="V44" s="54">
        <v>20.0</v>
      </c>
      <c r="W44" s="54">
        <v>30.0</v>
      </c>
      <c r="X44" s="74"/>
      <c r="Y44" s="54">
        <v>3.0</v>
      </c>
      <c r="Z44" s="54">
        <v>0.0</v>
      </c>
      <c r="AA44" s="54">
        <v>2.0</v>
      </c>
      <c r="AB44" s="54">
        <v>72.0</v>
      </c>
      <c r="AC44" s="54">
        <v>590.0</v>
      </c>
      <c r="AD44" s="54">
        <v>3.0</v>
      </c>
      <c r="AE44" s="54">
        <v>100.0</v>
      </c>
      <c r="AF44" s="74"/>
      <c r="AG44" s="54">
        <v>18.0</v>
      </c>
      <c r="AH44" s="54">
        <v>36.0</v>
      </c>
      <c r="AI44" s="574">
        <f t="shared" si="12"/>
        <v>27</v>
      </c>
      <c r="AJ44" s="74"/>
      <c r="AK44" s="74"/>
      <c r="AL44" s="74"/>
      <c r="AM44" s="74"/>
      <c r="AN44" s="74"/>
      <c r="AO44" s="74"/>
      <c r="AP44" s="74"/>
      <c r="AQ44" s="74"/>
      <c r="AR44" s="74"/>
      <c r="AS44" s="575"/>
      <c r="AT44" s="68">
        <f t="shared" si="13"/>
        <v>536</v>
      </c>
      <c r="AU44" s="68">
        <f t="shared" si="14"/>
        <v>838</v>
      </c>
      <c r="AV44" s="581">
        <f t="shared" si="15"/>
        <v>687</v>
      </c>
      <c r="AW44" s="582">
        <f t="shared" si="16"/>
        <v>1145</v>
      </c>
      <c r="AX44" s="582">
        <f t="shared" si="17"/>
        <v>1227</v>
      </c>
      <c r="AY44" s="582">
        <f t="shared" si="18"/>
        <v>1145</v>
      </c>
      <c r="AZ44" s="582">
        <f t="shared" si="19"/>
        <v>1227</v>
      </c>
      <c r="BA44" s="582">
        <f t="shared" si="20"/>
        <v>954</v>
      </c>
      <c r="BB44" s="582">
        <f t="shared" si="21"/>
        <v>904</v>
      </c>
      <c r="BC44" s="582">
        <f t="shared" si="22"/>
        <v>954</v>
      </c>
      <c r="BD44" s="582">
        <f t="shared" si="23"/>
        <v>636</v>
      </c>
      <c r="BE44" s="582">
        <f t="shared" si="24"/>
        <v>781</v>
      </c>
      <c r="BF44" s="582">
        <f t="shared" si="25"/>
        <v>747</v>
      </c>
      <c r="BG44" s="582">
        <f t="shared" si="26"/>
        <v>904</v>
      </c>
      <c r="BH44" s="582">
        <f t="shared" si="27"/>
        <v>904</v>
      </c>
      <c r="BI44" s="582">
        <f t="shared" si="28"/>
        <v>954</v>
      </c>
      <c r="BJ44" s="582">
        <f t="shared" si="29"/>
        <v>954</v>
      </c>
      <c r="BK44" s="582">
        <f t="shared" si="30"/>
        <v>781</v>
      </c>
      <c r="BL44" s="582">
        <f t="shared" si="31"/>
        <v>747</v>
      </c>
      <c r="BM44" s="74"/>
      <c r="BN44" s="74"/>
      <c r="BO44" s="74"/>
      <c r="BP44" s="575" t="str">
        <f t="shared" si="33"/>
        <v/>
      </c>
      <c r="BQ44" s="54">
        <v>13.0</v>
      </c>
      <c r="BR44" s="54">
        <v>25.0</v>
      </c>
      <c r="BS44" s="74"/>
      <c r="BT44" s="54">
        <v>100.0</v>
      </c>
      <c r="BU44" s="74"/>
      <c r="BV44" s="83">
        <f t="shared" si="34"/>
        <v>19</v>
      </c>
      <c r="BW44" s="608">
        <f t="shared" si="35"/>
        <v>664.4</v>
      </c>
      <c r="BX44" s="582">
        <f t="shared" si="36"/>
        <v>1107.3</v>
      </c>
      <c r="BY44" s="582">
        <f t="shared" si="37"/>
        <v>1186.4</v>
      </c>
      <c r="BZ44" s="582">
        <f t="shared" si="38"/>
        <v>1107.3</v>
      </c>
      <c r="CA44" s="582">
        <f t="shared" si="39"/>
        <v>922.8</v>
      </c>
      <c r="CB44" s="582">
        <f t="shared" si="40"/>
        <v>922.8</v>
      </c>
      <c r="CC44" s="582">
        <f t="shared" si="41"/>
        <v>1186.4</v>
      </c>
      <c r="CD44" s="582">
        <f t="shared" si="42"/>
        <v>874.2</v>
      </c>
      <c r="CE44" s="664">
        <f t="shared" si="43"/>
        <v>42.1</v>
      </c>
      <c r="CF44" s="86">
        <f t="shared" ref="CF44:CG44" si="123">IF(ROUND(100*(AV44/BW44)-100,1)=0,"",ROUND(100*(AV44/BW44)-100,1))</f>
        <v>3.4</v>
      </c>
      <c r="CG44" s="552">
        <f t="shared" si="123"/>
        <v>3.4</v>
      </c>
      <c r="CH44" s="575" t="s">
        <v>448</v>
      </c>
      <c r="CI44" s="582">
        <f t="shared" ref="CI44:DF44" si="124">FLOOR($AV44/(CI$3/25),1)</f>
        <v>687</v>
      </c>
      <c r="CJ44" s="582">
        <f t="shared" si="124"/>
        <v>715</v>
      </c>
      <c r="CK44" s="582">
        <f t="shared" si="124"/>
        <v>746</v>
      </c>
      <c r="CL44" s="582">
        <f t="shared" si="124"/>
        <v>780</v>
      </c>
      <c r="CM44" s="582">
        <f t="shared" si="124"/>
        <v>817</v>
      </c>
      <c r="CN44" s="582">
        <f t="shared" si="124"/>
        <v>858</v>
      </c>
      <c r="CO44" s="582">
        <f t="shared" si="124"/>
        <v>903</v>
      </c>
      <c r="CP44" s="582">
        <f t="shared" si="124"/>
        <v>954</v>
      </c>
      <c r="CQ44" s="582">
        <f t="shared" si="124"/>
        <v>1010</v>
      </c>
      <c r="CR44" s="582">
        <f t="shared" si="124"/>
        <v>1073</v>
      </c>
      <c r="CS44" s="582">
        <f t="shared" si="124"/>
        <v>1145</v>
      </c>
      <c r="CT44" s="582">
        <f t="shared" si="124"/>
        <v>1226</v>
      </c>
      <c r="CU44" s="582">
        <f t="shared" si="124"/>
        <v>1321</v>
      </c>
      <c r="CV44" s="582">
        <f t="shared" si="124"/>
        <v>1431</v>
      </c>
      <c r="CW44" s="582">
        <f t="shared" si="124"/>
        <v>1561</v>
      </c>
      <c r="CX44" s="582">
        <f t="shared" si="124"/>
        <v>1717</v>
      </c>
      <c r="CY44" s="582">
        <f t="shared" si="124"/>
        <v>1908</v>
      </c>
      <c r="CZ44" s="582">
        <f t="shared" si="124"/>
        <v>2146</v>
      </c>
      <c r="DA44" s="582">
        <f t="shared" si="124"/>
        <v>2453</v>
      </c>
      <c r="DB44" s="582">
        <f t="shared" si="124"/>
        <v>2862</v>
      </c>
      <c r="DC44" s="582">
        <f t="shared" si="124"/>
        <v>3435</v>
      </c>
      <c r="DD44" s="582">
        <f t="shared" si="124"/>
        <v>4293</v>
      </c>
      <c r="DE44" s="582">
        <f t="shared" si="124"/>
        <v>5725</v>
      </c>
      <c r="DF44" s="602">
        <f t="shared" si="124"/>
        <v>8587</v>
      </c>
      <c r="DG44" s="575"/>
      <c r="DH44" s="575" t="str">
        <f t="shared" si="46"/>
        <v/>
      </c>
      <c r="DI44" s="74" t="str">
        <f t="shared" si="47"/>
        <v/>
      </c>
      <c r="DJ44" s="74" t="str">
        <f t="shared" si="48"/>
        <v/>
      </c>
      <c r="DK44" s="664">
        <f t="shared" si="49"/>
        <v>-11.1</v>
      </c>
      <c r="DL44" s="685">
        <v>24.0</v>
      </c>
      <c r="DM44" s="74"/>
      <c r="DN44" s="582">
        <f t="shared" si="125"/>
        <v>3.7</v>
      </c>
      <c r="DO44" s="575"/>
      <c r="DP44" s="61" t="s">
        <v>2140</v>
      </c>
    </row>
    <row r="45">
      <c r="A45" s="552">
        <v>39.0</v>
      </c>
      <c r="B45" s="86">
        <v>128.0</v>
      </c>
      <c r="C45" s="54">
        <v>19.0</v>
      </c>
      <c r="D45" s="54">
        <v>29.0</v>
      </c>
      <c r="E45" s="74"/>
      <c r="F45" s="68" t="s">
        <v>1246</v>
      </c>
      <c r="G45" s="68">
        <f t="shared" si="5"/>
        <v>16</v>
      </c>
      <c r="H45" s="68">
        <f t="shared" si="6"/>
        <v>15</v>
      </c>
      <c r="I45" s="68">
        <f t="shared" si="7"/>
        <v>16</v>
      </c>
      <c r="J45" s="68">
        <f t="shared" si="8"/>
        <v>19</v>
      </c>
      <c r="K45" s="68">
        <f t="shared" si="9"/>
        <v>19</v>
      </c>
      <c r="L45" s="68">
        <f t="shared" si="10"/>
        <v>15</v>
      </c>
      <c r="M45" s="569">
        <f t="shared" si="11"/>
        <v>20</v>
      </c>
      <c r="N45" s="74" t="s">
        <v>465</v>
      </c>
      <c r="O45" s="570" t="s">
        <v>1929</v>
      </c>
      <c r="P45" s="571"/>
      <c r="Q45" s="571" t="s">
        <v>1670</v>
      </c>
      <c r="R45" s="571" t="s">
        <v>1314</v>
      </c>
      <c r="S45" s="791" t="s">
        <v>2195</v>
      </c>
      <c r="T45" s="572" t="s">
        <v>466</v>
      </c>
      <c r="U45" s="54">
        <v>35.0</v>
      </c>
      <c r="V45" s="54">
        <v>23.0</v>
      </c>
      <c r="W45" s="54">
        <v>61.0</v>
      </c>
      <c r="X45" s="74"/>
      <c r="Y45" s="54">
        <v>3.0</v>
      </c>
      <c r="Z45" s="54">
        <v>0.0</v>
      </c>
      <c r="AA45" s="54">
        <v>2.0</v>
      </c>
      <c r="AB45" s="54">
        <v>120.0</v>
      </c>
      <c r="AC45" s="54">
        <v>1689.0</v>
      </c>
      <c r="AD45" s="54">
        <v>4.0</v>
      </c>
      <c r="AE45" s="54">
        <v>100.0</v>
      </c>
      <c r="AF45" s="74"/>
      <c r="AG45" s="54">
        <v>22.0</v>
      </c>
      <c r="AH45" s="54">
        <v>33.0</v>
      </c>
      <c r="AI45" s="574">
        <f t="shared" si="12"/>
        <v>27.5</v>
      </c>
      <c r="AJ45" s="74"/>
      <c r="AK45" s="74"/>
      <c r="AL45" s="74"/>
      <c r="AM45" s="74"/>
      <c r="AN45" s="74"/>
      <c r="AO45" s="74"/>
      <c r="AP45" s="74"/>
      <c r="AQ45" s="74"/>
      <c r="AR45" s="74"/>
      <c r="AS45" s="575"/>
      <c r="AT45" s="68">
        <f t="shared" si="13"/>
        <v>602</v>
      </c>
      <c r="AU45" s="68">
        <f t="shared" si="14"/>
        <v>787</v>
      </c>
      <c r="AV45" s="581">
        <f t="shared" si="15"/>
        <v>694.5</v>
      </c>
      <c r="AW45" s="582">
        <f t="shared" si="16"/>
        <v>1158</v>
      </c>
      <c r="AX45" s="582">
        <f t="shared" si="17"/>
        <v>1240</v>
      </c>
      <c r="AY45" s="582">
        <f t="shared" si="18"/>
        <v>1158</v>
      </c>
      <c r="AZ45" s="582">
        <f t="shared" si="19"/>
        <v>1240</v>
      </c>
      <c r="BA45" s="582">
        <f t="shared" si="20"/>
        <v>965</v>
      </c>
      <c r="BB45" s="582">
        <f t="shared" si="21"/>
        <v>914</v>
      </c>
      <c r="BC45" s="582">
        <f t="shared" si="22"/>
        <v>965</v>
      </c>
      <c r="BD45" s="582">
        <f t="shared" si="23"/>
        <v>643</v>
      </c>
      <c r="BE45" s="582">
        <f t="shared" si="24"/>
        <v>789</v>
      </c>
      <c r="BF45" s="582">
        <f t="shared" si="25"/>
        <v>755</v>
      </c>
      <c r="BG45" s="582">
        <f t="shared" si="26"/>
        <v>914</v>
      </c>
      <c r="BH45" s="582">
        <f t="shared" si="27"/>
        <v>914</v>
      </c>
      <c r="BI45" s="582">
        <f t="shared" si="28"/>
        <v>965</v>
      </c>
      <c r="BJ45" s="582">
        <f t="shared" si="29"/>
        <v>965</v>
      </c>
      <c r="BK45" s="582">
        <f t="shared" si="30"/>
        <v>789</v>
      </c>
      <c r="BL45" s="582">
        <f t="shared" si="31"/>
        <v>755</v>
      </c>
      <c r="BM45" s="74"/>
      <c r="BN45" s="74"/>
      <c r="BO45" s="582">
        <f t="shared" ref="BO45:BO48" si="128">ROUND(IF($F45="1hs",2*$AV45,$AV45)*25/(CEILING((16*256)/FLOOR(256*MIN(175,MAX(15,100+IF($AS45="",$AS$1,AS45)+FLOOR((120*IF($AQ45="",$AQ$1,$AQ45))/(120+IF($AQ45="",$AQ$1,$AQ45)),1)-$Z45))/100,1),1)-1),0)</f>
        <v>2315</v>
      </c>
      <c r="BP45" s="602">
        <f t="shared" si="33"/>
        <v>2315</v>
      </c>
      <c r="BQ45" s="54">
        <v>15.0</v>
      </c>
      <c r="BR45" s="54">
        <v>23.0</v>
      </c>
      <c r="BS45" s="74"/>
      <c r="BT45" s="54">
        <v>100.0</v>
      </c>
      <c r="BU45" s="74"/>
      <c r="BV45" s="83">
        <f t="shared" si="34"/>
        <v>19</v>
      </c>
      <c r="BW45" s="608">
        <f t="shared" si="35"/>
        <v>664.4</v>
      </c>
      <c r="BX45" s="582">
        <f t="shared" si="36"/>
        <v>1107.3</v>
      </c>
      <c r="BY45" s="582">
        <f t="shared" si="37"/>
        <v>1186.4</v>
      </c>
      <c r="BZ45" s="582">
        <f t="shared" si="38"/>
        <v>1107.3</v>
      </c>
      <c r="CA45" s="582">
        <f t="shared" si="39"/>
        <v>922.8</v>
      </c>
      <c r="CB45" s="582">
        <f t="shared" si="40"/>
        <v>922.8</v>
      </c>
      <c r="CC45" s="582">
        <f t="shared" si="41"/>
        <v>1186.4</v>
      </c>
      <c r="CD45" s="582">
        <f t="shared" si="42"/>
        <v>874.2</v>
      </c>
      <c r="CE45" s="664">
        <f t="shared" si="43"/>
        <v>44.7</v>
      </c>
      <c r="CF45" s="86">
        <f t="shared" ref="CF45:CG45" si="126">IF(ROUND(100*(AV45/BW45)-100,1)=0,"",ROUND(100*(AV45/BW45)-100,1))</f>
        <v>4.5</v>
      </c>
      <c r="CG45" s="552">
        <f t="shared" si="126"/>
        <v>4.6</v>
      </c>
      <c r="CH45" s="575" t="s">
        <v>465</v>
      </c>
      <c r="CI45" s="582">
        <f t="shared" ref="CI45:DF45" si="127">FLOOR($AV45/(CI$3/25),1)</f>
        <v>694</v>
      </c>
      <c r="CJ45" s="582">
        <f t="shared" si="127"/>
        <v>723</v>
      </c>
      <c r="CK45" s="582">
        <f t="shared" si="127"/>
        <v>754</v>
      </c>
      <c r="CL45" s="582">
        <f t="shared" si="127"/>
        <v>789</v>
      </c>
      <c r="CM45" s="582">
        <f t="shared" si="127"/>
        <v>826</v>
      </c>
      <c r="CN45" s="582">
        <f t="shared" si="127"/>
        <v>868</v>
      </c>
      <c r="CO45" s="582">
        <f t="shared" si="127"/>
        <v>913</v>
      </c>
      <c r="CP45" s="582">
        <f t="shared" si="127"/>
        <v>964</v>
      </c>
      <c r="CQ45" s="582">
        <f t="shared" si="127"/>
        <v>1021</v>
      </c>
      <c r="CR45" s="582">
        <f t="shared" si="127"/>
        <v>1085</v>
      </c>
      <c r="CS45" s="582">
        <f t="shared" si="127"/>
        <v>1157</v>
      </c>
      <c r="CT45" s="582">
        <f t="shared" si="127"/>
        <v>1240</v>
      </c>
      <c r="CU45" s="582">
        <f t="shared" si="127"/>
        <v>1335</v>
      </c>
      <c r="CV45" s="582">
        <f t="shared" si="127"/>
        <v>1446</v>
      </c>
      <c r="CW45" s="582">
        <f t="shared" si="127"/>
        <v>1578</v>
      </c>
      <c r="CX45" s="582">
        <f t="shared" si="127"/>
        <v>1736</v>
      </c>
      <c r="CY45" s="582">
        <f t="shared" si="127"/>
        <v>1929</v>
      </c>
      <c r="CZ45" s="582">
        <f t="shared" si="127"/>
        <v>2170</v>
      </c>
      <c r="DA45" s="582">
        <f t="shared" si="127"/>
        <v>2480</v>
      </c>
      <c r="DB45" s="582">
        <f t="shared" si="127"/>
        <v>2893</v>
      </c>
      <c r="DC45" s="582">
        <f t="shared" si="127"/>
        <v>3472</v>
      </c>
      <c r="DD45" s="582">
        <f t="shared" si="127"/>
        <v>4340</v>
      </c>
      <c r="DE45" s="582">
        <f t="shared" si="127"/>
        <v>5787</v>
      </c>
      <c r="DF45" s="602">
        <f t="shared" si="127"/>
        <v>8681</v>
      </c>
      <c r="DG45" s="575"/>
      <c r="DH45" s="575" t="str">
        <f t="shared" si="46"/>
        <v/>
      </c>
      <c r="DI45" s="74" t="str">
        <f t="shared" si="47"/>
        <v/>
      </c>
      <c r="DJ45" s="74" t="str">
        <f t="shared" si="48"/>
        <v/>
      </c>
      <c r="DK45" s="623" t="str">
        <f t="shared" si="49"/>
        <v/>
      </c>
      <c r="DL45" s="74"/>
      <c r="DM45" s="74"/>
      <c r="DN45" s="582">
        <f t="shared" si="125"/>
        <v>4.2</v>
      </c>
      <c r="DO45" s="575"/>
      <c r="DP45" s="61" t="s">
        <v>2242</v>
      </c>
    </row>
    <row r="46">
      <c r="A46" s="552">
        <v>40.0</v>
      </c>
      <c r="B46" s="86">
        <v>129.0</v>
      </c>
      <c r="C46" s="54">
        <v>25.0</v>
      </c>
      <c r="D46" s="54">
        <v>39.0</v>
      </c>
      <c r="E46" s="74"/>
      <c r="F46" s="68" t="s">
        <v>1246</v>
      </c>
      <c r="G46" s="68">
        <f t="shared" si="5"/>
        <v>16</v>
      </c>
      <c r="H46" s="68">
        <f t="shared" si="6"/>
        <v>15</v>
      </c>
      <c r="I46" s="68">
        <f t="shared" si="7"/>
        <v>16</v>
      </c>
      <c r="J46" s="68">
        <f t="shared" si="8"/>
        <v>19</v>
      </c>
      <c r="K46" s="68">
        <f t="shared" si="9"/>
        <v>19</v>
      </c>
      <c r="L46" s="68">
        <f t="shared" si="10"/>
        <v>15</v>
      </c>
      <c r="M46" s="569">
        <f t="shared" si="11"/>
        <v>20</v>
      </c>
      <c r="N46" s="74" t="s">
        <v>478</v>
      </c>
      <c r="O46" s="570" t="s">
        <v>1930</v>
      </c>
      <c r="P46" s="639" t="s">
        <v>2225</v>
      </c>
      <c r="Q46" s="571" t="s">
        <v>1670</v>
      </c>
      <c r="R46" s="571" t="s">
        <v>1314</v>
      </c>
      <c r="S46" s="791" t="s">
        <v>2195</v>
      </c>
      <c r="T46" s="572" t="s">
        <v>479</v>
      </c>
      <c r="U46" s="54">
        <v>39.0</v>
      </c>
      <c r="V46" s="54">
        <v>25.0</v>
      </c>
      <c r="W46" s="54">
        <v>74.0</v>
      </c>
      <c r="X46" s="74"/>
      <c r="Y46" s="54">
        <v>3.0</v>
      </c>
      <c r="Z46" s="54">
        <v>10.0</v>
      </c>
      <c r="AA46" s="54">
        <v>2.0</v>
      </c>
      <c r="AB46" s="54">
        <v>144.0</v>
      </c>
      <c r="AC46" s="54">
        <v>2832.0</v>
      </c>
      <c r="AD46" s="54">
        <v>4.0</v>
      </c>
      <c r="AE46" s="54">
        <v>100.0</v>
      </c>
      <c r="AF46" s="74"/>
      <c r="AG46" s="54">
        <v>29.0</v>
      </c>
      <c r="AH46" s="54">
        <v>45.0</v>
      </c>
      <c r="AI46" s="574">
        <f t="shared" si="12"/>
        <v>37</v>
      </c>
      <c r="AJ46" s="74"/>
      <c r="AK46" s="74"/>
      <c r="AL46" s="74"/>
      <c r="AM46" s="74"/>
      <c r="AN46" s="74"/>
      <c r="AO46" s="74"/>
      <c r="AP46" s="74"/>
      <c r="AQ46" s="74"/>
      <c r="AR46" s="74"/>
      <c r="AS46" s="575"/>
      <c r="AT46" s="68">
        <f t="shared" si="13"/>
        <v>721</v>
      </c>
      <c r="AU46" s="68">
        <f t="shared" si="14"/>
        <v>991</v>
      </c>
      <c r="AV46" s="581">
        <f t="shared" si="15"/>
        <v>856</v>
      </c>
      <c r="AW46" s="582">
        <f t="shared" si="16"/>
        <v>1259</v>
      </c>
      <c r="AX46" s="582">
        <f t="shared" si="17"/>
        <v>1338</v>
      </c>
      <c r="AY46" s="582">
        <f t="shared" si="18"/>
        <v>1259</v>
      </c>
      <c r="AZ46" s="582">
        <f t="shared" si="19"/>
        <v>1338</v>
      </c>
      <c r="BA46" s="582">
        <f t="shared" si="20"/>
        <v>1019</v>
      </c>
      <c r="BB46" s="582">
        <f t="shared" si="21"/>
        <v>973</v>
      </c>
      <c r="BC46" s="582">
        <f t="shared" si="22"/>
        <v>1019</v>
      </c>
      <c r="BD46" s="582">
        <f t="shared" si="23"/>
        <v>648</v>
      </c>
      <c r="BE46" s="582">
        <f t="shared" si="24"/>
        <v>764</v>
      </c>
      <c r="BF46" s="582">
        <f t="shared" si="25"/>
        <v>793</v>
      </c>
      <c r="BG46" s="582">
        <f t="shared" si="26"/>
        <v>973</v>
      </c>
      <c r="BH46" s="582">
        <f t="shared" si="27"/>
        <v>973</v>
      </c>
      <c r="BI46" s="582">
        <f t="shared" si="28"/>
        <v>1019</v>
      </c>
      <c r="BJ46" s="582">
        <f t="shared" si="29"/>
        <v>1019</v>
      </c>
      <c r="BK46" s="582">
        <f t="shared" si="30"/>
        <v>764</v>
      </c>
      <c r="BL46" s="582">
        <f t="shared" si="31"/>
        <v>738</v>
      </c>
      <c r="BM46" s="74"/>
      <c r="BN46" s="74"/>
      <c r="BO46" s="582">
        <f t="shared" si="128"/>
        <v>2518</v>
      </c>
      <c r="BP46" s="602">
        <f t="shared" si="33"/>
        <v>2518</v>
      </c>
      <c r="BQ46" s="54">
        <v>20.0</v>
      </c>
      <c r="BR46" s="54">
        <v>31.0</v>
      </c>
      <c r="BS46" s="54">
        <v>10.0</v>
      </c>
      <c r="BT46" s="54">
        <v>100.0</v>
      </c>
      <c r="BU46" s="74"/>
      <c r="BV46" s="83">
        <f t="shared" si="34"/>
        <v>25.5</v>
      </c>
      <c r="BW46" s="608">
        <f t="shared" si="35"/>
        <v>796</v>
      </c>
      <c r="BX46" s="582">
        <f t="shared" si="36"/>
        <v>1170.6</v>
      </c>
      <c r="BY46" s="582">
        <f t="shared" si="37"/>
        <v>1243.8</v>
      </c>
      <c r="BZ46" s="582">
        <f t="shared" si="38"/>
        <v>1170.6</v>
      </c>
      <c r="CA46" s="582">
        <f t="shared" si="39"/>
        <v>947.6</v>
      </c>
      <c r="CB46" s="582">
        <f t="shared" si="40"/>
        <v>947.6</v>
      </c>
      <c r="CC46" s="582">
        <f t="shared" si="41"/>
        <v>1243.8</v>
      </c>
      <c r="CD46" s="582">
        <f t="shared" si="42"/>
        <v>904.5</v>
      </c>
      <c r="CE46" s="664">
        <f t="shared" si="43"/>
        <v>45.1</v>
      </c>
      <c r="CF46" s="86">
        <f t="shared" ref="CF46:CG46" si="129">IF(ROUND(100*(AV46/BW46)-100,1)=0,"",ROUND(100*(AV46/BW46)-100,1))</f>
        <v>7.5</v>
      </c>
      <c r="CG46" s="552">
        <f t="shared" si="129"/>
        <v>7.6</v>
      </c>
      <c r="CH46" s="575" t="s">
        <v>478</v>
      </c>
      <c r="CI46" s="582">
        <f t="shared" ref="CI46:DF46" si="130">FLOOR($AV46/(CI$3/25),1)</f>
        <v>856</v>
      </c>
      <c r="CJ46" s="582">
        <f t="shared" si="130"/>
        <v>891</v>
      </c>
      <c r="CK46" s="582">
        <f t="shared" si="130"/>
        <v>930</v>
      </c>
      <c r="CL46" s="582">
        <f t="shared" si="130"/>
        <v>972</v>
      </c>
      <c r="CM46" s="582">
        <f t="shared" si="130"/>
        <v>1019</v>
      </c>
      <c r="CN46" s="582">
        <f t="shared" si="130"/>
        <v>1070</v>
      </c>
      <c r="CO46" s="582">
        <f t="shared" si="130"/>
        <v>1126</v>
      </c>
      <c r="CP46" s="582">
        <f t="shared" si="130"/>
        <v>1188</v>
      </c>
      <c r="CQ46" s="582">
        <f t="shared" si="130"/>
        <v>1258</v>
      </c>
      <c r="CR46" s="582">
        <f t="shared" si="130"/>
        <v>1337</v>
      </c>
      <c r="CS46" s="582">
        <f t="shared" si="130"/>
        <v>1426</v>
      </c>
      <c r="CT46" s="582">
        <f t="shared" si="130"/>
        <v>1528</v>
      </c>
      <c r="CU46" s="582">
        <f t="shared" si="130"/>
        <v>1646</v>
      </c>
      <c r="CV46" s="582">
        <f t="shared" si="130"/>
        <v>1783</v>
      </c>
      <c r="CW46" s="582">
        <f t="shared" si="130"/>
        <v>1945</v>
      </c>
      <c r="CX46" s="582">
        <f t="shared" si="130"/>
        <v>2140</v>
      </c>
      <c r="CY46" s="582">
        <f t="shared" si="130"/>
        <v>2377</v>
      </c>
      <c r="CZ46" s="582">
        <f t="shared" si="130"/>
        <v>2675</v>
      </c>
      <c r="DA46" s="582">
        <f t="shared" si="130"/>
        <v>3057</v>
      </c>
      <c r="DB46" s="582">
        <f t="shared" si="130"/>
        <v>3566</v>
      </c>
      <c r="DC46" s="582">
        <f t="shared" si="130"/>
        <v>4280</v>
      </c>
      <c r="DD46" s="582">
        <f t="shared" si="130"/>
        <v>5350</v>
      </c>
      <c r="DE46" s="582">
        <f t="shared" si="130"/>
        <v>7133</v>
      </c>
      <c r="DF46" s="602">
        <f t="shared" si="130"/>
        <v>10700</v>
      </c>
      <c r="DG46" s="575"/>
      <c r="DH46" s="575" t="str">
        <f t="shared" si="46"/>
        <v/>
      </c>
      <c r="DI46" s="74" t="str">
        <f t="shared" si="47"/>
        <v/>
      </c>
      <c r="DJ46" s="74" t="str">
        <f t="shared" si="48"/>
        <v/>
      </c>
      <c r="DK46" s="623" t="str">
        <f t="shared" si="49"/>
        <v/>
      </c>
      <c r="DL46" s="74"/>
      <c r="DM46" s="74"/>
      <c r="DN46" s="582">
        <f t="shared" si="125"/>
        <v>3.2</v>
      </c>
      <c r="DO46" s="575"/>
      <c r="DP46" s="61" t="s">
        <v>2242</v>
      </c>
    </row>
    <row r="47">
      <c r="A47" s="552">
        <v>41.0</v>
      </c>
      <c r="B47" s="86">
        <v>130.0</v>
      </c>
      <c r="C47" s="54">
        <v>16.0</v>
      </c>
      <c r="D47" s="54">
        <v>44.0</v>
      </c>
      <c r="E47" s="74"/>
      <c r="F47" s="68" t="s">
        <v>1246</v>
      </c>
      <c r="G47" s="68">
        <f t="shared" si="5"/>
        <v>16</v>
      </c>
      <c r="H47" s="68">
        <f t="shared" si="6"/>
        <v>15</v>
      </c>
      <c r="I47" s="68">
        <f t="shared" si="7"/>
        <v>16</v>
      </c>
      <c r="J47" s="68">
        <f t="shared" si="8"/>
        <v>19</v>
      </c>
      <c r="K47" s="68">
        <f t="shared" si="9"/>
        <v>19</v>
      </c>
      <c r="L47" s="68">
        <f t="shared" si="10"/>
        <v>15</v>
      </c>
      <c r="M47" s="569">
        <f t="shared" si="11"/>
        <v>20</v>
      </c>
      <c r="N47" s="74" t="s">
        <v>488</v>
      </c>
      <c r="O47" s="570" t="s">
        <v>1931</v>
      </c>
      <c r="P47" s="571"/>
      <c r="Q47" s="571" t="s">
        <v>1670</v>
      </c>
      <c r="R47" s="571" t="s">
        <v>1314</v>
      </c>
      <c r="S47" s="791" t="s">
        <v>2195</v>
      </c>
      <c r="T47" s="572" t="s">
        <v>489</v>
      </c>
      <c r="U47" s="54">
        <v>43.0</v>
      </c>
      <c r="V47" s="54">
        <v>25.0</v>
      </c>
      <c r="W47" s="54">
        <v>82.0</v>
      </c>
      <c r="X47" s="54">
        <v>73.0</v>
      </c>
      <c r="Y47" s="54">
        <v>5.0</v>
      </c>
      <c r="Z47" s="54">
        <v>-10.0</v>
      </c>
      <c r="AA47" s="54">
        <v>2.0</v>
      </c>
      <c r="AB47" s="54">
        <v>60.0</v>
      </c>
      <c r="AC47" s="54">
        <v>4536.0</v>
      </c>
      <c r="AD47" s="54">
        <v>4.0</v>
      </c>
      <c r="AE47" s="54">
        <v>100.0</v>
      </c>
      <c r="AF47" s="74"/>
      <c r="AG47" s="54">
        <v>18.0</v>
      </c>
      <c r="AH47" s="54">
        <v>50.0</v>
      </c>
      <c r="AI47" s="574">
        <f t="shared" si="12"/>
        <v>34</v>
      </c>
      <c r="AJ47" s="74"/>
      <c r="AK47" s="74"/>
      <c r="AL47" s="74"/>
      <c r="AM47" s="74"/>
      <c r="AN47" s="74"/>
      <c r="AO47" s="74"/>
      <c r="AP47" s="74"/>
      <c r="AQ47" s="74"/>
      <c r="AR47" s="74"/>
      <c r="AS47" s="575"/>
      <c r="AT47" s="68">
        <f t="shared" si="13"/>
        <v>536</v>
      </c>
      <c r="AU47" s="68">
        <f t="shared" si="14"/>
        <v>1076</v>
      </c>
      <c r="AV47" s="581">
        <f t="shared" si="15"/>
        <v>806</v>
      </c>
      <c r="AW47" s="582">
        <f t="shared" si="16"/>
        <v>1439</v>
      </c>
      <c r="AX47" s="582">
        <f t="shared" si="17"/>
        <v>1550</v>
      </c>
      <c r="AY47" s="582">
        <f t="shared" si="18"/>
        <v>1439</v>
      </c>
      <c r="AZ47" s="582">
        <f t="shared" si="19"/>
        <v>1550</v>
      </c>
      <c r="BA47" s="582">
        <f t="shared" si="20"/>
        <v>1185</v>
      </c>
      <c r="BB47" s="582">
        <f t="shared" si="21"/>
        <v>1119</v>
      </c>
      <c r="BC47" s="582">
        <f t="shared" si="22"/>
        <v>1185</v>
      </c>
      <c r="BD47" s="582">
        <f t="shared" si="23"/>
        <v>916</v>
      </c>
      <c r="BE47" s="582">
        <f t="shared" si="24"/>
        <v>1119</v>
      </c>
      <c r="BF47" s="582">
        <f t="shared" si="25"/>
        <v>1119</v>
      </c>
      <c r="BG47" s="582">
        <f t="shared" si="26"/>
        <v>1343</v>
      </c>
      <c r="BH47" s="582">
        <f t="shared" si="27"/>
        <v>1343</v>
      </c>
      <c r="BI47" s="582">
        <f t="shared" si="28"/>
        <v>1439</v>
      </c>
      <c r="BJ47" s="582">
        <f t="shared" si="29"/>
        <v>1439</v>
      </c>
      <c r="BK47" s="582">
        <f t="shared" si="30"/>
        <v>1119</v>
      </c>
      <c r="BL47" s="582">
        <f t="shared" si="31"/>
        <v>1061</v>
      </c>
      <c r="BM47" s="74"/>
      <c r="BN47" s="74"/>
      <c r="BO47" s="582">
        <f t="shared" si="128"/>
        <v>2879</v>
      </c>
      <c r="BP47" s="602">
        <f t="shared" si="33"/>
        <v>2879</v>
      </c>
      <c r="BQ47" s="54">
        <v>13.0</v>
      </c>
      <c r="BR47" s="54">
        <v>35.0</v>
      </c>
      <c r="BS47" s="54">
        <v>-10.0</v>
      </c>
      <c r="BT47" s="54">
        <v>100.0</v>
      </c>
      <c r="BU47" s="74"/>
      <c r="BV47" s="83">
        <f t="shared" si="34"/>
        <v>24</v>
      </c>
      <c r="BW47" s="608">
        <f t="shared" si="35"/>
        <v>765.6</v>
      </c>
      <c r="BX47" s="582">
        <f t="shared" si="36"/>
        <v>1367.1</v>
      </c>
      <c r="BY47" s="582">
        <f t="shared" si="37"/>
        <v>1472.3</v>
      </c>
      <c r="BZ47" s="582">
        <f t="shared" si="38"/>
        <v>1367.1</v>
      </c>
      <c r="CA47" s="582">
        <f t="shared" si="39"/>
        <v>1125.9</v>
      </c>
      <c r="CB47" s="582">
        <f t="shared" si="40"/>
        <v>1125.9</v>
      </c>
      <c r="CC47" s="582">
        <f t="shared" si="41"/>
        <v>1472.3</v>
      </c>
      <c r="CD47" s="582">
        <f t="shared" si="42"/>
        <v>1063.3</v>
      </c>
      <c r="CE47" s="664">
        <f t="shared" si="43"/>
        <v>41.7</v>
      </c>
      <c r="CF47" s="86">
        <f t="shared" ref="CF47:CG47" si="131">IF(ROUND(100*(AV47/BW47)-100,1)=0,"",ROUND(100*(AV47/BW47)-100,1))</f>
        <v>5.3</v>
      </c>
      <c r="CG47" s="552">
        <f t="shared" si="131"/>
        <v>5.3</v>
      </c>
      <c r="CH47" s="575" t="s">
        <v>488</v>
      </c>
      <c r="CI47" s="582">
        <f t="shared" ref="CI47:DF47" si="132">FLOOR($AV47/(CI$3/25),1)</f>
        <v>806</v>
      </c>
      <c r="CJ47" s="582">
        <f t="shared" si="132"/>
        <v>839</v>
      </c>
      <c r="CK47" s="582">
        <f t="shared" si="132"/>
        <v>876</v>
      </c>
      <c r="CL47" s="582">
        <f t="shared" si="132"/>
        <v>915</v>
      </c>
      <c r="CM47" s="582">
        <f t="shared" si="132"/>
        <v>959</v>
      </c>
      <c r="CN47" s="582">
        <f t="shared" si="132"/>
        <v>1007</v>
      </c>
      <c r="CO47" s="582">
        <f t="shared" si="132"/>
        <v>1060</v>
      </c>
      <c r="CP47" s="582">
        <f t="shared" si="132"/>
        <v>1119</v>
      </c>
      <c r="CQ47" s="582">
        <f t="shared" si="132"/>
        <v>1185</v>
      </c>
      <c r="CR47" s="582">
        <f t="shared" si="132"/>
        <v>1259</v>
      </c>
      <c r="CS47" s="582">
        <f t="shared" si="132"/>
        <v>1343</v>
      </c>
      <c r="CT47" s="582">
        <f t="shared" si="132"/>
        <v>1439</v>
      </c>
      <c r="CU47" s="582">
        <f t="shared" si="132"/>
        <v>1550</v>
      </c>
      <c r="CV47" s="582">
        <f t="shared" si="132"/>
        <v>1679</v>
      </c>
      <c r="CW47" s="582">
        <f t="shared" si="132"/>
        <v>1831</v>
      </c>
      <c r="CX47" s="582">
        <f t="shared" si="132"/>
        <v>2015</v>
      </c>
      <c r="CY47" s="582">
        <f t="shared" si="132"/>
        <v>2238</v>
      </c>
      <c r="CZ47" s="582">
        <f t="shared" si="132"/>
        <v>2518</v>
      </c>
      <c r="DA47" s="582">
        <f t="shared" si="132"/>
        <v>2878</v>
      </c>
      <c r="DB47" s="582">
        <f t="shared" si="132"/>
        <v>3358</v>
      </c>
      <c r="DC47" s="582">
        <f t="shared" si="132"/>
        <v>4030</v>
      </c>
      <c r="DD47" s="582">
        <f t="shared" si="132"/>
        <v>5037</v>
      </c>
      <c r="DE47" s="582">
        <f t="shared" si="132"/>
        <v>6716</v>
      </c>
      <c r="DF47" s="602">
        <f t="shared" si="132"/>
        <v>10075</v>
      </c>
      <c r="DG47" s="575"/>
      <c r="DH47" s="575" t="str">
        <f t="shared" si="46"/>
        <v/>
      </c>
      <c r="DI47" s="74" t="str">
        <f t="shared" si="47"/>
        <v/>
      </c>
      <c r="DJ47" s="74" t="str">
        <f t="shared" si="48"/>
        <v/>
      </c>
      <c r="DK47" s="623" t="str">
        <f t="shared" si="49"/>
        <v/>
      </c>
      <c r="DL47" s="74"/>
      <c r="DM47" s="74"/>
      <c r="DN47" s="582">
        <f t="shared" si="125"/>
        <v>2.7</v>
      </c>
      <c r="DO47" s="575"/>
      <c r="DP47" s="297"/>
    </row>
    <row r="48">
      <c r="A48" s="647">
        <v>42.0</v>
      </c>
      <c r="B48" s="141">
        <v>131.0</v>
      </c>
      <c r="C48" s="129">
        <v>34.0</v>
      </c>
      <c r="D48" s="129">
        <v>52.0</v>
      </c>
      <c r="E48" s="134"/>
      <c r="F48" s="154" t="s">
        <v>1246</v>
      </c>
      <c r="G48" s="154">
        <f t="shared" si="5"/>
        <v>16</v>
      </c>
      <c r="H48" s="154">
        <f t="shared" si="6"/>
        <v>15</v>
      </c>
      <c r="I48" s="154">
        <f t="shared" si="7"/>
        <v>16</v>
      </c>
      <c r="J48" s="154">
        <f t="shared" si="8"/>
        <v>19</v>
      </c>
      <c r="K48" s="154">
        <f t="shared" si="9"/>
        <v>19</v>
      </c>
      <c r="L48" s="154">
        <f t="shared" si="10"/>
        <v>15</v>
      </c>
      <c r="M48" s="648">
        <f t="shared" si="11"/>
        <v>20</v>
      </c>
      <c r="N48" s="134" t="s">
        <v>507</v>
      </c>
      <c r="O48" s="649" t="s">
        <v>1932</v>
      </c>
      <c r="P48" s="650"/>
      <c r="Q48" s="650" t="s">
        <v>1670</v>
      </c>
      <c r="R48" s="650" t="s">
        <v>1314</v>
      </c>
      <c r="S48" s="796" t="s">
        <v>2307</v>
      </c>
      <c r="T48" s="651" t="s">
        <v>508</v>
      </c>
      <c r="U48" s="129">
        <v>48.0</v>
      </c>
      <c r="V48" s="129">
        <v>25.0</v>
      </c>
      <c r="W48" s="129">
        <v>100.0</v>
      </c>
      <c r="X48" s="134"/>
      <c r="Y48" s="129">
        <v>4.0</v>
      </c>
      <c r="Z48" s="129">
        <v>20.0</v>
      </c>
      <c r="AA48" s="129">
        <v>2.0</v>
      </c>
      <c r="AB48" s="129">
        <v>110.0</v>
      </c>
      <c r="AC48" s="129">
        <v>6543.0</v>
      </c>
      <c r="AD48" s="129">
        <v>4.0</v>
      </c>
      <c r="AE48" s="129">
        <v>110.0</v>
      </c>
      <c r="AF48" s="134"/>
      <c r="AG48" s="129">
        <v>39.0</v>
      </c>
      <c r="AH48" s="129">
        <v>60.0</v>
      </c>
      <c r="AI48" s="652">
        <f t="shared" si="12"/>
        <v>49.5</v>
      </c>
      <c r="AJ48" s="134"/>
      <c r="AK48" s="134"/>
      <c r="AL48" s="134"/>
      <c r="AM48" s="134"/>
      <c r="AN48" s="134"/>
      <c r="AO48" s="134"/>
      <c r="AP48" s="134"/>
      <c r="AQ48" s="134"/>
      <c r="AR48" s="134"/>
      <c r="AS48" s="653"/>
      <c r="AT48" s="154">
        <f t="shared" si="13"/>
        <v>946</v>
      </c>
      <c r="AU48" s="154">
        <f t="shared" si="14"/>
        <v>1325</v>
      </c>
      <c r="AV48" s="654">
        <f t="shared" si="15"/>
        <v>1135.5</v>
      </c>
      <c r="AW48" s="655">
        <f t="shared" si="16"/>
        <v>1419</v>
      </c>
      <c r="AX48" s="655">
        <f t="shared" si="17"/>
        <v>1577</v>
      </c>
      <c r="AY48" s="655">
        <f t="shared" si="18"/>
        <v>1419</v>
      </c>
      <c r="AZ48" s="655">
        <f t="shared" si="19"/>
        <v>1577</v>
      </c>
      <c r="BA48" s="655">
        <f t="shared" si="20"/>
        <v>1234</v>
      </c>
      <c r="BB48" s="655">
        <f t="shared" si="21"/>
        <v>1136</v>
      </c>
      <c r="BC48" s="655">
        <f t="shared" si="22"/>
        <v>1234</v>
      </c>
      <c r="BD48" s="655">
        <f t="shared" si="23"/>
        <v>692</v>
      </c>
      <c r="BE48" s="655">
        <f t="shared" si="24"/>
        <v>835</v>
      </c>
      <c r="BF48" s="655">
        <f t="shared" si="25"/>
        <v>789</v>
      </c>
      <c r="BG48" s="655">
        <f t="shared" si="26"/>
        <v>946</v>
      </c>
      <c r="BH48" s="655">
        <f t="shared" si="27"/>
        <v>946</v>
      </c>
      <c r="BI48" s="655">
        <f t="shared" si="28"/>
        <v>1051</v>
      </c>
      <c r="BJ48" s="655">
        <f t="shared" si="29"/>
        <v>1051</v>
      </c>
      <c r="BK48" s="655">
        <f t="shared" si="30"/>
        <v>835</v>
      </c>
      <c r="BL48" s="655">
        <f t="shared" si="31"/>
        <v>767</v>
      </c>
      <c r="BM48" s="134"/>
      <c r="BN48" s="134"/>
      <c r="BO48" s="655">
        <f t="shared" si="128"/>
        <v>2839</v>
      </c>
      <c r="BP48" s="656">
        <f t="shared" si="33"/>
        <v>2839</v>
      </c>
      <c r="BQ48" s="129">
        <v>35.0</v>
      </c>
      <c r="BR48" s="129">
        <v>58.0</v>
      </c>
      <c r="BS48" s="129">
        <v>20.0</v>
      </c>
      <c r="BT48" s="129">
        <v>110.0</v>
      </c>
      <c r="BU48" s="134"/>
      <c r="BV48" s="135">
        <f t="shared" si="34"/>
        <v>46.5</v>
      </c>
      <c r="BW48" s="657">
        <f t="shared" si="35"/>
        <v>1302</v>
      </c>
      <c r="BX48" s="655">
        <f t="shared" si="36"/>
        <v>1627.5</v>
      </c>
      <c r="BY48" s="655">
        <f t="shared" si="37"/>
        <v>1808.3</v>
      </c>
      <c r="BZ48" s="655">
        <f t="shared" si="38"/>
        <v>1627.5</v>
      </c>
      <c r="CA48" s="655">
        <f t="shared" si="39"/>
        <v>1415.2</v>
      </c>
      <c r="CB48" s="655">
        <f t="shared" si="40"/>
        <v>1415.2</v>
      </c>
      <c r="CC48" s="655">
        <f t="shared" si="41"/>
        <v>1808.3</v>
      </c>
      <c r="CD48" s="655">
        <f t="shared" si="42"/>
        <v>1302</v>
      </c>
      <c r="CE48" s="659">
        <f t="shared" si="43"/>
        <v>6.5</v>
      </c>
      <c r="CF48" s="141">
        <f t="shared" ref="CF48:CG48" si="133">IF(ROUND(100*(AV48/BW48)-100,1)=0,"",ROUND(100*(AV48/BW48)-100,1))</f>
        <v>-12.8</v>
      </c>
      <c r="CG48" s="647">
        <f t="shared" si="133"/>
        <v>-12.8</v>
      </c>
      <c r="CH48" s="653" t="s">
        <v>507</v>
      </c>
      <c r="CI48" s="655">
        <f t="shared" ref="CI48:DF48" si="134">FLOOR($AV48/(CI$3/25),1)</f>
        <v>1135</v>
      </c>
      <c r="CJ48" s="655">
        <f t="shared" si="134"/>
        <v>1182</v>
      </c>
      <c r="CK48" s="655">
        <f t="shared" si="134"/>
        <v>1234</v>
      </c>
      <c r="CL48" s="655">
        <f t="shared" si="134"/>
        <v>1290</v>
      </c>
      <c r="CM48" s="655">
        <f t="shared" si="134"/>
        <v>1351</v>
      </c>
      <c r="CN48" s="655">
        <f t="shared" si="134"/>
        <v>1419</v>
      </c>
      <c r="CO48" s="655">
        <f t="shared" si="134"/>
        <v>1494</v>
      </c>
      <c r="CP48" s="655">
        <f t="shared" si="134"/>
        <v>1577</v>
      </c>
      <c r="CQ48" s="655">
        <f t="shared" si="134"/>
        <v>1669</v>
      </c>
      <c r="CR48" s="655">
        <f t="shared" si="134"/>
        <v>1774</v>
      </c>
      <c r="CS48" s="655">
        <f t="shared" si="134"/>
        <v>1892</v>
      </c>
      <c r="CT48" s="655">
        <f t="shared" si="134"/>
        <v>2027</v>
      </c>
      <c r="CU48" s="655">
        <f t="shared" si="134"/>
        <v>2183</v>
      </c>
      <c r="CV48" s="655">
        <f t="shared" si="134"/>
        <v>2365</v>
      </c>
      <c r="CW48" s="655">
        <f t="shared" si="134"/>
        <v>2580</v>
      </c>
      <c r="CX48" s="655">
        <f t="shared" si="134"/>
        <v>2838</v>
      </c>
      <c r="CY48" s="655">
        <f t="shared" si="134"/>
        <v>3154</v>
      </c>
      <c r="CZ48" s="655">
        <f t="shared" si="134"/>
        <v>3548</v>
      </c>
      <c r="DA48" s="655">
        <f t="shared" si="134"/>
        <v>4055</v>
      </c>
      <c r="DB48" s="655">
        <f t="shared" si="134"/>
        <v>4731</v>
      </c>
      <c r="DC48" s="655">
        <f t="shared" si="134"/>
        <v>5677</v>
      </c>
      <c r="DD48" s="655">
        <f t="shared" si="134"/>
        <v>7096</v>
      </c>
      <c r="DE48" s="655">
        <f t="shared" si="134"/>
        <v>9462</v>
      </c>
      <c r="DF48" s="656">
        <f t="shared" si="134"/>
        <v>14193</v>
      </c>
      <c r="DG48" s="653"/>
      <c r="DH48" s="653" t="str">
        <f t="shared" si="46"/>
        <v/>
      </c>
      <c r="DI48" s="134" t="str">
        <f t="shared" si="47"/>
        <v/>
      </c>
      <c r="DJ48" s="134" t="str">
        <f t="shared" si="48"/>
        <v/>
      </c>
      <c r="DK48" s="662" t="str">
        <f t="shared" si="49"/>
        <v/>
      </c>
      <c r="DL48" s="134"/>
      <c r="DM48" s="134"/>
      <c r="DN48" s="655">
        <f t="shared" si="125"/>
        <v>1.8</v>
      </c>
      <c r="DO48" s="653"/>
      <c r="DP48" s="663"/>
    </row>
    <row r="49">
      <c r="A49" s="552">
        <v>43.0</v>
      </c>
      <c r="B49" s="86">
        <v>242.0</v>
      </c>
      <c r="C49" s="54">
        <v>35.0</v>
      </c>
      <c r="D49" s="54">
        <v>43.0</v>
      </c>
      <c r="E49" s="74"/>
      <c r="F49" s="68" t="s">
        <v>1246</v>
      </c>
      <c r="G49" s="68">
        <f t="shared" si="5"/>
        <v>16</v>
      </c>
      <c r="H49" s="68">
        <f t="shared" si="6"/>
        <v>15</v>
      </c>
      <c r="I49" s="68">
        <f t="shared" si="7"/>
        <v>16</v>
      </c>
      <c r="J49" s="68">
        <f t="shared" si="8"/>
        <v>19</v>
      </c>
      <c r="K49" s="68">
        <f t="shared" si="9"/>
        <v>19</v>
      </c>
      <c r="L49" s="68">
        <f t="shared" si="10"/>
        <v>15</v>
      </c>
      <c r="M49" s="569">
        <f t="shared" si="11"/>
        <v>20</v>
      </c>
      <c r="N49" s="74" t="s">
        <v>433</v>
      </c>
      <c r="O49" s="570" t="s">
        <v>1935</v>
      </c>
      <c r="P49" s="571"/>
      <c r="Q49" s="571" t="s">
        <v>1676</v>
      </c>
      <c r="R49" s="571" t="s">
        <v>1314</v>
      </c>
      <c r="S49" s="791" t="s">
        <v>2095</v>
      </c>
      <c r="T49" s="572" t="s">
        <v>434</v>
      </c>
      <c r="U49" s="54">
        <v>52.0</v>
      </c>
      <c r="V49" s="54">
        <v>39.0</v>
      </c>
      <c r="W49" s="54">
        <v>88.0</v>
      </c>
      <c r="X49" s="54">
        <v>43.0</v>
      </c>
      <c r="Y49" s="54">
        <v>3.0</v>
      </c>
      <c r="Z49" s="54">
        <v>-10.0</v>
      </c>
      <c r="AA49" s="54">
        <v>2.0</v>
      </c>
      <c r="AB49" s="669">
        <v>110.0</v>
      </c>
      <c r="AC49" s="54">
        <v>1488.0</v>
      </c>
      <c r="AD49" s="54">
        <v>1.0</v>
      </c>
      <c r="AE49" s="54">
        <v>100.0</v>
      </c>
      <c r="AF49" s="74"/>
      <c r="AG49" s="54">
        <v>44.0</v>
      </c>
      <c r="AH49" s="54">
        <v>54.0</v>
      </c>
      <c r="AI49" s="574">
        <f t="shared" si="12"/>
        <v>49</v>
      </c>
      <c r="AJ49" s="74"/>
      <c r="AK49" s="37"/>
      <c r="AL49" s="74"/>
      <c r="AM49" s="74"/>
      <c r="AN49" s="74"/>
      <c r="AO49" s="74"/>
      <c r="AP49" s="74"/>
      <c r="AQ49" s="74"/>
      <c r="AR49" s="74"/>
      <c r="AS49" s="575"/>
      <c r="AT49" s="68">
        <f t="shared" si="13"/>
        <v>972</v>
      </c>
      <c r="AU49" s="68">
        <f t="shared" si="14"/>
        <v>1142</v>
      </c>
      <c r="AV49" s="581">
        <f t="shared" si="15"/>
        <v>1057</v>
      </c>
      <c r="AW49" s="582">
        <f t="shared" si="16"/>
        <v>1888</v>
      </c>
      <c r="AX49" s="582">
        <f t="shared" si="17"/>
        <v>2033</v>
      </c>
      <c r="AY49" s="582">
        <f t="shared" si="18"/>
        <v>1888</v>
      </c>
      <c r="AZ49" s="582">
        <f t="shared" si="19"/>
        <v>2033</v>
      </c>
      <c r="BA49" s="582">
        <f t="shared" si="20"/>
        <v>1554</v>
      </c>
      <c r="BB49" s="582">
        <f t="shared" si="21"/>
        <v>1468</v>
      </c>
      <c r="BC49" s="582">
        <f t="shared" si="22"/>
        <v>1554</v>
      </c>
      <c r="BD49" s="582">
        <f t="shared" si="23"/>
        <v>1201</v>
      </c>
      <c r="BE49" s="582">
        <f t="shared" si="24"/>
        <v>1468</v>
      </c>
      <c r="BF49" s="582">
        <f t="shared" si="25"/>
        <v>1468</v>
      </c>
      <c r="BG49" s="582">
        <f t="shared" si="26"/>
        <v>1762</v>
      </c>
      <c r="BH49" s="582">
        <f t="shared" si="27"/>
        <v>1762</v>
      </c>
      <c r="BI49" s="582">
        <f t="shared" si="28"/>
        <v>1888</v>
      </c>
      <c r="BJ49" s="582">
        <f t="shared" si="29"/>
        <v>1888</v>
      </c>
      <c r="BK49" s="582">
        <f t="shared" si="30"/>
        <v>1468</v>
      </c>
      <c r="BL49" s="582">
        <f t="shared" si="31"/>
        <v>1391</v>
      </c>
      <c r="BM49" s="74"/>
      <c r="BN49" s="74"/>
      <c r="BO49" s="74"/>
      <c r="BP49" s="575" t="str">
        <f t="shared" si="33"/>
        <v/>
      </c>
      <c r="BQ49" s="670">
        <v>35.0</v>
      </c>
      <c r="BR49" s="670">
        <v>43.0</v>
      </c>
      <c r="BS49" s="670">
        <v>-10.0</v>
      </c>
      <c r="BT49" s="670">
        <v>100.0</v>
      </c>
      <c r="BU49" s="365"/>
      <c r="BV49" s="671">
        <f t="shared" si="34"/>
        <v>39</v>
      </c>
      <c r="BW49" s="672">
        <f t="shared" si="35"/>
        <v>1069.3</v>
      </c>
      <c r="BX49" s="673">
        <f t="shared" si="36"/>
        <v>1909.5</v>
      </c>
      <c r="BY49" s="673">
        <f t="shared" si="37"/>
        <v>2056.3</v>
      </c>
      <c r="BZ49" s="673">
        <f t="shared" si="38"/>
        <v>1909.5</v>
      </c>
      <c r="CA49" s="673">
        <f t="shared" si="39"/>
        <v>1572.5</v>
      </c>
      <c r="CB49" s="673">
        <f t="shared" si="40"/>
        <v>1572.5</v>
      </c>
      <c r="CC49" s="673">
        <f t="shared" si="41"/>
        <v>2056.3</v>
      </c>
      <c r="CD49" s="673">
        <f t="shared" si="42"/>
        <v>1485.1</v>
      </c>
      <c r="CE49" s="674">
        <f t="shared" si="43"/>
        <v>25.6</v>
      </c>
      <c r="CF49" s="675">
        <f t="shared" ref="CF49:CG49" si="135">IF(ROUND(100*(AV49/BW49)-100,1)=0,"",ROUND(100*(AV49/BW49)-100,1))</f>
        <v>-1.2</v>
      </c>
      <c r="CG49" s="676">
        <f t="shared" si="135"/>
        <v>-1.1</v>
      </c>
      <c r="CH49" s="575" t="s">
        <v>433</v>
      </c>
      <c r="CI49" s="582">
        <f t="shared" ref="CI49:DF49" si="136">FLOOR($AV49/(CI$3/25),1)</f>
        <v>1057</v>
      </c>
      <c r="CJ49" s="582">
        <f t="shared" si="136"/>
        <v>1101</v>
      </c>
      <c r="CK49" s="582">
        <f t="shared" si="136"/>
        <v>1148</v>
      </c>
      <c r="CL49" s="582">
        <f t="shared" si="136"/>
        <v>1201</v>
      </c>
      <c r="CM49" s="582">
        <f t="shared" si="136"/>
        <v>1258</v>
      </c>
      <c r="CN49" s="582">
        <f t="shared" si="136"/>
        <v>1321</v>
      </c>
      <c r="CO49" s="582">
        <f t="shared" si="136"/>
        <v>1390</v>
      </c>
      <c r="CP49" s="582">
        <f t="shared" si="136"/>
        <v>1468</v>
      </c>
      <c r="CQ49" s="582">
        <f t="shared" si="136"/>
        <v>1554</v>
      </c>
      <c r="CR49" s="582">
        <f t="shared" si="136"/>
        <v>1651</v>
      </c>
      <c r="CS49" s="582">
        <f t="shared" si="136"/>
        <v>1761</v>
      </c>
      <c r="CT49" s="582">
        <f t="shared" si="136"/>
        <v>1887</v>
      </c>
      <c r="CU49" s="582">
        <f t="shared" si="136"/>
        <v>2032</v>
      </c>
      <c r="CV49" s="582">
        <f t="shared" si="136"/>
        <v>2202</v>
      </c>
      <c r="CW49" s="582">
        <f t="shared" si="136"/>
        <v>2402</v>
      </c>
      <c r="CX49" s="582">
        <f t="shared" si="136"/>
        <v>2642</v>
      </c>
      <c r="CY49" s="582">
        <f t="shared" si="136"/>
        <v>2936</v>
      </c>
      <c r="CZ49" s="582">
        <f t="shared" si="136"/>
        <v>3303</v>
      </c>
      <c r="DA49" s="582">
        <f t="shared" si="136"/>
        <v>3775</v>
      </c>
      <c r="DB49" s="582">
        <f t="shared" si="136"/>
        <v>4404</v>
      </c>
      <c r="DC49" s="582">
        <f t="shared" si="136"/>
        <v>5285</v>
      </c>
      <c r="DD49" s="582">
        <f t="shared" si="136"/>
        <v>6606</v>
      </c>
      <c r="DE49" s="582">
        <f t="shared" si="136"/>
        <v>8808</v>
      </c>
      <c r="DF49" s="602">
        <f t="shared" si="136"/>
        <v>13212</v>
      </c>
      <c r="DG49" s="575"/>
      <c r="DH49" s="575" t="str">
        <f t="shared" si="46"/>
        <v/>
      </c>
      <c r="DI49" s="74" t="str">
        <f t="shared" si="47"/>
        <v/>
      </c>
      <c r="DJ49" s="74" t="str">
        <f t="shared" si="48"/>
        <v/>
      </c>
      <c r="DK49" s="664">
        <f t="shared" si="49"/>
        <v>-7.1</v>
      </c>
      <c r="DL49" s="685">
        <v>45.5</v>
      </c>
      <c r="DM49" s="74"/>
      <c r="DN49" s="582">
        <f t="shared" si="125"/>
        <v>2.3</v>
      </c>
      <c r="DO49" s="575"/>
      <c r="DP49" s="61" t="s">
        <v>2140</v>
      </c>
    </row>
    <row r="50">
      <c r="A50" s="552">
        <v>44.0</v>
      </c>
      <c r="B50" s="86">
        <v>246.0</v>
      </c>
      <c r="C50" s="54">
        <v>34.0</v>
      </c>
      <c r="D50" s="54">
        <v>60.0</v>
      </c>
      <c r="E50" s="74"/>
      <c r="F50" s="68" t="s">
        <v>1246</v>
      </c>
      <c r="G50" s="68">
        <f t="shared" si="5"/>
        <v>16</v>
      </c>
      <c r="H50" s="68">
        <f t="shared" si="6"/>
        <v>15</v>
      </c>
      <c r="I50" s="68">
        <f t="shared" si="7"/>
        <v>16</v>
      </c>
      <c r="J50" s="68">
        <f t="shared" si="8"/>
        <v>19</v>
      </c>
      <c r="K50" s="68">
        <f t="shared" si="9"/>
        <v>19</v>
      </c>
      <c r="L50" s="68">
        <f t="shared" si="10"/>
        <v>15</v>
      </c>
      <c r="M50" s="569">
        <f t="shared" si="11"/>
        <v>20</v>
      </c>
      <c r="N50" s="74" t="s">
        <v>454</v>
      </c>
      <c r="O50" s="570" t="s">
        <v>1936</v>
      </c>
      <c r="P50" s="571"/>
      <c r="Q50" s="571" t="s">
        <v>1676</v>
      </c>
      <c r="R50" s="571" t="s">
        <v>1314</v>
      </c>
      <c r="S50" s="791" t="s">
        <v>2095</v>
      </c>
      <c r="T50" s="572" t="s">
        <v>455</v>
      </c>
      <c r="U50" s="54">
        <v>57.0</v>
      </c>
      <c r="V50" s="54">
        <v>42.0</v>
      </c>
      <c r="W50" s="54">
        <v>133.0</v>
      </c>
      <c r="X50" s="74"/>
      <c r="Y50" s="54">
        <v>3.0</v>
      </c>
      <c r="Z50" s="54">
        <v>0.0</v>
      </c>
      <c r="AA50" s="54">
        <v>2.0</v>
      </c>
      <c r="AB50" s="669">
        <v>130.0</v>
      </c>
      <c r="AC50" s="54">
        <v>6793.0</v>
      </c>
      <c r="AD50" s="54">
        <v>3.0</v>
      </c>
      <c r="AE50" s="54">
        <v>100.0</v>
      </c>
      <c r="AF50" s="74"/>
      <c r="AG50" s="54">
        <v>43.0</v>
      </c>
      <c r="AH50" s="54">
        <v>75.0</v>
      </c>
      <c r="AI50" s="574">
        <f t="shared" si="12"/>
        <v>59</v>
      </c>
      <c r="AJ50" s="74"/>
      <c r="AK50" s="74"/>
      <c r="AL50" s="74"/>
      <c r="AM50" s="74"/>
      <c r="AN50" s="74"/>
      <c r="AO50" s="74"/>
      <c r="AP50" s="74"/>
      <c r="AQ50" s="74"/>
      <c r="AR50" s="74"/>
      <c r="AS50" s="575"/>
      <c r="AT50" s="68">
        <f t="shared" si="13"/>
        <v>957</v>
      </c>
      <c r="AU50" s="68">
        <f t="shared" si="14"/>
        <v>1497</v>
      </c>
      <c r="AV50" s="581">
        <f t="shared" si="15"/>
        <v>1227</v>
      </c>
      <c r="AW50" s="582">
        <f t="shared" si="16"/>
        <v>2045</v>
      </c>
      <c r="AX50" s="582">
        <f t="shared" si="17"/>
        <v>2191</v>
      </c>
      <c r="AY50" s="582">
        <f t="shared" si="18"/>
        <v>2045</v>
      </c>
      <c r="AZ50" s="582">
        <f t="shared" si="19"/>
        <v>2191</v>
      </c>
      <c r="BA50" s="582">
        <f t="shared" si="20"/>
        <v>1704</v>
      </c>
      <c r="BB50" s="582">
        <f t="shared" si="21"/>
        <v>1614</v>
      </c>
      <c r="BC50" s="582">
        <f t="shared" si="22"/>
        <v>1704</v>
      </c>
      <c r="BD50" s="582">
        <f t="shared" si="23"/>
        <v>1136</v>
      </c>
      <c r="BE50" s="582">
        <f t="shared" si="24"/>
        <v>1394</v>
      </c>
      <c r="BF50" s="582">
        <f t="shared" si="25"/>
        <v>1334</v>
      </c>
      <c r="BG50" s="582">
        <f t="shared" si="26"/>
        <v>1614</v>
      </c>
      <c r="BH50" s="582">
        <f t="shared" si="27"/>
        <v>1614</v>
      </c>
      <c r="BI50" s="582">
        <f t="shared" si="28"/>
        <v>1704</v>
      </c>
      <c r="BJ50" s="582">
        <f t="shared" si="29"/>
        <v>1704</v>
      </c>
      <c r="BK50" s="582">
        <f t="shared" si="30"/>
        <v>1394</v>
      </c>
      <c r="BL50" s="582">
        <f t="shared" si="31"/>
        <v>1334</v>
      </c>
      <c r="BM50" s="74"/>
      <c r="BN50" s="74"/>
      <c r="BO50" s="74"/>
      <c r="BP50" s="575" t="str">
        <f t="shared" si="33"/>
        <v/>
      </c>
      <c r="BQ50" s="670">
        <v>32.0</v>
      </c>
      <c r="BR50" s="670">
        <v>58.0</v>
      </c>
      <c r="BS50" s="365"/>
      <c r="BT50" s="670">
        <v>100.0</v>
      </c>
      <c r="BU50" s="365"/>
      <c r="BV50" s="671">
        <f t="shared" si="34"/>
        <v>45</v>
      </c>
      <c r="BW50" s="672">
        <f t="shared" si="35"/>
        <v>1190.8</v>
      </c>
      <c r="BX50" s="673">
        <f t="shared" si="36"/>
        <v>1984.7</v>
      </c>
      <c r="BY50" s="673">
        <f t="shared" si="37"/>
        <v>2126.4</v>
      </c>
      <c r="BZ50" s="673">
        <f t="shared" si="38"/>
        <v>1984.7</v>
      </c>
      <c r="CA50" s="673">
        <f t="shared" si="39"/>
        <v>1653.9</v>
      </c>
      <c r="CB50" s="673">
        <f t="shared" si="40"/>
        <v>1653.9</v>
      </c>
      <c r="CC50" s="673">
        <f t="shared" si="41"/>
        <v>2126.4</v>
      </c>
      <c r="CD50" s="673">
        <f t="shared" si="42"/>
        <v>1566.8</v>
      </c>
      <c r="CE50" s="674">
        <f t="shared" si="43"/>
        <v>31.1</v>
      </c>
      <c r="CF50" s="675">
        <f t="shared" ref="CF50:CG50" si="137">IF(ROUND(100*(AV50/BW50)-100,1)=0,"",ROUND(100*(AV50/BW50)-100,1))</f>
        <v>3</v>
      </c>
      <c r="CG50" s="676">
        <f t="shared" si="137"/>
        <v>3</v>
      </c>
      <c r="CH50" s="575" t="s">
        <v>454</v>
      </c>
      <c r="CI50" s="582">
        <f t="shared" ref="CI50:DF50" si="138">FLOOR($AV50/(CI$3/25),1)</f>
        <v>1227</v>
      </c>
      <c r="CJ50" s="582">
        <f t="shared" si="138"/>
        <v>1278</v>
      </c>
      <c r="CK50" s="582">
        <f t="shared" si="138"/>
        <v>1333</v>
      </c>
      <c r="CL50" s="582">
        <f t="shared" si="138"/>
        <v>1394</v>
      </c>
      <c r="CM50" s="582">
        <f t="shared" si="138"/>
        <v>1460</v>
      </c>
      <c r="CN50" s="582">
        <f t="shared" si="138"/>
        <v>1533</v>
      </c>
      <c r="CO50" s="582">
        <f t="shared" si="138"/>
        <v>1614</v>
      </c>
      <c r="CP50" s="582">
        <f t="shared" si="138"/>
        <v>1704</v>
      </c>
      <c r="CQ50" s="582">
        <f t="shared" si="138"/>
        <v>1804</v>
      </c>
      <c r="CR50" s="582">
        <f t="shared" si="138"/>
        <v>1917</v>
      </c>
      <c r="CS50" s="582">
        <f t="shared" si="138"/>
        <v>2045</v>
      </c>
      <c r="CT50" s="582">
        <f t="shared" si="138"/>
        <v>2191</v>
      </c>
      <c r="CU50" s="582">
        <f t="shared" si="138"/>
        <v>2359</v>
      </c>
      <c r="CV50" s="582">
        <f t="shared" si="138"/>
        <v>2556</v>
      </c>
      <c r="CW50" s="582">
        <f t="shared" si="138"/>
        <v>2788</v>
      </c>
      <c r="CX50" s="582">
        <f t="shared" si="138"/>
        <v>3067</v>
      </c>
      <c r="CY50" s="582">
        <f t="shared" si="138"/>
        <v>3408</v>
      </c>
      <c r="CZ50" s="582">
        <f t="shared" si="138"/>
        <v>3834</v>
      </c>
      <c r="DA50" s="582">
        <f t="shared" si="138"/>
        <v>4382</v>
      </c>
      <c r="DB50" s="582">
        <f t="shared" si="138"/>
        <v>5112</v>
      </c>
      <c r="DC50" s="582">
        <f t="shared" si="138"/>
        <v>6135</v>
      </c>
      <c r="DD50" s="582">
        <f t="shared" si="138"/>
        <v>7668</v>
      </c>
      <c r="DE50" s="582">
        <f t="shared" si="138"/>
        <v>10225</v>
      </c>
      <c r="DF50" s="602">
        <f t="shared" si="138"/>
        <v>15337</v>
      </c>
      <c r="DG50" s="575"/>
      <c r="DH50" s="575" t="str">
        <f t="shared" si="46"/>
        <v/>
      </c>
      <c r="DI50" s="74" t="str">
        <f t="shared" si="47"/>
        <v/>
      </c>
      <c r="DJ50" s="74" t="str">
        <f t="shared" si="48"/>
        <v/>
      </c>
      <c r="DK50" s="664">
        <f t="shared" si="49"/>
        <v>-18.6</v>
      </c>
      <c r="DL50" s="685">
        <v>48.0</v>
      </c>
      <c r="DM50" s="74"/>
      <c r="DN50" s="582">
        <f t="shared" si="125"/>
        <v>2</v>
      </c>
      <c r="DO50" s="575"/>
      <c r="DP50" s="61" t="s">
        <v>2140</v>
      </c>
    </row>
    <row r="51">
      <c r="A51" s="552">
        <v>45.0</v>
      </c>
      <c r="B51" s="86">
        <v>247.0</v>
      </c>
      <c r="C51" s="54">
        <v>45.0</v>
      </c>
      <c r="D51" s="54">
        <v>54.0</v>
      </c>
      <c r="E51" s="74"/>
      <c r="F51" s="68" t="s">
        <v>1246</v>
      </c>
      <c r="G51" s="68">
        <f t="shared" si="5"/>
        <v>16</v>
      </c>
      <c r="H51" s="68">
        <f t="shared" si="6"/>
        <v>15</v>
      </c>
      <c r="I51" s="68">
        <f t="shared" si="7"/>
        <v>16</v>
      </c>
      <c r="J51" s="68">
        <f t="shared" si="8"/>
        <v>19</v>
      </c>
      <c r="K51" s="68">
        <f t="shared" si="9"/>
        <v>19</v>
      </c>
      <c r="L51" s="68">
        <f t="shared" si="10"/>
        <v>15</v>
      </c>
      <c r="M51" s="569">
        <f t="shared" si="11"/>
        <v>20</v>
      </c>
      <c r="N51" s="74" t="s">
        <v>469</v>
      </c>
      <c r="O51" s="570" t="s">
        <v>2210</v>
      </c>
      <c r="P51" s="571"/>
      <c r="Q51" s="571" t="s">
        <v>1676</v>
      </c>
      <c r="R51" s="571" t="s">
        <v>1314</v>
      </c>
      <c r="S51" s="791" t="s">
        <v>2195</v>
      </c>
      <c r="T51" s="572" t="s">
        <v>470</v>
      </c>
      <c r="U51" s="54">
        <v>63.0</v>
      </c>
      <c r="V51" s="54">
        <v>47.0</v>
      </c>
      <c r="W51" s="679">
        <v>145.0</v>
      </c>
      <c r="X51" s="54">
        <v>46.0</v>
      </c>
      <c r="Y51" s="54">
        <v>3.0</v>
      </c>
      <c r="Z51" s="54">
        <v>0.0</v>
      </c>
      <c r="AA51" s="54">
        <v>2.0</v>
      </c>
      <c r="AB51" s="54">
        <v>120.0</v>
      </c>
      <c r="AC51" s="54">
        <v>14765.0</v>
      </c>
      <c r="AD51" s="54">
        <v>4.0</v>
      </c>
      <c r="AE51" s="54">
        <v>100.0</v>
      </c>
      <c r="AF51" s="74"/>
      <c r="AG51" s="54">
        <v>56.0</v>
      </c>
      <c r="AH51" s="54">
        <v>66.0</v>
      </c>
      <c r="AI51" s="574">
        <f t="shared" si="12"/>
        <v>61</v>
      </c>
      <c r="AJ51" s="74"/>
      <c r="AK51" s="74"/>
      <c r="AL51" s="74"/>
      <c r="AM51" s="74"/>
      <c r="AN51" s="74"/>
      <c r="AO51" s="74"/>
      <c r="AP51" s="74"/>
      <c r="AQ51" s="74"/>
      <c r="AR51" s="74"/>
      <c r="AS51" s="575"/>
      <c r="AT51" s="68">
        <f t="shared" si="13"/>
        <v>1176</v>
      </c>
      <c r="AU51" s="68">
        <f t="shared" si="14"/>
        <v>1342</v>
      </c>
      <c r="AV51" s="581">
        <f t="shared" si="15"/>
        <v>1259</v>
      </c>
      <c r="AW51" s="582">
        <f t="shared" si="16"/>
        <v>2098</v>
      </c>
      <c r="AX51" s="582">
        <f t="shared" si="17"/>
        <v>2248</v>
      </c>
      <c r="AY51" s="582">
        <f t="shared" si="18"/>
        <v>2098</v>
      </c>
      <c r="AZ51" s="582">
        <f t="shared" si="19"/>
        <v>2248</v>
      </c>
      <c r="BA51" s="582">
        <f t="shared" si="20"/>
        <v>1749</v>
      </c>
      <c r="BB51" s="582">
        <f t="shared" si="21"/>
        <v>1657</v>
      </c>
      <c r="BC51" s="582">
        <f t="shared" si="22"/>
        <v>1749</v>
      </c>
      <c r="BD51" s="582">
        <f t="shared" si="23"/>
        <v>1166</v>
      </c>
      <c r="BE51" s="582">
        <f t="shared" si="24"/>
        <v>1431</v>
      </c>
      <c r="BF51" s="582">
        <f t="shared" si="25"/>
        <v>1368</v>
      </c>
      <c r="BG51" s="582">
        <f t="shared" si="26"/>
        <v>1657</v>
      </c>
      <c r="BH51" s="582">
        <f t="shared" si="27"/>
        <v>1657</v>
      </c>
      <c r="BI51" s="582">
        <f t="shared" si="28"/>
        <v>1749</v>
      </c>
      <c r="BJ51" s="582">
        <f t="shared" si="29"/>
        <v>1749</v>
      </c>
      <c r="BK51" s="582">
        <f t="shared" si="30"/>
        <v>1431</v>
      </c>
      <c r="BL51" s="582">
        <f t="shared" si="31"/>
        <v>1368</v>
      </c>
      <c r="BM51" s="74"/>
      <c r="BN51" s="74"/>
      <c r="BO51" s="582">
        <f t="shared" ref="BO51:BO102" si="141">ROUND(IF($F51="1hs",2*$AV51,$AV51)*25/(CEILING((16*256)/FLOOR(256*MIN(175,MAX(15,100+IF($AS51="",$AS$1,AS51)+FLOOR((120*IF($AQ51="",$AQ$1,$AQ51))/(120+IF($AQ51="",$AQ$1,$AQ51)),1)-$Z51))/100,1),1)-1),0)</f>
        <v>4197</v>
      </c>
      <c r="BP51" s="602">
        <f t="shared" si="33"/>
        <v>4197</v>
      </c>
      <c r="BQ51" s="670">
        <v>41.0</v>
      </c>
      <c r="BR51" s="670">
        <v>49.0</v>
      </c>
      <c r="BS51" s="365"/>
      <c r="BT51" s="670">
        <v>100.0</v>
      </c>
      <c r="BU51" s="365"/>
      <c r="BV51" s="671">
        <f t="shared" si="34"/>
        <v>45</v>
      </c>
      <c r="BW51" s="672">
        <f t="shared" si="35"/>
        <v>1190.8</v>
      </c>
      <c r="BX51" s="673">
        <f t="shared" si="36"/>
        <v>1984.7</v>
      </c>
      <c r="BY51" s="673">
        <f t="shared" si="37"/>
        <v>2126.4</v>
      </c>
      <c r="BZ51" s="673">
        <f t="shared" si="38"/>
        <v>1984.7</v>
      </c>
      <c r="CA51" s="673">
        <f t="shared" si="39"/>
        <v>1653.9</v>
      </c>
      <c r="CB51" s="673">
        <f t="shared" si="40"/>
        <v>1653.9</v>
      </c>
      <c r="CC51" s="673">
        <f t="shared" si="41"/>
        <v>2126.4</v>
      </c>
      <c r="CD51" s="673">
        <f t="shared" si="42"/>
        <v>1566.8</v>
      </c>
      <c r="CE51" s="674">
        <f t="shared" si="43"/>
        <v>35.6</v>
      </c>
      <c r="CF51" s="675">
        <f t="shared" ref="CF51:CG51" si="139">IF(ROUND(100*(AV51/BW51)-100,1)=0,"",ROUND(100*(AV51/BW51)-100,1))</f>
        <v>5.7</v>
      </c>
      <c r="CG51" s="676">
        <f t="shared" si="139"/>
        <v>5.7</v>
      </c>
      <c r="CH51" s="575" t="s">
        <v>469</v>
      </c>
      <c r="CI51" s="582">
        <f t="shared" ref="CI51:DF51" si="140">FLOOR($AV51/(CI$3/25),1)</f>
        <v>1259</v>
      </c>
      <c r="CJ51" s="582">
        <f t="shared" si="140"/>
        <v>1311</v>
      </c>
      <c r="CK51" s="582">
        <f t="shared" si="140"/>
        <v>1368</v>
      </c>
      <c r="CL51" s="582">
        <f t="shared" si="140"/>
        <v>1430</v>
      </c>
      <c r="CM51" s="582">
        <f t="shared" si="140"/>
        <v>1498</v>
      </c>
      <c r="CN51" s="582">
        <f t="shared" si="140"/>
        <v>1573</v>
      </c>
      <c r="CO51" s="582">
        <f t="shared" si="140"/>
        <v>1656</v>
      </c>
      <c r="CP51" s="582">
        <f t="shared" si="140"/>
        <v>1748</v>
      </c>
      <c r="CQ51" s="582">
        <f t="shared" si="140"/>
        <v>1851</v>
      </c>
      <c r="CR51" s="582">
        <f t="shared" si="140"/>
        <v>1967</v>
      </c>
      <c r="CS51" s="582">
        <f t="shared" si="140"/>
        <v>2098</v>
      </c>
      <c r="CT51" s="582">
        <f t="shared" si="140"/>
        <v>2248</v>
      </c>
      <c r="CU51" s="582">
        <f t="shared" si="140"/>
        <v>2421</v>
      </c>
      <c r="CV51" s="582">
        <f t="shared" si="140"/>
        <v>2622</v>
      </c>
      <c r="CW51" s="582">
        <f t="shared" si="140"/>
        <v>2861</v>
      </c>
      <c r="CX51" s="582">
        <f t="shared" si="140"/>
        <v>3147</v>
      </c>
      <c r="CY51" s="582">
        <f t="shared" si="140"/>
        <v>3497</v>
      </c>
      <c r="CZ51" s="582">
        <f t="shared" si="140"/>
        <v>3934</v>
      </c>
      <c r="DA51" s="582">
        <f t="shared" si="140"/>
        <v>4496</v>
      </c>
      <c r="DB51" s="582">
        <f t="shared" si="140"/>
        <v>5245</v>
      </c>
      <c r="DC51" s="582">
        <f t="shared" si="140"/>
        <v>6295</v>
      </c>
      <c r="DD51" s="582">
        <f t="shared" si="140"/>
        <v>7868</v>
      </c>
      <c r="DE51" s="582">
        <f t="shared" si="140"/>
        <v>10491</v>
      </c>
      <c r="DF51" s="602">
        <f t="shared" si="140"/>
        <v>15737</v>
      </c>
      <c r="DG51" s="575"/>
      <c r="DH51" s="575" t="str">
        <f t="shared" si="46"/>
        <v/>
      </c>
      <c r="DI51" s="74" t="str">
        <f t="shared" si="47"/>
        <v/>
      </c>
      <c r="DJ51" s="74" t="str">
        <f t="shared" si="48"/>
        <v/>
      </c>
      <c r="DK51" s="664">
        <f t="shared" si="49"/>
        <v>-21.3</v>
      </c>
      <c r="DL51" s="685">
        <v>48.0</v>
      </c>
      <c r="DM51" s="74"/>
      <c r="DN51" s="582">
        <f t="shared" si="125"/>
        <v>1.7</v>
      </c>
      <c r="DO51" s="575" t="s">
        <v>2308</v>
      </c>
      <c r="DP51" s="61" t="s">
        <v>2242</v>
      </c>
    </row>
    <row r="52">
      <c r="A52" s="552">
        <v>46.0</v>
      </c>
      <c r="B52" s="86">
        <v>248.0</v>
      </c>
      <c r="C52" s="54">
        <v>45.0</v>
      </c>
      <c r="D52" s="54">
        <v>55.0</v>
      </c>
      <c r="E52" s="74"/>
      <c r="F52" s="68" t="s">
        <v>1246</v>
      </c>
      <c r="G52" s="68">
        <f t="shared" si="5"/>
        <v>16</v>
      </c>
      <c r="H52" s="68">
        <f t="shared" si="6"/>
        <v>15</v>
      </c>
      <c r="I52" s="68">
        <f t="shared" si="7"/>
        <v>16</v>
      </c>
      <c r="J52" s="68">
        <f t="shared" si="8"/>
        <v>19</v>
      </c>
      <c r="K52" s="68">
        <f t="shared" si="9"/>
        <v>19</v>
      </c>
      <c r="L52" s="68">
        <f t="shared" si="10"/>
        <v>15</v>
      </c>
      <c r="M52" s="569">
        <f t="shared" si="11"/>
        <v>20</v>
      </c>
      <c r="N52" s="74" t="s">
        <v>483</v>
      </c>
      <c r="O52" s="570" t="s">
        <v>1937</v>
      </c>
      <c r="P52" s="571"/>
      <c r="Q52" s="571" t="s">
        <v>1676</v>
      </c>
      <c r="R52" s="571" t="s">
        <v>1314</v>
      </c>
      <c r="S52" s="791" t="s">
        <v>2195</v>
      </c>
      <c r="T52" s="572" t="s">
        <v>484</v>
      </c>
      <c r="U52" s="54">
        <v>70.0</v>
      </c>
      <c r="V52" s="54">
        <v>52.0</v>
      </c>
      <c r="W52" s="679">
        <v>153.0</v>
      </c>
      <c r="X52" s="54">
        <v>44.0</v>
      </c>
      <c r="Y52" s="54">
        <v>3.0</v>
      </c>
      <c r="Z52" s="54">
        <v>10.0</v>
      </c>
      <c r="AA52" s="54">
        <v>2.0</v>
      </c>
      <c r="AB52" s="54">
        <v>144.0</v>
      </c>
      <c r="AC52" s="54">
        <v>15674.0</v>
      </c>
      <c r="AD52" s="54">
        <v>4.0</v>
      </c>
      <c r="AE52" s="54">
        <v>100.0</v>
      </c>
      <c r="AF52" s="74"/>
      <c r="AG52" s="54">
        <v>56.0</v>
      </c>
      <c r="AH52" s="54">
        <v>69.0</v>
      </c>
      <c r="AI52" s="574">
        <f t="shared" si="12"/>
        <v>62.5</v>
      </c>
      <c r="AJ52" s="74"/>
      <c r="AK52" s="74"/>
      <c r="AL52" s="74"/>
      <c r="AM52" s="74"/>
      <c r="AN52" s="74"/>
      <c r="AO52" s="74"/>
      <c r="AP52" s="74"/>
      <c r="AQ52" s="74"/>
      <c r="AR52" s="74"/>
      <c r="AS52" s="575"/>
      <c r="AT52" s="68">
        <f t="shared" si="13"/>
        <v>1176</v>
      </c>
      <c r="AU52" s="68">
        <f t="shared" si="14"/>
        <v>1393</v>
      </c>
      <c r="AV52" s="581">
        <f t="shared" si="15"/>
        <v>1284.5</v>
      </c>
      <c r="AW52" s="582">
        <f t="shared" si="16"/>
        <v>1889</v>
      </c>
      <c r="AX52" s="582">
        <f t="shared" si="17"/>
        <v>2007</v>
      </c>
      <c r="AY52" s="582">
        <f t="shared" si="18"/>
        <v>1889</v>
      </c>
      <c r="AZ52" s="582">
        <f t="shared" si="19"/>
        <v>2007</v>
      </c>
      <c r="BA52" s="582">
        <f t="shared" si="20"/>
        <v>1529</v>
      </c>
      <c r="BB52" s="582">
        <f t="shared" si="21"/>
        <v>1460</v>
      </c>
      <c r="BC52" s="582">
        <f t="shared" si="22"/>
        <v>1529</v>
      </c>
      <c r="BD52" s="582">
        <f t="shared" si="23"/>
        <v>973</v>
      </c>
      <c r="BE52" s="582">
        <f t="shared" si="24"/>
        <v>1147</v>
      </c>
      <c r="BF52" s="582">
        <f t="shared" si="25"/>
        <v>1189</v>
      </c>
      <c r="BG52" s="582">
        <f t="shared" si="26"/>
        <v>1460</v>
      </c>
      <c r="BH52" s="582">
        <f t="shared" si="27"/>
        <v>1460</v>
      </c>
      <c r="BI52" s="582">
        <f t="shared" si="28"/>
        <v>1529</v>
      </c>
      <c r="BJ52" s="582">
        <f t="shared" si="29"/>
        <v>1529</v>
      </c>
      <c r="BK52" s="582">
        <f t="shared" si="30"/>
        <v>1147</v>
      </c>
      <c r="BL52" s="582">
        <f t="shared" si="31"/>
        <v>1107</v>
      </c>
      <c r="BM52" s="74"/>
      <c r="BN52" s="74"/>
      <c r="BO52" s="582">
        <f t="shared" si="141"/>
        <v>3778</v>
      </c>
      <c r="BP52" s="602">
        <f t="shared" si="33"/>
        <v>3778</v>
      </c>
      <c r="BQ52" s="670">
        <v>43.0</v>
      </c>
      <c r="BR52" s="670">
        <v>53.0</v>
      </c>
      <c r="BS52" s="670">
        <v>10.0</v>
      </c>
      <c r="BT52" s="670">
        <v>100.0</v>
      </c>
      <c r="BU52" s="365"/>
      <c r="BV52" s="671">
        <f t="shared" si="34"/>
        <v>48</v>
      </c>
      <c r="BW52" s="672">
        <f t="shared" si="35"/>
        <v>1251.5</v>
      </c>
      <c r="BX52" s="673">
        <f t="shared" si="36"/>
        <v>1840.4</v>
      </c>
      <c r="BY52" s="673">
        <f t="shared" si="37"/>
        <v>1955.5</v>
      </c>
      <c r="BZ52" s="673">
        <f t="shared" si="38"/>
        <v>1840.4</v>
      </c>
      <c r="CA52" s="673">
        <f t="shared" si="39"/>
        <v>1489.9</v>
      </c>
      <c r="CB52" s="673">
        <f t="shared" si="40"/>
        <v>1489.9</v>
      </c>
      <c r="CC52" s="673">
        <f t="shared" si="41"/>
        <v>1955.5</v>
      </c>
      <c r="CD52" s="673">
        <f t="shared" si="42"/>
        <v>1422.2</v>
      </c>
      <c r="CE52" s="674">
        <f t="shared" si="43"/>
        <v>30.2</v>
      </c>
      <c r="CF52" s="675">
        <f t="shared" ref="CF52:CG52" si="142">IF(ROUND(100*(AV52/BW52)-100,1)=0,"",ROUND(100*(AV52/BW52)-100,1))</f>
        <v>2.6</v>
      </c>
      <c r="CG52" s="676">
        <f t="shared" si="142"/>
        <v>2.6</v>
      </c>
      <c r="CH52" s="575" t="s">
        <v>483</v>
      </c>
      <c r="CI52" s="582">
        <f t="shared" ref="CI52:DF52" si="143">FLOOR($AV52/(CI$3/25),1)</f>
        <v>1284</v>
      </c>
      <c r="CJ52" s="582">
        <f t="shared" si="143"/>
        <v>1338</v>
      </c>
      <c r="CK52" s="582">
        <f t="shared" si="143"/>
        <v>1396</v>
      </c>
      <c r="CL52" s="582">
        <f t="shared" si="143"/>
        <v>1459</v>
      </c>
      <c r="CM52" s="582">
        <f t="shared" si="143"/>
        <v>1529</v>
      </c>
      <c r="CN52" s="582">
        <f t="shared" si="143"/>
        <v>1605</v>
      </c>
      <c r="CO52" s="582">
        <f t="shared" si="143"/>
        <v>1690</v>
      </c>
      <c r="CP52" s="582">
        <f t="shared" si="143"/>
        <v>1784</v>
      </c>
      <c r="CQ52" s="582">
        <f t="shared" si="143"/>
        <v>1888</v>
      </c>
      <c r="CR52" s="582">
        <f t="shared" si="143"/>
        <v>2007</v>
      </c>
      <c r="CS52" s="582">
        <f t="shared" si="143"/>
        <v>2140</v>
      </c>
      <c r="CT52" s="582">
        <f t="shared" si="143"/>
        <v>2293</v>
      </c>
      <c r="CU52" s="582">
        <f t="shared" si="143"/>
        <v>2470</v>
      </c>
      <c r="CV52" s="582">
        <f t="shared" si="143"/>
        <v>2676</v>
      </c>
      <c r="CW52" s="582">
        <f t="shared" si="143"/>
        <v>2919</v>
      </c>
      <c r="CX52" s="582">
        <f t="shared" si="143"/>
        <v>3211</v>
      </c>
      <c r="CY52" s="582">
        <f t="shared" si="143"/>
        <v>3568</v>
      </c>
      <c r="CZ52" s="582">
        <f t="shared" si="143"/>
        <v>4014</v>
      </c>
      <c r="DA52" s="582">
        <f t="shared" si="143"/>
        <v>4587</v>
      </c>
      <c r="DB52" s="582">
        <f t="shared" si="143"/>
        <v>5352</v>
      </c>
      <c r="DC52" s="582">
        <f t="shared" si="143"/>
        <v>6422</v>
      </c>
      <c r="DD52" s="582">
        <f t="shared" si="143"/>
        <v>8028</v>
      </c>
      <c r="DE52" s="582">
        <f t="shared" si="143"/>
        <v>10704</v>
      </c>
      <c r="DF52" s="602">
        <f t="shared" si="143"/>
        <v>16056</v>
      </c>
      <c r="DG52" s="575"/>
      <c r="DH52" s="575" t="str">
        <f t="shared" si="46"/>
        <v/>
      </c>
      <c r="DI52" s="74" t="str">
        <f t="shared" si="47"/>
        <v/>
      </c>
      <c r="DJ52" s="74" t="str">
        <f t="shared" si="48"/>
        <v/>
      </c>
      <c r="DK52" s="664">
        <f t="shared" si="49"/>
        <v>-18.4</v>
      </c>
      <c r="DL52" s="685">
        <v>51.0</v>
      </c>
      <c r="DM52" s="74"/>
      <c r="DN52" s="582">
        <f t="shared" si="125"/>
        <v>1.4</v>
      </c>
      <c r="DO52" s="575"/>
      <c r="DP52" s="61" t="s">
        <v>2242</v>
      </c>
    </row>
    <row r="53">
      <c r="A53" s="552">
        <v>47.0</v>
      </c>
      <c r="B53" s="86">
        <v>249.0</v>
      </c>
      <c r="C53" s="54">
        <v>11.0</v>
      </c>
      <c r="D53" s="54">
        <v>80.0</v>
      </c>
      <c r="E53" s="74"/>
      <c r="F53" s="68" t="s">
        <v>1246</v>
      </c>
      <c r="G53" s="68">
        <f t="shared" si="5"/>
        <v>16</v>
      </c>
      <c r="H53" s="68">
        <f t="shared" si="6"/>
        <v>15</v>
      </c>
      <c r="I53" s="68">
        <f t="shared" si="7"/>
        <v>16</v>
      </c>
      <c r="J53" s="68">
        <f t="shared" si="8"/>
        <v>19</v>
      </c>
      <c r="K53" s="68">
        <f t="shared" si="9"/>
        <v>19</v>
      </c>
      <c r="L53" s="68">
        <f t="shared" si="10"/>
        <v>15</v>
      </c>
      <c r="M53" s="569">
        <f t="shared" si="11"/>
        <v>20</v>
      </c>
      <c r="N53" s="74" t="s">
        <v>494</v>
      </c>
      <c r="O53" s="570" t="s">
        <v>2309</v>
      </c>
      <c r="P53" s="570" t="s">
        <v>2310</v>
      </c>
      <c r="Q53" s="571" t="s">
        <v>1676</v>
      </c>
      <c r="R53" s="571" t="s">
        <v>1314</v>
      </c>
      <c r="S53" s="791" t="s">
        <v>2195</v>
      </c>
      <c r="T53" s="572" t="s">
        <v>495</v>
      </c>
      <c r="U53" s="54">
        <v>76.0</v>
      </c>
      <c r="V53" s="54">
        <v>57.0</v>
      </c>
      <c r="W53" s="54">
        <v>125.0</v>
      </c>
      <c r="X53" s="54">
        <v>77.0</v>
      </c>
      <c r="Y53" s="54">
        <v>5.0</v>
      </c>
      <c r="Z53" s="54">
        <v>-10.0</v>
      </c>
      <c r="AA53" s="54">
        <v>2.0</v>
      </c>
      <c r="AB53" s="669">
        <v>130.0</v>
      </c>
      <c r="AC53" s="54">
        <v>19532.0</v>
      </c>
      <c r="AD53" s="54">
        <v>4.0</v>
      </c>
      <c r="AE53" s="54">
        <v>100.0</v>
      </c>
      <c r="AF53" s="74"/>
      <c r="AG53" s="54">
        <v>14.0</v>
      </c>
      <c r="AH53" s="54">
        <v>100.0</v>
      </c>
      <c r="AI53" s="574">
        <f t="shared" si="12"/>
        <v>57</v>
      </c>
      <c r="AJ53" s="74"/>
      <c r="AK53" s="74"/>
      <c r="AL53" s="74"/>
      <c r="AM53" s="74"/>
      <c r="AN53" s="74"/>
      <c r="AO53" s="74"/>
      <c r="AP53" s="74"/>
      <c r="AQ53" s="74"/>
      <c r="AR53" s="74"/>
      <c r="AS53" s="575"/>
      <c r="AT53" s="68">
        <f t="shared" si="13"/>
        <v>465</v>
      </c>
      <c r="AU53" s="68">
        <f t="shared" si="14"/>
        <v>1920</v>
      </c>
      <c r="AV53" s="581">
        <f t="shared" si="15"/>
        <v>1192.5</v>
      </c>
      <c r="AW53" s="582">
        <f t="shared" si="16"/>
        <v>2129</v>
      </c>
      <c r="AX53" s="582">
        <f t="shared" si="17"/>
        <v>2293</v>
      </c>
      <c r="AY53" s="582">
        <f t="shared" si="18"/>
        <v>2129</v>
      </c>
      <c r="AZ53" s="582">
        <f t="shared" si="19"/>
        <v>2293</v>
      </c>
      <c r="BA53" s="582">
        <f t="shared" si="20"/>
        <v>1754</v>
      </c>
      <c r="BB53" s="582">
        <f t="shared" si="21"/>
        <v>1656</v>
      </c>
      <c r="BC53" s="582">
        <f t="shared" si="22"/>
        <v>1754</v>
      </c>
      <c r="BD53" s="582">
        <f t="shared" si="23"/>
        <v>1355</v>
      </c>
      <c r="BE53" s="582">
        <f t="shared" si="24"/>
        <v>1656</v>
      </c>
      <c r="BF53" s="582">
        <f t="shared" si="25"/>
        <v>1656</v>
      </c>
      <c r="BG53" s="582">
        <f t="shared" si="26"/>
        <v>1988</v>
      </c>
      <c r="BH53" s="582">
        <f t="shared" si="27"/>
        <v>1988</v>
      </c>
      <c r="BI53" s="582">
        <f t="shared" si="28"/>
        <v>2129</v>
      </c>
      <c r="BJ53" s="582">
        <f t="shared" si="29"/>
        <v>2129</v>
      </c>
      <c r="BK53" s="582">
        <f t="shared" si="30"/>
        <v>1656</v>
      </c>
      <c r="BL53" s="582">
        <f t="shared" si="31"/>
        <v>1569</v>
      </c>
      <c r="BM53" s="74"/>
      <c r="BN53" s="74"/>
      <c r="BO53" s="582">
        <f t="shared" si="141"/>
        <v>4259</v>
      </c>
      <c r="BP53" s="602">
        <f t="shared" si="33"/>
        <v>4259</v>
      </c>
      <c r="BQ53" s="670">
        <v>3.0</v>
      </c>
      <c r="BR53" s="670">
        <v>80.0</v>
      </c>
      <c r="BS53" s="670">
        <v>-10.0</v>
      </c>
      <c r="BT53" s="670">
        <v>100.0</v>
      </c>
      <c r="BU53" s="365"/>
      <c r="BV53" s="671">
        <f t="shared" si="34"/>
        <v>41.5</v>
      </c>
      <c r="BW53" s="672">
        <f t="shared" si="35"/>
        <v>1119.9</v>
      </c>
      <c r="BX53" s="673">
        <f t="shared" si="36"/>
        <v>1999.8</v>
      </c>
      <c r="BY53" s="673">
        <f t="shared" si="37"/>
        <v>2153.7</v>
      </c>
      <c r="BZ53" s="673">
        <f t="shared" si="38"/>
        <v>1999.8</v>
      </c>
      <c r="CA53" s="673">
        <f t="shared" si="39"/>
        <v>1646.9</v>
      </c>
      <c r="CB53" s="673">
        <f t="shared" si="40"/>
        <v>1646.9</v>
      </c>
      <c r="CC53" s="673">
        <f t="shared" si="41"/>
        <v>2153.7</v>
      </c>
      <c r="CD53" s="673">
        <f t="shared" si="42"/>
        <v>1555.4</v>
      </c>
      <c r="CE53" s="674">
        <f t="shared" si="43"/>
        <v>37.3</v>
      </c>
      <c r="CF53" s="675">
        <f t="shared" ref="CF53:CG53" si="144">IF(ROUND(100*(AV53/BW53)-100,1)=0,"",ROUND(100*(AV53/BW53)-100,1))</f>
        <v>6.5</v>
      </c>
      <c r="CG53" s="676">
        <f t="shared" si="144"/>
        <v>6.5</v>
      </c>
      <c r="CH53" s="575" t="s">
        <v>494</v>
      </c>
      <c r="CI53" s="582">
        <f t="shared" ref="CI53:DF53" si="145">FLOOR($AV53/(CI$3/25),1)</f>
        <v>1192</v>
      </c>
      <c r="CJ53" s="582">
        <f t="shared" si="145"/>
        <v>1242</v>
      </c>
      <c r="CK53" s="582">
        <f t="shared" si="145"/>
        <v>1296</v>
      </c>
      <c r="CL53" s="582">
        <f t="shared" si="145"/>
        <v>1355</v>
      </c>
      <c r="CM53" s="582">
        <f t="shared" si="145"/>
        <v>1419</v>
      </c>
      <c r="CN53" s="582">
        <f t="shared" si="145"/>
        <v>1490</v>
      </c>
      <c r="CO53" s="582">
        <f t="shared" si="145"/>
        <v>1569</v>
      </c>
      <c r="CP53" s="582">
        <f t="shared" si="145"/>
        <v>1656</v>
      </c>
      <c r="CQ53" s="582">
        <f t="shared" si="145"/>
        <v>1753</v>
      </c>
      <c r="CR53" s="582">
        <f t="shared" si="145"/>
        <v>1863</v>
      </c>
      <c r="CS53" s="582">
        <f t="shared" si="145"/>
        <v>1987</v>
      </c>
      <c r="CT53" s="582">
        <f t="shared" si="145"/>
        <v>2129</v>
      </c>
      <c r="CU53" s="582">
        <f t="shared" si="145"/>
        <v>2293</v>
      </c>
      <c r="CV53" s="582">
        <f t="shared" si="145"/>
        <v>2484</v>
      </c>
      <c r="CW53" s="582">
        <f t="shared" si="145"/>
        <v>2710</v>
      </c>
      <c r="CX53" s="582">
        <f t="shared" si="145"/>
        <v>2981</v>
      </c>
      <c r="CY53" s="582">
        <f t="shared" si="145"/>
        <v>3312</v>
      </c>
      <c r="CZ53" s="582">
        <f t="shared" si="145"/>
        <v>3726</v>
      </c>
      <c r="DA53" s="582">
        <f t="shared" si="145"/>
        <v>4258</v>
      </c>
      <c r="DB53" s="582">
        <f t="shared" si="145"/>
        <v>4968</v>
      </c>
      <c r="DC53" s="582">
        <f t="shared" si="145"/>
        <v>5962</v>
      </c>
      <c r="DD53" s="582">
        <f t="shared" si="145"/>
        <v>7453</v>
      </c>
      <c r="DE53" s="582">
        <f t="shared" si="145"/>
        <v>9937</v>
      </c>
      <c r="DF53" s="602">
        <f t="shared" si="145"/>
        <v>14906</v>
      </c>
      <c r="DG53" s="575"/>
      <c r="DH53" s="575" t="str">
        <f t="shared" si="46"/>
        <v/>
      </c>
      <c r="DI53" s="74" t="str">
        <f t="shared" si="47"/>
        <v/>
      </c>
      <c r="DJ53" s="74" t="str">
        <f t="shared" si="48"/>
        <v/>
      </c>
      <c r="DK53" s="623" t="str">
        <f t="shared" si="49"/>
        <v/>
      </c>
      <c r="DL53" s="74"/>
      <c r="DM53" s="74"/>
      <c r="DN53" s="582">
        <f t="shared" si="125"/>
        <v>1.7</v>
      </c>
      <c r="DO53" s="575"/>
      <c r="DP53" s="297"/>
    </row>
    <row r="54">
      <c r="A54" s="686">
        <v>48.0</v>
      </c>
      <c r="B54" s="196">
        <v>250.0</v>
      </c>
      <c r="C54" s="186">
        <v>50.0</v>
      </c>
      <c r="D54" s="186">
        <v>61.0</v>
      </c>
      <c r="E54" s="190"/>
      <c r="F54" s="221" t="s">
        <v>1246</v>
      </c>
      <c r="G54" s="221">
        <f t="shared" si="5"/>
        <v>16</v>
      </c>
      <c r="H54" s="221">
        <f t="shared" si="6"/>
        <v>15</v>
      </c>
      <c r="I54" s="221">
        <f t="shared" si="7"/>
        <v>16</v>
      </c>
      <c r="J54" s="221">
        <f t="shared" si="8"/>
        <v>19</v>
      </c>
      <c r="K54" s="221">
        <f t="shared" si="9"/>
        <v>19</v>
      </c>
      <c r="L54" s="221">
        <f t="shared" si="10"/>
        <v>15</v>
      </c>
      <c r="M54" s="687">
        <f t="shared" si="11"/>
        <v>20</v>
      </c>
      <c r="N54" s="190" t="s">
        <v>511</v>
      </c>
      <c r="O54" s="688" t="s">
        <v>2311</v>
      </c>
      <c r="P54" s="688" t="s">
        <v>2312</v>
      </c>
      <c r="Q54" s="689" t="s">
        <v>1676</v>
      </c>
      <c r="R54" s="689" t="s">
        <v>1314</v>
      </c>
      <c r="S54" s="797" t="s">
        <v>2307</v>
      </c>
      <c r="T54" s="690" t="s">
        <v>512</v>
      </c>
      <c r="U54" s="186">
        <v>82.0</v>
      </c>
      <c r="V54" s="186">
        <v>61.0</v>
      </c>
      <c r="W54" s="798">
        <v>189.0</v>
      </c>
      <c r="X54" s="190"/>
      <c r="Y54" s="186">
        <v>4.0</v>
      </c>
      <c r="Z54" s="186">
        <v>20.0</v>
      </c>
      <c r="AA54" s="186">
        <v>2.0</v>
      </c>
      <c r="AB54" s="691">
        <v>130.0</v>
      </c>
      <c r="AC54" s="186">
        <v>14388.0</v>
      </c>
      <c r="AD54" s="186">
        <v>4.0</v>
      </c>
      <c r="AE54" s="186">
        <v>110.0</v>
      </c>
      <c r="AF54" s="190"/>
      <c r="AG54" s="186">
        <v>63.0</v>
      </c>
      <c r="AH54" s="186">
        <v>76.0</v>
      </c>
      <c r="AI54" s="692">
        <f t="shared" si="12"/>
        <v>69.5</v>
      </c>
      <c r="AJ54" s="190"/>
      <c r="AK54" s="190"/>
      <c r="AL54" s="190"/>
      <c r="AM54" s="190"/>
      <c r="AN54" s="190"/>
      <c r="AO54" s="190"/>
      <c r="AP54" s="190"/>
      <c r="AQ54" s="190"/>
      <c r="AR54" s="190"/>
      <c r="AS54" s="377"/>
      <c r="AT54" s="221">
        <f t="shared" si="13"/>
        <v>1380</v>
      </c>
      <c r="AU54" s="221">
        <f t="shared" si="14"/>
        <v>1612</v>
      </c>
      <c r="AV54" s="693">
        <f t="shared" si="15"/>
        <v>1496</v>
      </c>
      <c r="AW54" s="694">
        <f t="shared" si="16"/>
        <v>1870</v>
      </c>
      <c r="AX54" s="694">
        <f t="shared" si="17"/>
        <v>2078</v>
      </c>
      <c r="AY54" s="694">
        <f t="shared" si="18"/>
        <v>1870</v>
      </c>
      <c r="AZ54" s="694">
        <f t="shared" si="19"/>
        <v>2078</v>
      </c>
      <c r="BA54" s="694">
        <f t="shared" si="20"/>
        <v>1626</v>
      </c>
      <c r="BB54" s="694">
        <f t="shared" si="21"/>
        <v>1496</v>
      </c>
      <c r="BC54" s="694">
        <f t="shared" si="22"/>
        <v>1626</v>
      </c>
      <c r="BD54" s="694">
        <f t="shared" si="23"/>
        <v>912</v>
      </c>
      <c r="BE54" s="694">
        <f t="shared" si="24"/>
        <v>1100</v>
      </c>
      <c r="BF54" s="694">
        <f t="shared" si="25"/>
        <v>1039</v>
      </c>
      <c r="BG54" s="694">
        <f t="shared" si="26"/>
        <v>1247</v>
      </c>
      <c r="BH54" s="694">
        <f t="shared" si="27"/>
        <v>1247</v>
      </c>
      <c r="BI54" s="694">
        <f t="shared" si="28"/>
        <v>1385</v>
      </c>
      <c r="BJ54" s="694">
        <f t="shared" si="29"/>
        <v>1385</v>
      </c>
      <c r="BK54" s="694">
        <f t="shared" si="30"/>
        <v>1100</v>
      </c>
      <c r="BL54" s="694">
        <f t="shared" si="31"/>
        <v>1011</v>
      </c>
      <c r="BM54" s="190"/>
      <c r="BN54" s="190"/>
      <c r="BO54" s="694">
        <f t="shared" si="141"/>
        <v>3740</v>
      </c>
      <c r="BP54" s="695">
        <f t="shared" si="33"/>
        <v>3740</v>
      </c>
      <c r="BQ54" s="696">
        <v>50.0</v>
      </c>
      <c r="BR54" s="696">
        <v>61.0</v>
      </c>
      <c r="BS54" s="696">
        <v>20.0</v>
      </c>
      <c r="BT54" s="696">
        <v>110.0</v>
      </c>
      <c r="BU54" s="697"/>
      <c r="BV54" s="698">
        <f t="shared" si="34"/>
        <v>55.5</v>
      </c>
      <c r="BW54" s="699">
        <f t="shared" si="35"/>
        <v>1496.3</v>
      </c>
      <c r="BX54" s="700">
        <f t="shared" si="36"/>
        <v>1870.4</v>
      </c>
      <c r="BY54" s="700">
        <f t="shared" si="37"/>
        <v>2078.2</v>
      </c>
      <c r="BZ54" s="700">
        <f t="shared" si="38"/>
        <v>1870.4</v>
      </c>
      <c r="CA54" s="700">
        <f t="shared" si="39"/>
        <v>1626.4</v>
      </c>
      <c r="CB54" s="700">
        <f t="shared" si="40"/>
        <v>1626.4</v>
      </c>
      <c r="CC54" s="700">
        <f t="shared" si="41"/>
        <v>2078.2</v>
      </c>
      <c r="CD54" s="700">
        <f t="shared" si="42"/>
        <v>1496.3</v>
      </c>
      <c r="CE54" s="701">
        <f t="shared" si="43"/>
        <v>25.2</v>
      </c>
      <c r="CF54" s="702" t="str">
        <f t="shared" ref="CF54:CG54" si="146">IF(ROUND(100*(AV54/BW54)-100,1)=0,"",ROUND(100*(AV54/BW54)-100,1))</f>
        <v/>
      </c>
      <c r="CG54" s="703" t="str">
        <f t="shared" si="146"/>
        <v/>
      </c>
      <c r="CH54" s="377" t="s">
        <v>511</v>
      </c>
      <c r="CI54" s="694">
        <f t="shared" ref="CI54:DF54" si="147">FLOOR($AV54/(CI$3/25),1)</f>
        <v>1496</v>
      </c>
      <c r="CJ54" s="694">
        <f t="shared" si="147"/>
        <v>1558</v>
      </c>
      <c r="CK54" s="694">
        <f t="shared" si="147"/>
        <v>1626</v>
      </c>
      <c r="CL54" s="694">
        <f t="shared" si="147"/>
        <v>1700</v>
      </c>
      <c r="CM54" s="694">
        <f t="shared" si="147"/>
        <v>1780</v>
      </c>
      <c r="CN54" s="694">
        <f t="shared" si="147"/>
        <v>1870</v>
      </c>
      <c r="CO54" s="694">
        <f t="shared" si="147"/>
        <v>1968</v>
      </c>
      <c r="CP54" s="694">
        <f t="shared" si="147"/>
        <v>2077</v>
      </c>
      <c r="CQ54" s="694">
        <f t="shared" si="147"/>
        <v>2200</v>
      </c>
      <c r="CR54" s="694">
        <f t="shared" si="147"/>
        <v>2337</v>
      </c>
      <c r="CS54" s="694">
        <f t="shared" si="147"/>
        <v>2493</v>
      </c>
      <c r="CT54" s="694">
        <f t="shared" si="147"/>
        <v>2671</v>
      </c>
      <c r="CU54" s="694">
        <f t="shared" si="147"/>
        <v>2876</v>
      </c>
      <c r="CV54" s="694">
        <f t="shared" si="147"/>
        <v>3116</v>
      </c>
      <c r="CW54" s="694">
        <f t="shared" si="147"/>
        <v>3400</v>
      </c>
      <c r="CX54" s="694">
        <f t="shared" si="147"/>
        <v>3740</v>
      </c>
      <c r="CY54" s="694">
        <f t="shared" si="147"/>
        <v>4155</v>
      </c>
      <c r="CZ54" s="694">
        <f t="shared" si="147"/>
        <v>4675</v>
      </c>
      <c r="DA54" s="694">
        <f t="shared" si="147"/>
        <v>5342</v>
      </c>
      <c r="DB54" s="694">
        <f t="shared" si="147"/>
        <v>6233</v>
      </c>
      <c r="DC54" s="694">
        <f t="shared" si="147"/>
        <v>7480</v>
      </c>
      <c r="DD54" s="694">
        <f t="shared" si="147"/>
        <v>9350</v>
      </c>
      <c r="DE54" s="694">
        <f t="shared" si="147"/>
        <v>12466</v>
      </c>
      <c r="DF54" s="695">
        <f t="shared" si="147"/>
        <v>18700</v>
      </c>
      <c r="DG54" s="377"/>
      <c r="DH54" s="377" t="str">
        <f t="shared" si="46"/>
        <v/>
      </c>
      <c r="DI54" s="190" t="str">
        <f t="shared" si="47"/>
        <v/>
      </c>
      <c r="DJ54" s="190" t="str">
        <f t="shared" si="48"/>
        <v/>
      </c>
      <c r="DK54" s="704" t="str">
        <f t="shared" si="49"/>
        <v/>
      </c>
      <c r="DL54" s="190"/>
      <c r="DM54" s="190"/>
      <c r="DN54" s="694">
        <f t="shared" si="125"/>
        <v>1.4</v>
      </c>
      <c r="DO54" s="377"/>
      <c r="DP54" s="705"/>
    </row>
    <row r="55">
      <c r="A55" s="552">
        <v>49.0</v>
      </c>
      <c r="B55" s="86">
        <v>24.0</v>
      </c>
      <c r="C55" s="54">
        <v>30.0</v>
      </c>
      <c r="D55" s="54">
        <v>43.0</v>
      </c>
      <c r="E55" s="74"/>
      <c r="F55" s="68" t="s">
        <v>1683</v>
      </c>
      <c r="G55" s="68">
        <f t="shared" si="5"/>
        <v>20</v>
      </c>
      <c r="H55" s="68">
        <f t="shared" si="6"/>
        <v>19</v>
      </c>
      <c r="I55" s="68">
        <f t="shared" si="7"/>
        <v>19</v>
      </c>
      <c r="J55" s="68">
        <f t="shared" si="8"/>
        <v>17</v>
      </c>
      <c r="K55" s="68">
        <f t="shared" si="9"/>
        <v>20</v>
      </c>
      <c r="L55" s="68">
        <f t="shared" si="10"/>
        <v>18</v>
      </c>
      <c r="M55" s="569">
        <f t="shared" si="11"/>
        <v>18</v>
      </c>
      <c r="N55" s="74" t="s">
        <v>519</v>
      </c>
      <c r="O55" s="570" t="s">
        <v>1925</v>
      </c>
      <c r="P55" s="571"/>
      <c r="Q55" s="571" t="s">
        <v>1313</v>
      </c>
      <c r="R55" s="571" t="s">
        <v>1685</v>
      </c>
      <c r="S55" s="791" t="s">
        <v>2307</v>
      </c>
      <c r="T55" s="572" t="s">
        <v>520</v>
      </c>
      <c r="U55" s="54">
        <v>21.0</v>
      </c>
      <c r="V55" s="54">
        <v>0.0</v>
      </c>
      <c r="W55" s="54">
        <v>69.0</v>
      </c>
      <c r="X55" s="74"/>
      <c r="Y55" s="54">
        <v>6.0</v>
      </c>
      <c r="Z55" s="54">
        <v>10.0</v>
      </c>
      <c r="AA55" s="54">
        <v>4.0</v>
      </c>
      <c r="AB55" s="54">
        <v>120.0</v>
      </c>
      <c r="AC55" s="54">
        <v>1670.0</v>
      </c>
      <c r="AD55" s="54">
        <v>4.0</v>
      </c>
      <c r="AE55" s="54">
        <v>110.0</v>
      </c>
      <c r="AF55" s="74"/>
      <c r="AG55" s="54">
        <v>30.0</v>
      </c>
      <c r="AH55" s="54">
        <v>43.0</v>
      </c>
      <c r="AI55" s="574">
        <f t="shared" si="12"/>
        <v>36.5</v>
      </c>
      <c r="AJ55" s="74"/>
      <c r="AK55" s="74"/>
      <c r="AL55" s="74"/>
      <c r="AM55" s="74"/>
      <c r="AN55" s="74"/>
      <c r="AO55" s="74"/>
      <c r="AP55" s="74"/>
      <c r="AQ55" s="74"/>
      <c r="AR55" s="74"/>
      <c r="AS55" s="575"/>
      <c r="AT55" s="68">
        <f t="shared" si="13"/>
        <v>785</v>
      </c>
      <c r="AU55" s="68">
        <f t="shared" si="14"/>
        <v>1021</v>
      </c>
      <c r="AV55" s="581">
        <f t="shared" si="15"/>
        <v>903</v>
      </c>
      <c r="AW55" s="582">
        <f t="shared" si="16"/>
        <v>1026</v>
      </c>
      <c r="AX55" s="582">
        <f t="shared" si="17"/>
        <v>1075</v>
      </c>
      <c r="AY55" s="582">
        <f t="shared" si="18"/>
        <v>1075</v>
      </c>
      <c r="AZ55" s="582">
        <f t="shared" si="19"/>
        <v>1129</v>
      </c>
      <c r="BA55" s="582">
        <f t="shared" si="20"/>
        <v>1026</v>
      </c>
      <c r="BB55" s="582">
        <f t="shared" si="21"/>
        <v>1129</v>
      </c>
      <c r="BC55" s="582">
        <f t="shared" si="22"/>
        <v>1254</v>
      </c>
      <c r="BD55" s="582">
        <f t="shared" si="23"/>
        <v>806</v>
      </c>
      <c r="BE55" s="582">
        <f t="shared" si="24"/>
        <v>941</v>
      </c>
      <c r="BF55" s="582">
        <f t="shared" si="25"/>
        <v>684</v>
      </c>
      <c r="BG55" s="582">
        <f t="shared" si="26"/>
        <v>806</v>
      </c>
      <c r="BH55" s="582">
        <f t="shared" si="27"/>
        <v>778</v>
      </c>
      <c r="BI55" s="582">
        <f t="shared" si="28"/>
        <v>806</v>
      </c>
      <c r="BJ55" s="582">
        <f t="shared" si="29"/>
        <v>868</v>
      </c>
      <c r="BK55" s="582">
        <f t="shared" si="30"/>
        <v>778</v>
      </c>
      <c r="BL55" s="582">
        <f t="shared" si="31"/>
        <v>868</v>
      </c>
      <c r="BM55" s="74"/>
      <c r="BN55" s="74"/>
      <c r="BO55" s="582">
        <f t="shared" si="141"/>
        <v>1328</v>
      </c>
      <c r="BP55" s="602">
        <f t="shared" si="33"/>
        <v>1328</v>
      </c>
      <c r="BQ55" s="54">
        <v>30.0</v>
      </c>
      <c r="BR55" s="54">
        <v>43.0</v>
      </c>
      <c r="BS55" s="54">
        <v>10.0</v>
      </c>
      <c r="BT55" s="54">
        <v>110.0</v>
      </c>
      <c r="BU55" s="74"/>
      <c r="BV55" s="83">
        <f t="shared" si="34"/>
        <v>36.5</v>
      </c>
      <c r="BW55" s="608">
        <f t="shared" si="35"/>
        <v>1086.2</v>
      </c>
      <c r="BX55" s="582">
        <f t="shared" si="36"/>
        <v>1234.3</v>
      </c>
      <c r="BY55" s="582">
        <f t="shared" si="37"/>
        <v>1293.1</v>
      </c>
      <c r="BZ55" s="582">
        <f t="shared" si="38"/>
        <v>1293.1</v>
      </c>
      <c r="CA55" s="582">
        <f t="shared" si="39"/>
        <v>1508.6</v>
      </c>
      <c r="CB55" s="582">
        <f t="shared" si="40"/>
        <v>1234.3</v>
      </c>
      <c r="CC55" s="582">
        <f t="shared" si="41"/>
        <v>1357.8</v>
      </c>
      <c r="CD55" s="582">
        <f t="shared" si="42"/>
        <v>1357.8</v>
      </c>
      <c r="CE55" s="623" t="str">
        <f t="shared" si="43"/>
        <v/>
      </c>
      <c r="CF55" s="74">
        <f t="shared" ref="CF55:CG55" si="148">IF(ROUND(100*(AV55/BW55)-100,1)=0,"",ROUND(100*(AV55/BW55)-100,1))</f>
        <v>-16.9</v>
      </c>
      <c r="CG55" s="552">
        <f t="shared" si="148"/>
        <v>-16.9</v>
      </c>
      <c r="CH55" s="575" t="s">
        <v>519</v>
      </c>
      <c r="CI55" s="582">
        <f t="shared" ref="CI55:DF55" si="149">FLOOR($AV55/(CI$3/25),1)</f>
        <v>903</v>
      </c>
      <c r="CJ55" s="582">
        <f t="shared" si="149"/>
        <v>940</v>
      </c>
      <c r="CK55" s="582">
        <f t="shared" si="149"/>
        <v>981</v>
      </c>
      <c r="CL55" s="582">
        <f t="shared" si="149"/>
        <v>1026</v>
      </c>
      <c r="CM55" s="582">
        <f t="shared" si="149"/>
        <v>1075</v>
      </c>
      <c r="CN55" s="582">
        <f t="shared" si="149"/>
        <v>1128</v>
      </c>
      <c r="CO55" s="582">
        <f t="shared" si="149"/>
        <v>1188</v>
      </c>
      <c r="CP55" s="582">
        <f t="shared" si="149"/>
        <v>1254</v>
      </c>
      <c r="CQ55" s="582">
        <f t="shared" si="149"/>
        <v>1327</v>
      </c>
      <c r="CR55" s="582">
        <f t="shared" si="149"/>
        <v>1410</v>
      </c>
      <c r="CS55" s="582">
        <f t="shared" si="149"/>
        <v>1505</v>
      </c>
      <c r="CT55" s="582">
        <f t="shared" si="149"/>
        <v>1612</v>
      </c>
      <c r="CU55" s="582">
        <f t="shared" si="149"/>
        <v>1736</v>
      </c>
      <c r="CV55" s="582">
        <f t="shared" si="149"/>
        <v>1881</v>
      </c>
      <c r="CW55" s="582">
        <f t="shared" si="149"/>
        <v>2052</v>
      </c>
      <c r="CX55" s="582">
        <f t="shared" si="149"/>
        <v>2257</v>
      </c>
      <c r="CY55" s="582">
        <f t="shared" si="149"/>
        <v>2508</v>
      </c>
      <c r="CZ55" s="582">
        <f t="shared" si="149"/>
        <v>2821</v>
      </c>
      <c r="DA55" s="582">
        <f t="shared" si="149"/>
        <v>3225</v>
      </c>
      <c r="DB55" s="582">
        <f t="shared" si="149"/>
        <v>3762</v>
      </c>
      <c r="DC55" s="582">
        <f t="shared" si="149"/>
        <v>4515</v>
      </c>
      <c r="DD55" s="582">
        <f t="shared" si="149"/>
        <v>5643</v>
      </c>
      <c r="DE55" s="582">
        <f t="shared" si="149"/>
        <v>7525</v>
      </c>
      <c r="DF55" s="602">
        <f t="shared" si="149"/>
        <v>11287</v>
      </c>
      <c r="DG55" s="575"/>
      <c r="DH55" s="575" t="str">
        <f t="shared" si="46"/>
        <v/>
      </c>
      <c r="DI55" s="74" t="str">
        <f t="shared" si="47"/>
        <v/>
      </c>
      <c r="DJ55" s="74" t="str">
        <f t="shared" si="48"/>
        <v/>
      </c>
      <c r="DK55" s="623" t="str">
        <f t="shared" si="49"/>
        <v/>
      </c>
      <c r="DL55" s="74"/>
      <c r="DM55" s="74"/>
      <c r="DN55" s="74"/>
      <c r="DO55" s="575"/>
      <c r="DP55" s="297"/>
    </row>
    <row r="56">
      <c r="A56" s="647">
        <v>50.0</v>
      </c>
      <c r="B56" s="141">
        <v>25.0</v>
      </c>
      <c r="C56" s="129">
        <v>38.0</v>
      </c>
      <c r="D56" s="129">
        <v>58.0</v>
      </c>
      <c r="E56" s="134"/>
      <c r="F56" s="154" t="s">
        <v>1683</v>
      </c>
      <c r="G56" s="154">
        <f t="shared" si="5"/>
        <v>20</v>
      </c>
      <c r="H56" s="154">
        <f t="shared" si="6"/>
        <v>19</v>
      </c>
      <c r="I56" s="154">
        <f t="shared" si="7"/>
        <v>19</v>
      </c>
      <c r="J56" s="154">
        <f t="shared" si="8"/>
        <v>17</v>
      </c>
      <c r="K56" s="154">
        <f t="shared" si="9"/>
        <v>20</v>
      </c>
      <c r="L56" s="154">
        <f t="shared" si="10"/>
        <v>18</v>
      </c>
      <c r="M56" s="648">
        <f t="shared" si="11"/>
        <v>18</v>
      </c>
      <c r="N56" s="134" t="s">
        <v>539</v>
      </c>
      <c r="O56" s="649" t="s">
        <v>1926</v>
      </c>
      <c r="P56" s="650"/>
      <c r="Q56" s="650" t="s">
        <v>1313</v>
      </c>
      <c r="R56" s="650" t="s">
        <v>1685</v>
      </c>
      <c r="S56" s="796" t="s">
        <v>2307</v>
      </c>
      <c r="T56" s="651" t="s">
        <v>540</v>
      </c>
      <c r="U56" s="129">
        <v>32.0</v>
      </c>
      <c r="V56" s="129">
        <v>0.0</v>
      </c>
      <c r="W56" s="129">
        <v>99.0</v>
      </c>
      <c r="X56" s="134"/>
      <c r="Y56" s="129">
        <v>6.0</v>
      </c>
      <c r="Z56" s="129">
        <v>20.0</v>
      </c>
      <c r="AA56" s="129">
        <v>3.0</v>
      </c>
      <c r="AB56" s="129">
        <v>120.0</v>
      </c>
      <c r="AC56" s="129">
        <v>3215.0</v>
      </c>
      <c r="AD56" s="129">
        <v>3.0</v>
      </c>
      <c r="AE56" s="129">
        <v>110.0</v>
      </c>
      <c r="AF56" s="134"/>
      <c r="AG56" s="129">
        <v>38.0</v>
      </c>
      <c r="AH56" s="129">
        <v>58.0</v>
      </c>
      <c r="AI56" s="652">
        <f t="shared" si="12"/>
        <v>48</v>
      </c>
      <c r="AJ56" s="134"/>
      <c r="AK56" s="134"/>
      <c r="AL56" s="134"/>
      <c r="AM56" s="134"/>
      <c r="AN56" s="134"/>
      <c r="AO56" s="134"/>
      <c r="AP56" s="134"/>
      <c r="AQ56" s="134"/>
      <c r="AR56" s="134"/>
      <c r="AS56" s="653"/>
      <c r="AT56" s="154">
        <f t="shared" si="13"/>
        <v>930</v>
      </c>
      <c r="AU56" s="154">
        <f t="shared" si="14"/>
        <v>1290</v>
      </c>
      <c r="AV56" s="654">
        <f t="shared" si="15"/>
        <v>1110</v>
      </c>
      <c r="AW56" s="655">
        <f t="shared" si="16"/>
        <v>1110</v>
      </c>
      <c r="AX56" s="655">
        <f t="shared" si="17"/>
        <v>1207</v>
      </c>
      <c r="AY56" s="655">
        <f t="shared" si="18"/>
        <v>1207</v>
      </c>
      <c r="AZ56" s="655">
        <f t="shared" si="19"/>
        <v>1261</v>
      </c>
      <c r="BA56" s="655">
        <f t="shared" si="20"/>
        <v>1110</v>
      </c>
      <c r="BB56" s="655">
        <f t="shared" si="21"/>
        <v>1261</v>
      </c>
      <c r="BC56" s="655">
        <f t="shared" si="22"/>
        <v>1321</v>
      </c>
      <c r="BD56" s="655">
        <f t="shared" si="23"/>
        <v>730</v>
      </c>
      <c r="BE56" s="655">
        <f t="shared" si="24"/>
        <v>895</v>
      </c>
      <c r="BF56" s="655">
        <f t="shared" si="25"/>
        <v>677</v>
      </c>
      <c r="BG56" s="655">
        <f t="shared" si="26"/>
        <v>816</v>
      </c>
      <c r="BH56" s="655">
        <f t="shared" si="27"/>
        <v>750</v>
      </c>
      <c r="BI56" s="655">
        <f t="shared" si="28"/>
        <v>816</v>
      </c>
      <c r="BJ56" s="655">
        <f t="shared" si="29"/>
        <v>841</v>
      </c>
      <c r="BK56" s="655">
        <f t="shared" si="30"/>
        <v>750</v>
      </c>
      <c r="BL56" s="655">
        <f t="shared" si="31"/>
        <v>841</v>
      </c>
      <c r="BM56" s="134"/>
      <c r="BN56" s="134"/>
      <c r="BO56" s="655">
        <f t="shared" si="141"/>
        <v>1388</v>
      </c>
      <c r="BP56" s="656">
        <f t="shared" si="33"/>
        <v>1388</v>
      </c>
      <c r="BQ56" s="129">
        <v>38.0</v>
      </c>
      <c r="BR56" s="129">
        <v>58.0</v>
      </c>
      <c r="BS56" s="129">
        <v>20.0</v>
      </c>
      <c r="BT56" s="129">
        <v>110.0</v>
      </c>
      <c r="BU56" s="134"/>
      <c r="BV56" s="135">
        <f t="shared" si="34"/>
        <v>48</v>
      </c>
      <c r="BW56" s="657">
        <f t="shared" si="35"/>
        <v>1334.4</v>
      </c>
      <c r="BX56" s="655">
        <f t="shared" si="36"/>
        <v>1334.4</v>
      </c>
      <c r="BY56" s="655">
        <f t="shared" si="37"/>
        <v>1450.4</v>
      </c>
      <c r="BZ56" s="655">
        <f t="shared" si="38"/>
        <v>1450.4</v>
      </c>
      <c r="CA56" s="655">
        <f t="shared" si="39"/>
        <v>1588.6</v>
      </c>
      <c r="CB56" s="655">
        <f t="shared" si="40"/>
        <v>1334.4</v>
      </c>
      <c r="CC56" s="655">
        <f t="shared" si="41"/>
        <v>1516.4</v>
      </c>
      <c r="CD56" s="655">
        <f t="shared" si="42"/>
        <v>1516.4</v>
      </c>
      <c r="CE56" s="662" t="str">
        <f t="shared" si="43"/>
        <v/>
      </c>
      <c r="CF56" s="134">
        <f t="shared" ref="CF56:CG56" si="150">IF(ROUND(100*(AV56/BW56)-100,1)=0,"",ROUND(100*(AV56/BW56)-100,1))</f>
        <v>-16.8</v>
      </c>
      <c r="CG56" s="653">
        <f t="shared" si="150"/>
        <v>-16.8</v>
      </c>
      <c r="CH56" s="653" t="s">
        <v>539</v>
      </c>
      <c r="CI56" s="655">
        <f t="shared" ref="CI56:DF56" si="151">FLOOR($AV56/(CI$3/25),1)</f>
        <v>1110</v>
      </c>
      <c r="CJ56" s="655">
        <f t="shared" si="151"/>
        <v>1156</v>
      </c>
      <c r="CK56" s="655">
        <f t="shared" si="151"/>
        <v>1206</v>
      </c>
      <c r="CL56" s="655">
        <f t="shared" si="151"/>
        <v>1261</v>
      </c>
      <c r="CM56" s="655">
        <f t="shared" si="151"/>
        <v>1321</v>
      </c>
      <c r="CN56" s="655">
        <f t="shared" si="151"/>
        <v>1387</v>
      </c>
      <c r="CO56" s="655">
        <f t="shared" si="151"/>
        <v>1460</v>
      </c>
      <c r="CP56" s="655">
        <f t="shared" si="151"/>
        <v>1541</v>
      </c>
      <c r="CQ56" s="655">
        <f t="shared" si="151"/>
        <v>1632</v>
      </c>
      <c r="CR56" s="655">
        <f t="shared" si="151"/>
        <v>1734</v>
      </c>
      <c r="CS56" s="655">
        <f t="shared" si="151"/>
        <v>1850</v>
      </c>
      <c r="CT56" s="655">
        <f t="shared" si="151"/>
        <v>1982</v>
      </c>
      <c r="CU56" s="655">
        <f t="shared" si="151"/>
        <v>2134</v>
      </c>
      <c r="CV56" s="655">
        <f t="shared" si="151"/>
        <v>2312</v>
      </c>
      <c r="CW56" s="655">
        <f t="shared" si="151"/>
        <v>2522</v>
      </c>
      <c r="CX56" s="655">
        <f t="shared" si="151"/>
        <v>2775</v>
      </c>
      <c r="CY56" s="655">
        <f t="shared" si="151"/>
        <v>3083</v>
      </c>
      <c r="CZ56" s="655">
        <f t="shared" si="151"/>
        <v>3468</v>
      </c>
      <c r="DA56" s="655">
        <f t="shared" si="151"/>
        <v>3964</v>
      </c>
      <c r="DB56" s="655">
        <f t="shared" si="151"/>
        <v>4625</v>
      </c>
      <c r="DC56" s="655">
        <f t="shared" si="151"/>
        <v>5550</v>
      </c>
      <c r="DD56" s="655">
        <f t="shared" si="151"/>
        <v>6937</v>
      </c>
      <c r="DE56" s="655">
        <f t="shared" si="151"/>
        <v>9250</v>
      </c>
      <c r="DF56" s="656">
        <f t="shared" si="151"/>
        <v>13875</v>
      </c>
      <c r="DG56" s="653"/>
      <c r="DH56" s="653" t="str">
        <f t="shared" si="46"/>
        <v/>
      </c>
      <c r="DI56" s="134" t="str">
        <f t="shared" si="47"/>
        <v/>
      </c>
      <c r="DJ56" s="134" t="str">
        <f t="shared" si="48"/>
        <v/>
      </c>
      <c r="DK56" s="662" t="str">
        <f t="shared" si="49"/>
        <v/>
      </c>
      <c r="DL56" s="134"/>
      <c r="DM56" s="134"/>
      <c r="DN56" s="134"/>
      <c r="DO56" s="653"/>
      <c r="DP56" s="663"/>
    </row>
    <row r="57">
      <c r="A57" s="552">
        <v>51.0</v>
      </c>
      <c r="B57" s="86">
        <v>132.0</v>
      </c>
      <c r="C57" s="54">
        <v>60.0</v>
      </c>
      <c r="D57" s="54">
        <v>98.0</v>
      </c>
      <c r="E57" s="74"/>
      <c r="F57" s="68" t="s">
        <v>1683</v>
      </c>
      <c r="G57" s="68">
        <f t="shared" si="5"/>
        <v>20</v>
      </c>
      <c r="H57" s="68">
        <f t="shared" si="6"/>
        <v>19</v>
      </c>
      <c r="I57" s="68">
        <f t="shared" si="7"/>
        <v>19</v>
      </c>
      <c r="J57" s="68">
        <f t="shared" si="8"/>
        <v>17</v>
      </c>
      <c r="K57" s="68">
        <f t="shared" si="9"/>
        <v>20</v>
      </c>
      <c r="L57" s="68">
        <f t="shared" si="10"/>
        <v>18</v>
      </c>
      <c r="M57" s="569">
        <f t="shared" si="11"/>
        <v>18</v>
      </c>
      <c r="N57" s="74" t="s">
        <v>526</v>
      </c>
      <c r="O57" s="570" t="s">
        <v>1933</v>
      </c>
      <c r="P57" s="571"/>
      <c r="Q57" s="571" t="s">
        <v>1670</v>
      </c>
      <c r="R57" s="571" t="s">
        <v>1685</v>
      </c>
      <c r="S57" s="791" t="s">
        <v>2307</v>
      </c>
      <c r="T57" s="572" t="s">
        <v>527</v>
      </c>
      <c r="U57" s="54">
        <v>45.0</v>
      </c>
      <c r="V57" s="54">
        <v>25.0</v>
      </c>
      <c r="W57" s="54">
        <v>124.0</v>
      </c>
      <c r="X57" s="74"/>
      <c r="Y57" s="54">
        <v>6.0</v>
      </c>
      <c r="Z57" s="54">
        <v>10.0</v>
      </c>
      <c r="AA57" s="54">
        <v>4.0</v>
      </c>
      <c r="AB57" s="54">
        <v>120.0</v>
      </c>
      <c r="AC57" s="54">
        <v>5310.0</v>
      </c>
      <c r="AD57" s="54">
        <v>4.0</v>
      </c>
      <c r="AE57" s="54">
        <v>110.0</v>
      </c>
      <c r="AF57" s="74"/>
      <c r="AG57" s="54">
        <v>69.0</v>
      </c>
      <c r="AH57" s="54">
        <v>113.0</v>
      </c>
      <c r="AI57" s="574">
        <f t="shared" si="12"/>
        <v>91</v>
      </c>
      <c r="AJ57" s="74"/>
      <c r="AK57" s="74"/>
      <c r="AL57" s="74"/>
      <c r="AM57" s="74"/>
      <c r="AN57" s="74"/>
      <c r="AO57" s="74"/>
      <c r="AP57" s="74"/>
      <c r="AQ57" s="74"/>
      <c r="AR57" s="74"/>
      <c r="AS57" s="575"/>
      <c r="AT57" s="68">
        <f t="shared" si="13"/>
        <v>1486</v>
      </c>
      <c r="AU57" s="68">
        <f t="shared" si="14"/>
        <v>2280</v>
      </c>
      <c r="AV57" s="581">
        <f t="shared" si="15"/>
        <v>1883</v>
      </c>
      <c r="AW57" s="582">
        <f t="shared" si="16"/>
        <v>2140</v>
      </c>
      <c r="AX57" s="582">
        <f t="shared" si="17"/>
        <v>2242</v>
      </c>
      <c r="AY57" s="582">
        <f t="shared" si="18"/>
        <v>2242</v>
      </c>
      <c r="AZ57" s="582">
        <f t="shared" si="19"/>
        <v>2354</v>
      </c>
      <c r="BA57" s="582">
        <f t="shared" si="20"/>
        <v>2140</v>
      </c>
      <c r="BB57" s="582">
        <f t="shared" si="21"/>
        <v>2354</v>
      </c>
      <c r="BC57" s="582">
        <f t="shared" si="22"/>
        <v>2615</v>
      </c>
      <c r="BD57" s="582">
        <f t="shared" si="23"/>
        <v>1681</v>
      </c>
      <c r="BE57" s="582">
        <f t="shared" si="24"/>
        <v>1961</v>
      </c>
      <c r="BF57" s="582">
        <f t="shared" si="25"/>
        <v>1427</v>
      </c>
      <c r="BG57" s="582">
        <f t="shared" si="26"/>
        <v>1681</v>
      </c>
      <c r="BH57" s="582">
        <f t="shared" si="27"/>
        <v>1623</v>
      </c>
      <c r="BI57" s="582">
        <f t="shared" si="28"/>
        <v>1681</v>
      </c>
      <c r="BJ57" s="582">
        <f t="shared" si="29"/>
        <v>1811</v>
      </c>
      <c r="BK57" s="582">
        <f t="shared" si="30"/>
        <v>1623</v>
      </c>
      <c r="BL57" s="582">
        <f t="shared" si="31"/>
        <v>1811</v>
      </c>
      <c r="BM57" s="74"/>
      <c r="BN57" s="74"/>
      <c r="BO57" s="582">
        <f t="shared" si="141"/>
        <v>2769</v>
      </c>
      <c r="BP57" s="602">
        <f t="shared" si="33"/>
        <v>2769</v>
      </c>
      <c r="BQ57" s="54">
        <v>53.0</v>
      </c>
      <c r="BR57" s="54">
        <v>78.0</v>
      </c>
      <c r="BS57" s="54">
        <v>10.0</v>
      </c>
      <c r="BT57" s="54">
        <v>110.0</v>
      </c>
      <c r="BU57" s="74"/>
      <c r="BV57" s="83">
        <f t="shared" si="34"/>
        <v>65.5</v>
      </c>
      <c r="BW57" s="608">
        <f t="shared" si="35"/>
        <v>1712.2</v>
      </c>
      <c r="BX57" s="582">
        <f t="shared" si="36"/>
        <v>1945.7</v>
      </c>
      <c r="BY57" s="582">
        <f t="shared" si="37"/>
        <v>2038.3</v>
      </c>
      <c r="BZ57" s="582">
        <f t="shared" si="38"/>
        <v>2038.3</v>
      </c>
      <c r="CA57" s="582">
        <f t="shared" si="39"/>
        <v>2378.1</v>
      </c>
      <c r="CB57" s="582">
        <f t="shared" si="40"/>
        <v>1945.7</v>
      </c>
      <c r="CC57" s="582">
        <f t="shared" si="41"/>
        <v>2140.3</v>
      </c>
      <c r="CD57" s="582">
        <f t="shared" si="42"/>
        <v>2140.3</v>
      </c>
      <c r="CE57" s="664">
        <f t="shared" si="43"/>
        <v>38.9</v>
      </c>
      <c r="CF57" s="86">
        <f t="shared" ref="CF57:CG57" si="152">IF(ROUND(100*(AV57/BW57)-100,1)=0,"",ROUND(100*(AV57/BW57)-100,1))</f>
        <v>10</v>
      </c>
      <c r="CG57" s="552">
        <f t="shared" si="152"/>
        <v>10</v>
      </c>
      <c r="CH57" s="575" t="s">
        <v>526</v>
      </c>
      <c r="CI57" s="582">
        <f t="shared" ref="CI57:DF57" si="153">FLOOR($AV57/(CI$3/25),1)</f>
        <v>1883</v>
      </c>
      <c r="CJ57" s="582">
        <f t="shared" si="153"/>
        <v>1961</v>
      </c>
      <c r="CK57" s="582">
        <f t="shared" si="153"/>
        <v>2046</v>
      </c>
      <c r="CL57" s="582">
        <f t="shared" si="153"/>
        <v>2139</v>
      </c>
      <c r="CM57" s="582">
        <f t="shared" si="153"/>
        <v>2241</v>
      </c>
      <c r="CN57" s="582">
        <f t="shared" si="153"/>
        <v>2353</v>
      </c>
      <c r="CO57" s="582">
        <f t="shared" si="153"/>
        <v>2477</v>
      </c>
      <c r="CP57" s="582">
        <f t="shared" si="153"/>
        <v>2615</v>
      </c>
      <c r="CQ57" s="582">
        <f t="shared" si="153"/>
        <v>2769</v>
      </c>
      <c r="CR57" s="582">
        <f t="shared" si="153"/>
        <v>2942</v>
      </c>
      <c r="CS57" s="582">
        <f t="shared" si="153"/>
        <v>3138</v>
      </c>
      <c r="CT57" s="582">
        <f t="shared" si="153"/>
        <v>3362</v>
      </c>
      <c r="CU57" s="582">
        <f t="shared" si="153"/>
        <v>3621</v>
      </c>
      <c r="CV57" s="582">
        <f t="shared" si="153"/>
        <v>3922</v>
      </c>
      <c r="CW57" s="582">
        <f t="shared" si="153"/>
        <v>4279</v>
      </c>
      <c r="CX57" s="582">
        <f t="shared" si="153"/>
        <v>4707</v>
      </c>
      <c r="CY57" s="582">
        <f t="shared" si="153"/>
        <v>5230</v>
      </c>
      <c r="CZ57" s="582">
        <f t="shared" si="153"/>
        <v>5884</v>
      </c>
      <c r="DA57" s="582">
        <f t="shared" si="153"/>
        <v>6725</v>
      </c>
      <c r="DB57" s="582">
        <f t="shared" si="153"/>
        <v>7845</v>
      </c>
      <c r="DC57" s="582">
        <f t="shared" si="153"/>
        <v>9415</v>
      </c>
      <c r="DD57" s="582">
        <f t="shared" si="153"/>
        <v>11768</v>
      </c>
      <c r="DE57" s="582">
        <f t="shared" si="153"/>
        <v>15691</v>
      </c>
      <c r="DF57" s="602">
        <f t="shared" si="153"/>
        <v>23537</v>
      </c>
      <c r="DG57" s="575"/>
      <c r="DH57" s="575" t="str">
        <f t="shared" si="46"/>
        <v/>
      </c>
      <c r="DI57" s="74" t="str">
        <f t="shared" si="47"/>
        <v/>
      </c>
      <c r="DJ57" s="74" t="str">
        <f t="shared" si="48"/>
        <v/>
      </c>
      <c r="DK57" s="623" t="str">
        <f t="shared" si="49"/>
        <v/>
      </c>
      <c r="DL57" s="74"/>
      <c r="DM57" s="74"/>
      <c r="DN57" s="582">
        <f t="shared" ref="DN57:DN60" si="156">IF(ISBLANK(DL57),ROUND(AI57/IF(ISBLANK(DL55),AI55,DL55),1),ROUND(DL57/IF(ISBLANK(DL55),AI55,DL55),1))</f>
        <v>2.5</v>
      </c>
      <c r="DO57" s="575"/>
      <c r="DP57" s="297"/>
    </row>
    <row r="58">
      <c r="A58" s="647">
        <v>52.0</v>
      </c>
      <c r="B58" s="141">
        <v>133.0</v>
      </c>
      <c r="C58" s="129">
        <v>66.0</v>
      </c>
      <c r="D58" s="129">
        <v>114.0</v>
      </c>
      <c r="E58" s="134"/>
      <c r="F58" s="154" t="s">
        <v>1683</v>
      </c>
      <c r="G58" s="154">
        <f t="shared" si="5"/>
        <v>20</v>
      </c>
      <c r="H58" s="154">
        <f t="shared" si="6"/>
        <v>19</v>
      </c>
      <c r="I58" s="154">
        <f t="shared" si="7"/>
        <v>19</v>
      </c>
      <c r="J58" s="154">
        <f t="shared" si="8"/>
        <v>17</v>
      </c>
      <c r="K58" s="154">
        <f t="shared" si="9"/>
        <v>20</v>
      </c>
      <c r="L58" s="154">
        <f t="shared" si="10"/>
        <v>18</v>
      </c>
      <c r="M58" s="648">
        <f t="shared" si="11"/>
        <v>18</v>
      </c>
      <c r="N58" s="134" t="s">
        <v>546</v>
      </c>
      <c r="O58" s="649" t="s">
        <v>1934</v>
      </c>
      <c r="P58" s="650"/>
      <c r="Q58" s="650" t="s">
        <v>1670</v>
      </c>
      <c r="R58" s="650" t="s">
        <v>1685</v>
      </c>
      <c r="S58" s="796" t="s">
        <v>2307</v>
      </c>
      <c r="T58" s="651" t="s">
        <v>547</v>
      </c>
      <c r="U58" s="129">
        <v>53.0</v>
      </c>
      <c r="V58" s="129">
        <v>25.0</v>
      </c>
      <c r="W58" s="799">
        <v>169.0</v>
      </c>
      <c r="X58" s="134"/>
      <c r="Y58" s="129">
        <v>6.0</v>
      </c>
      <c r="Z58" s="129">
        <v>20.0</v>
      </c>
      <c r="AA58" s="129">
        <v>3.0</v>
      </c>
      <c r="AB58" s="129">
        <v>120.0</v>
      </c>
      <c r="AC58" s="129">
        <v>9945.0</v>
      </c>
      <c r="AD58" s="129">
        <v>3.0</v>
      </c>
      <c r="AE58" s="129">
        <v>110.0</v>
      </c>
      <c r="AF58" s="134"/>
      <c r="AG58" s="129">
        <v>76.0</v>
      </c>
      <c r="AH58" s="129">
        <v>131.0</v>
      </c>
      <c r="AI58" s="652">
        <f t="shared" si="12"/>
        <v>103.5</v>
      </c>
      <c r="AJ58" s="134"/>
      <c r="AK58" s="134"/>
      <c r="AL58" s="134"/>
      <c r="AM58" s="134"/>
      <c r="AN58" s="134"/>
      <c r="AO58" s="134"/>
      <c r="AP58" s="134"/>
      <c r="AQ58" s="134"/>
      <c r="AR58" s="134"/>
      <c r="AS58" s="653"/>
      <c r="AT58" s="154">
        <f t="shared" si="13"/>
        <v>1612</v>
      </c>
      <c r="AU58" s="154">
        <f t="shared" si="14"/>
        <v>2602</v>
      </c>
      <c r="AV58" s="654">
        <f t="shared" si="15"/>
        <v>2107</v>
      </c>
      <c r="AW58" s="655">
        <f t="shared" si="16"/>
        <v>2107</v>
      </c>
      <c r="AX58" s="655">
        <f t="shared" si="17"/>
        <v>2290</v>
      </c>
      <c r="AY58" s="655">
        <f t="shared" si="18"/>
        <v>2290</v>
      </c>
      <c r="AZ58" s="655">
        <f t="shared" si="19"/>
        <v>2394</v>
      </c>
      <c r="BA58" s="655">
        <f t="shared" si="20"/>
        <v>2107</v>
      </c>
      <c r="BB58" s="655">
        <f t="shared" si="21"/>
        <v>2394</v>
      </c>
      <c r="BC58" s="655">
        <f t="shared" si="22"/>
        <v>2508</v>
      </c>
      <c r="BD58" s="655">
        <f t="shared" si="23"/>
        <v>1386</v>
      </c>
      <c r="BE58" s="655">
        <f t="shared" si="24"/>
        <v>1699</v>
      </c>
      <c r="BF58" s="655">
        <f t="shared" si="25"/>
        <v>1285</v>
      </c>
      <c r="BG58" s="655">
        <f t="shared" si="26"/>
        <v>1549</v>
      </c>
      <c r="BH58" s="655">
        <f t="shared" si="27"/>
        <v>1424</v>
      </c>
      <c r="BI58" s="655">
        <f t="shared" si="28"/>
        <v>1549</v>
      </c>
      <c r="BJ58" s="655">
        <f t="shared" si="29"/>
        <v>1596</v>
      </c>
      <c r="BK58" s="655">
        <f t="shared" si="30"/>
        <v>1424</v>
      </c>
      <c r="BL58" s="655">
        <f t="shared" si="31"/>
        <v>1596</v>
      </c>
      <c r="BM58" s="134"/>
      <c r="BN58" s="134"/>
      <c r="BO58" s="655">
        <f t="shared" si="141"/>
        <v>2634</v>
      </c>
      <c r="BP58" s="656">
        <f t="shared" si="33"/>
        <v>2634</v>
      </c>
      <c r="BQ58" s="129">
        <v>61.0</v>
      </c>
      <c r="BR58" s="129">
        <v>99.0</v>
      </c>
      <c r="BS58" s="129">
        <v>20.0</v>
      </c>
      <c r="BT58" s="129">
        <v>110.0</v>
      </c>
      <c r="BU58" s="134"/>
      <c r="BV58" s="135">
        <f t="shared" si="34"/>
        <v>80</v>
      </c>
      <c r="BW58" s="657">
        <f t="shared" si="35"/>
        <v>2025.2</v>
      </c>
      <c r="BX58" s="655">
        <f t="shared" si="36"/>
        <v>2025.2</v>
      </c>
      <c r="BY58" s="655">
        <f t="shared" si="37"/>
        <v>2201.3</v>
      </c>
      <c r="BZ58" s="655">
        <f t="shared" si="38"/>
        <v>2201.3</v>
      </c>
      <c r="CA58" s="655">
        <f t="shared" si="39"/>
        <v>2411</v>
      </c>
      <c r="CB58" s="655">
        <f t="shared" si="40"/>
        <v>2025.2</v>
      </c>
      <c r="CC58" s="655">
        <f t="shared" si="41"/>
        <v>2301.4</v>
      </c>
      <c r="CD58" s="655">
        <f t="shared" si="42"/>
        <v>2301.4</v>
      </c>
      <c r="CE58" s="659">
        <f t="shared" si="43"/>
        <v>29.4</v>
      </c>
      <c r="CF58" s="141">
        <f t="shared" ref="CF58:CG58" si="154">IF(ROUND(100*(AV58/BW58)-100,1)=0,"",ROUND(100*(AV58/BW58)-100,1))</f>
        <v>4</v>
      </c>
      <c r="CG58" s="647">
        <f t="shared" si="154"/>
        <v>4</v>
      </c>
      <c r="CH58" s="653" t="s">
        <v>546</v>
      </c>
      <c r="CI58" s="655">
        <f t="shared" ref="CI58:DF58" si="155">FLOOR($AV58/(CI$3/25),1)</f>
        <v>2107</v>
      </c>
      <c r="CJ58" s="655">
        <f t="shared" si="155"/>
        <v>2194</v>
      </c>
      <c r="CK58" s="655">
        <f t="shared" si="155"/>
        <v>2290</v>
      </c>
      <c r="CL58" s="655">
        <f t="shared" si="155"/>
        <v>2394</v>
      </c>
      <c r="CM58" s="655">
        <f t="shared" si="155"/>
        <v>2508</v>
      </c>
      <c r="CN58" s="655">
        <f t="shared" si="155"/>
        <v>2633</v>
      </c>
      <c r="CO58" s="655">
        <f t="shared" si="155"/>
        <v>2772</v>
      </c>
      <c r="CP58" s="655">
        <f t="shared" si="155"/>
        <v>2926</v>
      </c>
      <c r="CQ58" s="655">
        <f t="shared" si="155"/>
        <v>3098</v>
      </c>
      <c r="CR58" s="655">
        <f t="shared" si="155"/>
        <v>3292</v>
      </c>
      <c r="CS58" s="655">
        <f t="shared" si="155"/>
        <v>3511</v>
      </c>
      <c r="CT58" s="655">
        <f t="shared" si="155"/>
        <v>3762</v>
      </c>
      <c r="CU58" s="655">
        <f t="shared" si="155"/>
        <v>4051</v>
      </c>
      <c r="CV58" s="655">
        <f t="shared" si="155"/>
        <v>4389</v>
      </c>
      <c r="CW58" s="655">
        <f t="shared" si="155"/>
        <v>4788</v>
      </c>
      <c r="CX58" s="655">
        <f t="shared" si="155"/>
        <v>5267</v>
      </c>
      <c r="CY58" s="655">
        <f t="shared" si="155"/>
        <v>5852</v>
      </c>
      <c r="CZ58" s="655">
        <f t="shared" si="155"/>
        <v>6584</v>
      </c>
      <c r="DA58" s="655">
        <f t="shared" si="155"/>
        <v>7525</v>
      </c>
      <c r="DB58" s="655">
        <f t="shared" si="155"/>
        <v>8779</v>
      </c>
      <c r="DC58" s="655">
        <f t="shared" si="155"/>
        <v>10535</v>
      </c>
      <c r="DD58" s="655">
        <f t="shared" si="155"/>
        <v>13168</v>
      </c>
      <c r="DE58" s="655">
        <f t="shared" si="155"/>
        <v>17558</v>
      </c>
      <c r="DF58" s="656">
        <f t="shared" si="155"/>
        <v>26337</v>
      </c>
      <c r="DG58" s="653"/>
      <c r="DH58" s="653" t="str">
        <f t="shared" si="46"/>
        <v/>
      </c>
      <c r="DI58" s="134" t="str">
        <f t="shared" si="47"/>
        <v/>
      </c>
      <c r="DJ58" s="134" t="str">
        <f t="shared" si="48"/>
        <v/>
      </c>
      <c r="DK58" s="662" t="str">
        <f t="shared" si="49"/>
        <v/>
      </c>
      <c r="DL58" s="134"/>
      <c r="DM58" s="134"/>
      <c r="DN58" s="655">
        <f t="shared" si="156"/>
        <v>2.2</v>
      </c>
      <c r="DO58" s="653"/>
      <c r="DP58" s="663"/>
    </row>
    <row r="59">
      <c r="A59" s="552">
        <v>53.0</v>
      </c>
      <c r="B59" s="86">
        <v>251.0</v>
      </c>
      <c r="C59" s="54">
        <v>77.0</v>
      </c>
      <c r="D59" s="54">
        <v>106.0</v>
      </c>
      <c r="E59" s="74"/>
      <c r="F59" s="68" t="s">
        <v>1683</v>
      </c>
      <c r="G59" s="68">
        <f t="shared" si="5"/>
        <v>20</v>
      </c>
      <c r="H59" s="68">
        <f t="shared" si="6"/>
        <v>19</v>
      </c>
      <c r="I59" s="68">
        <f t="shared" si="7"/>
        <v>19</v>
      </c>
      <c r="J59" s="68">
        <f t="shared" si="8"/>
        <v>17</v>
      </c>
      <c r="K59" s="68">
        <f t="shared" si="9"/>
        <v>20</v>
      </c>
      <c r="L59" s="68">
        <f t="shared" si="10"/>
        <v>18</v>
      </c>
      <c r="M59" s="569">
        <f t="shared" si="11"/>
        <v>18</v>
      </c>
      <c r="N59" s="74" t="s">
        <v>530</v>
      </c>
      <c r="O59" s="570" t="s">
        <v>1942</v>
      </c>
      <c r="P59" s="639" t="s">
        <v>2231</v>
      </c>
      <c r="Q59" s="571" t="s">
        <v>1676</v>
      </c>
      <c r="R59" s="571" t="s">
        <v>1685</v>
      </c>
      <c r="S59" s="791" t="s">
        <v>2307</v>
      </c>
      <c r="T59" s="572" t="s">
        <v>531</v>
      </c>
      <c r="U59" s="54">
        <v>69.0</v>
      </c>
      <c r="V59" s="54">
        <v>51.0</v>
      </c>
      <c r="W59" s="679">
        <v>225.0</v>
      </c>
      <c r="X59" s="74"/>
      <c r="Y59" s="54">
        <v>6.0</v>
      </c>
      <c r="Z59" s="54">
        <v>10.0</v>
      </c>
      <c r="AA59" s="54">
        <v>4.0</v>
      </c>
      <c r="AB59" s="54">
        <v>120.0</v>
      </c>
      <c r="AC59" s="54">
        <v>12156.0</v>
      </c>
      <c r="AD59" s="54">
        <v>4.0</v>
      </c>
      <c r="AE59" s="54">
        <v>110.0</v>
      </c>
      <c r="AF59" s="74"/>
      <c r="AG59" s="54">
        <v>96.0</v>
      </c>
      <c r="AH59" s="54">
        <v>132.0</v>
      </c>
      <c r="AI59" s="574">
        <f t="shared" si="12"/>
        <v>114</v>
      </c>
      <c r="AJ59" s="74"/>
      <c r="AK59" s="74"/>
      <c r="AL59" s="74"/>
      <c r="AM59" s="74"/>
      <c r="AN59" s="74"/>
      <c r="AO59" s="74"/>
      <c r="AP59" s="74"/>
      <c r="AQ59" s="74"/>
      <c r="AR59" s="74"/>
      <c r="AS59" s="575"/>
      <c r="AT59" s="68">
        <f t="shared" si="13"/>
        <v>1972</v>
      </c>
      <c r="AU59" s="68">
        <f t="shared" si="14"/>
        <v>2618</v>
      </c>
      <c r="AV59" s="581">
        <f t="shared" si="15"/>
        <v>2295</v>
      </c>
      <c r="AW59" s="582">
        <f t="shared" si="16"/>
        <v>2608</v>
      </c>
      <c r="AX59" s="582">
        <f t="shared" si="17"/>
        <v>2732</v>
      </c>
      <c r="AY59" s="582">
        <f t="shared" si="18"/>
        <v>2732</v>
      </c>
      <c r="AZ59" s="582">
        <f t="shared" si="19"/>
        <v>2869</v>
      </c>
      <c r="BA59" s="582">
        <f t="shared" si="20"/>
        <v>2608</v>
      </c>
      <c r="BB59" s="582">
        <f t="shared" si="21"/>
        <v>2869</v>
      </c>
      <c r="BC59" s="582">
        <f t="shared" si="22"/>
        <v>3188</v>
      </c>
      <c r="BD59" s="582">
        <f t="shared" si="23"/>
        <v>2049</v>
      </c>
      <c r="BE59" s="582">
        <f t="shared" si="24"/>
        <v>2391</v>
      </c>
      <c r="BF59" s="582">
        <f t="shared" si="25"/>
        <v>1739</v>
      </c>
      <c r="BG59" s="582">
        <f t="shared" si="26"/>
        <v>2049</v>
      </c>
      <c r="BH59" s="582">
        <f t="shared" si="27"/>
        <v>1978</v>
      </c>
      <c r="BI59" s="582">
        <f t="shared" si="28"/>
        <v>2049</v>
      </c>
      <c r="BJ59" s="582">
        <f t="shared" si="29"/>
        <v>2207</v>
      </c>
      <c r="BK59" s="582">
        <f t="shared" si="30"/>
        <v>1978</v>
      </c>
      <c r="BL59" s="582">
        <f t="shared" si="31"/>
        <v>2207</v>
      </c>
      <c r="BM59" s="74"/>
      <c r="BN59" s="74"/>
      <c r="BO59" s="582">
        <f t="shared" si="141"/>
        <v>3375</v>
      </c>
      <c r="BP59" s="602">
        <f t="shared" si="33"/>
        <v>3375</v>
      </c>
      <c r="BQ59" s="670">
        <v>77.0</v>
      </c>
      <c r="BR59" s="670">
        <v>106.0</v>
      </c>
      <c r="BS59" s="670">
        <v>10.0</v>
      </c>
      <c r="BT59" s="670">
        <v>110.0</v>
      </c>
      <c r="BU59" s="365"/>
      <c r="BV59" s="671">
        <f t="shared" si="34"/>
        <v>91.5</v>
      </c>
      <c r="BW59" s="672">
        <f t="shared" si="35"/>
        <v>2273.5</v>
      </c>
      <c r="BX59" s="673">
        <f t="shared" si="36"/>
        <v>2583.5</v>
      </c>
      <c r="BY59" s="673">
        <f t="shared" si="37"/>
        <v>2706.5</v>
      </c>
      <c r="BZ59" s="673">
        <f t="shared" si="38"/>
        <v>2706.5</v>
      </c>
      <c r="CA59" s="673">
        <f t="shared" si="39"/>
        <v>3157.6</v>
      </c>
      <c r="CB59" s="673">
        <f t="shared" si="40"/>
        <v>2583.5</v>
      </c>
      <c r="CC59" s="673">
        <f t="shared" si="41"/>
        <v>2841.9</v>
      </c>
      <c r="CD59" s="673">
        <f t="shared" si="42"/>
        <v>2841.9</v>
      </c>
      <c r="CE59" s="674">
        <f t="shared" si="43"/>
        <v>24.6</v>
      </c>
      <c r="CF59" s="675">
        <f t="shared" ref="CF59:CG59" si="157">IF(ROUND(100*(AV59/BW59)-100,1)=0,"",ROUND(100*(AV59/BW59)-100,1))</f>
        <v>0.9</v>
      </c>
      <c r="CG59" s="676">
        <f t="shared" si="157"/>
        <v>0.9</v>
      </c>
      <c r="CH59" s="575" t="s">
        <v>530</v>
      </c>
      <c r="CI59" s="582">
        <f t="shared" ref="CI59:DF59" si="158">FLOOR($AV59/(CI$3/25),1)</f>
        <v>2295</v>
      </c>
      <c r="CJ59" s="582">
        <f t="shared" si="158"/>
        <v>2390</v>
      </c>
      <c r="CK59" s="582">
        <f t="shared" si="158"/>
        <v>2494</v>
      </c>
      <c r="CL59" s="582">
        <f t="shared" si="158"/>
        <v>2607</v>
      </c>
      <c r="CM59" s="582">
        <f t="shared" si="158"/>
        <v>2732</v>
      </c>
      <c r="CN59" s="582">
        <f t="shared" si="158"/>
        <v>2868</v>
      </c>
      <c r="CO59" s="582">
        <f t="shared" si="158"/>
        <v>3019</v>
      </c>
      <c r="CP59" s="582">
        <f t="shared" si="158"/>
        <v>3187</v>
      </c>
      <c r="CQ59" s="582">
        <f t="shared" si="158"/>
        <v>3375</v>
      </c>
      <c r="CR59" s="582">
        <f t="shared" si="158"/>
        <v>3585</v>
      </c>
      <c r="CS59" s="582">
        <f t="shared" si="158"/>
        <v>3825</v>
      </c>
      <c r="CT59" s="582">
        <f t="shared" si="158"/>
        <v>4098</v>
      </c>
      <c r="CU59" s="582">
        <f t="shared" si="158"/>
        <v>4413</v>
      </c>
      <c r="CV59" s="582">
        <f t="shared" si="158"/>
        <v>4781</v>
      </c>
      <c r="CW59" s="582">
        <f t="shared" si="158"/>
        <v>5215</v>
      </c>
      <c r="CX59" s="582">
        <f t="shared" si="158"/>
        <v>5737</v>
      </c>
      <c r="CY59" s="582">
        <f t="shared" si="158"/>
        <v>6375</v>
      </c>
      <c r="CZ59" s="582">
        <f t="shared" si="158"/>
        <v>7171</v>
      </c>
      <c r="DA59" s="582">
        <f t="shared" si="158"/>
        <v>8196</v>
      </c>
      <c r="DB59" s="582">
        <f t="shared" si="158"/>
        <v>9562</v>
      </c>
      <c r="DC59" s="582">
        <f t="shared" si="158"/>
        <v>11475</v>
      </c>
      <c r="DD59" s="582">
        <f t="shared" si="158"/>
        <v>14343</v>
      </c>
      <c r="DE59" s="582">
        <f t="shared" si="158"/>
        <v>19125</v>
      </c>
      <c r="DF59" s="602">
        <f t="shared" si="158"/>
        <v>28687</v>
      </c>
      <c r="DG59" s="575"/>
      <c r="DH59" s="575" t="str">
        <f t="shared" si="46"/>
        <v/>
      </c>
      <c r="DI59" s="74" t="str">
        <f t="shared" si="47"/>
        <v/>
      </c>
      <c r="DJ59" s="74" t="str">
        <f t="shared" si="48"/>
        <v/>
      </c>
      <c r="DK59" s="623" t="str">
        <f t="shared" si="49"/>
        <v/>
      </c>
      <c r="DL59" s="74"/>
      <c r="DM59" s="74"/>
      <c r="DN59" s="582">
        <f t="shared" si="156"/>
        <v>1.3</v>
      </c>
      <c r="DO59" s="575"/>
      <c r="DP59" s="297"/>
    </row>
    <row r="60">
      <c r="A60" s="764">
        <v>54.0</v>
      </c>
      <c r="B60" s="765">
        <v>252.0</v>
      </c>
      <c r="C60" s="766">
        <v>33.0</v>
      </c>
      <c r="D60" s="766">
        <v>180.0</v>
      </c>
      <c r="E60" s="767"/>
      <c r="F60" s="768" t="s">
        <v>1683</v>
      </c>
      <c r="G60" s="768">
        <f t="shared" si="5"/>
        <v>20</v>
      </c>
      <c r="H60" s="768">
        <f t="shared" si="6"/>
        <v>19</v>
      </c>
      <c r="I60" s="768">
        <f t="shared" si="7"/>
        <v>19</v>
      </c>
      <c r="J60" s="768">
        <f t="shared" si="8"/>
        <v>17</v>
      </c>
      <c r="K60" s="768">
        <f t="shared" si="9"/>
        <v>20</v>
      </c>
      <c r="L60" s="768">
        <f t="shared" si="10"/>
        <v>18</v>
      </c>
      <c r="M60" s="769">
        <f t="shared" si="11"/>
        <v>18</v>
      </c>
      <c r="N60" s="767" t="s">
        <v>552</v>
      </c>
      <c r="O60" s="770" t="s">
        <v>2313</v>
      </c>
      <c r="P60" s="770" t="s">
        <v>2314</v>
      </c>
      <c r="Q60" s="771" t="s">
        <v>1676</v>
      </c>
      <c r="R60" s="771" t="s">
        <v>1685</v>
      </c>
      <c r="S60" s="800" t="s">
        <v>2307</v>
      </c>
      <c r="T60" s="772" t="s">
        <v>553</v>
      </c>
      <c r="U60" s="766">
        <v>85.0</v>
      </c>
      <c r="V60" s="766">
        <v>65.0</v>
      </c>
      <c r="W60" s="773">
        <v>253.0</v>
      </c>
      <c r="X60" s="767"/>
      <c r="Y60" s="766">
        <v>6.0</v>
      </c>
      <c r="Z60" s="766">
        <v>20.0</v>
      </c>
      <c r="AA60" s="766">
        <v>3.0</v>
      </c>
      <c r="AB60" s="766">
        <v>120.0</v>
      </c>
      <c r="AC60" s="766">
        <v>17821.0</v>
      </c>
      <c r="AD60" s="766">
        <v>3.0</v>
      </c>
      <c r="AE60" s="766">
        <v>110.0</v>
      </c>
      <c r="AF60" s="767"/>
      <c r="AG60" s="766">
        <v>41.0</v>
      </c>
      <c r="AH60" s="766">
        <v>225.0</v>
      </c>
      <c r="AI60" s="775">
        <f t="shared" si="12"/>
        <v>133</v>
      </c>
      <c r="AJ60" s="801"/>
      <c r="AK60" s="801"/>
      <c r="AL60" s="767"/>
      <c r="AM60" s="767"/>
      <c r="AN60" s="767"/>
      <c r="AO60" s="767"/>
      <c r="AP60" s="767"/>
      <c r="AQ60" s="767"/>
      <c r="AR60" s="767"/>
      <c r="AS60" s="776"/>
      <c r="AT60" s="768">
        <f t="shared" si="13"/>
        <v>981</v>
      </c>
      <c r="AU60" s="768">
        <f t="shared" si="14"/>
        <v>4295</v>
      </c>
      <c r="AV60" s="777">
        <f t="shared" si="15"/>
        <v>2638</v>
      </c>
      <c r="AW60" s="778">
        <f t="shared" si="16"/>
        <v>2638</v>
      </c>
      <c r="AX60" s="778">
        <f t="shared" si="17"/>
        <v>2867</v>
      </c>
      <c r="AY60" s="778">
        <f t="shared" si="18"/>
        <v>2867</v>
      </c>
      <c r="AZ60" s="778">
        <f t="shared" si="19"/>
        <v>2998</v>
      </c>
      <c r="BA60" s="778">
        <f t="shared" si="20"/>
        <v>2638</v>
      </c>
      <c r="BB60" s="778">
        <f t="shared" si="21"/>
        <v>2998</v>
      </c>
      <c r="BC60" s="778">
        <f t="shared" si="22"/>
        <v>3140</v>
      </c>
      <c r="BD60" s="778">
        <f t="shared" si="23"/>
        <v>1736</v>
      </c>
      <c r="BE60" s="778">
        <f t="shared" si="24"/>
        <v>2127</v>
      </c>
      <c r="BF60" s="778">
        <f t="shared" si="25"/>
        <v>1609</v>
      </c>
      <c r="BG60" s="778">
        <f t="shared" si="26"/>
        <v>1940</v>
      </c>
      <c r="BH60" s="778">
        <f t="shared" si="27"/>
        <v>1782</v>
      </c>
      <c r="BI60" s="778">
        <f t="shared" si="28"/>
        <v>1940</v>
      </c>
      <c r="BJ60" s="778">
        <f t="shared" si="29"/>
        <v>1998</v>
      </c>
      <c r="BK60" s="778">
        <f t="shared" si="30"/>
        <v>1782</v>
      </c>
      <c r="BL60" s="778">
        <f t="shared" si="31"/>
        <v>1998</v>
      </c>
      <c r="BM60" s="767"/>
      <c r="BN60" s="767"/>
      <c r="BO60" s="778">
        <f t="shared" si="141"/>
        <v>3298</v>
      </c>
      <c r="BP60" s="779">
        <f t="shared" si="33"/>
        <v>3298</v>
      </c>
      <c r="BQ60" s="780">
        <v>33.0</v>
      </c>
      <c r="BR60" s="780">
        <v>180.0</v>
      </c>
      <c r="BS60" s="780">
        <v>20.0</v>
      </c>
      <c r="BT60" s="780">
        <v>110.0</v>
      </c>
      <c r="BU60" s="781"/>
      <c r="BV60" s="782">
        <f t="shared" si="34"/>
        <v>106.5</v>
      </c>
      <c r="BW60" s="783">
        <f t="shared" si="35"/>
        <v>2597.3</v>
      </c>
      <c r="BX60" s="784">
        <f t="shared" si="36"/>
        <v>2597.3</v>
      </c>
      <c r="BY60" s="784">
        <f t="shared" si="37"/>
        <v>2823.2</v>
      </c>
      <c r="BZ60" s="784">
        <f t="shared" si="38"/>
        <v>2823.2</v>
      </c>
      <c r="CA60" s="784">
        <f t="shared" si="39"/>
        <v>3092</v>
      </c>
      <c r="CB60" s="784">
        <f t="shared" si="40"/>
        <v>2597.3</v>
      </c>
      <c r="CC60" s="784">
        <f t="shared" si="41"/>
        <v>2951.5</v>
      </c>
      <c r="CD60" s="784">
        <f t="shared" si="42"/>
        <v>2951.5</v>
      </c>
      <c r="CE60" s="785">
        <f t="shared" si="43"/>
        <v>24.9</v>
      </c>
      <c r="CF60" s="802">
        <f t="shared" ref="CF60:CG60" si="159">IF(ROUND(100*(AV60/BW60)-100,1)=0,"",ROUND(100*(AV60/BW60)-100,1))</f>
        <v>1.6</v>
      </c>
      <c r="CG60" s="787">
        <f t="shared" si="159"/>
        <v>1.6</v>
      </c>
      <c r="CH60" s="776" t="s">
        <v>552</v>
      </c>
      <c r="CI60" s="778">
        <f t="shared" ref="CI60:DF60" si="160">FLOOR($AV60/(CI$3/25),1)</f>
        <v>2638</v>
      </c>
      <c r="CJ60" s="778">
        <f t="shared" si="160"/>
        <v>2747</v>
      </c>
      <c r="CK60" s="778">
        <f t="shared" si="160"/>
        <v>2867</v>
      </c>
      <c r="CL60" s="778">
        <f t="shared" si="160"/>
        <v>2997</v>
      </c>
      <c r="CM60" s="778">
        <f t="shared" si="160"/>
        <v>3140</v>
      </c>
      <c r="CN60" s="778">
        <f t="shared" si="160"/>
        <v>3297</v>
      </c>
      <c r="CO60" s="778">
        <f t="shared" si="160"/>
        <v>3471</v>
      </c>
      <c r="CP60" s="778">
        <f t="shared" si="160"/>
        <v>3663</v>
      </c>
      <c r="CQ60" s="778">
        <f t="shared" si="160"/>
        <v>3879</v>
      </c>
      <c r="CR60" s="778">
        <f t="shared" si="160"/>
        <v>4121</v>
      </c>
      <c r="CS60" s="778">
        <f t="shared" si="160"/>
        <v>4396</v>
      </c>
      <c r="CT60" s="778">
        <f t="shared" si="160"/>
        <v>4710</v>
      </c>
      <c r="CU60" s="778">
        <f t="shared" si="160"/>
        <v>5073</v>
      </c>
      <c r="CV60" s="778">
        <f t="shared" si="160"/>
        <v>5495</v>
      </c>
      <c r="CW60" s="778">
        <f t="shared" si="160"/>
        <v>5995</v>
      </c>
      <c r="CX60" s="778">
        <f t="shared" si="160"/>
        <v>6595</v>
      </c>
      <c r="CY60" s="778">
        <f t="shared" si="160"/>
        <v>7327</v>
      </c>
      <c r="CZ60" s="778">
        <f t="shared" si="160"/>
        <v>8243</v>
      </c>
      <c r="DA60" s="778">
        <f t="shared" si="160"/>
        <v>9421</v>
      </c>
      <c r="DB60" s="778">
        <f t="shared" si="160"/>
        <v>10991</v>
      </c>
      <c r="DC60" s="778">
        <f t="shared" si="160"/>
        <v>13190</v>
      </c>
      <c r="DD60" s="778">
        <f t="shared" si="160"/>
        <v>16487</v>
      </c>
      <c r="DE60" s="778">
        <f t="shared" si="160"/>
        <v>21983</v>
      </c>
      <c r="DF60" s="779">
        <f t="shared" si="160"/>
        <v>32975</v>
      </c>
      <c r="DG60" s="776"/>
      <c r="DH60" s="776" t="str">
        <f t="shared" si="46"/>
        <v/>
      </c>
      <c r="DI60" s="767" t="str">
        <f t="shared" si="47"/>
        <v/>
      </c>
      <c r="DJ60" s="767" t="str">
        <f t="shared" si="48"/>
        <v/>
      </c>
      <c r="DK60" s="803" t="str">
        <f t="shared" si="49"/>
        <v/>
      </c>
      <c r="DL60" s="767"/>
      <c r="DM60" s="767"/>
      <c r="DN60" s="778">
        <f t="shared" si="156"/>
        <v>1.3</v>
      </c>
      <c r="DO60" s="776"/>
      <c r="DP60" s="790"/>
    </row>
    <row r="61">
      <c r="A61" s="552">
        <v>55.0</v>
      </c>
      <c r="B61" s="86">
        <v>26.0</v>
      </c>
      <c r="C61" s="54">
        <v>2.0</v>
      </c>
      <c r="D61" s="54">
        <v>7.0</v>
      </c>
      <c r="E61" s="74"/>
      <c r="F61" s="68" t="s">
        <v>1246</v>
      </c>
      <c r="G61" s="68">
        <f t="shared" si="5"/>
        <v>16</v>
      </c>
      <c r="H61" s="68">
        <f t="shared" si="6"/>
        <v>15</v>
      </c>
      <c r="I61" s="68">
        <f t="shared" si="7"/>
        <v>16</v>
      </c>
      <c r="J61" s="68">
        <f t="shared" si="8"/>
        <v>19</v>
      </c>
      <c r="K61" s="68">
        <f t="shared" si="9"/>
        <v>19</v>
      </c>
      <c r="L61" s="68">
        <f t="shared" si="10"/>
        <v>15</v>
      </c>
      <c r="M61" s="569">
        <f t="shared" si="11"/>
        <v>20</v>
      </c>
      <c r="N61" s="74" t="s">
        <v>562</v>
      </c>
      <c r="O61" s="570" t="s">
        <v>1945</v>
      </c>
      <c r="P61" s="571"/>
      <c r="Q61" s="571" t="s">
        <v>1313</v>
      </c>
      <c r="R61" s="571" t="s">
        <v>1314</v>
      </c>
      <c r="S61" s="791" t="s">
        <v>584</v>
      </c>
      <c r="T61" s="572" t="s">
        <v>563</v>
      </c>
      <c r="U61" s="54">
        <v>1.0</v>
      </c>
      <c r="V61" s="54">
        <v>0.0</v>
      </c>
      <c r="W61" s="74"/>
      <c r="X61" s="74"/>
      <c r="Y61" s="573">
        <v>2.0</v>
      </c>
      <c r="Z61" s="54">
        <v>0.0</v>
      </c>
      <c r="AA61" s="54">
        <v>2.0</v>
      </c>
      <c r="AB61" s="54">
        <v>48.0</v>
      </c>
      <c r="AC61" s="54">
        <v>72.0</v>
      </c>
      <c r="AD61" s="54">
        <v>3.0</v>
      </c>
      <c r="AE61" s="54">
        <v>75.0</v>
      </c>
      <c r="AF61" s="54">
        <v>75.0</v>
      </c>
      <c r="AG61" s="54">
        <v>2.0</v>
      </c>
      <c r="AH61" s="54">
        <v>7.0</v>
      </c>
      <c r="AI61" s="574">
        <f t="shared" si="12"/>
        <v>4.5</v>
      </c>
      <c r="AJ61" s="74"/>
      <c r="AK61" s="74"/>
      <c r="AL61" s="74"/>
      <c r="AM61" s="74"/>
      <c r="AN61" s="74"/>
      <c r="AO61" s="74"/>
      <c r="AP61" s="74"/>
      <c r="AQ61" s="74"/>
      <c r="AR61" s="74"/>
      <c r="AS61" s="575"/>
      <c r="AT61" s="68">
        <f t="shared" si="13"/>
        <v>313</v>
      </c>
      <c r="AU61" s="68">
        <f t="shared" si="14"/>
        <v>410</v>
      </c>
      <c r="AV61" s="581">
        <f t="shared" si="15"/>
        <v>361.5</v>
      </c>
      <c r="AW61" s="582">
        <f t="shared" si="16"/>
        <v>603</v>
      </c>
      <c r="AX61" s="582">
        <f t="shared" si="17"/>
        <v>646</v>
      </c>
      <c r="AY61" s="582">
        <f t="shared" si="18"/>
        <v>603</v>
      </c>
      <c r="AZ61" s="582">
        <f t="shared" si="19"/>
        <v>646</v>
      </c>
      <c r="BA61" s="582">
        <f t="shared" si="20"/>
        <v>502</v>
      </c>
      <c r="BB61" s="582">
        <f t="shared" si="21"/>
        <v>476</v>
      </c>
      <c r="BC61" s="582">
        <f t="shared" si="22"/>
        <v>502</v>
      </c>
      <c r="BD61" s="582">
        <f t="shared" si="23"/>
        <v>335</v>
      </c>
      <c r="BE61" s="582">
        <f t="shared" si="24"/>
        <v>411</v>
      </c>
      <c r="BF61" s="582">
        <f t="shared" si="25"/>
        <v>393</v>
      </c>
      <c r="BG61" s="582">
        <f t="shared" si="26"/>
        <v>476</v>
      </c>
      <c r="BH61" s="582">
        <f t="shared" si="27"/>
        <v>476</v>
      </c>
      <c r="BI61" s="582">
        <f t="shared" si="28"/>
        <v>502</v>
      </c>
      <c r="BJ61" s="582">
        <f t="shared" si="29"/>
        <v>502</v>
      </c>
      <c r="BK61" s="582">
        <f t="shared" si="30"/>
        <v>411</v>
      </c>
      <c r="BL61" s="582">
        <f t="shared" si="31"/>
        <v>393</v>
      </c>
      <c r="BM61" s="74"/>
      <c r="BN61" s="74"/>
      <c r="BO61" s="582">
        <f t="shared" si="141"/>
        <v>1205</v>
      </c>
      <c r="BP61" s="602">
        <f t="shared" si="33"/>
        <v>1205</v>
      </c>
      <c r="BQ61" s="54">
        <v>2.0</v>
      </c>
      <c r="BR61" s="54">
        <v>7.0</v>
      </c>
      <c r="BS61" s="74"/>
      <c r="BT61" s="54">
        <v>100.0</v>
      </c>
      <c r="BU61" s="74"/>
      <c r="BV61" s="83">
        <f t="shared" si="34"/>
        <v>4.5</v>
      </c>
      <c r="BW61" s="608">
        <f t="shared" si="35"/>
        <v>370.8</v>
      </c>
      <c r="BX61" s="582">
        <f t="shared" si="36"/>
        <v>618</v>
      </c>
      <c r="BY61" s="582">
        <f t="shared" si="37"/>
        <v>662.1</v>
      </c>
      <c r="BZ61" s="582">
        <f t="shared" si="38"/>
        <v>618</v>
      </c>
      <c r="CA61" s="582">
        <f t="shared" si="39"/>
        <v>515</v>
      </c>
      <c r="CB61" s="582">
        <f t="shared" si="40"/>
        <v>515</v>
      </c>
      <c r="CC61" s="582">
        <f t="shared" si="41"/>
        <v>662.1</v>
      </c>
      <c r="CD61" s="582">
        <f t="shared" si="42"/>
        <v>487.9</v>
      </c>
      <c r="CE61" s="623" t="str">
        <f t="shared" si="43"/>
        <v/>
      </c>
      <c r="CF61" s="706">
        <f t="shared" ref="CF61:CG61" si="161">IF(ROUND(100*(AV61/BW61)-100,1)=0,"",ROUND(100*(AV61/BW61)-100,1))</f>
        <v>-2.5</v>
      </c>
      <c r="CG61" s="602">
        <f t="shared" si="161"/>
        <v>-2.4</v>
      </c>
      <c r="CH61" s="575" t="s">
        <v>562</v>
      </c>
      <c r="CI61" s="582">
        <f t="shared" ref="CI61:DF61" si="162">FLOOR($AV61/(CI$3/25),1)</f>
        <v>361</v>
      </c>
      <c r="CJ61" s="582">
        <f t="shared" si="162"/>
        <v>376</v>
      </c>
      <c r="CK61" s="582">
        <f t="shared" si="162"/>
        <v>392</v>
      </c>
      <c r="CL61" s="582">
        <f t="shared" si="162"/>
        <v>410</v>
      </c>
      <c r="CM61" s="582">
        <f t="shared" si="162"/>
        <v>430</v>
      </c>
      <c r="CN61" s="582">
        <f t="shared" si="162"/>
        <v>451</v>
      </c>
      <c r="CO61" s="582">
        <f t="shared" si="162"/>
        <v>475</v>
      </c>
      <c r="CP61" s="582">
        <f t="shared" si="162"/>
        <v>502</v>
      </c>
      <c r="CQ61" s="582">
        <f t="shared" si="162"/>
        <v>531</v>
      </c>
      <c r="CR61" s="582">
        <f t="shared" si="162"/>
        <v>564</v>
      </c>
      <c r="CS61" s="582">
        <f t="shared" si="162"/>
        <v>602</v>
      </c>
      <c r="CT61" s="582">
        <f t="shared" si="162"/>
        <v>645</v>
      </c>
      <c r="CU61" s="582">
        <f t="shared" si="162"/>
        <v>695</v>
      </c>
      <c r="CV61" s="582">
        <f t="shared" si="162"/>
        <v>753</v>
      </c>
      <c r="CW61" s="582">
        <f t="shared" si="162"/>
        <v>821</v>
      </c>
      <c r="CX61" s="582">
        <f t="shared" si="162"/>
        <v>903</v>
      </c>
      <c r="CY61" s="582">
        <f t="shared" si="162"/>
        <v>1004</v>
      </c>
      <c r="CZ61" s="582">
        <f t="shared" si="162"/>
        <v>1129</v>
      </c>
      <c r="DA61" s="582">
        <f t="shared" si="162"/>
        <v>1291</v>
      </c>
      <c r="DB61" s="582">
        <f t="shared" si="162"/>
        <v>1506</v>
      </c>
      <c r="DC61" s="582">
        <f t="shared" si="162"/>
        <v>1807</v>
      </c>
      <c r="DD61" s="582">
        <f t="shared" si="162"/>
        <v>2259</v>
      </c>
      <c r="DE61" s="582">
        <f t="shared" si="162"/>
        <v>3012</v>
      </c>
      <c r="DF61" s="602">
        <f t="shared" si="162"/>
        <v>4518</v>
      </c>
      <c r="DG61" s="575"/>
      <c r="DH61" s="575" t="str">
        <f t="shared" si="46"/>
        <v/>
      </c>
      <c r="DI61" s="74" t="str">
        <f t="shared" si="47"/>
        <v/>
      </c>
      <c r="DJ61" s="74" t="str">
        <f t="shared" si="48"/>
        <v/>
      </c>
      <c r="DK61" s="792" t="str">
        <f t="shared" si="49"/>
        <v/>
      </c>
      <c r="DL61" s="793"/>
      <c r="DM61" s="793"/>
      <c r="DN61" s="793"/>
      <c r="DO61" s="575"/>
      <c r="DP61" s="297"/>
    </row>
    <row r="62">
      <c r="A62" s="552">
        <v>56.0</v>
      </c>
      <c r="B62" s="86">
        <v>27.0</v>
      </c>
      <c r="C62" s="54">
        <v>2.0</v>
      </c>
      <c r="D62" s="54">
        <v>6.0</v>
      </c>
      <c r="E62" s="74"/>
      <c r="F62" s="68" t="s">
        <v>1246</v>
      </c>
      <c r="G62" s="68">
        <f t="shared" si="5"/>
        <v>16</v>
      </c>
      <c r="H62" s="68">
        <f t="shared" si="6"/>
        <v>15</v>
      </c>
      <c r="I62" s="68">
        <f t="shared" si="7"/>
        <v>16</v>
      </c>
      <c r="J62" s="68">
        <f t="shared" si="8"/>
        <v>19</v>
      </c>
      <c r="K62" s="68">
        <f t="shared" si="9"/>
        <v>19</v>
      </c>
      <c r="L62" s="68">
        <f t="shared" si="10"/>
        <v>15</v>
      </c>
      <c r="M62" s="569">
        <f t="shared" si="11"/>
        <v>20</v>
      </c>
      <c r="N62" s="74" t="s">
        <v>589</v>
      </c>
      <c r="O62" s="570" t="s">
        <v>1946</v>
      </c>
      <c r="P62" s="571"/>
      <c r="Q62" s="571" t="s">
        <v>1313</v>
      </c>
      <c r="R62" s="571" t="s">
        <v>1314</v>
      </c>
      <c r="S62" s="791" t="s">
        <v>584</v>
      </c>
      <c r="T62" s="572" t="s">
        <v>590</v>
      </c>
      <c r="U62" s="54">
        <v>5.0</v>
      </c>
      <c r="V62" s="54">
        <v>0.0</v>
      </c>
      <c r="W62" s="74"/>
      <c r="X62" s="54">
        <v>21.0</v>
      </c>
      <c r="Y62" s="573">
        <v>2.0</v>
      </c>
      <c r="Z62" s="54">
        <v>-20.0</v>
      </c>
      <c r="AA62" s="54">
        <v>2.0</v>
      </c>
      <c r="AB62" s="54">
        <v>44.0</v>
      </c>
      <c r="AC62" s="54">
        <v>274.0</v>
      </c>
      <c r="AD62" s="54">
        <v>3.0</v>
      </c>
      <c r="AE62" s="54">
        <v>75.0</v>
      </c>
      <c r="AF62" s="54">
        <v>75.0</v>
      </c>
      <c r="AG62" s="54">
        <v>2.0</v>
      </c>
      <c r="AH62" s="54">
        <v>6.0</v>
      </c>
      <c r="AI62" s="574">
        <f t="shared" si="12"/>
        <v>4</v>
      </c>
      <c r="AJ62" s="74"/>
      <c r="AK62" s="74"/>
      <c r="AL62" s="74"/>
      <c r="AM62" s="74"/>
      <c r="AN62" s="74"/>
      <c r="AO62" s="74"/>
      <c r="AP62" s="74"/>
      <c r="AQ62" s="74"/>
      <c r="AR62" s="74"/>
      <c r="AS62" s="575"/>
      <c r="AT62" s="68">
        <f t="shared" si="13"/>
        <v>313</v>
      </c>
      <c r="AU62" s="68">
        <f t="shared" si="14"/>
        <v>392</v>
      </c>
      <c r="AV62" s="581">
        <f t="shared" si="15"/>
        <v>352.5</v>
      </c>
      <c r="AW62" s="582">
        <f t="shared" si="16"/>
        <v>678</v>
      </c>
      <c r="AX62" s="582">
        <f t="shared" si="17"/>
        <v>734</v>
      </c>
      <c r="AY62" s="582">
        <f t="shared" si="18"/>
        <v>678</v>
      </c>
      <c r="AZ62" s="582">
        <f t="shared" si="19"/>
        <v>734</v>
      </c>
      <c r="BA62" s="582">
        <f t="shared" si="20"/>
        <v>588</v>
      </c>
      <c r="BB62" s="582">
        <f t="shared" si="21"/>
        <v>551</v>
      </c>
      <c r="BC62" s="582">
        <f t="shared" si="22"/>
        <v>588</v>
      </c>
      <c r="BD62" s="582">
        <f t="shared" si="23"/>
        <v>490</v>
      </c>
      <c r="BE62" s="582">
        <f t="shared" si="24"/>
        <v>588</v>
      </c>
      <c r="BF62" s="582">
        <f t="shared" si="25"/>
        <v>588</v>
      </c>
      <c r="BG62" s="582">
        <f t="shared" si="26"/>
        <v>678</v>
      </c>
      <c r="BH62" s="582">
        <f t="shared" si="27"/>
        <v>678</v>
      </c>
      <c r="BI62" s="582">
        <f t="shared" si="28"/>
        <v>734</v>
      </c>
      <c r="BJ62" s="582">
        <f t="shared" si="29"/>
        <v>734</v>
      </c>
      <c r="BK62" s="582">
        <f t="shared" si="30"/>
        <v>588</v>
      </c>
      <c r="BL62" s="582">
        <f t="shared" si="31"/>
        <v>588</v>
      </c>
      <c r="BM62" s="74"/>
      <c r="BN62" s="74"/>
      <c r="BO62" s="582">
        <f t="shared" si="141"/>
        <v>1356</v>
      </c>
      <c r="BP62" s="602">
        <f t="shared" si="33"/>
        <v>1356</v>
      </c>
      <c r="BQ62" s="54">
        <v>2.0</v>
      </c>
      <c r="BR62" s="54">
        <v>6.0</v>
      </c>
      <c r="BS62" s="54">
        <v>-20.0</v>
      </c>
      <c r="BT62" s="54">
        <v>100.0</v>
      </c>
      <c r="BU62" s="74"/>
      <c r="BV62" s="83">
        <f t="shared" si="34"/>
        <v>4</v>
      </c>
      <c r="BW62" s="608">
        <f t="shared" si="35"/>
        <v>360.7</v>
      </c>
      <c r="BX62" s="582">
        <f t="shared" si="36"/>
        <v>693.7</v>
      </c>
      <c r="BY62" s="582">
        <f t="shared" si="37"/>
        <v>751.5</v>
      </c>
      <c r="BZ62" s="582">
        <f t="shared" si="38"/>
        <v>693.7</v>
      </c>
      <c r="CA62" s="582">
        <f t="shared" si="39"/>
        <v>601.2</v>
      </c>
      <c r="CB62" s="582">
        <f t="shared" si="40"/>
        <v>601.2</v>
      </c>
      <c r="CC62" s="582">
        <f t="shared" si="41"/>
        <v>751.5</v>
      </c>
      <c r="CD62" s="582">
        <f t="shared" si="42"/>
        <v>563.6</v>
      </c>
      <c r="CE62" s="623" t="str">
        <f t="shared" si="43"/>
        <v/>
      </c>
      <c r="CF62" s="706">
        <f t="shared" ref="CF62:CG62" si="163">IF(ROUND(100*(AV62/BW62)-100,1)=0,"",ROUND(100*(AV62/BW62)-100,1))</f>
        <v>-2.3</v>
      </c>
      <c r="CG62" s="552">
        <f t="shared" si="163"/>
        <v>-2.3</v>
      </c>
      <c r="CH62" s="575" t="s">
        <v>589</v>
      </c>
      <c r="CI62" s="582">
        <f t="shared" ref="CI62:DF62" si="164">FLOOR($AV62/(CI$3/25),1)</f>
        <v>352</v>
      </c>
      <c r="CJ62" s="582">
        <f t="shared" si="164"/>
        <v>367</v>
      </c>
      <c r="CK62" s="582">
        <f t="shared" si="164"/>
        <v>383</v>
      </c>
      <c r="CL62" s="582">
        <f t="shared" si="164"/>
        <v>400</v>
      </c>
      <c r="CM62" s="582">
        <f t="shared" si="164"/>
        <v>419</v>
      </c>
      <c r="CN62" s="582">
        <f t="shared" si="164"/>
        <v>440</v>
      </c>
      <c r="CO62" s="582">
        <f t="shared" si="164"/>
        <v>463</v>
      </c>
      <c r="CP62" s="582">
        <f t="shared" si="164"/>
        <v>489</v>
      </c>
      <c r="CQ62" s="582">
        <f t="shared" si="164"/>
        <v>518</v>
      </c>
      <c r="CR62" s="582">
        <f t="shared" si="164"/>
        <v>550</v>
      </c>
      <c r="CS62" s="582">
        <f t="shared" si="164"/>
        <v>587</v>
      </c>
      <c r="CT62" s="582">
        <f t="shared" si="164"/>
        <v>629</v>
      </c>
      <c r="CU62" s="582">
        <f t="shared" si="164"/>
        <v>677</v>
      </c>
      <c r="CV62" s="582">
        <f t="shared" si="164"/>
        <v>734</v>
      </c>
      <c r="CW62" s="582">
        <f t="shared" si="164"/>
        <v>801</v>
      </c>
      <c r="CX62" s="582">
        <f t="shared" si="164"/>
        <v>881</v>
      </c>
      <c r="CY62" s="582">
        <f t="shared" si="164"/>
        <v>979</v>
      </c>
      <c r="CZ62" s="582">
        <f t="shared" si="164"/>
        <v>1101</v>
      </c>
      <c r="DA62" s="582">
        <f t="shared" si="164"/>
        <v>1258</v>
      </c>
      <c r="DB62" s="582">
        <f t="shared" si="164"/>
        <v>1468</v>
      </c>
      <c r="DC62" s="582">
        <f t="shared" si="164"/>
        <v>1762</v>
      </c>
      <c r="DD62" s="582">
        <f t="shared" si="164"/>
        <v>2203</v>
      </c>
      <c r="DE62" s="582">
        <f t="shared" si="164"/>
        <v>2937</v>
      </c>
      <c r="DF62" s="602">
        <f t="shared" si="164"/>
        <v>4406</v>
      </c>
      <c r="DG62" s="575"/>
      <c r="DH62" s="575" t="str">
        <f t="shared" si="46"/>
        <v/>
      </c>
      <c r="DI62" s="74" t="str">
        <f t="shared" si="47"/>
        <v/>
      </c>
      <c r="DJ62" s="74" t="str">
        <f t="shared" si="48"/>
        <v/>
      </c>
      <c r="DK62" s="623" t="str">
        <f t="shared" si="49"/>
        <v/>
      </c>
      <c r="DL62" s="74"/>
      <c r="DM62" s="74"/>
      <c r="DN62" s="74"/>
      <c r="DO62" s="575"/>
      <c r="DP62" s="297"/>
    </row>
    <row r="63">
      <c r="A63" s="552">
        <v>57.0</v>
      </c>
      <c r="B63" s="86">
        <v>28.0</v>
      </c>
      <c r="C63" s="54">
        <v>3.0</v>
      </c>
      <c r="D63" s="54">
        <v>8.0</v>
      </c>
      <c r="E63" s="74"/>
      <c r="F63" s="68" t="s">
        <v>1246</v>
      </c>
      <c r="G63" s="68">
        <f t="shared" si="5"/>
        <v>16</v>
      </c>
      <c r="H63" s="68">
        <f t="shared" si="6"/>
        <v>15</v>
      </c>
      <c r="I63" s="68">
        <f t="shared" si="7"/>
        <v>16</v>
      </c>
      <c r="J63" s="68">
        <f t="shared" si="8"/>
        <v>19</v>
      </c>
      <c r="K63" s="68">
        <f t="shared" si="9"/>
        <v>19</v>
      </c>
      <c r="L63" s="68">
        <f t="shared" si="10"/>
        <v>15</v>
      </c>
      <c r="M63" s="569">
        <f t="shared" si="11"/>
        <v>20</v>
      </c>
      <c r="N63" s="37" t="s">
        <v>622</v>
      </c>
      <c r="O63" s="570" t="s">
        <v>1948</v>
      </c>
      <c r="P63" s="639" t="s">
        <v>2149</v>
      </c>
      <c r="Q63" s="571" t="s">
        <v>1313</v>
      </c>
      <c r="R63" s="571" t="s">
        <v>1314</v>
      </c>
      <c r="S63" s="791" t="s">
        <v>584</v>
      </c>
      <c r="T63" s="572" t="s">
        <v>623</v>
      </c>
      <c r="U63" s="54">
        <v>8.0</v>
      </c>
      <c r="V63" s="54">
        <v>0.0</v>
      </c>
      <c r="W63" s="54">
        <v>25.0</v>
      </c>
      <c r="X63" s="54">
        <v>25.0</v>
      </c>
      <c r="Y63" s="573">
        <v>2.0</v>
      </c>
      <c r="Z63" s="54">
        <v>-10.0</v>
      </c>
      <c r="AA63" s="54">
        <v>2.0</v>
      </c>
      <c r="AB63" s="54">
        <v>64.0</v>
      </c>
      <c r="AC63" s="54">
        <v>466.0</v>
      </c>
      <c r="AD63" s="54">
        <v>3.0</v>
      </c>
      <c r="AE63" s="54">
        <v>75.0</v>
      </c>
      <c r="AF63" s="54">
        <v>75.0</v>
      </c>
      <c r="AG63" s="54">
        <v>3.0</v>
      </c>
      <c r="AH63" s="54">
        <v>8.0</v>
      </c>
      <c r="AI63" s="574">
        <f t="shared" si="12"/>
        <v>5.5</v>
      </c>
      <c r="AJ63" s="74"/>
      <c r="AK63" s="74"/>
      <c r="AL63" s="74"/>
      <c r="AM63" s="74"/>
      <c r="AN63" s="74"/>
      <c r="AO63" s="74"/>
      <c r="AP63" s="74"/>
      <c r="AQ63" s="74"/>
      <c r="AR63" s="74"/>
      <c r="AS63" s="575"/>
      <c r="AT63" s="68">
        <f t="shared" si="13"/>
        <v>331</v>
      </c>
      <c r="AU63" s="68">
        <f t="shared" si="14"/>
        <v>431</v>
      </c>
      <c r="AV63" s="581">
        <f t="shared" si="15"/>
        <v>381</v>
      </c>
      <c r="AW63" s="582">
        <f t="shared" si="16"/>
        <v>680</v>
      </c>
      <c r="AX63" s="582">
        <f t="shared" si="17"/>
        <v>733</v>
      </c>
      <c r="AY63" s="582">
        <f t="shared" si="18"/>
        <v>680</v>
      </c>
      <c r="AZ63" s="582">
        <f t="shared" si="19"/>
        <v>733</v>
      </c>
      <c r="BA63" s="582">
        <f t="shared" si="20"/>
        <v>560</v>
      </c>
      <c r="BB63" s="582">
        <f t="shared" si="21"/>
        <v>529</v>
      </c>
      <c r="BC63" s="582">
        <f t="shared" si="22"/>
        <v>560</v>
      </c>
      <c r="BD63" s="582">
        <f t="shared" si="23"/>
        <v>433</v>
      </c>
      <c r="BE63" s="582">
        <f t="shared" si="24"/>
        <v>529</v>
      </c>
      <c r="BF63" s="582">
        <f t="shared" si="25"/>
        <v>529</v>
      </c>
      <c r="BG63" s="582">
        <f t="shared" si="26"/>
        <v>635</v>
      </c>
      <c r="BH63" s="582">
        <f t="shared" si="27"/>
        <v>635</v>
      </c>
      <c r="BI63" s="582">
        <f t="shared" si="28"/>
        <v>680</v>
      </c>
      <c r="BJ63" s="582">
        <f t="shared" si="29"/>
        <v>680</v>
      </c>
      <c r="BK63" s="582">
        <f t="shared" si="30"/>
        <v>529</v>
      </c>
      <c r="BL63" s="582">
        <f t="shared" si="31"/>
        <v>501</v>
      </c>
      <c r="BM63" s="74"/>
      <c r="BN63" s="74"/>
      <c r="BO63" s="582">
        <f t="shared" si="141"/>
        <v>1361</v>
      </c>
      <c r="BP63" s="602">
        <f t="shared" si="33"/>
        <v>1361</v>
      </c>
      <c r="BQ63" s="54">
        <v>3.0</v>
      </c>
      <c r="BR63" s="54">
        <v>8.0</v>
      </c>
      <c r="BS63" s="54">
        <v>-10.0</v>
      </c>
      <c r="BT63" s="54">
        <v>100.0</v>
      </c>
      <c r="BU63" s="74"/>
      <c r="BV63" s="83">
        <f t="shared" si="34"/>
        <v>5.5</v>
      </c>
      <c r="BW63" s="608">
        <f t="shared" si="35"/>
        <v>391.1</v>
      </c>
      <c r="BX63" s="582">
        <f t="shared" si="36"/>
        <v>698.4</v>
      </c>
      <c r="BY63" s="582">
        <f t="shared" si="37"/>
        <v>752.1</v>
      </c>
      <c r="BZ63" s="582">
        <f t="shared" si="38"/>
        <v>698.4</v>
      </c>
      <c r="CA63" s="582">
        <f t="shared" si="39"/>
        <v>575.1</v>
      </c>
      <c r="CB63" s="582">
        <f t="shared" si="40"/>
        <v>575.1</v>
      </c>
      <c r="CC63" s="582">
        <f t="shared" si="41"/>
        <v>752.1</v>
      </c>
      <c r="CD63" s="582">
        <f t="shared" si="42"/>
        <v>543.2</v>
      </c>
      <c r="CE63" s="623" t="str">
        <f t="shared" si="43"/>
        <v/>
      </c>
      <c r="CF63" s="706">
        <f t="shared" ref="CF63:CG63" si="165">IF(ROUND(100*(AV63/BW63)-100,1)=0,"",ROUND(100*(AV63/BW63)-100,1))</f>
        <v>-2.6</v>
      </c>
      <c r="CG63" s="602">
        <f t="shared" si="165"/>
        <v>-2.6</v>
      </c>
      <c r="CH63" s="575" t="s">
        <v>1947</v>
      </c>
      <c r="CI63" s="582">
        <f t="shared" ref="CI63:DF63" si="166">FLOOR($AV63/(CI$3/25),1)</f>
        <v>381</v>
      </c>
      <c r="CJ63" s="582">
        <f t="shared" si="166"/>
        <v>396</v>
      </c>
      <c r="CK63" s="582">
        <f t="shared" si="166"/>
        <v>414</v>
      </c>
      <c r="CL63" s="582">
        <f t="shared" si="166"/>
        <v>432</v>
      </c>
      <c r="CM63" s="582">
        <f t="shared" si="166"/>
        <v>453</v>
      </c>
      <c r="CN63" s="582">
        <f t="shared" si="166"/>
        <v>476</v>
      </c>
      <c r="CO63" s="582">
        <f t="shared" si="166"/>
        <v>501</v>
      </c>
      <c r="CP63" s="582">
        <f t="shared" si="166"/>
        <v>529</v>
      </c>
      <c r="CQ63" s="582">
        <f t="shared" si="166"/>
        <v>560</v>
      </c>
      <c r="CR63" s="582">
        <f t="shared" si="166"/>
        <v>595</v>
      </c>
      <c r="CS63" s="582">
        <f t="shared" si="166"/>
        <v>635</v>
      </c>
      <c r="CT63" s="582">
        <f t="shared" si="166"/>
        <v>680</v>
      </c>
      <c r="CU63" s="582">
        <f t="shared" si="166"/>
        <v>732</v>
      </c>
      <c r="CV63" s="582">
        <f t="shared" si="166"/>
        <v>793</v>
      </c>
      <c r="CW63" s="582">
        <f t="shared" si="166"/>
        <v>865</v>
      </c>
      <c r="CX63" s="582">
        <f t="shared" si="166"/>
        <v>952</v>
      </c>
      <c r="CY63" s="582">
        <f t="shared" si="166"/>
        <v>1058</v>
      </c>
      <c r="CZ63" s="582">
        <f t="shared" si="166"/>
        <v>1190</v>
      </c>
      <c r="DA63" s="582">
        <f t="shared" si="166"/>
        <v>1360</v>
      </c>
      <c r="DB63" s="582">
        <f t="shared" si="166"/>
        <v>1587</v>
      </c>
      <c r="DC63" s="582">
        <f t="shared" si="166"/>
        <v>1905</v>
      </c>
      <c r="DD63" s="582">
        <f t="shared" si="166"/>
        <v>2381</v>
      </c>
      <c r="DE63" s="582">
        <f t="shared" si="166"/>
        <v>3175</v>
      </c>
      <c r="DF63" s="602">
        <f t="shared" si="166"/>
        <v>4762</v>
      </c>
      <c r="DG63" s="575"/>
      <c r="DH63" s="575" t="str">
        <f t="shared" si="46"/>
        <v/>
      </c>
      <c r="DI63" s="74" t="str">
        <f t="shared" si="47"/>
        <v/>
      </c>
      <c r="DJ63" s="74" t="str">
        <f t="shared" si="48"/>
        <v/>
      </c>
      <c r="DK63" s="623" t="str">
        <f t="shared" si="49"/>
        <v/>
      </c>
      <c r="DL63" s="74"/>
      <c r="DM63" s="74"/>
      <c r="DN63" s="74"/>
      <c r="DO63" s="575"/>
      <c r="DP63" s="297"/>
    </row>
    <row r="64">
      <c r="A64" s="552">
        <v>58.0</v>
      </c>
      <c r="B64" s="86">
        <v>29.0</v>
      </c>
      <c r="C64" s="54">
        <v>9.0</v>
      </c>
      <c r="D64" s="54">
        <v>17.0</v>
      </c>
      <c r="E64" s="74"/>
      <c r="F64" s="68" t="s">
        <v>1246</v>
      </c>
      <c r="G64" s="68">
        <f t="shared" si="5"/>
        <v>16</v>
      </c>
      <c r="H64" s="68">
        <f t="shared" si="6"/>
        <v>15</v>
      </c>
      <c r="I64" s="68">
        <f t="shared" si="7"/>
        <v>16</v>
      </c>
      <c r="J64" s="68">
        <f t="shared" si="8"/>
        <v>19</v>
      </c>
      <c r="K64" s="68">
        <f t="shared" si="9"/>
        <v>19</v>
      </c>
      <c r="L64" s="68">
        <f t="shared" si="10"/>
        <v>15</v>
      </c>
      <c r="M64" s="569">
        <f t="shared" si="11"/>
        <v>20</v>
      </c>
      <c r="N64" s="74" t="s">
        <v>646</v>
      </c>
      <c r="O64" s="570" t="s">
        <v>1949</v>
      </c>
      <c r="P64" s="571"/>
      <c r="Q64" s="571" t="s">
        <v>1313</v>
      </c>
      <c r="R64" s="571" t="s">
        <v>1314</v>
      </c>
      <c r="S64" s="791" t="s">
        <v>584</v>
      </c>
      <c r="T64" s="572" t="s">
        <v>647</v>
      </c>
      <c r="U64" s="54">
        <v>11.0</v>
      </c>
      <c r="V64" s="54">
        <v>0.0</v>
      </c>
      <c r="W64" s="54">
        <v>33.0</v>
      </c>
      <c r="X64" s="74"/>
      <c r="Y64" s="573">
        <v>2.0</v>
      </c>
      <c r="Z64" s="54">
        <v>20.0</v>
      </c>
      <c r="AA64" s="54">
        <v>2.0</v>
      </c>
      <c r="AB64" s="54">
        <v>64.0</v>
      </c>
      <c r="AC64" s="54">
        <v>683.0</v>
      </c>
      <c r="AD64" s="54">
        <v>4.0</v>
      </c>
      <c r="AE64" s="54">
        <v>75.0</v>
      </c>
      <c r="AF64" s="54">
        <v>75.0</v>
      </c>
      <c r="AG64" s="54">
        <v>9.0</v>
      </c>
      <c r="AH64" s="54">
        <v>17.0</v>
      </c>
      <c r="AI64" s="574">
        <f t="shared" si="12"/>
        <v>13</v>
      </c>
      <c r="AJ64" s="74"/>
      <c r="AK64" s="74"/>
      <c r="AL64" s="74"/>
      <c r="AM64" s="74"/>
      <c r="AN64" s="74"/>
      <c r="AO64" s="74"/>
      <c r="AP64" s="74"/>
      <c r="AQ64" s="74"/>
      <c r="AR64" s="74"/>
      <c r="AS64" s="575"/>
      <c r="AT64" s="68">
        <f t="shared" si="13"/>
        <v>452</v>
      </c>
      <c r="AU64" s="68">
        <f t="shared" si="14"/>
        <v>610</v>
      </c>
      <c r="AV64" s="581">
        <f t="shared" si="15"/>
        <v>531</v>
      </c>
      <c r="AW64" s="582">
        <f t="shared" si="16"/>
        <v>664</v>
      </c>
      <c r="AX64" s="582">
        <f t="shared" si="17"/>
        <v>738</v>
      </c>
      <c r="AY64" s="582">
        <f t="shared" si="18"/>
        <v>664</v>
      </c>
      <c r="AZ64" s="582">
        <f t="shared" si="19"/>
        <v>738</v>
      </c>
      <c r="BA64" s="582">
        <f t="shared" si="20"/>
        <v>577</v>
      </c>
      <c r="BB64" s="582">
        <f t="shared" si="21"/>
        <v>531</v>
      </c>
      <c r="BC64" s="582">
        <f t="shared" si="22"/>
        <v>577</v>
      </c>
      <c r="BD64" s="582">
        <f t="shared" si="23"/>
        <v>324</v>
      </c>
      <c r="BE64" s="582">
        <f t="shared" si="24"/>
        <v>390</v>
      </c>
      <c r="BF64" s="582">
        <f t="shared" si="25"/>
        <v>369</v>
      </c>
      <c r="BG64" s="582">
        <f t="shared" si="26"/>
        <v>443</v>
      </c>
      <c r="BH64" s="582">
        <f t="shared" si="27"/>
        <v>443</v>
      </c>
      <c r="BI64" s="582">
        <f t="shared" si="28"/>
        <v>492</v>
      </c>
      <c r="BJ64" s="582">
        <f t="shared" si="29"/>
        <v>492</v>
      </c>
      <c r="BK64" s="582">
        <f t="shared" si="30"/>
        <v>390</v>
      </c>
      <c r="BL64" s="582">
        <f t="shared" si="31"/>
        <v>359</v>
      </c>
      <c r="BM64" s="74"/>
      <c r="BN64" s="74"/>
      <c r="BO64" s="582">
        <f t="shared" si="141"/>
        <v>1328</v>
      </c>
      <c r="BP64" s="602">
        <f t="shared" si="33"/>
        <v>1328</v>
      </c>
      <c r="BQ64" s="54">
        <v>9.0</v>
      </c>
      <c r="BR64" s="54">
        <v>17.0</v>
      </c>
      <c r="BS64" s="54">
        <v>20.0</v>
      </c>
      <c r="BT64" s="54">
        <v>100.0</v>
      </c>
      <c r="BU64" s="74"/>
      <c r="BV64" s="83">
        <f t="shared" si="34"/>
        <v>13</v>
      </c>
      <c r="BW64" s="608">
        <f t="shared" si="35"/>
        <v>542.9</v>
      </c>
      <c r="BX64" s="582">
        <f t="shared" si="36"/>
        <v>678.6</v>
      </c>
      <c r="BY64" s="582">
        <f t="shared" si="37"/>
        <v>754</v>
      </c>
      <c r="BZ64" s="582">
        <f t="shared" si="38"/>
        <v>678.6</v>
      </c>
      <c r="CA64" s="582">
        <f t="shared" si="39"/>
        <v>590.1</v>
      </c>
      <c r="CB64" s="582">
        <f t="shared" si="40"/>
        <v>590.1</v>
      </c>
      <c r="CC64" s="582">
        <f t="shared" si="41"/>
        <v>754</v>
      </c>
      <c r="CD64" s="582">
        <f t="shared" si="42"/>
        <v>542.9</v>
      </c>
      <c r="CE64" s="623" t="str">
        <f t="shared" si="43"/>
        <v/>
      </c>
      <c r="CF64" s="706">
        <f t="shared" ref="CF64:CG64" si="167">IF(ROUND(100*(AV64/BW64)-100,1)=0,"",ROUND(100*(AV64/BW64)-100,1))</f>
        <v>-2.2</v>
      </c>
      <c r="CG64" s="552">
        <f t="shared" si="167"/>
        <v>-2.2</v>
      </c>
      <c r="CH64" s="575" t="s">
        <v>646</v>
      </c>
      <c r="CI64" s="582">
        <f t="shared" ref="CI64:DF64" si="168">FLOOR($AV64/(CI$3/25),1)</f>
        <v>531</v>
      </c>
      <c r="CJ64" s="582">
        <f t="shared" si="168"/>
        <v>553</v>
      </c>
      <c r="CK64" s="582">
        <f t="shared" si="168"/>
        <v>577</v>
      </c>
      <c r="CL64" s="582">
        <f t="shared" si="168"/>
        <v>603</v>
      </c>
      <c r="CM64" s="582">
        <f t="shared" si="168"/>
        <v>632</v>
      </c>
      <c r="CN64" s="582">
        <f t="shared" si="168"/>
        <v>663</v>
      </c>
      <c r="CO64" s="582">
        <f t="shared" si="168"/>
        <v>698</v>
      </c>
      <c r="CP64" s="582">
        <f t="shared" si="168"/>
        <v>737</v>
      </c>
      <c r="CQ64" s="582">
        <f t="shared" si="168"/>
        <v>780</v>
      </c>
      <c r="CR64" s="582">
        <f t="shared" si="168"/>
        <v>829</v>
      </c>
      <c r="CS64" s="582">
        <f t="shared" si="168"/>
        <v>885</v>
      </c>
      <c r="CT64" s="582">
        <f t="shared" si="168"/>
        <v>948</v>
      </c>
      <c r="CU64" s="582">
        <f t="shared" si="168"/>
        <v>1021</v>
      </c>
      <c r="CV64" s="582">
        <f t="shared" si="168"/>
        <v>1106</v>
      </c>
      <c r="CW64" s="582">
        <f t="shared" si="168"/>
        <v>1206</v>
      </c>
      <c r="CX64" s="582">
        <f t="shared" si="168"/>
        <v>1327</v>
      </c>
      <c r="CY64" s="582">
        <f t="shared" si="168"/>
        <v>1475</v>
      </c>
      <c r="CZ64" s="582">
        <f t="shared" si="168"/>
        <v>1659</v>
      </c>
      <c r="DA64" s="582">
        <f t="shared" si="168"/>
        <v>1896</v>
      </c>
      <c r="DB64" s="582">
        <f t="shared" si="168"/>
        <v>2212</v>
      </c>
      <c r="DC64" s="582">
        <f t="shared" si="168"/>
        <v>2655</v>
      </c>
      <c r="DD64" s="582">
        <f t="shared" si="168"/>
        <v>3318</v>
      </c>
      <c r="DE64" s="582">
        <f t="shared" si="168"/>
        <v>4425</v>
      </c>
      <c r="DF64" s="602">
        <f t="shared" si="168"/>
        <v>6637</v>
      </c>
      <c r="DG64" s="575"/>
      <c r="DH64" s="575" t="str">
        <f t="shared" si="46"/>
        <v/>
      </c>
      <c r="DI64" s="74" t="str">
        <f t="shared" si="47"/>
        <v/>
      </c>
      <c r="DJ64" s="74" t="str">
        <f t="shared" si="48"/>
        <v/>
      </c>
      <c r="DK64" s="623" t="str">
        <f t="shared" si="49"/>
        <v/>
      </c>
      <c r="DL64" s="74"/>
      <c r="DM64" s="74"/>
      <c r="DN64" s="74"/>
      <c r="DO64" s="575"/>
      <c r="DP64" s="297"/>
    </row>
    <row r="65">
      <c r="A65" s="552">
        <v>59.0</v>
      </c>
      <c r="B65" s="86">
        <v>30.0</v>
      </c>
      <c r="C65" s="54">
        <v>5.0</v>
      </c>
      <c r="D65" s="54">
        <v>15.0</v>
      </c>
      <c r="E65" s="74"/>
      <c r="F65" s="68" t="s">
        <v>1246</v>
      </c>
      <c r="G65" s="68">
        <f t="shared" si="5"/>
        <v>16</v>
      </c>
      <c r="H65" s="68">
        <f t="shared" si="6"/>
        <v>15</v>
      </c>
      <c r="I65" s="68">
        <f t="shared" si="7"/>
        <v>16</v>
      </c>
      <c r="J65" s="68">
        <f t="shared" si="8"/>
        <v>19</v>
      </c>
      <c r="K65" s="68">
        <f t="shared" si="9"/>
        <v>19</v>
      </c>
      <c r="L65" s="68">
        <f t="shared" si="10"/>
        <v>15</v>
      </c>
      <c r="M65" s="569">
        <f t="shared" si="11"/>
        <v>20</v>
      </c>
      <c r="N65" s="74" t="s">
        <v>665</v>
      </c>
      <c r="O65" s="678"/>
      <c r="P65" s="571"/>
      <c r="Q65" s="571" t="s">
        <v>1313</v>
      </c>
      <c r="R65" s="571" t="s">
        <v>1314</v>
      </c>
      <c r="S65" s="791" t="s">
        <v>584</v>
      </c>
      <c r="T65" s="572" t="s">
        <v>667</v>
      </c>
      <c r="U65" s="54">
        <v>11.0</v>
      </c>
      <c r="V65" s="54">
        <v>0.0</v>
      </c>
      <c r="W65" s="54">
        <v>43.0</v>
      </c>
      <c r="X65" s="74"/>
      <c r="Y65" s="54">
        <v>6.0</v>
      </c>
      <c r="Z65" s="54">
        <v>0.0</v>
      </c>
      <c r="AA65" s="54">
        <v>2.0</v>
      </c>
      <c r="AB65" s="54">
        <v>40.0</v>
      </c>
      <c r="AC65" s="54">
        <v>2127.0</v>
      </c>
      <c r="AD65" s="54">
        <v>2.0</v>
      </c>
      <c r="AE65" s="54">
        <v>75.0</v>
      </c>
      <c r="AF65" s="54">
        <v>75.0</v>
      </c>
      <c r="AG65" s="54">
        <v>5.0</v>
      </c>
      <c r="AH65" s="54">
        <v>15.0</v>
      </c>
      <c r="AI65" s="574">
        <f t="shared" si="12"/>
        <v>10</v>
      </c>
      <c r="AJ65" s="74"/>
      <c r="AK65" s="74"/>
      <c r="AL65" s="74"/>
      <c r="AM65" s="74"/>
      <c r="AN65" s="74"/>
      <c r="AO65" s="74"/>
      <c r="AP65" s="74"/>
      <c r="AQ65" s="74"/>
      <c r="AR65" s="74"/>
      <c r="AS65" s="575"/>
      <c r="AT65" s="68">
        <f t="shared" si="13"/>
        <v>370</v>
      </c>
      <c r="AU65" s="68">
        <f t="shared" si="14"/>
        <v>571</v>
      </c>
      <c r="AV65" s="581">
        <f t="shared" si="15"/>
        <v>470.5</v>
      </c>
      <c r="AW65" s="582">
        <f t="shared" si="16"/>
        <v>784</v>
      </c>
      <c r="AX65" s="582">
        <f t="shared" si="17"/>
        <v>840</v>
      </c>
      <c r="AY65" s="582">
        <f t="shared" si="18"/>
        <v>784</v>
      </c>
      <c r="AZ65" s="582">
        <f t="shared" si="19"/>
        <v>840</v>
      </c>
      <c r="BA65" s="582">
        <f t="shared" si="20"/>
        <v>653</v>
      </c>
      <c r="BB65" s="582">
        <f t="shared" si="21"/>
        <v>619</v>
      </c>
      <c r="BC65" s="582">
        <f t="shared" si="22"/>
        <v>653</v>
      </c>
      <c r="BD65" s="582">
        <f t="shared" si="23"/>
        <v>436</v>
      </c>
      <c r="BE65" s="582">
        <f t="shared" si="24"/>
        <v>535</v>
      </c>
      <c r="BF65" s="582">
        <f t="shared" si="25"/>
        <v>511</v>
      </c>
      <c r="BG65" s="582">
        <f t="shared" si="26"/>
        <v>619</v>
      </c>
      <c r="BH65" s="582">
        <f t="shared" si="27"/>
        <v>619</v>
      </c>
      <c r="BI65" s="582">
        <f t="shared" si="28"/>
        <v>653</v>
      </c>
      <c r="BJ65" s="582">
        <f t="shared" si="29"/>
        <v>653</v>
      </c>
      <c r="BK65" s="582">
        <f t="shared" si="30"/>
        <v>535</v>
      </c>
      <c r="BL65" s="582">
        <f t="shared" si="31"/>
        <v>511</v>
      </c>
      <c r="BM65" s="74"/>
      <c r="BN65" s="74"/>
      <c r="BO65" s="582">
        <f t="shared" si="141"/>
        <v>1568</v>
      </c>
      <c r="BP65" s="602">
        <f t="shared" si="33"/>
        <v>1568</v>
      </c>
      <c r="BQ65" s="54">
        <v>5.0</v>
      </c>
      <c r="BR65" s="54">
        <v>15.0</v>
      </c>
      <c r="BS65" s="74"/>
      <c r="BT65" s="54">
        <v>100.0</v>
      </c>
      <c r="BU65" s="74"/>
      <c r="BV65" s="83">
        <f t="shared" si="34"/>
        <v>10</v>
      </c>
      <c r="BW65" s="608">
        <f t="shared" si="35"/>
        <v>482.2</v>
      </c>
      <c r="BX65" s="582">
        <f t="shared" si="36"/>
        <v>803.7</v>
      </c>
      <c r="BY65" s="582">
        <f t="shared" si="37"/>
        <v>861.1</v>
      </c>
      <c r="BZ65" s="582">
        <f t="shared" si="38"/>
        <v>803.7</v>
      </c>
      <c r="CA65" s="582">
        <f t="shared" si="39"/>
        <v>669.7</v>
      </c>
      <c r="CB65" s="582">
        <f t="shared" si="40"/>
        <v>669.7</v>
      </c>
      <c r="CC65" s="582">
        <f t="shared" si="41"/>
        <v>861.1</v>
      </c>
      <c r="CD65" s="582">
        <f t="shared" si="42"/>
        <v>634.5</v>
      </c>
      <c r="CE65" s="623" t="str">
        <f t="shared" si="43"/>
        <v/>
      </c>
      <c r="CF65" s="706">
        <f t="shared" ref="CF65:CG65" si="169">IF(ROUND(100*(AV65/BW65)-100,1)=0,"",ROUND(100*(AV65/BW65)-100,1))</f>
        <v>-2.4</v>
      </c>
      <c r="CG65" s="552">
        <f t="shared" si="169"/>
        <v>-2.5</v>
      </c>
      <c r="CH65" s="575" t="s">
        <v>665</v>
      </c>
      <c r="CI65" s="582">
        <f t="shared" ref="CI65:DF65" si="170">FLOOR($AV65/(CI$3/25),1)</f>
        <v>470</v>
      </c>
      <c r="CJ65" s="582">
        <f t="shared" si="170"/>
        <v>490</v>
      </c>
      <c r="CK65" s="582">
        <f t="shared" si="170"/>
        <v>511</v>
      </c>
      <c r="CL65" s="582">
        <f t="shared" si="170"/>
        <v>534</v>
      </c>
      <c r="CM65" s="582">
        <f t="shared" si="170"/>
        <v>560</v>
      </c>
      <c r="CN65" s="582">
        <f t="shared" si="170"/>
        <v>588</v>
      </c>
      <c r="CO65" s="582">
        <f t="shared" si="170"/>
        <v>619</v>
      </c>
      <c r="CP65" s="582">
        <f t="shared" si="170"/>
        <v>653</v>
      </c>
      <c r="CQ65" s="582">
        <f t="shared" si="170"/>
        <v>691</v>
      </c>
      <c r="CR65" s="582">
        <f t="shared" si="170"/>
        <v>735</v>
      </c>
      <c r="CS65" s="582">
        <f t="shared" si="170"/>
        <v>784</v>
      </c>
      <c r="CT65" s="582">
        <f t="shared" si="170"/>
        <v>840</v>
      </c>
      <c r="CU65" s="582">
        <f t="shared" si="170"/>
        <v>904</v>
      </c>
      <c r="CV65" s="582">
        <f t="shared" si="170"/>
        <v>980</v>
      </c>
      <c r="CW65" s="582">
        <f t="shared" si="170"/>
        <v>1069</v>
      </c>
      <c r="CX65" s="582">
        <f t="shared" si="170"/>
        <v>1176</v>
      </c>
      <c r="CY65" s="582">
        <f t="shared" si="170"/>
        <v>1306</v>
      </c>
      <c r="CZ65" s="582">
        <f t="shared" si="170"/>
        <v>1470</v>
      </c>
      <c r="DA65" s="582">
        <f t="shared" si="170"/>
        <v>1680</v>
      </c>
      <c r="DB65" s="582">
        <f t="shared" si="170"/>
        <v>1960</v>
      </c>
      <c r="DC65" s="582">
        <f t="shared" si="170"/>
        <v>2352</v>
      </c>
      <c r="DD65" s="582">
        <f t="shared" si="170"/>
        <v>2940</v>
      </c>
      <c r="DE65" s="582">
        <f t="shared" si="170"/>
        <v>3920</v>
      </c>
      <c r="DF65" s="602">
        <f t="shared" si="170"/>
        <v>5881</v>
      </c>
      <c r="DG65" s="575"/>
      <c r="DH65" s="575" t="str">
        <f t="shared" si="46"/>
        <v/>
      </c>
      <c r="DI65" s="74" t="str">
        <f t="shared" si="47"/>
        <v/>
      </c>
      <c r="DJ65" s="74" t="str">
        <f t="shared" si="48"/>
        <v/>
      </c>
      <c r="DK65" s="623" t="str">
        <f t="shared" si="49"/>
        <v/>
      </c>
      <c r="DL65" s="74"/>
      <c r="DM65" s="74"/>
      <c r="DN65" s="74"/>
      <c r="DO65" s="575"/>
      <c r="DP65" s="297"/>
    </row>
    <row r="66">
      <c r="A66" s="552">
        <v>60.0</v>
      </c>
      <c r="B66" s="86">
        <v>31.0</v>
      </c>
      <c r="C66" s="54">
        <v>7.0</v>
      </c>
      <c r="D66" s="54">
        <v>14.0</v>
      </c>
      <c r="E66" s="74"/>
      <c r="F66" s="68" t="s">
        <v>1246</v>
      </c>
      <c r="G66" s="68">
        <f t="shared" si="5"/>
        <v>16</v>
      </c>
      <c r="H66" s="68">
        <f t="shared" si="6"/>
        <v>15</v>
      </c>
      <c r="I66" s="68">
        <f t="shared" si="7"/>
        <v>16</v>
      </c>
      <c r="J66" s="68">
        <f t="shared" si="8"/>
        <v>19</v>
      </c>
      <c r="K66" s="68">
        <f t="shared" si="9"/>
        <v>19</v>
      </c>
      <c r="L66" s="68">
        <f t="shared" si="10"/>
        <v>15</v>
      </c>
      <c r="M66" s="569">
        <f t="shared" si="11"/>
        <v>20</v>
      </c>
      <c r="N66" s="74" t="s">
        <v>688</v>
      </c>
      <c r="O66" s="570" t="s">
        <v>1950</v>
      </c>
      <c r="P66" s="639" t="s">
        <v>2173</v>
      </c>
      <c r="Q66" s="571" t="s">
        <v>1313</v>
      </c>
      <c r="R66" s="571" t="s">
        <v>1314</v>
      </c>
      <c r="S66" s="791" t="s">
        <v>584</v>
      </c>
      <c r="T66" s="572" t="s">
        <v>689</v>
      </c>
      <c r="U66" s="54">
        <v>15.0</v>
      </c>
      <c r="V66" s="54">
        <v>0.0</v>
      </c>
      <c r="W66" s="54">
        <v>48.0</v>
      </c>
      <c r="X66" s="74"/>
      <c r="Y66" s="54">
        <v>4.0</v>
      </c>
      <c r="Z66" s="54">
        <v>0.0</v>
      </c>
      <c r="AA66" s="54">
        <v>2.0</v>
      </c>
      <c r="AB66" s="54">
        <v>64.0</v>
      </c>
      <c r="AC66" s="54">
        <v>1029.0</v>
      </c>
      <c r="AD66" s="54">
        <v>4.0</v>
      </c>
      <c r="AE66" s="54">
        <v>75.0</v>
      </c>
      <c r="AF66" s="54">
        <v>75.0</v>
      </c>
      <c r="AG66" s="54">
        <v>7.0</v>
      </c>
      <c r="AH66" s="54">
        <v>14.0</v>
      </c>
      <c r="AI66" s="574">
        <f t="shared" si="12"/>
        <v>10.5</v>
      </c>
      <c r="AJ66" s="74"/>
      <c r="AK66" s="74"/>
      <c r="AL66" s="74"/>
      <c r="AM66" s="74"/>
      <c r="AN66" s="74"/>
      <c r="AO66" s="74"/>
      <c r="AP66" s="74"/>
      <c r="AQ66" s="74"/>
      <c r="AR66" s="74"/>
      <c r="AS66" s="575"/>
      <c r="AT66" s="68">
        <f t="shared" si="13"/>
        <v>410</v>
      </c>
      <c r="AU66" s="68">
        <f t="shared" si="14"/>
        <v>548</v>
      </c>
      <c r="AV66" s="581">
        <f t="shared" si="15"/>
        <v>479</v>
      </c>
      <c r="AW66" s="582">
        <f t="shared" si="16"/>
        <v>798</v>
      </c>
      <c r="AX66" s="582">
        <f t="shared" si="17"/>
        <v>855</v>
      </c>
      <c r="AY66" s="582">
        <f t="shared" si="18"/>
        <v>798</v>
      </c>
      <c r="AZ66" s="582">
        <f t="shared" si="19"/>
        <v>855</v>
      </c>
      <c r="BA66" s="582">
        <f t="shared" si="20"/>
        <v>665</v>
      </c>
      <c r="BB66" s="582">
        <f t="shared" si="21"/>
        <v>630</v>
      </c>
      <c r="BC66" s="582">
        <f t="shared" si="22"/>
        <v>665</v>
      </c>
      <c r="BD66" s="582">
        <f t="shared" si="23"/>
        <v>444</v>
      </c>
      <c r="BE66" s="582">
        <f t="shared" si="24"/>
        <v>544</v>
      </c>
      <c r="BF66" s="582">
        <f t="shared" si="25"/>
        <v>521</v>
      </c>
      <c r="BG66" s="582">
        <f t="shared" si="26"/>
        <v>630</v>
      </c>
      <c r="BH66" s="582">
        <f t="shared" si="27"/>
        <v>630</v>
      </c>
      <c r="BI66" s="582">
        <f t="shared" si="28"/>
        <v>665</v>
      </c>
      <c r="BJ66" s="582">
        <f t="shared" si="29"/>
        <v>665</v>
      </c>
      <c r="BK66" s="582">
        <f t="shared" si="30"/>
        <v>544</v>
      </c>
      <c r="BL66" s="582">
        <f t="shared" si="31"/>
        <v>521</v>
      </c>
      <c r="BM66" s="74"/>
      <c r="BN66" s="74"/>
      <c r="BO66" s="582">
        <f t="shared" si="141"/>
        <v>1597</v>
      </c>
      <c r="BP66" s="602">
        <f t="shared" si="33"/>
        <v>1597</v>
      </c>
      <c r="BQ66" s="54">
        <v>7.0</v>
      </c>
      <c r="BR66" s="54">
        <v>14.0</v>
      </c>
      <c r="BS66" s="74"/>
      <c r="BT66" s="54">
        <v>100.0</v>
      </c>
      <c r="BU66" s="74"/>
      <c r="BV66" s="83">
        <f t="shared" si="34"/>
        <v>10.5</v>
      </c>
      <c r="BW66" s="608">
        <f t="shared" si="35"/>
        <v>492.3</v>
      </c>
      <c r="BX66" s="582">
        <f t="shared" si="36"/>
        <v>820.5</v>
      </c>
      <c r="BY66" s="582">
        <f t="shared" si="37"/>
        <v>879.1</v>
      </c>
      <c r="BZ66" s="582">
        <f t="shared" si="38"/>
        <v>820.5</v>
      </c>
      <c r="CA66" s="582">
        <f t="shared" si="39"/>
        <v>683.8</v>
      </c>
      <c r="CB66" s="582">
        <f t="shared" si="40"/>
        <v>683.8</v>
      </c>
      <c r="CC66" s="582">
        <f t="shared" si="41"/>
        <v>879.1</v>
      </c>
      <c r="CD66" s="582">
        <f t="shared" si="42"/>
        <v>647.8</v>
      </c>
      <c r="CE66" s="623" t="str">
        <f t="shared" si="43"/>
        <v/>
      </c>
      <c r="CF66" s="706">
        <f t="shared" ref="CF66:CG66" si="171">IF(ROUND(100*(AV66/BW66)-100,1)=0,"",ROUND(100*(AV66/BW66)-100,1))</f>
        <v>-2.7</v>
      </c>
      <c r="CG66" s="552">
        <f t="shared" si="171"/>
        <v>-2.7</v>
      </c>
      <c r="CH66" s="575" t="s">
        <v>688</v>
      </c>
      <c r="CI66" s="582">
        <f t="shared" ref="CI66:DF66" si="172">FLOOR($AV66/(CI$3/25),1)</f>
        <v>479</v>
      </c>
      <c r="CJ66" s="582">
        <f t="shared" si="172"/>
        <v>498</v>
      </c>
      <c r="CK66" s="582">
        <f t="shared" si="172"/>
        <v>520</v>
      </c>
      <c r="CL66" s="582">
        <f t="shared" si="172"/>
        <v>544</v>
      </c>
      <c r="CM66" s="582">
        <f t="shared" si="172"/>
        <v>570</v>
      </c>
      <c r="CN66" s="582">
        <f t="shared" si="172"/>
        <v>598</v>
      </c>
      <c r="CO66" s="582">
        <f t="shared" si="172"/>
        <v>630</v>
      </c>
      <c r="CP66" s="582">
        <f t="shared" si="172"/>
        <v>665</v>
      </c>
      <c r="CQ66" s="582">
        <f t="shared" si="172"/>
        <v>704</v>
      </c>
      <c r="CR66" s="582">
        <f t="shared" si="172"/>
        <v>748</v>
      </c>
      <c r="CS66" s="582">
        <f t="shared" si="172"/>
        <v>798</v>
      </c>
      <c r="CT66" s="582">
        <f t="shared" si="172"/>
        <v>855</v>
      </c>
      <c r="CU66" s="582">
        <f t="shared" si="172"/>
        <v>921</v>
      </c>
      <c r="CV66" s="582">
        <f t="shared" si="172"/>
        <v>997</v>
      </c>
      <c r="CW66" s="582">
        <f t="shared" si="172"/>
        <v>1088</v>
      </c>
      <c r="CX66" s="582">
        <f t="shared" si="172"/>
        <v>1197</v>
      </c>
      <c r="CY66" s="582">
        <f t="shared" si="172"/>
        <v>1330</v>
      </c>
      <c r="CZ66" s="582">
        <f t="shared" si="172"/>
        <v>1496</v>
      </c>
      <c r="DA66" s="582">
        <f t="shared" si="172"/>
        <v>1710</v>
      </c>
      <c r="DB66" s="582">
        <f t="shared" si="172"/>
        <v>1995</v>
      </c>
      <c r="DC66" s="582">
        <f t="shared" si="172"/>
        <v>2395</v>
      </c>
      <c r="DD66" s="582">
        <f t="shared" si="172"/>
        <v>2993</v>
      </c>
      <c r="DE66" s="582">
        <f t="shared" si="172"/>
        <v>3991</v>
      </c>
      <c r="DF66" s="602">
        <f t="shared" si="172"/>
        <v>5987</v>
      </c>
      <c r="DG66" s="575"/>
      <c r="DH66" s="575" t="str">
        <f t="shared" si="46"/>
        <v/>
      </c>
      <c r="DI66" s="74" t="str">
        <f t="shared" si="47"/>
        <v/>
      </c>
      <c r="DJ66" s="74" t="str">
        <f t="shared" si="48"/>
        <v/>
      </c>
      <c r="DK66" s="623" t="str">
        <f t="shared" si="49"/>
        <v/>
      </c>
      <c r="DL66" s="74"/>
      <c r="DM66" s="74"/>
      <c r="DN66" s="74"/>
      <c r="DO66" s="575"/>
      <c r="DP66" s="297"/>
    </row>
    <row r="67">
      <c r="A67" s="552">
        <v>61.0</v>
      </c>
      <c r="B67" s="86">
        <v>32.0</v>
      </c>
      <c r="C67" s="54">
        <v>3.0</v>
      </c>
      <c r="D67" s="54">
        <v>19.0</v>
      </c>
      <c r="E67" s="74"/>
      <c r="F67" s="68" t="s">
        <v>1246</v>
      </c>
      <c r="G67" s="68">
        <f t="shared" si="5"/>
        <v>16</v>
      </c>
      <c r="H67" s="68">
        <f t="shared" si="6"/>
        <v>15</v>
      </c>
      <c r="I67" s="68">
        <f t="shared" si="7"/>
        <v>16</v>
      </c>
      <c r="J67" s="68">
        <f t="shared" si="8"/>
        <v>19</v>
      </c>
      <c r="K67" s="68">
        <f t="shared" si="9"/>
        <v>19</v>
      </c>
      <c r="L67" s="68">
        <f t="shared" si="10"/>
        <v>15</v>
      </c>
      <c r="M67" s="569">
        <f t="shared" si="11"/>
        <v>20</v>
      </c>
      <c r="N67" s="74" t="s">
        <v>707</v>
      </c>
      <c r="O67" s="570" t="s">
        <v>1951</v>
      </c>
      <c r="P67" s="639" t="s">
        <v>2163</v>
      </c>
      <c r="Q67" s="571" t="s">
        <v>1313</v>
      </c>
      <c r="R67" s="571" t="s">
        <v>1314</v>
      </c>
      <c r="S67" s="791" t="s">
        <v>584</v>
      </c>
      <c r="T67" s="572" t="s">
        <v>709</v>
      </c>
      <c r="U67" s="54">
        <v>20.0</v>
      </c>
      <c r="V67" s="54">
        <v>0.0</v>
      </c>
      <c r="W67" s="54">
        <v>55.0</v>
      </c>
      <c r="X67" s="54">
        <v>39.0</v>
      </c>
      <c r="Y67" s="54">
        <v>4.0</v>
      </c>
      <c r="Z67" s="54">
        <v>-10.0</v>
      </c>
      <c r="AA67" s="54">
        <v>2.0</v>
      </c>
      <c r="AB67" s="54">
        <v>88.0</v>
      </c>
      <c r="AC67" s="54">
        <v>1520.0</v>
      </c>
      <c r="AD67" s="54">
        <v>4.0</v>
      </c>
      <c r="AE67" s="54">
        <v>75.0</v>
      </c>
      <c r="AF67" s="54">
        <v>75.0</v>
      </c>
      <c r="AG67" s="54">
        <v>3.0</v>
      </c>
      <c r="AH67" s="54">
        <v>19.0</v>
      </c>
      <c r="AI67" s="574">
        <f t="shared" si="12"/>
        <v>11</v>
      </c>
      <c r="AJ67" s="74"/>
      <c r="AK67" s="74"/>
      <c r="AL67" s="74"/>
      <c r="AM67" s="74"/>
      <c r="AN67" s="74"/>
      <c r="AO67" s="74"/>
      <c r="AP67" s="74"/>
      <c r="AQ67" s="74"/>
      <c r="AR67" s="74"/>
      <c r="AS67" s="575"/>
      <c r="AT67" s="68">
        <f t="shared" si="13"/>
        <v>331</v>
      </c>
      <c r="AU67" s="68">
        <f t="shared" si="14"/>
        <v>650</v>
      </c>
      <c r="AV67" s="581">
        <f t="shared" si="15"/>
        <v>490.5</v>
      </c>
      <c r="AW67" s="582">
        <f t="shared" si="16"/>
        <v>876</v>
      </c>
      <c r="AX67" s="582">
        <f t="shared" si="17"/>
        <v>943</v>
      </c>
      <c r="AY67" s="582">
        <f t="shared" si="18"/>
        <v>876</v>
      </c>
      <c r="AZ67" s="582">
        <f t="shared" si="19"/>
        <v>943</v>
      </c>
      <c r="BA67" s="582">
        <f t="shared" si="20"/>
        <v>721</v>
      </c>
      <c r="BB67" s="582">
        <f t="shared" si="21"/>
        <v>681</v>
      </c>
      <c r="BC67" s="582">
        <f t="shared" si="22"/>
        <v>721</v>
      </c>
      <c r="BD67" s="582">
        <f t="shared" si="23"/>
        <v>557</v>
      </c>
      <c r="BE67" s="582">
        <f t="shared" si="24"/>
        <v>681</v>
      </c>
      <c r="BF67" s="582">
        <f t="shared" si="25"/>
        <v>681</v>
      </c>
      <c r="BG67" s="582">
        <f t="shared" si="26"/>
        <v>818</v>
      </c>
      <c r="BH67" s="582">
        <f t="shared" si="27"/>
        <v>818</v>
      </c>
      <c r="BI67" s="582">
        <f t="shared" si="28"/>
        <v>876</v>
      </c>
      <c r="BJ67" s="582">
        <f t="shared" si="29"/>
        <v>876</v>
      </c>
      <c r="BK67" s="582">
        <f t="shared" si="30"/>
        <v>681</v>
      </c>
      <c r="BL67" s="582">
        <f t="shared" si="31"/>
        <v>645</v>
      </c>
      <c r="BM67" s="74"/>
      <c r="BN67" s="74"/>
      <c r="BO67" s="582">
        <f t="shared" si="141"/>
        <v>1752</v>
      </c>
      <c r="BP67" s="602">
        <f t="shared" si="33"/>
        <v>1752</v>
      </c>
      <c r="BQ67" s="54">
        <v>3.0</v>
      </c>
      <c r="BR67" s="54">
        <v>19.0</v>
      </c>
      <c r="BS67" s="54">
        <v>-10.0</v>
      </c>
      <c r="BT67" s="54">
        <v>100.0</v>
      </c>
      <c r="BU67" s="74"/>
      <c r="BV67" s="83">
        <f t="shared" si="34"/>
        <v>11</v>
      </c>
      <c r="BW67" s="608">
        <f t="shared" si="35"/>
        <v>502.4</v>
      </c>
      <c r="BX67" s="582">
        <f t="shared" si="36"/>
        <v>897.1</v>
      </c>
      <c r="BY67" s="582">
        <f t="shared" si="37"/>
        <v>966.2</v>
      </c>
      <c r="BZ67" s="582">
        <f t="shared" si="38"/>
        <v>897.1</v>
      </c>
      <c r="CA67" s="582">
        <f t="shared" si="39"/>
        <v>738.8</v>
      </c>
      <c r="CB67" s="582">
        <f t="shared" si="40"/>
        <v>738.8</v>
      </c>
      <c r="CC67" s="582">
        <f t="shared" si="41"/>
        <v>966.2</v>
      </c>
      <c r="CD67" s="582">
        <f t="shared" si="42"/>
        <v>697.8</v>
      </c>
      <c r="CE67" s="623" t="str">
        <f t="shared" si="43"/>
        <v/>
      </c>
      <c r="CF67" s="706">
        <f t="shared" ref="CF67:CG67" si="173">IF(ROUND(100*(AV67/BW67)-100,1)=0,"",ROUND(100*(AV67/BW67)-100,1))</f>
        <v>-2.4</v>
      </c>
      <c r="CG67" s="552">
        <f t="shared" si="173"/>
        <v>-2.4</v>
      </c>
      <c r="CH67" s="575" t="s">
        <v>707</v>
      </c>
      <c r="CI67" s="582">
        <f t="shared" ref="CI67:DF67" si="174">FLOOR($AV67/(CI$3/25),1)</f>
        <v>490</v>
      </c>
      <c r="CJ67" s="582">
        <f t="shared" si="174"/>
        <v>510</v>
      </c>
      <c r="CK67" s="582">
        <f t="shared" si="174"/>
        <v>533</v>
      </c>
      <c r="CL67" s="582">
        <f t="shared" si="174"/>
        <v>557</v>
      </c>
      <c r="CM67" s="582">
        <f t="shared" si="174"/>
        <v>583</v>
      </c>
      <c r="CN67" s="582">
        <f t="shared" si="174"/>
        <v>613</v>
      </c>
      <c r="CO67" s="582">
        <f t="shared" si="174"/>
        <v>645</v>
      </c>
      <c r="CP67" s="582">
        <f t="shared" si="174"/>
        <v>681</v>
      </c>
      <c r="CQ67" s="582">
        <f t="shared" si="174"/>
        <v>721</v>
      </c>
      <c r="CR67" s="582">
        <f t="shared" si="174"/>
        <v>766</v>
      </c>
      <c r="CS67" s="582">
        <f t="shared" si="174"/>
        <v>817</v>
      </c>
      <c r="CT67" s="582">
        <f t="shared" si="174"/>
        <v>875</v>
      </c>
      <c r="CU67" s="582">
        <f t="shared" si="174"/>
        <v>943</v>
      </c>
      <c r="CV67" s="582">
        <f t="shared" si="174"/>
        <v>1021</v>
      </c>
      <c r="CW67" s="582">
        <f t="shared" si="174"/>
        <v>1114</v>
      </c>
      <c r="CX67" s="582">
        <f t="shared" si="174"/>
        <v>1226</v>
      </c>
      <c r="CY67" s="582">
        <f t="shared" si="174"/>
        <v>1362</v>
      </c>
      <c r="CZ67" s="582">
        <f t="shared" si="174"/>
        <v>1532</v>
      </c>
      <c r="DA67" s="582">
        <f t="shared" si="174"/>
        <v>1751</v>
      </c>
      <c r="DB67" s="582">
        <f t="shared" si="174"/>
        <v>2043</v>
      </c>
      <c r="DC67" s="582">
        <f t="shared" si="174"/>
        <v>2452</v>
      </c>
      <c r="DD67" s="582">
        <f t="shared" si="174"/>
        <v>3065</v>
      </c>
      <c r="DE67" s="582">
        <f t="shared" si="174"/>
        <v>4087</v>
      </c>
      <c r="DF67" s="602">
        <f t="shared" si="174"/>
        <v>6131</v>
      </c>
      <c r="DG67" s="575"/>
      <c r="DH67" s="575" t="str">
        <f t="shared" si="46"/>
        <v/>
      </c>
      <c r="DI67" s="74" t="str">
        <f t="shared" si="47"/>
        <v/>
      </c>
      <c r="DJ67" s="74" t="str">
        <f t="shared" si="48"/>
        <v/>
      </c>
      <c r="DK67" s="623" t="str">
        <f t="shared" si="49"/>
        <v/>
      </c>
      <c r="DL67" s="74"/>
      <c r="DM67" s="74"/>
      <c r="DN67" s="74"/>
      <c r="DO67" s="575"/>
      <c r="DP67" s="297"/>
    </row>
    <row r="68">
      <c r="A68" s="647">
        <v>62.0</v>
      </c>
      <c r="B68" s="141">
        <v>33.0</v>
      </c>
      <c r="C68" s="129">
        <v>8.0</v>
      </c>
      <c r="D68" s="129">
        <v>20.0</v>
      </c>
      <c r="E68" s="134"/>
      <c r="F68" s="154" t="s">
        <v>1246</v>
      </c>
      <c r="G68" s="154">
        <f t="shared" si="5"/>
        <v>16</v>
      </c>
      <c r="H68" s="154">
        <f t="shared" si="6"/>
        <v>15</v>
      </c>
      <c r="I68" s="154">
        <f t="shared" si="7"/>
        <v>16</v>
      </c>
      <c r="J68" s="154">
        <f t="shared" si="8"/>
        <v>19</v>
      </c>
      <c r="K68" s="154">
        <f t="shared" si="9"/>
        <v>19</v>
      </c>
      <c r="L68" s="154">
        <f t="shared" si="10"/>
        <v>15</v>
      </c>
      <c r="M68" s="648">
        <f t="shared" si="11"/>
        <v>20</v>
      </c>
      <c r="N68" s="134" t="s">
        <v>730</v>
      </c>
      <c r="O68" s="649" t="s">
        <v>1952</v>
      </c>
      <c r="P68" s="804" t="s">
        <v>2166</v>
      </c>
      <c r="Q68" s="650" t="s">
        <v>1313</v>
      </c>
      <c r="R68" s="650" t="s">
        <v>1314</v>
      </c>
      <c r="S68" s="796" t="s">
        <v>584</v>
      </c>
      <c r="T68" s="651" t="s">
        <v>731</v>
      </c>
      <c r="U68" s="129">
        <v>27.0</v>
      </c>
      <c r="V68" s="129">
        <v>0.0</v>
      </c>
      <c r="W68" s="129">
        <v>71.0</v>
      </c>
      <c r="X68" s="129">
        <v>45.0</v>
      </c>
      <c r="Y68" s="129">
        <v>3.0</v>
      </c>
      <c r="Z68" s="129">
        <v>0.0</v>
      </c>
      <c r="AA68" s="129">
        <v>2.0</v>
      </c>
      <c r="AB68" s="129">
        <v>88.0</v>
      </c>
      <c r="AC68" s="129">
        <v>1997.0</v>
      </c>
      <c r="AD68" s="129">
        <v>4.0</v>
      </c>
      <c r="AE68" s="129">
        <v>75.0</v>
      </c>
      <c r="AF68" s="129">
        <v>75.0</v>
      </c>
      <c r="AG68" s="129">
        <v>8.0</v>
      </c>
      <c r="AH68" s="129">
        <v>20.0</v>
      </c>
      <c r="AI68" s="652">
        <f t="shared" si="12"/>
        <v>14</v>
      </c>
      <c r="AJ68" s="134"/>
      <c r="AK68" s="134"/>
      <c r="AL68" s="134"/>
      <c r="AM68" s="134"/>
      <c r="AN68" s="134"/>
      <c r="AO68" s="134"/>
      <c r="AP68" s="134"/>
      <c r="AQ68" s="134"/>
      <c r="AR68" s="134"/>
      <c r="AS68" s="653"/>
      <c r="AT68" s="154">
        <f t="shared" si="13"/>
        <v>431</v>
      </c>
      <c r="AU68" s="154">
        <f t="shared" si="14"/>
        <v>671</v>
      </c>
      <c r="AV68" s="654">
        <f t="shared" si="15"/>
        <v>551</v>
      </c>
      <c r="AW68" s="655">
        <f t="shared" si="16"/>
        <v>918</v>
      </c>
      <c r="AX68" s="655">
        <f t="shared" si="17"/>
        <v>984</v>
      </c>
      <c r="AY68" s="655">
        <f t="shared" si="18"/>
        <v>918</v>
      </c>
      <c r="AZ68" s="655">
        <f t="shared" si="19"/>
        <v>984</v>
      </c>
      <c r="BA68" s="655">
        <f t="shared" si="20"/>
        <v>765</v>
      </c>
      <c r="BB68" s="655">
        <f t="shared" si="21"/>
        <v>725</v>
      </c>
      <c r="BC68" s="655">
        <f t="shared" si="22"/>
        <v>765</v>
      </c>
      <c r="BD68" s="655">
        <f t="shared" si="23"/>
        <v>510</v>
      </c>
      <c r="BE68" s="655">
        <f t="shared" si="24"/>
        <v>626</v>
      </c>
      <c r="BF68" s="655">
        <f t="shared" si="25"/>
        <v>599</v>
      </c>
      <c r="BG68" s="655">
        <f t="shared" si="26"/>
        <v>725</v>
      </c>
      <c r="BH68" s="655">
        <f t="shared" si="27"/>
        <v>725</v>
      </c>
      <c r="BI68" s="655">
        <f t="shared" si="28"/>
        <v>765</v>
      </c>
      <c r="BJ68" s="655">
        <f t="shared" si="29"/>
        <v>765</v>
      </c>
      <c r="BK68" s="655">
        <f t="shared" si="30"/>
        <v>626</v>
      </c>
      <c r="BL68" s="655">
        <f t="shared" si="31"/>
        <v>599</v>
      </c>
      <c r="BM68" s="134"/>
      <c r="BN68" s="134"/>
      <c r="BO68" s="655">
        <f t="shared" si="141"/>
        <v>1837</v>
      </c>
      <c r="BP68" s="656">
        <f t="shared" si="33"/>
        <v>1837</v>
      </c>
      <c r="BQ68" s="129">
        <v>8.0</v>
      </c>
      <c r="BR68" s="129">
        <v>20.0</v>
      </c>
      <c r="BS68" s="134"/>
      <c r="BT68" s="129">
        <v>100.0</v>
      </c>
      <c r="BU68" s="134"/>
      <c r="BV68" s="135">
        <f t="shared" si="34"/>
        <v>14</v>
      </c>
      <c r="BW68" s="657">
        <f t="shared" si="35"/>
        <v>563.2</v>
      </c>
      <c r="BX68" s="655">
        <f t="shared" si="36"/>
        <v>938.7</v>
      </c>
      <c r="BY68" s="655">
        <f t="shared" si="37"/>
        <v>1005.7</v>
      </c>
      <c r="BZ68" s="655">
        <f t="shared" si="38"/>
        <v>938.7</v>
      </c>
      <c r="CA68" s="655">
        <f t="shared" si="39"/>
        <v>782.2</v>
      </c>
      <c r="CB68" s="655">
        <f t="shared" si="40"/>
        <v>782.2</v>
      </c>
      <c r="CC68" s="655">
        <f t="shared" si="41"/>
        <v>1005.7</v>
      </c>
      <c r="CD68" s="655">
        <f t="shared" si="42"/>
        <v>741.1</v>
      </c>
      <c r="CE68" s="662" t="str">
        <f t="shared" si="43"/>
        <v/>
      </c>
      <c r="CF68" s="712">
        <f t="shared" ref="CF68:CG68" si="175">IF(ROUND(100*(AV68/BW68)-100,1)=0,"",ROUND(100*(AV68/BW68)-100,1))</f>
        <v>-2.2</v>
      </c>
      <c r="CG68" s="647">
        <f t="shared" si="175"/>
        <v>-2.2</v>
      </c>
      <c r="CH68" s="653" t="s">
        <v>730</v>
      </c>
      <c r="CI68" s="655">
        <f t="shared" ref="CI68:DF68" si="176">FLOOR($AV68/(CI$3/25),1)</f>
        <v>551</v>
      </c>
      <c r="CJ68" s="655">
        <f t="shared" si="176"/>
        <v>573</v>
      </c>
      <c r="CK68" s="655">
        <f t="shared" si="176"/>
        <v>598</v>
      </c>
      <c r="CL68" s="655">
        <f t="shared" si="176"/>
        <v>626</v>
      </c>
      <c r="CM68" s="655">
        <f t="shared" si="176"/>
        <v>655</v>
      </c>
      <c r="CN68" s="655">
        <f t="shared" si="176"/>
        <v>688</v>
      </c>
      <c r="CO68" s="655">
        <f t="shared" si="176"/>
        <v>725</v>
      </c>
      <c r="CP68" s="655">
        <f t="shared" si="176"/>
        <v>765</v>
      </c>
      <c r="CQ68" s="655">
        <f t="shared" si="176"/>
        <v>810</v>
      </c>
      <c r="CR68" s="655">
        <f t="shared" si="176"/>
        <v>860</v>
      </c>
      <c r="CS68" s="655">
        <f t="shared" si="176"/>
        <v>918</v>
      </c>
      <c r="CT68" s="655">
        <f t="shared" si="176"/>
        <v>983</v>
      </c>
      <c r="CU68" s="655">
        <f t="shared" si="176"/>
        <v>1059</v>
      </c>
      <c r="CV68" s="655">
        <f t="shared" si="176"/>
        <v>1147</v>
      </c>
      <c r="CW68" s="655">
        <f t="shared" si="176"/>
        <v>1252</v>
      </c>
      <c r="CX68" s="655">
        <f t="shared" si="176"/>
        <v>1377</v>
      </c>
      <c r="CY68" s="655">
        <f t="shared" si="176"/>
        <v>1530</v>
      </c>
      <c r="CZ68" s="655">
        <f t="shared" si="176"/>
        <v>1721</v>
      </c>
      <c r="DA68" s="655">
        <f t="shared" si="176"/>
        <v>1967</v>
      </c>
      <c r="DB68" s="655">
        <f t="shared" si="176"/>
        <v>2295</v>
      </c>
      <c r="DC68" s="655">
        <f t="shared" si="176"/>
        <v>2755</v>
      </c>
      <c r="DD68" s="655">
        <f t="shared" si="176"/>
        <v>3443</v>
      </c>
      <c r="DE68" s="655">
        <f t="shared" si="176"/>
        <v>4591</v>
      </c>
      <c r="DF68" s="656">
        <f t="shared" si="176"/>
        <v>6887</v>
      </c>
      <c r="DG68" s="653"/>
      <c r="DH68" s="653" t="str">
        <f t="shared" si="46"/>
        <v/>
      </c>
      <c r="DI68" s="134" t="str">
        <f t="shared" si="47"/>
        <v/>
      </c>
      <c r="DJ68" s="134" t="str">
        <f t="shared" si="48"/>
        <v/>
      </c>
      <c r="DK68" s="662" t="str">
        <f t="shared" si="49"/>
        <v/>
      </c>
      <c r="DL68" s="134"/>
      <c r="DM68" s="134"/>
      <c r="DN68" s="134"/>
      <c r="DO68" s="653"/>
      <c r="DP68" s="663"/>
    </row>
    <row r="69">
      <c r="A69" s="552">
        <v>63.0</v>
      </c>
      <c r="B69" s="86">
        <v>134.0</v>
      </c>
      <c r="C69" s="54">
        <v>10.0</v>
      </c>
      <c r="D69" s="54">
        <v>28.0</v>
      </c>
      <c r="E69" s="74"/>
      <c r="F69" s="68" t="s">
        <v>1246</v>
      </c>
      <c r="G69" s="68">
        <f t="shared" si="5"/>
        <v>16</v>
      </c>
      <c r="H69" s="68">
        <f t="shared" si="6"/>
        <v>15</v>
      </c>
      <c r="I69" s="68">
        <f t="shared" si="7"/>
        <v>16</v>
      </c>
      <c r="J69" s="68">
        <f t="shared" si="8"/>
        <v>19</v>
      </c>
      <c r="K69" s="68">
        <f t="shared" si="9"/>
        <v>19</v>
      </c>
      <c r="L69" s="68">
        <f t="shared" si="10"/>
        <v>15</v>
      </c>
      <c r="M69" s="569">
        <f t="shared" si="11"/>
        <v>20</v>
      </c>
      <c r="N69" s="74" t="s">
        <v>570</v>
      </c>
      <c r="O69" s="570" t="s">
        <v>1960</v>
      </c>
      <c r="P69" s="571"/>
      <c r="Q69" s="571" t="s">
        <v>1670</v>
      </c>
      <c r="R69" s="571" t="s">
        <v>1314</v>
      </c>
      <c r="S69" s="791" t="s">
        <v>584</v>
      </c>
      <c r="T69" s="572" t="s">
        <v>571</v>
      </c>
      <c r="U69" s="54">
        <v>30.0</v>
      </c>
      <c r="V69" s="54">
        <v>18.0</v>
      </c>
      <c r="W69" s="54">
        <v>25.0</v>
      </c>
      <c r="X69" s="74"/>
      <c r="Y69" s="54">
        <v>3.0</v>
      </c>
      <c r="Z69" s="54">
        <v>0.0</v>
      </c>
      <c r="AA69" s="54">
        <v>2.0</v>
      </c>
      <c r="AB69" s="54">
        <v>48.0</v>
      </c>
      <c r="AC69" s="54">
        <v>516.0</v>
      </c>
      <c r="AD69" s="54">
        <v>3.0</v>
      </c>
      <c r="AE69" s="54">
        <v>75.0</v>
      </c>
      <c r="AF69" s="54">
        <v>75.0</v>
      </c>
      <c r="AG69" s="54">
        <v>12.0</v>
      </c>
      <c r="AH69" s="54">
        <v>32.0</v>
      </c>
      <c r="AI69" s="574">
        <f t="shared" si="12"/>
        <v>22</v>
      </c>
      <c r="AJ69" s="74"/>
      <c r="AK69" s="74"/>
      <c r="AL69" s="74"/>
      <c r="AM69" s="74"/>
      <c r="AN69" s="74"/>
      <c r="AO69" s="74"/>
      <c r="AP69" s="74"/>
      <c r="AQ69" s="74"/>
      <c r="AR69" s="74"/>
      <c r="AS69" s="575"/>
      <c r="AT69" s="68">
        <f t="shared" si="13"/>
        <v>510</v>
      </c>
      <c r="AU69" s="68">
        <f t="shared" si="14"/>
        <v>906</v>
      </c>
      <c r="AV69" s="581">
        <f t="shared" si="15"/>
        <v>708</v>
      </c>
      <c r="AW69" s="582">
        <f t="shared" si="16"/>
        <v>1180</v>
      </c>
      <c r="AX69" s="582">
        <f t="shared" si="17"/>
        <v>1264</v>
      </c>
      <c r="AY69" s="582">
        <f t="shared" si="18"/>
        <v>1180</v>
      </c>
      <c r="AZ69" s="582">
        <f t="shared" si="19"/>
        <v>1264</v>
      </c>
      <c r="BA69" s="582">
        <f t="shared" si="20"/>
        <v>983</v>
      </c>
      <c r="BB69" s="582">
        <f t="shared" si="21"/>
        <v>932</v>
      </c>
      <c r="BC69" s="582">
        <f t="shared" si="22"/>
        <v>983</v>
      </c>
      <c r="BD69" s="582">
        <f t="shared" si="23"/>
        <v>656</v>
      </c>
      <c r="BE69" s="582">
        <f t="shared" si="24"/>
        <v>805</v>
      </c>
      <c r="BF69" s="582">
        <f t="shared" si="25"/>
        <v>770</v>
      </c>
      <c r="BG69" s="582">
        <f t="shared" si="26"/>
        <v>932</v>
      </c>
      <c r="BH69" s="582">
        <f t="shared" si="27"/>
        <v>932</v>
      </c>
      <c r="BI69" s="582">
        <f t="shared" si="28"/>
        <v>983</v>
      </c>
      <c r="BJ69" s="582">
        <f t="shared" si="29"/>
        <v>983</v>
      </c>
      <c r="BK69" s="582">
        <f t="shared" si="30"/>
        <v>805</v>
      </c>
      <c r="BL69" s="582">
        <f t="shared" si="31"/>
        <v>770</v>
      </c>
      <c r="BM69" s="74"/>
      <c r="BN69" s="74"/>
      <c r="BO69" s="582">
        <f t="shared" si="141"/>
        <v>2360</v>
      </c>
      <c r="BP69" s="602">
        <f t="shared" si="33"/>
        <v>2360</v>
      </c>
      <c r="BQ69" s="54">
        <v>8.0</v>
      </c>
      <c r="BR69" s="54">
        <v>22.0</v>
      </c>
      <c r="BS69" s="74"/>
      <c r="BT69" s="54">
        <v>100.0</v>
      </c>
      <c r="BU69" s="74"/>
      <c r="BV69" s="83">
        <f t="shared" si="34"/>
        <v>15</v>
      </c>
      <c r="BW69" s="608">
        <f t="shared" si="35"/>
        <v>583.4</v>
      </c>
      <c r="BX69" s="582">
        <f t="shared" si="36"/>
        <v>972.3</v>
      </c>
      <c r="BY69" s="582">
        <f t="shared" si="37"/>
        <v>1041.8</v>
      </c>
      <c r="BZ69" s="582">
        <f t="shared" si="38"/>
        <v>972.3</v>
      </c>
      <c r="CA69" s="582">
        <f t="shared" si="39"/>
        <v>810.3</v>
      </c>
      <c r="CB69" s="582">
        <f t="shared" si="40"/>
        <v>810.3</v>
      </c>
      <c r="CC69" s="582">
        <f t="shared" si="41"/>
        <v>1041.8</v>
      </c>
      <c r="CD69" s="582">
        <f t="shared" si="42"/>
        <v>767.6</v>
      </c>
      <c r="CE69" s="664">
        <f t="shared" si="43"/>
        <v>46.7</v>
      </c>
      <c r="CF69" s="706">
        <f t="shared" ref="CF69:CG69" si="177">IF(ROUND(100*(AV69/BW69)-100,1)=0,"",ROUND(100*(AV69/BW69)-100,1))</f>
        <v>21.4</v>
      </c>
      <c r="CG69" s="552">
        <f t="shared" si="177"/>
        <v>21.4</v>
      </c>
      <c r="CH69" s="575" t="s">
        <v>570</v>
      </c>
      <c r="CI69" s="582">
        <f t="shared" ref="CI69:DF69" si="178">FLOOR($AV69/(CI$3/25),1)</f>
        <v>708</v>
      </c>
      <c r="CJ69" s="582">
        <f t="shared" si="178"/>
        <v>737</v>
      </c>
      <c r="CK69" s="582">
        <f t="shared" si="178"/>
        <v>769</v>
      </c>
      <c r="CL69" s="582">
        <f t="shared" si="178"/>
        <v>804</v>
      </c>
      <c r="CM69" s="582">
        <f t="shared" si="178"/>
        <v>842</v>
      </c>
      <c r="CN69" s="582">
        <f t="shared" si="178"/>
        <v>885</v>
      </c>
      <c r="CO69" s="582">
        <f t="shared" si="178"/>
        <v>931</v>
      </c>
      <c r="CP69" s="582">
        <f t="shared" si="178"/>
        <v>983</v>
      </c>
      <c r="CQ69" s="582">
        <f t="shared" si="178"/>
        <v>1041</v>
      </c>
      <c r="CR69" s="582">
        <f t="shared" si="178"/>
        <v>1106</v>
      </c>
      <c r="CS69" s="582">
        <f t="shared" si="178"/>
        <v>1180</v>
      </c>
      <c r="CT69" s="582">
        <f t="shared" si="178"/>
        <v>1264</v>
      </c>
      <c r="CU69" s="582">
        <f t="shared" si="178"/>
        <v>1361</v>
      </c>
      <c r="CV69" s="582">
        <f t="shared" si="178"/>
        <v>1475</v>
      </c>
      <c r="CW69" s="582">
        <f t="shared" si="178"/>
        <v>1609</v>
      </c>
      <c r="CX69" s="582">
        <f t="shared" si="178"/>
        <v>1770</v>
      </c>
      <c r="CY69" s="582">
        <f t="shared" si="178"/>
        <v>1966</v>
      </c>
      <c r="CZ69" s="582">
        <f t="shared" si="178"/>
        <v>2212</v>
      </c>
      <c r="DA69" s="582">
        <f t="shared" si="178"/>
        <v>2528</v>
      </c>
      <c r="DB69" s="582">
        <f t="shared" si="178"/>
        <v>2950</v>
      </c>
      <c r="DC69" s="582">
        <f t="shared" si="178"/>
        <v>3540</v>
      </c>
      <c r="DD69" s="582">
        <f t="shared" si="178"/>
        <v>4425</v>
      </c>
      <c r="DE69" s="582">
        <f t="shared" si="178"/>
        <v>5900</v>
      </c>
      <c r="DF69" s="602">
        <f t="shared" si="178"/>
        <v>8850</v>
      </c>
      <c r="DG69" s="575"/>
      <c r="DH69" s="575" t="str">
        <f t="shared" si="46"/>
        <v/>
      </c>
      <c r="DI69" s="74" t="str">
        <f t="shared" si="47"/>
        <v/>
      </c>
      <c r="DJ69" s="74" t="str">
        <f t="shared" si="48"/>
        <v/>
      </c>
      <c r="DK69" s="623" t="str">
        <f t="shared" si="49"/>
        <v/>
      </c>
      <c r="DL69" s="74"/>
      <c r="DM69" s="74"/>
      <c r="DN69" s="582">
        <f t="shared" ref="DN69:DN84" si="181">IF(ISBLANK(DL69),ROUND(AI69/IF(ISBLANK(DL61),AI61,DL61),1),ROUND(DL69/IF(ISBLANK(DL61),AI61,DL61),1))</f>
        <v>4.9</v>
      </c>
      <c r="DO69" s="575"/>
      <c r="DP69" s="297"/>
    </row>
    <row r="70">
      <c r="A70" s="552">
        <v>64.0</v>
      </c>
      <c r="B70" s="86">
        <v>135.0</v>
      </c>
      <c r="C70" s="54">
        <v>10.0</v>
      </c>
      <c r="D70" s="54">
        <v>26.0</v>
      </c>
      <c r="E70" s="74"/>
      <c r="F70" s="68" t="s">
        <v>1246</v>
      </c>
      <c r="G70" s="68">
        <f t="shared" si="5"/>
        <v>16</v>
      </c>
      <c r="H70" s="68">
        <f t="shared" si="6"/>
        <v>15</v>
      </c>
      <c r="I70" s="68">
        <f t="shared" si="7"/>
        <v>16</v>
      </c>
      <c r="J70" s="68">
        <f t="shared" si="8"/>
        <v>19</v>
      </c>
      <c r="K70" s="68">
        <f t="shared" si="9"/>
        <v>19</v>
      </c>
      <c r="L70" s="68">
        <f t="shared" si="10"/>
        <v>15</v>
      </c>
      <c r="M70" s="569">
        <f t="shared" si="11"/>
        <v>20</v>
      </c>
      <c r="N70" s="74" t="s">
        <v>597</v>
      </c>
      <c r="O70" s="570" t="s">
        <v>1961</v>
      </c>
      <c r="P70" s="571"/>
      <c r="Q70" s="571" t="s">
        <v>1670</v>
      </c>
      <c r="R70" s="571" t="s">
        <v>1314</v>
      </c>
      <c r="S70" s="791" t="s">
        <v>584</v>
      </c>
      <c r="T70" s="572" t="s">
        <v>598</v>
      </c>
      <c r="U70" s="54">
        <v>43.0</v>
      </c>
      <c r="V70" s="54">
        <v>25.0</v>
      </c>
      <c r="W70" s="54">
        <v>25.0</v>
      </c>
      <c r="X70" s="54">
        <v>52.0</v>
      </c>
      <c r="Y70" s="54">
        <v>3.0</v>
      </c>
      <c r="Z70" s="669">
        <v>-30.0</v>
      </c>
      <c r="AA70" s="54">
        <v>2.0</v>
      </c>
      <c r="AB70" s="54">
        <v>44.0</v>
      </c>
      <c r="AC70" s="54">
        <v>1122.0</v>
      </c>
      <c r="AD70" s="54">
        <v>3.0</v>
      </c>
      <c r="AE70" s="54">
        <v>75.0</v>
      </c>
      <c r="AF70" s="54">
        <v>75.0</v>
      </c>
      <c r="AG70" s="54">
        <v>12.0</v>
      </c>
      <c r="AH70" s="54">
        <v>30.0</v>
      </c>
      <c r="AI70" s="574">
        <f t="shared" si="12"/>
        <v>21</v>
      </c>
      <c r="AJ70" s="74"/>
      <c r="AK70" s="74"/>
      <c r="AL70" s="74"/>
      <c r="AM70" s="74"/>
      <c r="AN70" s="74"/>
      <c r="AO70" s="74"/>
      <c r="AP70" s="74"/>
      <c r="AQ70" s="74"/>
      <c r="AR70" s="74"/>
      <c r="AS70" s="575"/>
      <c r="AT70" s="68">
        <f t="shared" si="13"/>
        <v>510</v>
      </c>
      <c r="AU70" s="68">
        <f t="shared" si="14"/>
        <v>867</v>
      </c>
      <c r="AV70" s="581">
        <f t="shared" si="15"/>
        <v>688.5</v>
      </c>
      <c r="AW70" s="582">
        <f t="shared" si="16"/>
        <v>1434</v>
      </c>
      <c r="AX70" s="582">
        <f t="shared" si="17"/>
        <v>1565</v>
      </c>
      <c r="AY70" s="582">
        <f t="shared" si="18"/>
        <v>1434</v>
      </c>
      <c r="AZ70" s="582">
        <f t="shared" si="19"/>
        <v>1565</v>
      </c>
      <c r="BA70" s="582">
        <f t="shared" si="20"/>
        <v>1229</v>
      </c>
      <c r="BB70" s="582">
        <f t="shared" si="21"/>
        <v>1148</v>
      </c>
      <c r="BC70" s="582">
        <f t="shared" si="22"/>
        <v>1229</v>
      </c>
      <c r="BD70" s="582">
        <f t="shared" si="23"/>
        <v>1148</v>
      </c>
      <c r="BE70" s="582">
        <f t="shared" si="24"/>
        <v>1324</v>
      </c>
      <c r="BF70" s="582">
        <f t="shared" si="25"/>
        <v>1324</v>
      </c>
      <c r="BG70" s="582">
        <f t="shared" si="26"/>
        <v>1565</v>
      </c>
      <c r="BH70" s="582">
        <f t="shared" si="27"/>
        <v>1565</v>
      </c>
      <c r="BI70" s="582">
        <f t="shared" si="28"/>
        <v>1721</v>
      </c>
      <c r="BJ70" s="582">
        <f t="shared" si="29"/>
        <v>1721</v>
      </c>
      <c r="BK70" s="582">
        <f t="shared" si="30"/>
        <v>1324</v>
      </c>
      <c r="BL70" s="582">
        <f t="shared" si="31"/>
        <v>1324</v>
      </c>
      <c r="BM70" s="74"/>
      <c r="BN70" s="74"/>
      <c r="BO70" s="582">
        <f t="shared" si="141"/>
        <v>2869</v>
      </c>
      <c r="BP70" s="602">
        <f t="shared" si="33"/>
        <v>2869</v>
      </c>
      <c r="BQ70" s="54">
        <v>8.0</v>
      </c>
      <c r="BR70" s="54">
        <v>21.0</v>
      </c>
      <c r="BS70" s="54">
        <v>-30.0</v>
      </c>
      <c r="BT70" s="54">
        <v>100.0</v>
      </c>
      <c r="BU70" s="74"/>
      <c r="BV70" s="83">
        <f t="shared" si="34"/>
        <v>14.5</v>
      </c>
      <c r="BW70" s="608">
        <f t="shared" si="35"/>
        <v>573.3</v>
      </c>
      <c r="BX70" s="582">
        <f t="shared" si="36"/>
        <v>1194.4</v>
      </c>
      <c r="BY70" s="582">
        <f t="shared" si="37"/>
        <v>1303</v>
      </c>
      <c r="BZ70" s="582">
        <f t="shared" si="38"/>
        <v>1194.4</v>
      </c>
      <c r="CA70" s="582">
        <f t="shared" si="39"/>
        <v>1023.8</v>
      </c>
      <c r="CB70" s="582">
        <f t="shared" si="40"/>
        <v>1023.8</v>
      </c>
      <c r="CC70" s="582">
        <f t="shared" si="41"/>
        <v>1303</v>
      </c>
      <c r="CD70" s="582">
        <f t="shared" si="42"/>
        <v>955.5</v>
      </c>
      <c r="CE70" s="664">
        <f t="shared" si="43"/>
        <v>44.8</v>
      </c>
      <c r="CF70" s="706">
        <f t="shared" ref="CF70:CG70" si="179">IF(ROUND(100*(AV70/BW70)-100,1)=0,"",ROUND(100*(AV70/BW70)-100,1))</f>
        <v>20.1</v>
      </c>
      <c r="CG70" s="552">
        <f t="shared" si="179"/>
        <v>20.1</v>
      </c>
      <c r="CH70" s="575" t="s">
        <v>597</v>
      </c>
      <c r="CI70" s="582">
        <f t="shared" ref="CI70:DF70" si="180">FLOOR($AV70/(CI$3/25),1)</f>
        <v>688</v>
      </c>
      <c r="CJ70" s="582">
        <f t="shared" si="180"/>
        <v>717</v>
      </c>
      <c r="CK70" s="582">
        <f t="shared" si="180"/>
        <v>748</v>
      </c>
      <c r="CL70" s="582">
        <f t="shared" si="180"/>
        <v>782</v>
      </c>
      <c r="CM70" s="582">
        <f t="shared" si="180"/>
        <v>819</v>
      </c>
      <c r="CN70" s="582">
        <f t="shared" si="180"/>
        <v>860</v>
      </c>
      <c r="CO70" s="582">
        <f t="shared" si="180"/>
        <v>905</v>
      </c>
      <c r="CP70" s="582">
        <f t="shared" si="180"/>
        <v>956</v>
      </c>
      <c r="CQ70" s="582">
        <f t="shared" si="180"/>
        <v>1012</v>
      </c>
      <c r="CR70" s="582">
        <f t="shared" si="180"/>
        <v>1075</v>
      </c>
      <c r="CS70" s="582">
        <f t="shared" si="180"/>
        <v>1147</v>
      </c>
      <c r="CT70" s="582">
        <f t="shared" si="180"/>
        <v>1229</v>
      </c>
      <c r="CU70" s="582">
        <f t="shared" si="180"/>
        <v>1324</v>
      </c>
      <c r="CV70" s="582">
        <f t="shared" si="180"/>
        <v>1434</v>
      </c>
      <c r="CW70" s="582">
        <f t="shared" si="180"/>
        <v>1564</v>
      </c>
      <c r="CX70" s="582">
        <f t="shared" si="180"/>
        <v>1721</v>
      </c>
      <c r="CY70" s="582">
        <f t="shared" si="180"/>
        <v>1912</v>
      </c>
      <c r="CZ70" s="582">
        <f t="shared" si="180"/>
        <v>2151</v>
      </c>
      <c r="DA70" s="582">
        <f t="shared" si="180"/>
        <v>2458</v>
      </c>
      <c r="DB70" s="582">
        <f t="shared" si="180"/>
        <v>2868</v>
      </c>
      <c r="DC70" s="582">
        <f t="shared" si="180"/>
        <v>3442</v>
      </c>
      <c r="DD70" s="582">
        <f t="shared" si="180"/>
        <v>4303</v>
      </c>
      <c r="DE70" s="582">
        <f t="shared" si="180"/>
        <v>5737</v>
      </c>
      <c r="DF70" s="602">
        <f t="shared" si="180"/>
        <v>8606</v>
      </c>
      <c r="DG70" s="575"/>
      <c r="DH70" s="575" t="str">
        <f t="shared" si="46"/>
        <v/>
      </c>
      <c r="DI70" s="74" t="str">
        <f t="shared" si="47"/>
        <v/>
      </c>
      <c r="DJ70" s="74" t="str">
        <f t="shared" si="48"/>
        <v/>
      </c>
      <c r="DK70" s="623" t="str">
        <f t="shared" si="49"/>
        <v/>
      </c>
      <c r="DL70" s="74"/>
      <c r="DM70" s="74"/>
      <c r="DN70" s="582">
        <f t="shared" si="181"/>
        <v>5.3</v>
      </c>
      <c r="DO70" s="575"/>
      <c r="DP70" s="297"/>
    </row>
    <row r="71">
      <c r="A71" s="552">
        <v>65.0</v>
      </c>
      <c r="B71" s="86">
        <v>136.0</v>
      </c>
      <c r="C71" s="54">
        <v>12.0</v>
      </c>
      <c r="D71" s="54">
        <v>30.0</v>
      </c>
      <c r="E71" s="74"/>
      <c r="F71" s="68" t="s">
        <v>1246</v>
      </c>
      <c r="G71" s="68">
        <f t="shared" si="5"/>
        <v>16</v>
      </c>
      <c r="H71" s="68">
        <f t="shared" si="6"/>
        <v>15</v>
      </c>
      <c r="I71" s="68">
        <f t="shared" si="7"/>
        <v>16</v>
      </c>
      <c r="J71" s="68">
        <f t="shared" si="8"/>
        <v>19</v>
      </c>
      <c r="K71" s="68">
        <f t="shared" si="9"/>
        <v>19</v>
      </c>
      <c r="L71" s="68">
        <f t="shared" si="10"/>
        <v>15</v>
      </c>
      <c r="M71" s="569">
        <f t="shared" si="11"/>
        <v>20</v>
      </c>
      <c r="N71" s="74" t="s">
        <v>630</v>
      </c>
      <c r="O71" s="570" t="s">
        <v>1962</v>
      </c>
      <c r="P71" s="571"/>
      <c r="Q71" s="571" t="s">
        <v>1670</v>
      </c>
      <c r="R71" s="571" t="s">
        <v>1314</v>
      </c>
      <c r="S71" s="791" t="s">
        <v>584</v>
      </c>
      <c r="T71" s="572" t="s">
        <v>631</v>
      </c>
      <c r="U71" s="54">
        <v>35.0</v>
      </c>
      <c r="V71" s="54">
        <v>23.0</v>
      </c>
      <c r="W71" s="54">
        <v>58.0</v>
      </c>
      <c r="X71" s="54">
        <v>58.0</v>
      </c>
      <c r="Y71" s="54">
        <v>3.0</v>
      </c>
      <c r="Z71" s="54">
        <v>-10.0</v>
      </c>
      <c r="AA71" s="54">
        <v>2.0</v>
      </c>
      <c r="AB71" s="54">
        <v>64.0</v>
      </c>
      <c r="AC71" s="54">
        <v>1698.0</v>
      </c>
      <c r="AD71" s="54">
        <v>3.0</v>
      </c>
      <c r="AE71" s="54">
        <v>75.0</v>
      </c>
      <c r="AF71" s="54">
        <v>75.0</v>
      </c>
      <c r="AG71" s="54">
        <v>14.0</v>
      </c>
      <c r="AH71" s="54">
        <v>35.0</v>
      </c>
      <c r="AI71" s="574">
        <f t="shared" si="12"/>
        <v>24.5</v>
      </c>
      <c r="AJ71" s="74"/>
      <c r="AK71" s="74"/>
      <c r="AL71" s="74"/>
      <c r="AM71" s="74"/>
      <c r="AN71" s="74"/>
      <c r="AO71" s="74"/>
      <c r="AP71" s="74"/>
      <c r="AQ71" s="74"/>
      <c r="AR71" s="74"/>
      <c r="AS71" s="575"/>
      <c r="AT71" s="68">
        <f t="shared" si="13"/>
        <v>548</v>
      </c>
      <c r="AU71" s="68">
        <f t="shared" si="14"/>
        <v>967</v>
      </c>
      <c r="AV71" s="581">
        <f t="shared" si="15"/>
        <v>757.5</v>
      </c>
      <c r="AW71" s="582">
        <f t="shared" si="16"/>
        <v>1353</v>
      </c>
      <c r="AX71" s="582">
        <f t="shared" si="17"/>
        <v>1457</v>
      </c>
      <c r="AY71" s="582">
        <f t="shared" si="18"/>
        <v>1353</v>
      </c>
      <c r="AZ71" s="582">
        <f t="shared" si="19"/>
        <v>1457</v>
      </c>
      <c r="BA71" s="582">
        <f t="shared" si="20"/>
        <v>1114</v>
      </c>
      <c r="BB71" s="582">
        <f t="shared" si="21"/>
        <v>1052</v>
      </c>
      <c r="BC71" s="582">
        <f t="shared" si="22"/>
        <v>1114</v>
      </c>
      <c r="BD71" s="582">
        <f t="shared" si="23"/>
        <v>861</v>
      </c>
      <c r="BE71" s="582">
        <f t="shared" si="24"/>
        <v>1052</v>
      </c>
      <c r="BF71" s="582">
        <f t="shared" si="25"/>
        <v>1052</v>
      </c>
      <c r="BG71" s="582">
        <f t="shared" si="26"/>
        <v>1263</v>
      </c>
      <c r="BH71" s="582">
        <f t="shared" si="27"/>
        <v>1263</v>
      </c>
      <c r="BI71" s="582">
        <f t="shared" si="28"/>
        <v>1353</v>
      </c>
      <c r="BJ71" s="582">
        <f t="shared" si="29"/>
        <v>1353</v>
      </c>
      <c r="BK71" s="582">
        <f t="shared" si="30"/>
        <v>1052</v>
      </c>
      <c r="BL71" s="582">
        <f t="shared" si="31"/>
        <v>997</v>
      </c>
      <c r="BM71" s="74"/>
      <c r="BN71" s="74"/>
      <c r="BO71" s="582">
        <f t="shared" si="141"/>
        <v>2705</v>
      </c>
      <c r="BP71" s="602">
        <f t="shared" si="33"/>
        <v>2705</v>
      </c>
      <c r="BQ71" s="54">
        <v>10.0</v>
      </c>
      <c r="BR71" s="54">
        <v>24.0</v>
      </c>
      <c r="BS71" s="54">
        <v>-10.0</v>
      </c>
      <c r="BT71" s="54">
        <v>100.0</v>
      </c>
      <c r="BU71" s="74"/>
      <c r="BV71" s="83">
        <f t="shared" si="34"/>
        <v>17</v>
      </c>
      <c r="BW71" s="608">
        <f t="shared" si="35"/>
        <v>623.9</v>
      </c>
      <c r="BX71" s="582">
        <f t="shared" si="36"/>
        <v>1114.1</v>
      </c>
      <c r="BY71" s="582">
        <f t="shared" si="37"/>
        <v>1199.8</v>
      </c>
      <c r="BZ71" s="582">
        <f t="shared" si="38"/>
        <v>1114.1</v>
      </c>
      <c r="CA71" s="582">
        <f t="shared" si="39"/>
        <v>917.5</v>
      </c>
      <c r="CB71" s="582">
        <f t="shared" si="40"/>
        <v>917.5</v>
      </c>
      <c r="CC71" s="582">
        <f t="shared" si="41"/>
        <v>1199.8</v>
      </c>
      <c r="CD71" s="582">
        <f t="shared" si="42"/>
        <v>866.5</v>
      </c>
      <c r="CE71" s="664">
        <f t="shared" si="43"/>
        <v>44.1</v>
      </c>
      <c r="CF71" s="706">
        <f t="shared" ref="CF71:CG71" si="182">IF(ROUND(100*(AV71/BW71)-100,1)=0,"",ROUND(100*(AV71/BW71)-100,1))</f>
        <v>21.4</v>
      </c>
      <c r="CG71" s="552">
        <f t="shared" si="182"/>
        <v>21.4</v>
      </c>
      <c r="CH71" s="575" t="s">
        <v>630</v>
      </c>
      <c r="CI71" s="582">
        <f t="shared" ref="CI71:DF71" si="183">FLOOR($AV71/(CI$3/25),1)</f>
        <v>757</v>
      </c>
      <c r="CJ71" s="582">
        <f t="shared" si="183"/>
        <v>789</v>
      </c>
      <c r="CK71" s="582">
        <f t="shared" si="183"/>
        <v>823</v>
      </c>
      <c r="CL71" s="582">
        <f t="shared" si="183"/>
        <v>860</v>
      </c>
      <c r="CM71" s="582">
        <f t="shared" si="183"/>
        <v>901</v>
      </c>
      <c r="CN71" s="582">
        <f t="shared" si="183"/>
        <v>946</v>
      </c>
      <c r="CO71" s="582">
        <f t="shared" si="183"/>
        <v>996</v>
      </c>
      <c r="CP71" s="582">
        <f t="shared" si="183"/>
        <v>1052</v>
      </c>
      <c r="CQ71" s="582">
        <f t="shared" si="183"/>
        <v>1113</v>
      </c>
      <c r="CR71" s="582">
        <f t="shared" si="183"/>
        <v>1183</v>
      </c>
      <c r="CS71" s="582">
        <f t="shared" si="183"/>
        <v>1262</v>
      </c>
      <c r="CT71" s="582">
        <f t="shared" si="183"/>
        <v>1352</v>
      </c>
      <c r="CU71" s="582">
        <f t="shared" si="183"/>
        <v>1456</v>
      </c>
      <c r="CV71" s="582">
        <f t="shared" si="183"/>
        <v>1578</v>
      </c>
      <c r="CW71" s="582">
        <f t="shared" si="183"/>
        <v>1721</v>
      </c>
      <c r="CX71" s="582">
        <f t="shared" si="183"/>
        <v>1893</v>
      </c>
      <c r="CY71" s="582">
        <f t="shared" si="183"/>
        <v>2104</v>
      </c>
      <c r="CZ71" s="582">
        <f t="shared" si="183"/>
        <v>2367</v>
      </c>
      <c r="DA71" s="582">
        <f t="shared" si="183"/>
        <v>2705</v>
      </c>
      <c r="DB71" s="582">
        <f t="shared" si="183"/>
        <v>3156</v>
      </c>
      <c r="DC71" s="582">
        <f t="shared" si="183"/>
        <v>3787</v>
      </c>
      <c r="DD71" s="582">
        <f t="shared" si="183"/>
        <v>4734</v>
      </c>
      <c r="DE71" s="582">
        <f t="shared" si="183"/>
        <v>6312</v>
      </c>
      <c r="DF71" s="602">
        <f t="shared" si="183"/>
        <v>9468</v>
      </c>
      <c r="DG71" s="575"/>
      <c r="DH71" s="575" t="str">
        <f t="shared" si="46"/>
        <v/>
      </c>
      <c r="DI71" s="74" t="str">
        <f t="shared" si="47"/>
        <v/>
      </c>
      <c r="DJ71" s="74" t="str">
        <f t="shared" si="48"/>
        <v/>
      </c>
      <c r="DK71" s="623" t="str">
        <f t="shared" si="49"/>
        <v/>
      </c>
      <c r="DL71" s="74"/>
      <c r="DM71" s="74"/>
      <c r="DN71" s="582">
        <f t="shared" si="181"/>
        <v>4.5</v>
      </c>
      <c r="DO71" s="575"/>
      <c r="DP71" s="297"/>
    </row>
    <row r="72">
      <c r="A72" s="552">
        <v>66.0</v>
      </c>
      <c r="B72" s="86">
        <v>137.0</v>
      </c>
      <c r="C72" s="54">
        <v>20.0</v>
      </c>
      <c r="D72" s="54">
        <v>44.0</v>
      </c>
      <c r="E72" s="74"/>
      <c r="F72" s="68" t="s">
        <v>1246</v>
      </c>
      <c r="G72" s="68">
        <f t="shared" si="5"/>
        <v>16</v>
      </c>
      <c r="H72" s="68">
        <f t="shared" si="6"/>
        <v>15</v>
      </c>
      <c r="I72" s="68">
        <f t="shared" si="7"/>
        <v>16</v>
      </c>
      <c r="J72" s="68">
        <f t="shared" si="8"/>
        <v>19</v>
      </c>
      <c r="K72" s="68">
        <f t="shared" si="9"/>
        <v>19</v>
      </c>
      <c r="L72" s="68">
        <f t="shared" si="10"/>
        <v>15</v>
      </c>
      <c r="M72" s="569">
        <f t="shared" si="11"/>
        <v>20</v>
      </c>
      <c r="N72" s="74" t="s">
        <v>650</v>
      </c>
      <c r="O72" s="570" t="s">
        <v>1963</v>
      </c>
      <c r="P72" s="571"/>
      <c r="Q72" s="571" t="s">
        <v>1670</v>
      </c>
      <c r="R72" s="571" t="s">
        <v>1314</v>
      </c>
      <c r="S72" s="791" t="s">
        <v>584</v>
      </c>
      <c r="T72" s="572" t="s">
        <v>651</v>
      </c>
      <c r="U72" s="54">
        <v>37.0</v>
      </c>
      <c r="V72" s="54">
        <v>25.0</v>
      </c>
      <c r="W72" s="54">
        <v>70.0</v>
      </c>
      <c r="X72" s="54">
        <v>42.0</v>
      </c>
      <c r="Y72" s="54">
        <v>3.0</v>
      </c>
      <c r="Z72" s="54">
        <v>20.0</v>
      </c>
      <c r="AA72" s="54">
        <v>2.0</v>
      </c>
      <c r="AB72" s="54">
        <v>64.0</v>
      </c>
      <c r="AC72" s="54">
        <v>2349.0</v>
      </c>
      <c r="AD72" s="54">
        <v>4.0</v>
      </c>
      <c r="AE72" s="54">
        <v>75.0</v>
      </c>
      <c r="AF72" s="54">
        <v>75.0</v>
      </c>
      <c r="AG72" s="54">
        <v>23.0</v>
      </c>
      <c r="AH72" s="54">
        <v>50.0</v>
      </c>
      <c r="AI72" s="574">
        <f t="shared" si="12"/>
        <v>36.5</v>
      </c>
      <c r="AJ72" s="74"/>
      <c r="AK72" s="74"/>
      <c r="AL72" s="74"/>
      <c r="AM72" s="74"/>
      <c r="AN72" s="74"/>
      <c r="AO72" s="74"/>
      <c r="AP72" s="74"/>
      <c r="AQ72" s="74"/>
      <c r="AR72" s="74"/>
      <c r="AS72" s="575"/>
      <c r="AT72" s="68">
        <f t="shared" si="13"/>
        <v>727</v>
      </c>
      <c r="AU72" s="68">
        <f t="shared" si="14"/>
        <v>1268</v>
      </c>
      <c r="AV72" s="581">
        <f t="shared" si="15"/>
        <v>997.5</v>
      </c>
      <c r="AW72" s="582">
        <f t="shared" si="16"/>
        <v>1247</v>
      </c>
      <c r="AX72" s="582">
        <f t="shared" si="17"/>
        <v>1385</v>
      </c>
      <c r="AY72" s="582">
        <f t="shared" si="18"/>
        <v>1247</v>
      </c>
      <c r="AZ72" s="582">
        <f t="shared" si="19"/>
        <v>1385</v>
      </c>
      <c r="BA72" s="582">
        <f t="shared" si="20"/>
        <v>1084</v>
      </c>
      <c r="BB72" s="582">
        <f t="shared" si="21"/>
        <v>998</v>
      </c>
      <c r="BC72" s="582">
        <f t="shared" si="22"/>
        <v>1084</v>
      </c>
      <c r="BD72" s="582">
        <f t="shared" si="23"/>
        <v>608</v>
      </c>
      <c r="BE72" s="582">
        <f t="shared" si="24"/>
        <v>733</v>
      </c>
      <c r="BF72" s="582">
        <f t="shared" si="25"/>
        <v>693</v>
      </c>
      <c r="BG72" s="582">
        <f t="shared" si="26"/>
        <v>831</v>
      </c>
      <c r="BH72" s="582">
        <f t="shared" si="27"/>
        <v>831</v>
      </c>
      <c r="BI72" s="582">
        <f t="shared" si="28"/>
        <v>924</v>
      </c>
      <c r="BJ72" s="582">
        <f t="shared" si="29"/>
        <v>924</v>
      </c>
      <c r="BK72" s="582">
        <f t="shared" si="30"/>
        <v>733</v>
      </c>
      <c r="BL72" s="582">
        <f t="shared" si="31"/>
        <v>674</v>
      </c>
      <c r="BM72" s="74"/>
      <c r="BN72" s="74"/>
      <c r="BO72" s="582">
        <f t="shared" si="141"/>
        <v>2494</v>
      </c>
      <c r="BP72" s="602">
        <f t="shared" si="33"/>
        <v>2494</v>
      </c>
      <c r="BQ72" s="54">
        <v>16.0</v>
      </c>
      <c r="BR72" s="54">
        <v>35.0</v>
      </c>
      <c r="BS72" s="54">
        <v>20.0</v>
      </c>
      <c r="BT72" s="54">
        <v>100.0</v>
      </c>
      <c r="BU72" s="74"/>
      <c r="BV72" s="83">
        <f t="shared" si="34"/>
        <v>25.5</v>
      </c>
      <c r="BW72" s="608">
        <f t="shared" si="35"/>
        <v>796</v>
      </c>
      <c r="BX72" s="582">
        <f t="shared" si="36"/>
        <v>995</v>
      </c>
      <c r="BY72" s="582">
        <f t="shared" si="37"/>
        <v>1105.6</v>
      </c>
      <c r="BZ72" s="582">
        <f t="shared" si="38"/>
        <v>995</v>
      </c>
      <c r="CA72" s="582">
        <f t="shared" si="39"/>
        <v>865.2</v>
      </c>
      <c r="CB72" s="582">
        <f t="shared" si="40"/>
        <v>865.2</v>
      </c>
      <c r="CC72" s="582">
        <f t="shared" si="41"/>
        <v>1105.6</v>
      </c>
      <c r="CD72" s="582">
        <f t="shared" si="42"/>
        <v>796</v>
      </c>
      <c r="CE72" s="664">
        <f t="shared" si="43"/>
        <v>43.1</v>
      </c>
      <c r="CF72" s="706">
        <f t="shared" ref="CF72:CG72" si="184">IF(ROUND(100*(AV72/BW72)-100,1)=0,"",ROUND(100*(AV72/BW72)-100,1))</f>
        <v>25.3</v>
      </c>
      <c r="CG72" s="552">
        <f t="shared" si="184"/>
        <v>25.3</v>
      </c>
      <c r="CH72" s="575" t="s">
        <v>650</v>
      </c>
      <c r="CI72" s="582">
        <f t="shared" ref="CI72:DF72" si="185">FLOOR($AV72/(CI$3/25),1)</f>
        <v>997</v>
      </c>
      <c r="CJ72" s="582">
        <f t="shared" si="185"/>
        <v>1039</v>
      </c>
      <c r="CK72" s="582">
        <f t="shared" si="185"/>
        <v>1084</v>
      </c>
      <c r="CL72" s="582">
        <f t="shared" si="185"/>
        <v>1133</v>
      </c>
      <c r="CM72" s="582">
        <f t="shared" si="185"/>
        <v>1187</v>
      </c>
      <c r="CN72" s="582">
        <f t="shared" si="185"/>
        <v>1246</v>
      </c>
      <c r="CO72" s="582">
        <f t="shared" si="185"/>
        <v>1312</v>
      </c>
      <c r="CP72" s="582">
        <f t="shared" si="185"/>
        <v>1385</v>
      </c>
      <c r="CQ72" s="582">
        <f t="shared" si="185"/>
        <v>1466</v>
      </c>
      <c r="CR72" s="582">
        <f t="shared" si="185"/>
        <v>1558</v>
      </c>
      <c r="CS72" s="582">
        <f t="shared" si="185"/>
        <v>1662</v>
      </c>
      <c r="CT72" s="582">
        <f t="shared" si="185"/>
        <v>1781</v>
      </c>
      <c r="CU72" s="582">
        <f t="shared" si="185"/>
        <v>1918</v>
      </c>
      <c r="CV72" s="582">
        <f t="shared" si="185"/>
        <v>2078</v>
      </c>
      <c r="CW72" s="582">
        <f t="shared" si="185"/>
        <v>2267</v>
      </c>
      <c r="CX72" s="582">
        <f t="shared" si="185"/>
        <v>2493</v>
      </c>
      <c r="CY72" s="582">
        <f t="shared" si="185"/>
        <v>2770</v>
      </c>
      <c r="CZ72" s="582">
        <f t="shared" si="185"/>
        <v>3117</v>
      </c>
      <c r="DA72" s="582">
        <f t="shared" si="185"/>
        <v>3562</v>
      </c>
      <c r="DB72" s="582">
        <f t="shared" si="185"/>
        <v>4156</v>
      </c>
      <c r="DC72" s="582">
        <f t="shared" si="185"/>
        <v>4987</v>
      </c>
      <c r="DD72" s="582">
        <f t="shared" si="185"/>
        <v>6234</v>
      </c>
      <c r="DE72" s="582">
        <f t="shared" si="185"/>
        <v>8312</v>
      </c>
      <c r="DF72" s="602">
        <f t="shared" si="185"/>
        <v>12468</v>
      </c>
      <c r="DG72" s="575"/>
      <c r="DH72" s="575" t="str">
        <f t="shared" si="46"/>
        <v/>
      </c>
      <c r="DI72" s="74" t="str">
        <f t="shared" si="47"/>
        <v/>
      </c>
      <c r="DJ72" s="74" t="str">
        <f t="shared" si="48"/>
        <v/>
      </c>
      <c r="DK72" s="623" t="str">
        <f t="shared" si="49"/>
        <v/>
      </c>
      <c r="DL72" s="74"/>
      <c r="DM72" s="74"/>
      <c r="DN72" s="582">
        <f t="shared" si="181"/>
        <v>2.8</v>
      </c>
      <c r="DO72" s="575"/>
      <c r="DP72" s="297"/>
    </row>
    <row r="73">
      <c r="A73" s="552">
        <v>67.0</v>
      </c>
      <c r="B73" s="86">
        <v>138.0</v>
      </c>
      <c r="C73" s="54">
        <v>16.0</v>
      </c>
      <c r="D73" s="54">
        <v>44.0</v>
      </c>
      <c r="E73" s="74"/>
      <c r="F73" s="68" t="s">
        <v>1246</v>
      </c>
      <c r="G73" s="68">
        <f t="shared" si="5"/>
        <v>16</v>
      </c>
      <c r="H73" s="68">
        <f t="shared" si="6"/>
        <v>15</v>
      </c>
      <c r="I73" s="68">
        <f t="shared" si="7"/>
        <v>16</v>
      </c>
      <c r="J73" s="68">
        <f t="shared" si="8"/>
        <v>19</v>
      </c>
      <c r="K73" s="68">
        <f t="shared" si="9"/>
        <v>19</v>
      </c>
      <c r="L73" s="68">
        <f t="shared" si="10"/>
        <v>15</v>
      </c>
      <c r="M73" s="569">
        <f t="shared" si="11"/>
        <v>20</v>
      </c>
      <c r="N73" s="74" t="s">
        <v>672</v>
      </c>
      <c r="O73" s="570" t="s">
        <v>1964</v>
      </c>
      <c r="P73" s="571"/>
      <c r="Q73" s="571" t="s">
        <v>1670</v>
      </c>
      <c r="R73" s="571" t="s">
        <v>1314</v>
      </c>
      <c r="S73" s="791" t="s">
        <v>584</v>
      </c>
      <c r="T73" s="572" t="s">
        <v>673</v>
      </c>
      <c r="U73" s="54">
        <v>37.0</v>
      </c>
      <c r="V73" s="54">
        <v>25.0</v>
      </c>
      <c r="W73" s="54">
        <v>85.0</v>
      </c>
      <c r="X73" s="54">
        <v>60.0</v>
      </c>
      <c r="Y73" s="54">
        <v>6.0</v>
      </c>
      <c r="Z73" s="54">
        <v>0.0</v>
      </c>
      <c r="AA73" s="54">
        <v>2.0</v>
      </c>
      <c r="AB73" s="54">
        <v>40.0</v>
      </c>
      <c r="AC73" s="54">
        <v>6681.0</v>
      </c>
      <c r="AD73" s="54">
        <v>2.0</v>
      </c>
      <c r="AE73" s="54">
        <v>75.0</v>
      </c>
      <c r="AF73" s="54">
        <v>75.0</v>
      </c>
      <c r="AG73" s="54">
        <v>18.0</v>
      </c>
      <c r="AH73" s="54">
        <v>51.0</v>
      </c>
      <c r="AI73" s="574">
        <f t="shared" si="12"/>
        <v>34.5</v>
      </c>
      <c r="AJ73" s="74"/>
      <c r="AK73" s="74"/>
      <c r="AL73" s="74"/>
      <c r="AM73" s="74"/>
      <c r="AN73" s="74"/>
      <c r="AO73" s="74"/>
      <c r="AP73" s="74"/>
      <c r="AQ73" s="74"/>
      <c r="AR73" s="74"/>
      <c r="AS73" s="575"/>
      <c r="AT73" s="68">
        <f t="shared" si="13"/>
        <v>632</v>
      </c>
      <c r="AU73" s="68">
        <f t="shared" si="14"/>
        <v>1286</v>
      </c>
      <c r="AV73" s="581">
        <f t="shared" si="15"/>
        <v>959</v>
      </c>
      <c r="AW73" s="582">
        <f t="shared" si="16"/>
        <v>1598</v>
      </c>
      <c r="AX73" s="582">
        <f t="shared" si="17"/>
        <v>1713</v>
      </c>
      <c r="AY73" s="582">
        <f t="shared" si="18"/>
        <v>1598</v>
      </c>
      <c r="AZ73" s="582">
        <f t="shared" si="19"/>
        <v>1713</v>
      </c>
      <c r="BA73" s="582">
        <f t="shared" si="20"/>
        <v>1332</v>
      </c>
      <c r="BB73" s="582">
        <f t="shared" si="21"/>
        <v>1262</v>
      </c>
      <c r="BC73" s="582">
        <f t="shared" si="22"/>
        <v>1332</v>
      </c>
      <c r="BD73" s="582">
        <f t="shared" si="23"/>
        <v>888</v>
      </c>
      <c r="BE73" s="582">
        <f t="shared" si="24"/>
        <v>1090</v>
      </c>
      <c r="BF73" s="582">
        <f t="shared" si="25"/>
        <v>1042</v>
      </c>
      <c r="BG73" s="582">
        <f t="shared" si="26"/>
        <v>1262</v>
      </c>
      <c r="BH73" s="582">
        <f t="shared" si="27"/>
        <v>1262</v>
      </c>
      <c r="BI73" s="582">
        <f t="shared" si="28"/>
        <v>1332</v>
      </c>
      <c r="BJ73" s="582">
        <f t="shared" si="29"/>
        <v>1332</v>
      </c>
      <c r="BK73" s="582">
        <f t="shared" si="30"/>
        <v>1090</v>
      </c>
      <c r="BL73" s="582">
        <f t="shared" si="31"/>
        <v>1042</v>
      </c>
      <c r="BM73" s="74"/>
      <c r="BN73" s="74"/>
      <c r="BO73" s="582">
        <f t="shared" si="141"/>
        <v>3197</v>
      </c>
      <c r="BP73" s="602">
        <f t="shared" si="33"/>
        <v>3197</v>
      </c>
      <c r="BQ73" s="54">
        <v>13.0</v>
      </c>
      <c r="BR73" s="54">
        <v>35.0</v>
      </c>
      <c r="BS73" s="74"/>
      <c r="BT73" s="54">
        <v>100.0</v>
      </c>
      <c r="BU73" s="74"/>
      <c r="BV73" s="83">
        <f t="shared" si="34"/>
        <v>24</v>
      </c>
      <c r="BW73" s="608">
        <f t="shared" si="35"/>
        <v>765.6</v>
      </c>
      <c r="BX73" s="582">
        <f t="shared" si="36"/>
        <v>1276</v>
      </c>
      <c r="BY73" s="582">
        <f t="shared" si="37"/>
        <v>1367.1</v>
      </c>
      <c r="BZ73" s="582">
        <f t="shared" si="38"/>
        <v>1276</v>
      </c>
      <c r="CA73" s="582">
        <f t="shared" si="39"/>
        <v>1063.3</v>
      </c>
      <c r="CB73" s="582">
        <f t="shared" si="40"/>
        <v>1063.3</v>
      </c>
      <c r="CC73" s="582">
        <f t="shared" si="41"/>
        <v>1367.1</v>
      </c>
      <c r="CD73" s="582">
        <f t="shared" si="42"/>
        <v>1007.4</v>
      </c>
      <c r="CE73" s="664">
        <f t="shared" si="43"/>
        <v>43.8</v>
      </c>
      <c r="CF73" s="706">
        <f t="shared" ref="CF73:CG73" si="186">IF(ROUND(100*(AV73/BW73)-100,1)=0,"",ROUND(100*(AV73/BW73)-100,1))</f>
        <v>25.3</v>
      </c>
      <c r="CG73" s="552">
        <f t="shared" si="186"/>
        <v>25.2</v>
      </c>
      <c r="CH73" s="575" t="s">
        <v>672</v>
      </c>
      <c r="CI73" s="582">
        <f t="shared" ref="CI73:DF73" si="187">FLOOR($AV73/(CI$3/25),1)</f>
        <v>959</v>
      </c>
      <c r="CJ73" s="582">
        <f t="shared" si="187"/>
        <v>998</v>
      </c>
      <c r="CK73" s="582">
        <f t="shared" si="187"/>
        <v>1042</v>
      </c>
      <c r="CL73" s="582">
        <f t="shared" si="187"/>
        <v>1089</v>
      </c>
      <c r="CM73" s="582">
        <f t="shared" si="187"/>
        <v>1141</v>
      </c>
      <c r="CN73" s="582">
        <f t="shared" si="187"/>
        <v>1198</v>
      </c>
      <c r="CO73" s="582">
        <f t="shared" si="187"/>
        <v>1261</v>
      </c>
      <c r="CP73" s="582">
        <f t="shared" si="187"/>
        <v>1331</v>
      </c>
      <c r="CQ73" s="582">
        <f t="shared" si="187"/>
        <v>1410</v>
      </c>
      <c r="CR73" s="582">
        <f t="shared" si="187"/>
        <v>1498</v>
      </c>
      <c r="CS73" s="582">
        <f t="shared" si="187"/>
        <v>1598</v>
      </c>
      <c r="CT73" s="582">
        <f t="shared" si="187"/>
        <v>1712</v>
      </c>
      <c r="CU73" s="582">
        <f t="shared" si="187"/>
        <v>1844</v>
      </c>
      <c r="CV73" s="582">
        <f t="shared" si="187"/>
        <v>1997</v>
      </c>
      <c r="CW73" s="582">
        <f t="shared" si="187"/>
        <v>2179</v>
      </c>
      <c r="CX73" s="582">
        <f t="shared" si="187"/>
        <v>2397</v>
      </c>
      <c r="CY73" s="582">
        <f t="shared" si="187"/>
        <v>2663</v>
      </c>
      <c r="CZ73" s="582">
        <f t="shared" si="187"/>
        <v>2996</v>
      </c>
      <c r="DA73" s="582">
        <f t="shared" si="187"/>
        <v>3425</v>
      </c>
      <c r="DB73" s="582">
        <f t="shared" si="187"/>
        <v>3995</v>
      </c>
      <c r="DC73" s="582">
        <f t="shared" si="187"/>
        <v>4795</v>
      </c>
      <c r="DD73" s="582">
        <f t="shared" si="187"/>
        <v>5993</v>
      </c>
      <c r="DE73" s="582">
        <f t="shared" si="187"/>
        <v>7991</v>
      </c>
      <c r="DF73" s="602">
        <f t="shared" si="187"/>
        <v>11987</v>
      </c>
      <c r="DG73" s="575"/>
      <c r="DH73" s="575" t="str">
        <f t="shared" si="46"/>
        <v/>
      </c>
      <c r="DI73" s="74" t="str">
        <f t="shared" si="47"/>
        <v/>
      </c>
      <c r="DJ73" s="74" t="str">
        <f t="shared" si="48"/>
        <v/>
      </c>
      <c r="DK73" s="623" t="str">
        <f t="shared" si="49"/>
        <v/>
      </c>
      <c r="DL73" s="74"/>
      <c r="DM73" s="74"/>
      <c r="DN73" s="582">
        <f t="shared" si="181"/>
        <v>3.5</v>
      </c>
      <c r="DO73" s="575"/>
      <c r="DP73" s="297"/>
    </row>
    <row r="74">
      <c r="A74" s="552">
        <v>68.0</v>
      </c>
      <c r="B74" s="86">
        <v>139.0</v>
      </c>
      <c r="C74" s="54">
        <v>20.0</v>
      </c>
      <c r="D74" s="54">
        <v>42.0</v>
      </c>
      <c r="E74" s="74"/>
      <c r="F74" s="68" t="s">
        <v>1246</v>
      </c>
      <c r="G74" s="68">
        <f t="shared" si="5"/>
        <v>16</v>
      </c>
      <c r="H74" s="68">
        <f t="shared" si="6"/>
        <v>15</v>
      </c>
      <c r="I74" s="68">
        <f t="shared" si="7"/>
        <v>16</v>
      </c>
      <c r="J74" s="68">
        <f t="shared" si="8"/>
        <v>19</v>
      </c>
      <c r="K74" s="68">
        <f t="shared" si="9"/>
        <v>19</v>
      </c>
      <c r="L74" s="68">
        <f t="shared" si="10"/>
        <v>15</v>
      </c>
      <c r="M74" s="569">
        <f t="shared" si="11"/>
        <v>20</v>
      </c>
      <c r="N74" s="74" t="s">
        <v>694</v>
      </c>
      <c r="O74" s="570" t="s">
        <v>1965</v>
      </c>
      <c r="P74" s="571"/>
      <c r="Q74" s="571" t="s">
        <v>1670</v>
      </c>
      <c r="R74" s="571" t="s">
        <v>1314</v>
      </c>
      <c r="S74" s="791" t="s">
        <v>584</v>
      </c>
      <c r="T74" s="572" t="s">
        <v>696</v>
      </c>
      <c r="U74" s="54">
        <v>40.0</v>
      </c>
      <c r="V74" s="54">
        <v>25.0</v>
      </c>
      <c r="W74" s="54">
        <v>92.0</v>
      </c>
      <c r="X74" s="54">
        <v>43.0</v>
      </c>
      <c r="Y74" s="54">
        <v>4.0</v>
      </c>
      <c r="Z74" s="54">
        <v>0.0</v>
      </c>
      <c r="AA74" s="54">
        <v>2.0</v>
      </c>
      <c r="AB74" s="54">
        <v>64.0</v>
      </c>
      <c r="AC74" s="54">
        <v>3387.0</v>
      </c>
      <c r="AD74" s="54">
        <v>4.0</v>
      </c>
      <c r="AE74" s="54">
        <v>75.0</v>
      </c>
      <c r="AF74" s="54">
        <v>75.0</v>
      </c>
      <c r="AG74" s="54">
        <v>23.0</v>
      </c>
      <c r="AH74" s="54">
        <v>48.0</v>
      </c>
      <c r="AI74" s="574">
        <f t="shared" si="12"/>
        <v>35.5</v>
      </c>
      <c r="AJ74" s="74"/>
      <c r="AK74" s="74"/>
      <c r="AL74" s="74"/>
      <c r="AM74" s="74"/>
      <c r="AN74" s="74"/>
      <c r="AO74" s="74"/>
      <c r="AP74" s="74"/>
      <c r="AQ74" s="74"/>
      <c r="AR74" s="74"/>
      <c r="AS74" s="575"/>
      <c r="AT74" s="68">
        <f t="shared" si="13"/>
        <v>727</v>
      </c>
      <c r="AU74" s="68">
        <f t="shared" si="14"/>
        <v>1225</v>
      </c>
      <c r="AV74" s="581">
        <f t="shared" si="15"/>
        <v>976</v>
      </c>
      <c r="AW74" s="582">
        <f t="shared" si="16"/>
        <v>1627</v>
      </c>
      <c r="AX74" s="582">
        <f t="shared" si="17"/>
        <v>1743</v>
      </c>
      <c r="AY74" s="582">
        <f t="shared" si="18"/>
        <v>1627</v>
      </c>
      <c r="AZ74" s="582">
        <f t="shared" si="19"/>
        <v>1743</v>
      </c>
      <c r="BA74" s="582">
        <f t="shared" si="20"/>
        <v>1356</v>
      </c>
      <c r="BB74" s="582">
        <f t="shared" si="21"/>
        <v>1284</v>
      </c>
      <c r="BC74" s="582">
        <f t="shared" si="22"/>
        <v>1356</v>
      </c>
      <c r="BD74" s="582">
        <f t="shared" si="23"/>
        <v>904</v>
      </c>
      <c r="BE74" s="582">
        <f t="shared" si="24"/>
        <v>1109</v>
      </c>
      <c r="BF74" s="582">
        <f t="shared" si="25"/>
        <v>1061</v>
      </c>
      <c r="BG74" s="582">
        <f t="shared" si="26"/>
        <v>1284</v>
      </c>
      <c r="BH74" s="582">
        <f t="shared" si="27"/>
        <v>1284</v>
      </c>
      <c r="BI74" s="582">
        <f t="shared" si="28"/>
        <v>1356</v>
      </c>
      <c r="BJ74" s="582">
        <f t="shared" si="29"/>
        <v>1356</v>
      </c>
      <c r="BK74" s="582">
        <f t="shared" si="30"/>
        <v>1109</v>
      </c>
      <c r="BL74" s="582">
        <f t="shared" si="31"/>
        <v>1061</v>
      </c>
      <c r="BM74" s="74"/>
      <c r="BN74" s="74"/>
      <c r="BO74" s="582">
        <f t="shared" si="141"/>
        <v>3253</v>
      </c>
      <c r="BP74" s="602">
        <f t="shared" si="33"/>
        <v>3253</v>
      </c>
      <c r="BQ74" s="54">
        <v>16.0</v>
      </c>
      <c r="BR74" s="54">
        <v>34.0</v>
      </c>
      <c r="BS74" s="74"/>
      <c r="BT74" s="54">
        <v>100.0</v>
      </c>
      <c r="BU74" s="74"/>
      <c r="BV74" s="83">
        <f t="shared" si="34"/>
        <v>25</v>
      </c>
      <c r="BW74" s="608">
        <f t="shared" si="35"/>
        <v>785.9</v>
      </c>
      <c r="BX74" s="582">
        <f t="shared" si="36"/>
        <v>1309.8</v>
      </c>
      <c r="BY74" s="582">
        <f t="shared" si="37"/>
        <v>1403.4</v>
      </c>
      <c r="BZ74" s="582">
        <f t="shared" si="38"/>
        <v>1309.8</v>
      </c>
      <c r="CA74" s="582">
        <f t="shared" si="39"/>
        <v>1091.5</v>
      </c>
      <c r="CB74" s="582">
        <f t="shared" si="40"/>
        <v>1091.5</v>
      </c>
      <c r="CC74" s="582">
        <f t="shared" si="41"/>
        <v>1403.4</v>
      </c>
      <c r="CD74" s="582">
        <f t="shared" si="42"/>
        <v>1034.1</v>
      </c>
      <c r="CE74" s="664">
        <f t="shared" si="43"/>
        <v>42</v>
      </c>
      <c r="CF74" s="706">
        <f t="shared" ref="CF74:CG74" si="188">IF(ROUND(100*(AV74/BW74)-100,1)=0,"",ROUND(100*(AV74/BW74)-100,1))</f>
        <v>24.2</v>
      </c>
      <c r="CG74" s="552">
        <f t="shared" si="188"/>
        <v>24.2</v>
      </c>
      <c r="CH74" s="575" t="s">
        <v>694</v>
      </c>
      <c r="CI74" s="582">
        <f t="shared" ref="CI74:DF74" si="189">FLOOR($AV74/(CI$3/25),1)</f>
        <v>976</v>
      </c>
      <c r="CJ74" s="582">
        <f t="shared" si="189"/>
        <v>1016</v>
      </c>
      <c r="CK74" s="582">
        <f t="shared" si="189"/>
        <v>1060</v>
      </c>
      <c r="CL74" s="582">
        <f t="shared" si="189"/>
        <v>1109</v>
      </c>
      <c r="CM74" s="582">
        <f t="shared" si="189"/>
        <v>1161</v>
      </c>
      <c r="CN74" s="582">
        <f t="shared" si="189"/>
        <v>1220</v>
      </c>
      <c r="CO74" s="582">
        <f t="shared" si="189"/>
        <v>1284</v>
      </c>
      <c r="CP74" s="582">
        <f t="shared" si="189"/>
        <v>1355</v>
      </c>
      <c r="CQ74" s="582">
        <f t="shared" si="189"/>
        <v>1435</v>
      </c>
      <c r="CR74" s="582">
        <f t="shared" si="189"/>
        <v>1525</v>
      </c>
      <c r="CS74" s="582">
        <f t="shared" si="189"/>
        <v>1626</v>
      </c>
      <c r="CT74" s="582">
        <f t="shared" si="189"/>
        <v>1742</v>
      </c>
      <c r="CU74" s="582">
        <f t="shared" si="189"/>
        <v>1876</v>
      </c>
      <c r="CV74" s="582">
        <f t="shared" si="189"/>
        <v>2033</v>
      </c>
      <c r="CW74" s="582">
        <f t="shared" si="189"/>
        <v>2218</v>
      </c>
      <c r="CX74" s="582">
        <f t="shared" si="189"/>
        <v>2440</v>
      </c>
      <c r="CY74" s="582">
        <f t="shared" si="189"/>
        <v>2711</v>
      </c>
      <c r="CZ74" s="582">
        <f t="shared" si="189"/>
        <v>3050</v>
      </c>
      <c r="DA74" s="582">
        <f t="shared" si="189"/>
        <v>3485</v>
      </c>
      <c r="DB74" s="582">
        <f t="shared" si="189"/>
        <v>4066</v>
      </c>
      <c r="DC74" s="582">
        <f t="shared" si="189"/>
        <v>4880</v>
      </c>
      <c r="DD74" s="582">
        <f t="shared" si="189"/>
        <v>6100</v>
      </c>
      <c r="DE74" s="582">
        <f t="shared" si="189"/>
        <v>8133</v>
      </c>
      <c r="DF74" s="602">
        <f t="shared" si="189"/>
        <v>12200</v>
      </c>
      <c r="DG74" s="575"/>
      <c r="DH74" s="575" t="str">
        <f t="shared" si="46"/>
        <v/>
      </c>
      <c r="DI74" s="74" t="str">
        <f t="shared" si="47"/>
        <v/>
      </c>
      <c r="DJ74" s="74" t="str">
        <f t="shared" si="48"/>
        <v/>
      </c>
      <c r="DK74" s="623" t="str">
        <f t="shared" si="49"/>
        <v/>
      </c>
      <c r="DL74" s="74"/>
      <c r="DM74" s="74"/>
      <c r="DN74" s="582">
        <f t="shared" si="181"/>
        <v>3.4</v>
      </c>
      <c r="DO74" s="575"/>
      <c r="DP74" s="297"/>
    </row>
    <row r="75">
      <c r="A75" s="552">
        <v>69.0</v>
      </c>
      <c r="B75" s="86">
        <v>140.0</v>
      </c>
      <c r="C75" s="54">
        <v>12.0</v>
      </c>
      <c r="D75" s="54">
        <v>52.0</v>
      </c>
      <c r="E75" s="74"/>
      <c r="F75" s="68" t="s">
        <v>1246</v>
      </c>
      <c r="G75" s="68">
        <f t="shared" si="5"/>
        <v>16</v>
      </c>
      <c r="H75" s="68">
        <f t="shared" si="6"/>
        <v>15</v>
      </c>
      <c r="I75" s="68">
        <f t="shared" si="7"/>
        <v>16</v>
      </c>
      <c r="J75" s="68">
        <f t="shared" si="8"/>
        <v>19</v>
      </c>
      <c r="K75" s="68">
        <f t="shared" si="9"/>
        <v>19</v>
      </c>
      <c r="L75" s="68">
        <f t="shared" si="10"/>
        <v>15</v>
      </c>
      <c r="M75" s="569">
        <f t="shared" si="11"/>
        <v>20</v>
      </c>
      <c r="N75" s="74" t="s">
        <v>715</v>
      </c>
      <c r="O75" s="570" t="s">
        <v>1966</v>
      </c>
      <c r="P75" s="571"/>
      <c r="Q75" s="571" t="s">
        <v>1670</v>
      </c>
      <c r="R75" s="571" t="s">
        <v>1314</v>
      </c>
      <c r="S75" s="791" t="s">
        <v>584</v>
      </c>
      <c r="T75" s="572" t="s">
        <v>716</v>
      </c>
      <c r="U75" s="54">
        <v>44.0</v>
      </c>
      <c r="V75" s="54">
        <v>25.0</v>
      </c>
      <c r="W75" s="54">
        <v>103.0</v>
      </c>
      <c r="X75" s="54">
        <v>79.0</v>
      </c>
      <c r="Y75" s="54">
        <v>4.0</v>
      </c>
      <c r="Z75" s="54">
        <v>-10.0</v>
      </c>
      <c r="AA75" s="54">
        <v>2.0</v>
      </c>
      <c r="AB75" s="54">
        <v>88.0</v>
      </c>
      <c r="AC75" s="54">
        <v>4860.0</v>
      </c>
      <c r="AD75" s="54">
        <v>4.0</v>
      </c>
      <c r="AE75" s="54">
        <v>75.0</v>
      </c>
      <c r="AF75" s="54">
        <v>75.0</v>
      </c>
      <c r="AG75" s="54">
        <v>14.0</v>
      </c>
      <c r="AH75" s="54">
        <v>60.0</v>
      </c>
      <c r="AI75" s="574">
        <f t="shared" si="12"/>
        <v>37</v>
      </c>
      <c r="AJ75" s="74"/>
      <c r="AK75" s="74"/>
      <c r="AL75" s="74"/>
      <c r="AM75" s="74"/>
      <c r="AN75" s="74"/>
      <c r="AO75" s="74"/>
      <c r="AP75" s="74"/>
      <c r="AQ75" s="74"/>
      <c r="AR75" s="74"/>
      <c r="AS75" s="575"/>
      <c r="AT75" s="68">
        <f t="shared" si="13"/>
        <v>548</v>
      </c>
      <c r="AU75" s="68">
        <f t="shared" si="14"/>
        <v>1465</v>
      </c>
      <c r="AV75" s="581">
        <f t="shared" si="15"/>
        <v>1006.5</v>
      </c>
      <c r="AW75" s="582">
        <f t="shared" si="16"/>
        <v>1797</v>
      </c>
      <c r="AX75" s="582">
        <f t="shared" si="17"/>
        <v>1936</v>
      </c>
      <c r="AY75" s="582">
        <f t="shared" si="18"/>
        <v>1797</v>
      </c>
      <c r="AZ75" s="582">
        <f t="shared" si="19"/>
        <v>1936</v>
      </c>
      <c r="BA75" s="582">
        <f t="shared" si="20"/>
        <v>1480</v>
      </c>
      <c r="BB75" s="582">
        <f t="shared" si="21"/>
        <v>1398</v>
      </c>
      <c r="BC75" s="582">
        <f t="shared" si="22"/>
        <v>1480</v>
      </c>
      <c r="BD75" s="582">
        <f t="shared" si="23"/>
        <v>1144</v>
      </c>
      <c r="BE75" s="582">
        <f t="shared" si="24"/>
        <v>1398</v>
      </c>
      <c r="BF75" s="582">
        <f t="shared" si="25"/>
        <v>1398</v>
      </c>
      <c r="BG75" s="582">
        <f t="shared" si="26"/>
        <v>1678</v>
      </c>
      <c r="BH75" s="582">
        <f t="shared" si="27"/>
        <v>1678</v>
      </c>
      <c r="BI75" s="582">
        <f t="shared" si="28"/>
        <v>1797</v>
      </c>
      <c r="BJ75" s="582">
        <f t="shared" si="29"/>
        <v>1797</v>
      </c>
      <c r="BK75" s="582">
        <f t="shared" si="30"/>
        <v>1398</v>
      </c>
      <c r="BL75" s="582">
        <f t="shared" si="31"/>
        <v>1324</v>
      </c>
      <c r="BM75" s="74"/>
      <c r="BN75" s="74"/>
      <c r="BO75" s="582">
        <f t="shared" si="141"/>
        <v>3595</v>
      </c>
      <c r="BP75" s="602">
        <f t="shared" si="33"/>
        <v>3595</v>
      </c>
      <c r="BQ75" s="54">
        <v>10.0</v>
      </c>
      <c r="BR75" s="54">
        <v>42.0</v>
      </c>
      <c r="BS75" s="54">
        <v>-10.0</v>
      </c>
      <c r="BT75" s="54">
        <v>100.0</v>
      </c>
      <c r="BU75" s="74"/>
      <c r="BV75" s="83">
        <f t="shared" si="34"/>
        <v>26</v>
      </c>
      <c r="BW75" s="608">
        <f t="shared" si="35"/>
        <v>806.1</v>
      </c>
      <c r="BX75" s="582">
        <f t="shared" si="36"/>
        <v>1439.5</v>
      </c>
      <c r="BY75" s="582">
        <f t="shared" si="37"/>
        <v>1550.2</v>
      </c>
      <c r="BZ75" s="582">
        <f t="shared" si="38"/>
        <v>1439.5</v>
      </c>
      <c r="CA75" s="582">
        <f t="shared" si="39"/>
        <v>1185.4</v>
      </c>
      <c r="CB75" s="582">
        <f t="shared" si="40"/>
        <v>1185.4</v>
      </c>
      <c r="CC75" s="582">
        <f t="shared" si="41"/>
        <v>1550.2</v>
      </c>
      <c r="CD75" s="582">
        <f t="shared" si="42"/>
        <v>1119.6</v>
      </c>
      <c r="CE75" s="664">
        <f t="shared" si="43"/>
        <v>42.3</v>
      </c>
      <c r="CF75" s="706">
        <f t="shared" ref="CF75:CG75" si="190">IF(ROUND(100*(AV75/BW75)-100,1)=0,"",ROUND(100*(AV75/BW75)-100,1))</f>
        <v>24.9</v>
      </c>
      <c r="CG75" s="552">
        <f t="shared" si="190"/>
        <v>24.8</v>
      </c>
      <c r="CH75" s="575" t="s">
        <v>715</v>
      </c>
      <c r="CI75" s="582">
        <f t="shared" ref="CI75:DF75" si="191">FLOOR($AV75/(CI$3/25),1)</f>
        <v>1006</v>
      </c>
      <c r="CJ75" s="582">
        <f t="shared" si="191"/>
        <v>1048</v>
      </c>
      <c r="CK75" s="582">
        <f t="shared" si="191"/>
        <v>1094</v>
      </c>
      <c r="CL75" s="582">
        <f t="shared" si="191"/>
        <v>1143</v>
      </c>
      <c r="CM75" s="582">
        <f t="shared" si="191"/>
        <v>1198</v>
      </c>
      <c r="CN75" s="582">
        <f t="shared" si="191"/>
        <v>1258</v>
      </c>
      <c r="CO75" s="582">
        <f t="shared" si="191"/>
        <v>1324</v>
      </c>
      <c r="CP75" s="582">
        <f t="shared" si="191"/>
        <v>1397</v>
      </c>
      <c r="CQ75" s="582">
        <f t="shared" si="191"/>
        <v>1480</v>
      </c>
      <c r="CR75" s="582">
        <f t="shared" si="191"/>
        <v>1572</v>
      </c>
      <c r="CS75" s="582">
        <f t="shared" si="191"/>
        <v>1677</v>
      </c>
      <c r="CT75" s="582">
        <f t="shared" si="191"/>
        <v>1797</v>
      </c>
      <c r="CU75" s="582">
        <f t="shared" si="191"/>
        <v>1935</v>
      </c>
      <c r="CV75" s="582">
        <f t="shared" si="191"/>
        <v>2096</v>
      </c>
      <c r="CW75" s="582">
        <f t="shared" si="191"/>
        <v>2287</v>
      </c>
      <c r="CX75" s="582">
        <f t="shared" si="191"/>
        <v>2516</v>
      </c>
      <c r="CY75" s="582">
        <f t="shared" si="191"/>
        <v>2795</v>
      </c>
      <c r="CZ75" s="582">
        <f t="shared" si="191"/>
        <v>3145</v>
      </c>
      <c r="DA75" s="582">
        <f t="shared" si="191"/>
        <v>3594</v>
      </c>
      <c r="DB75" s="582">
        <f t="shared" si="191"/>
        <v>4193</v>
      </c>
      <c r="DC75" s="582">
        <f t="shared" si="191"/>
        <v>5032</v>
      </c>
      <c r="DD75" s="582">
        <f t="shared" si="191"/>
        <v>6290</v>
      </c>
      <c r="DE75" s="582">
        <f t="shared" si="191"/>
        <v>8387</v>
      </c>
      <c r="DF75" s="602">
        <f t="shared" si="191"/>
        <v>12581</v>
      </c>
      <c r="DG75" s="575"/>
      <c r="DH75" s="575" t="str">
        <f t="shared" si="46"/>
        <v/>
      </c>
      <c r="DI75" s="74" t="str">
        <f t="shared" si="47"/>
        <v/>
      </c>
      <c r="DJ75" s="74" t="str">
        <f t="shared" si="48"/>
        <v/>
      </c>
      <c r="DK75" s="623" t="str">
        <f t="shared" si="49"/>
        <v/>
      </c>
      <c r="DL75" s="74"/>
      <c r="DM75" s="74"/>
      <c r="DN75" s="582">
        <f t="shared" si="181"/>
        <v>3.4</v>
      </c>
      <c r="DO75" s="575"/>
      <c r="DP75" s="297"/>
    </row>
    <row r="76">
      <c r="A76" s="647">
        <v>70.0</v>
      </c>
      <c r="B76" s="141">
        <v>141.0</v>
      </c>
      <c r="C76" s="129">
        <v>22.0</v>
      </c>
      <c r="D76" s="129">
        <v>48.0</v>
      </c>
      <c r="E76" s="134"/>
      <c r="F76" s="154" t="s">
        <v>1246</v>
      </c>
      <c r="G76" s="154">
        <f t="shared" si="5"/>
        <v>16</v>
      </c>
      <c r="H76" s="154">
        <f t="shared" si="6"/>
        <v>15</v>
      </c>
      <c r="I76" s="154">
        <f t="shared" si="7"/>
        <v>16</v>
      </c>
      <c r="J76" s="154">
        <f t="shared" si="8"/>
        <v>19</v>
      </c>
      <c r="K76" s="154">
        <f t="shared" si="9"/>
        <v>19</v>
      </c>
      <c r="L76" s="154">
        <f t="shared" si="10"/>
        <v>15</v>
      </c>
      <c r="M76" s="648">
        <f t="shared" si="11"/>
        <v>20</v>
      </c>
      <c r="N76" s="134" t="s">
        <v>736</v>
      </c>
      <c r="O76" s="649" t="s">
        <v>1967</v>
      </c>
      <c r="P76" s="650"/>
      <c r="Q76" s="650" t="s">
        <v>1670</v>
      </c>
      <c r="R76" s="650" t="s">
        <v>1314</v>
      </c>
      <c r="S76" s="796" t="s">
        <v>584</v>
      </c>
      <c r="T76" s="651" t="s">
        <v>738</v>
      </c>
      <c r="U76" s="129">
        <v>49.0</v>
      </c>
      <c r="V76" s="129">
        <v>25.0</v>
      </c>
      <c r="W76" s="129">
        <v>127.0</v>
      </c>
      <c r="X76" s="799">
        <v>88.0</v>
      </c>
      <c r="Y76" s="129">
        <v>3.0</v>
      </c>
      <c r="Z76" s="129">
        <v>0.0</v>
      </c>
      <c r="AA76" s="129">
        <v>2.0</v>
      </c>
      <c r="AB76" s="129">
        <v>88.0</v>
      </c>
      <c r="AC76" s="129">
        <v>6291.0</v>
      </c>
      <c r="AD76" s="129">
        <v>4.0</v>
      </c>
      <c r="AE76" s="129">
        <v>75.0</v>
      </c>
      <c r="AF76" s="129">
        <v>75.0</v>
      </c>
      <c r="AG76" s="129">
        <v>25.0</v>
      </c>
      <c r="AH76" s="129">
        <v>55.0</v>
      </c>
      <c r="AI76" s="652">
        <f t="shared" si="12"/>
        <v>40</v>
      </c>
      <c r="AJ76" s="134"/>
      <c r="AK76" s="134"/>
      <c r="AL76" s="134"/>
      <c r="AM76" s="134"/>
      <c r="AN76" s="134"/>
      <c r="AO76" s="134"/>
      <c r="AP76" s="134"/>
      <c r="AQ76" s="134"/>
      <c r="AR76" s="134"/>
      <c r="AS76" s="653"/>
      <c r="AT76" s="154">
        <f t="shared" si="13"/>
        <v>771</v>
      </c>
      <c r="AU76" s="154">
        <f t="shared" si="14"/>
        <v>1365</v>
      </c>
      <c r="AV76" s="654">
        <f t="shared" si="15"/>
        <v>1068</v>
      </c>
      <c r="AW76" s="655">
        <f t="shared" si="16"/>
        <v>1780</v>
      </c>
      <c r="AX76" s="655">
        <f t="shared" si="17"/>
        <v>1907</v>
      </c>
      <c r="AY76" s="655">
        <f t="shared" si="18"/>
        <v>1780</v>
      </c>
      <c r="AZ76" s="655">
        <f t="shared" si="19"/>
        <v>1907</v>
      </c>
      <c r="BA76" s="655">
        <f t="shared" si="20"/>
        <v>1483</v>
      </c>
      <c r="BB76" s="655">
        <f t="shared" si="21"/>
        <v>1405</v>
      </c>
      <c r="BC76" s="655">
        <f t="shared" si="22"/>
        <v>1483</v>
      </c>
      <c r="BD76" s="655">
        <f t="shared" si="23"/>
        <v>989</v>
      </c>
      <c r="BE76" s="655">
        <f t="shared" si="24"/>
        <v>1214</v>
      </c>
      <c r="BF76" s="655">
        <f t="shared" si="25"/>
        <v>1161</v>
      </c>
      <c r="BG76" s="655">
        <f t="shared" si="26"/>
        <v>1405</v>
      </c>
      <c r="BH76" s="655">
        <f t="shared" si="27"/>
        <v>1405</v>
      </c>
      <c r="BI76" s="655">
        <f t="shared" si="28"/>
        <v>1483</v>
      </c>
      <c r="BJ76" s="655">
        <f t="shared" si="29"/>
        <v>1483</v>
      </c>
      <c r="BK76" s="655">
        <f t="shared" si="30"/>
        <v>1214</v>
      </c>
      <c r="BL76" s="655">
        <f t="shared" si="31"/>
        <v>1161</v>
      </c>
      <c r="BM76" s="134"/>
      <c r="BN76" s="134"/>
      <c r="BO76" s="655">
        <f t="shared" si="141"/>
        <v>3560</v>
      </c>
      <c r="BP76" s="656">
        <f t="shared" si="33"/>
        <v>3560</v>
      </c>
      <c r="BQ76" s="129">
        <v>18.0</v>
      </c>
      <c r="BR76" s="129">
        <v>43.0</v>
      </c>
      <c r="BS76" s="134"/>
      <c r="BT76" s="129">
        <v>100.0</v>
      </c>
      <c r="BU76" s="134"/>
      <c r="BV76" s="135">
        <f t="shared" si="34"/>
        <v>30.5</v>
      </c>
      <c r="BW76" s="657">
        <f t="shared" si="35"/>
        <v>897.2</v>
      </c>
      <c r="BX76" s="655">
        <f t="shared" si="36"/>
        <v>1495.3</v>
      </c>
      <c r="BY76" s="655">
        <f t="shared" si="37"/>
        <v>1602.1</v>
      </c>
      <c r="BZ76" s="655">
        <f t="shared" si="38"/>
        <v>1495.3</v>
      </c>
      <c r="CA76" s="655">
        <f t="shared" si="39"/>
        <v>1246.1</v>
      </c>
      <c r="CB76" s="655">
        <f t="shared" si="40"/>
        <v>1246.1</v>
      </c>
      <c r="CC76" s="655">
        <f t="shared" si="41"/>
        <v>1602.1</v>
      </c>
      <c r="CD76" s="655">
        <f t="shared" si="42"/>
        <v>1180.5</v>
      </c>
      <c r="CE76" s="659">
        <f t="shared" si="43"/>
        <v>31.1</v>
      </c>
      <c r="CF76" s="712">
        <f t="shared" ref="CF76:CG76" si="192">IF(ROUND(100*(AV76/BW76)-100,1)=0,"",ROUND(100*(AV76/BW76)-100,1))</f>
        <v>19</v>
      </c>
      <c r="CG76" s="647">
        <f t="shared" si="192"/>
        <v>19</v>
      </c>
      <c r="CH76" s="653" t="s">
        <v>736</v>
      </c>
      <c r="CI76" s="655">
        <f t="shared" ref="CI76:DF76" si="193">FLOOR($AV76/(CI$3/25),1)</f>
        <v>1068</v>
      </c>
      <c r="CJ76" s="655">
        <f t="shared" si="193"/>
        <v>1112</v>
      </c>
      <c r="CK76" s="655">
        <f t="shared" si="193"/>
        <v>1160</v>
      </c>
      <c r="CL76" s="655">
        <f t="shared" si="193"/>
        <v>1213</v>
      </c>
      <c r="CM76" s="655">
        <f t="shared" si="193"/>
        <v>1271</v>
      </c>
      <c r="CN76" s="655">
        <f t="shared" si="193"/>
        <v>1335</v>
      </c>
      <c r="CO76" s="655">
        <f t="shared" si="193"/>
        <v>1405</v>
      </c>
      <c r="CP76" s="655">
        <f t="shared" si="193"/>
        <v>1483</v>
      </c>
      <c r="CQ76" s="655">
        <f t="shared" si="193"/>
        <v>1570</v>
      </c>
      <c r="CR76" s="655">
        <f t="shared" si="193"/>
        <v>1668</v>
      </c>
      <c r="CS76" s="655">
        <f t="shared" si="193"/>
        <v>1780</v>
      </c>
      <c r="CT76" s="655">
        <f t="shared" si="193"/>
        <v>1907</v>
      </c>
      <c r="CU76" s="655">
        <f t="shared" si="193"/>
        <v>2053</v>
      </c>
      <c r="CV76" s="655">
        <f t="shared" si="193"/>
        <v>2225</v>
      </c>
      <c r="CW76" s="655">
        <f t="shared" si="193"/>
        <v>2427</v>
      </c>
      <c r="CX76" s="655">
        <f t="shared" si="193"/>
        <v>2670</v>
      </c>
      <c r="CY76" s="655">
        <f t="shared" si="193"/>
        <v>2966</v>
      </c>
      <c r="CZ76" s="655">
        <f t="shared" si="193"/>
        <v>3337</v>
      </c>
      <c r="DA76" s="655">
        <f t="shared" si="193"/>
        <v>3814</v>
      </c>
      <c r="DB76" s="655">
        <f t="shared" si="193"/>
        <v>4450</v>
      </c>
      <c r="DC76" s="655">
        <f t="shared" si="193"/>
        <v>5340</v>
      </c>
      <c r="DD76" s="655">
        <f t="shared" si="193"/>
        <v>6675</v>
      </c>
      <c r="DE76" s="655">
        <f t="shared" si="193"/>
        <v>8900</v>
      </c>
      <c r="DF76" s="656">
        <f t="shared" si="193"/>
        <v>13350</v>
      </c>
      <c r="DG76" s="653"/>
      <c r="DH76" s="653" t="str">
        <f t="shared" si="46"/>
        <v/>
      </c>
      <c r="DI76" s="134" t="str">
        <f t="shared" si="47"/>
        <v/>
      </c>
      <c r="DJ76" s="134" t="str">
        <f t="shared" si="48"/>
        <v/>
      </c>
      <c r="DK76" s="662" t="str">
        <f t="shared" si="49"/>
        <v/>
      </c>
      <c r="DL76" s="134"/>
      <c r="DM76" s="134"/>
      <c r="DN76" s="655">
        <f t="shared" si="181"/>
        <v>2.9</v>
      </c>
      <c r="DO76" s="653"/>
      <c r="DP76" s="663"/>
    </row>
    <row r="77">
      <c r="A77" s="552">
        <v>71.0</v>
      </c>
      <c r="B77" s="86">
        <v>253.0</v>
      </c>
      <c r="C77" s="54">
        <v>31.0</v>
      </c>
      <c r="D77" s="54">
        <v>59.0</v>
      </c>
      <c r="E77" s="74"/>
      <c r="F77" s="68" t="s">
        <v>1246</v>
      </c>
      <c r="G77" s="68">
        <f t="shared" si="5"/>
        <v>16</v>
      </c>
      <c r="H77" s="68">
        <f t="shared" si="6"/>
        <v>15</v>
      </c>
      <c r="I77" s="68">
        <f t="shared" si="7"/>
        <v>16</v>
      </c>
      <c r="J77" s="68">
        <f t="shared" si="8"/>
        <v>19</v>
      </c>
      <c r="K77" s="68">
        <f t="shared" si="9"/>
        <v>19</v>
      </c>
      <c r="L77" s="68">
        <f t="shared" si="10"/>
        <v>15</v>
      </c>
      <c r="M77" s="569">
        <f t="shared" si="11"/>
        <v>20</v>
      </c>
      <c r="N77" s="74" t="s">
        <v>576</v>
      </c>
      <c r="O77" s="678"/>
      <c r="P77" s="571"/>
      <c r="Q77" s="571" t="s">
        <v>1676</v>
      </c>
      <c r="R77" s="571" t="s">
        <v>1314</v>
      </c>
      <c r="S77" s="791" t="s">
        <v>584</v>
      </c>
      <c r="T77" s="572" t="s">
        <v>577</v>
      </c>
      <c r="U77" s="54">
        <v>56.0</v>
      </c>
      <c r="V77" s="54">
        <v>42.0</v>
      </c>
      <c r="W77" s="679">
        <v>150.0</v>
      </c>
      <c r="X77" s="679">
        <v>88.0</v>
      </c>
      <c r="Y77" s="54">
        <v>3.0</v>
      </c>
      <c r="Z77" s="54">
        <v>0.0</v>
      </c>
      <c r="AA77" s="54">
        <v>2.0</v>
      </c>
      <c r="AB77" s="669">
        <v>68.0</v>
      </c>
      <c r="AC77" s="54">
        <v>15680.0</v>
      </c>
      <c r="AD77" s="54">
        <v>3.0</v>
      </c>
      <c r="AE77" s="54">
        <v>75.0</v>
      </c>
      <c r="AF77" s="54">
        <v>75.0</v>
      </c>
      <c r="AG77" s="54">
        <v>39.0</v>
      </c>
      <c r="AH77" s="54">
        <v>74.0</v>
      </c>
      <c r="AI77" s="574">
        <f t="shared" si="12"/>
        <v>56.5</v>
      </c>
      <c r="AJ77" s="74"/>
      <c r="AK77" s="74"/>
      <c r="AL77" s="74"/>
      <c r="AM77" s="74"/>
      <c r="AN77" s="74"/>
      <c r="AO77" s="74"/>
      <c r="AP77" s="74"/>
      <c r="AQ77" s="74"/>
      <c r="AR77" s="74"/>
      <c r="AS77" s="575"/>
      <c r="AT77" s="68">
        <f t="shared" si="13"/>
        <v>1046</v>
      </c>
      <c r="AU77" s="68">
        <f t="shared" si="14"/>
        <v>1745</v>
      </c>
      <c r="AV77" s="581">
        <f t="shared" si="15"/>
        <v>1395.5</v>
      </c>
      <c r="AW77" s="582">
        <f t="shared" si="16"/>
        <v>2326</v>
      </c>
      <c r="AX77" s="582">
        <f t="shared" si="17"/>
        <v>2492</v>
      </c>
      <c r="AY77" s="582">
        <f t="shared" si="18"/>
        <v>2326</v>
      </c>
      <c r="AZ77" s="582">
        <f t="shared" si="19"/>
        <v>2492</v>
      </c>
      <c r="BA77" s="582">
        <f t="shared" si="20"/>
        <v>1938</v>
      </c>
      <c r="BB77" s="582">
        <f t="shared" si="21"/>
        <v>1836</v>
      </c>
      <c r="BC77" s="582">
        <f t="shared" si="22"/>
        <v>1938</v>
      </c>
      <c r="BD77" s="582">
        <f t="shared" si="23"/>
        <v>1292</v>
      </c>
      <c r="BE77" s="582">
        <f t="shared" si="24"/>
        <v>1586</v>
      </c>
      <c r="BF77" s="582">
        <f t="shared" si="25"/>
        <v>1517</v>
      </c>
      <c r="BG77" s="582">
        <f t="shared" si="26"/>
        <v>1836</v>
      </c>
      <c r="BH77" s="582">
        <f t="shared" si="27"/>
        <v>1836</v>
      </c>
      <c r="BI77" s="582">
        <f t="shared" si="28"/>
        <v>1938</v>
      </c>
      <c r="BJ77" s="582">
        <f t="shared" si="29"/>
        <v>1938</v>
      </c>
      <c r="BK77" s="582">
        <f t="shared" si="30"/>
        <v>1586</v>
      </c>
      <c r="BL77" s="582">
        <f t="shared" si="31"/>
        <v>1517</v>
      </c>
      <c r="BM77" s="74"/>
      <c r="BN77" s="74"/>
      <c r="BO77" s="582">
        <f t="shared" si="141"/>
        <v>4652</v>
      </c>
      <c r="BP77" s="602">
        <f t="shared" si="33"/>
        <v>4652</v>
      </c>
      <c r="BQ77" s="670">
        <v>31.0</v>
      </c>
      <c r="BR77" s="670">
        <v>59.0</v>
      </c>
      <c r="BS77" s="365"/>
      <c r="BT77" s="670">
        <v>100.0</v>
      </c>
      <c r="BU77" s="365"/>
      <c r="BV77" s="671">
        <f t="shared" si="34"/>
        <v>45</v>
      </c>
      <c r="BW77" s="672">
        <f t="shared" si="35"/>
        <v>1190.8</v>
      </c>
      <c r="BX77" s="673">
        <f t="shared" si="36"/>
        <v>1984.7</v>
      </c>
      <c r="BY77" s="673">
        <f t="shared" si="37"/>
        <v>2126.4</v>
      </c>
      <c r="BZ77" s="673">
        <f t="shared" si="38"/>
        <v>1984.7</v>
      </c>
      <c r="CA77" s="673">
        <f t="shared" si="39"/>
        <v>1653.9</v>
      </c>
      <c r="CB77" s="673">
        <f t="shared" si="40"/>
        <v>1653.9</v>
      </c>
      <c r="CC77" s="673">
        <f t="shared" si="41"/>
        <v>2126.4</v>
      </c>
      <c r="CD77" s="673">
        <f t="shared" si="42"/>
        <v>1566.8</v>
      </c>
      <c r="CE77" s="674">
        <f t="shared" si="43"/>
        <v>25.6</v>
      </c>
      <c r="CF77" s="763">
        <f t="shared" ref="CF77:CG77" si="194">IF(ROUND(100*(AV77/BW77)-100,1)=0,"",ROUND(100*(AV77/BW77)-100,1))</f>
        <v>17.2</v>
      </c>
      <c r="CG77" s="676">
        <f t="shared" si="194"/>
        <v>17.2</v>
      </c>
      <c r="CH77" s="575" t="s">
        <v>576</v>
      </c>
      <c r="CI77" s="582">
        <f t="shared" ref="CI77:DF77" si="195">FLOOR($AV77/(CI$3/25),1)</f>
        <v>1395</v>
      </c>
      <c r="CJ77" s="582">
        <f t="shared" si="195"/>
        <v>1453</v>
      </c>
      <c r="CK77" s="582">
        <f t="shared" si="195"/>
        <v>1516</v>
      </c>
      <c r="CL77" s="582">
        <f t="shared" si="195"/>
        <v>1585</v>
      </c>
      <c r="CM77" s="582">
        <f t="shared" si="195"/>
        <v>1661</v>
      </c>
      <c r="CN77" s="582">
        <f t="shared" si="195"/>
        <v>1744</v>
      </c>
      <c r="CO77" s="582">
        <f t="shared" si="195"/>
        <v>1836</v>
      </c>
      <c r="CP77" s="582">
        <f t="shared" si="195"/>
        <v>1938</v>
      </c>
      <c r="CQ77" s="582">
        <f t="shared" si="195"/>
        <v>2052</v>
      </c>
      <c r="CR77" s="582">
        <f t="shared" si="195"/>
        <v>2180</v>
      </c>
      <c r="CS77" s="582">
        <f t="shared" si="195"/>
        <v>2325</v>
      </c>
      <c r="CT77" s="582">
        <f t="shared" si="195"/>
        <v>2491</v>
      </c>
      <c r="CU77" s="582">
        <f t="shared" si="195"/>
        <v>2683</v>
      </c>
      <c r="CV77" s="582">
        <f t="shared" si="195"/>
        <v>2907</v>
      </c>
      <c r="CW77" s="582">
        <f t="shared" si="195"/>
        <v>3171</v>
      </c>
      <c r="CX77" s="582">
        <f t="shared" si="195"/>
        <v>3488</v>
      </c>
      <c r="CY77" s="582">
        <f t="shared" si="195"/>
        <v>3876</v>
      </c>
      <c r="CZ77" s="582">
        <f t="shared" si="195"/>
        <v>4360</v>
      </c>
      <c r="DA77" s="582">
        <f t="shared" si="195"/>
        <v>4983</v>
      </c>
      <c r="DB77" s="582">
        <f t="shared" si="195"/>
        <v>5814</v>
      </c>
      <c r="DC77" s="582">
        <f t="shared" si="195"/>
        <v>6977</v>
      </c>
      <c r="DD77" s="582">
        <f t="shared" si="195"/>
        <v>8721</v>
      </c>
      <c r="DE77" s="582">
        <f t="shared" si="195"/>
        <v>11629</v>
      </c>
      <c r="DF77" s="602">
        <f t="shared" si="195"/>
        <v>17443</v>
      </c>
      <c r="DG77" s="575"/>
      <c r="DH77" s="575" t="str">
        <f t="shared" si="46"/>
        <v/>
      </c>
      <c r="DI77" s="74" t="str">
        <f t="shared" si="47"/>
        <v/>
      </c>
      <c r="DJ77" s="74" t="str">
        <f t="shared" si="48"/>
        <v/>
      </c>
      <c r="DK77" s="623" t="str">
        <f t="shared" si="49"/>
        <v/>
      </c>
      <c r="DL77" s="74"/>
      <c r="DM77" s="74"/>
      <c r="DN77" s="582">
        <f t="shared" si="181"/>
        <v>2.6</v>
      </c>
      <c r="DO77" s="575"/>
      <c r="DP77" s="297"/>
    </row>
    <row r="78">
      <c r="A78" s="552">
        <v>72.0</v>
      </c>
      <c r="B78" s="86">
        <v>254.0</v>
      </c>
      <c r="C78" s="54">
        <v>26.0</v>
      </c>
      <c r="D78" s="54">
        <v>46.0</v>
      </c>
      <c r="E78" s="74"/>
      <c r="F78" s="68" t="s">
        <v>1246</v>
      </c>
      <c r="G78" s="68">
        <f t="shared" si="5"/>
        <v>16</v>
      </c>
      <c r="H78" s="68">
        <f t="shared" si="6"/>
        <v>15</v>
      </c>
      <c r="I78" s="68">
        <f t="shared" si="7"/>
        <v>16</v>
      </c>
      <c r="J78" s="68">
        <f t="shared" si="8"/>
        <v>19</v>
      </c>
      <c r="K78" s="68">
        <f t="shared" si="9"/>
        <v>19</v>
      </c>
      <c r="L78" s="68">
        <f t="shared" si="10"/>
        <v>15</v>
      </c>
      <c r="M78" s="569">
        <f t="shared" si="11"/>
        <v>20</v>
      </c>
      <c r="N78" s="74" t="s">
        <v>611</v>
      </c>
      <c r="O78" s="570" t="s">
        <v>1974</v>
      </c>
      <c r="P78" s="571"/>
      <c r="Q78" s="571" t="s">
        <v>1676</v>
      </c>
      <c r="R78" s="571" t="s">
        <v>1314</v>
      </c>
      <c r="S78" s="791" t="s">
        <v>584</v>
      </c>
      <c r="T78" s="572" t="s">
        <v>612</v>
      </c>
      <c r="U78" s="54">
        <v>61.0</v>
      </c>
      <c r="V78" s="54">
        <v>45.0</v>
      </c>
      <c r="W78" s="54">
        <v>138.0</v>
      </c>
      <c r="X78" s="679">
        <v>95.0</v>
      </c>
      <c r="Y78" s="54">
        <v>3.0</v>
      </c>
      <c r="Z78" s="54">
        <v>-20.0</v>
      </c>
      <c r="AA78" s="54">
        <v>2.0</v>
      </c>
      <c r="AB78" s="669">
        <v>64.0</v>
      </c>
      <c r="AC78" s="54">
        <v>16103.0</v>
      </c>
      <c r="AD78" s="54">
        <v>3.0</v>
      </c>
      <c r="AE78" s="54">
        <v>75.0</v>
      </c>
      <c r="AF78" s="54">
        <v>75.0</v>
      </c>
      <c r="AG78" s="54">
        <v>33.0</v>
      </c>
      <c r="AH78" s="54">
        <v>58.0</v>
      </c>
      <c r="AI78" s="574">
        <f t="shared" si="12"/>
        <v>45.5</v>
      </c>
      <c r="AJ78" s="74"/>
      <c r="AK78" s="74"/>
      <c r="AL78" s="74"/>
      <c r="AM78" s="74"/>
      <c r="AN78" s="74"/>
      <c r="AO78" s="74"/>
      <c r="AP78" s="74"/>
      <c r="AQ78" s="74"/>
      <c r="AR78" s="74"/>
      <c r="AS78" s="575"/>
      <c r="AT78" s="68">
        <f t="shared" si="13"/>
        <v>928</v>
      </c>
      <c r="AU78" s="68">
        <f t="shared" si="14"/>
        <v>1426</v>
      </c>
      <c r="AV78" s="581">
        <f t="shared" si="15"/>
        <v>1177</v>
      </c>
      <c r="AW78" s="582">
        <f t="shared" si="16"/>
        <v>2263</v>
      </c>
      <c r="AX78" s="582">
        <f t="shared" si="17"/>
        <v>2452</v>
      </c>
      <c r="AY78" s="582">
        <f t="shared" si="18"/>
        <v>2263</v>
      </c>
      <c r="AZ78" s="582">
        <f t="shared" si="19"/>
        <v>2452</v>
      </c>
      <c r="BA78" s="582">
        <f t="shared" si="20"/>
        <v>1962</v>
      </c>
      <c r="BB78" s="582">
        <f t="shared" si="21"/>
        <v>1839</v>
      </c>
      <c r="BC78" s="582">
        <f t="shared" si="22"/>
        <v>1962</v>
      </c>
      <c r="BD78" s="582">
        <f t="shared" si="23"/>
        <v>1635</v>
      </c>
      <c r="BE78" s="582">
        <f t="shared" si="24"/>
        <v>1962</v>
      </c>
      <c r="BF78" s="582">
        <f t="shared" si="25"/>
        <v>1962</v>
      </c>
      <c r="BG78" s="582">
        <f t="shared" si="26"/>
        <v>2263</v>
      </c>
      <c r="BH78" s="582">
        <f t="shared" si="27"/>
        <v>2263</v>
      </c>
      <c r="BI78" s="582">
        <f t="shared" si="28"/>
        <v>2452</v>
      </c>
      <c r="BJ78" s="582">
        <f t="shared" si="29"/>
        <v>2452</v>
      </c>
      <c r="BK78" s="582">
        <f t="shared" si="30"/>
        <v>1962</v>
      </c>
      <c r="BL78" s="582">
        <f t="shared" si="31"/>
        <v>1962</v>
      </c>
      <c r="BM78" s="74"/>
      <c r="BN78" s="74"/>
      <c r="BO78" s="582">
        <f t="shared" si="141"/>
        <v>4527</v>
      </c>
      <c r="BP78" s="602">
        <f t="shared" si="33"/>
        <v>4527</v>
      </c>
      <c r="BQ78" s="670">
        <v>26.0</v>
      </c>
      <c r="BR78" s="670">
        <v>46.0</v>
      </c>
      <c r="BS78" s="670">
        <v>-20.0</v>
      </c>
      <c r="BT78" s="670">
        <v>100.0</v>
      </c>
      <c r="BU78" s="365"/>
      <c r="BV78" s="671">
        <f t="shared" si="34"/>
        <v>36</v>
      </c>
      <c r="BW78" s="672">
        <f t="shared" si="35"/>
        <v>1008.6</v>
      </c>
      <c r="BX78" s="673">
        <f t="shared" si="36"/>
        <v>1939.6</v>
      </c>
      <c r="BY78" s="673">
        <f t="shared" si="37"/>
        <v>2101.3</v>
      </c>
      <c r="BZ78" s="673">
        <f t="shared" si="38"/>
        <v>1939.6</v>
      </c>
      <c r="CA78" s="673">
        <f t="shared" si="39"/>
        <v>1681</v>
      </c>
      <c r="CB78" s="673">
        <f t="shared" si="40"/>
        <v>1681</v>
      </c>
      <c r="CC78" s="673">
        <f t="shared" si="41"/>
        <v>2101.3</v>
      </c>
      <c r="CD78" s="673">
        <f t="shared" si="42"/>
        <v>1575.9</v>
      </c>
      <c r="CE78" s="674">
        <f t="shared" si="43"/>
        <v>26.4</v>
      </c>
      <c r="CF78" s="763">
        <f t="shared" ref="CF78:CG78" si="196">IF(ROUND(100*(AV78/BW78)-100,1)=0,"",ROUND(100*(AV78/BW78)-100,1))</f>
        <v>16.7</v>
      </c>
      <c r="CG78" s="676">
        <f t="shared" si="196"/>
        <v>16.7</v>
      </c>
      <c r="CH78" s="575" t="s">
        <v>611</v>
      </c>
      <c r="CI78" s="582">
        <f t="shared" ref="CI78:DF78" si="197">FLOOR($AV78/(CI$3/25),1)</f>
        <v>1177</v>
      </c>
      <c r="CJ78" s="582">
        <f t="shared" si="197"/>
        <v>1226</v>
      </c>
      <c r="CK78" s="582">
        <f t="shared" si="197"/>
        <v>1279</v>
      </c>
      <c r="CL78" s="582">
        <f t="shared" si="197"/>
        <v>1337</v>
      </c>
      <c r="CM78" s="582">
        <f t="shared" si="197"/>
        <v>1401</v>
      </c>
      <c r="CN78" s="582">
        <f t="shared" si="197"/>
        <v>1471</v>
      </c>
      <c r="CO78" s="582">
        <f t="shared" si="197"/>
        <v>1548</v>
      </c>
      <c r="CP78" s="582">
        <f t="shared" si="197"/>
        <v>1634</v>
      </c>
      <c r="CQ78" s="582">
        <f t="shared" si="197"/>
        <v>1730</v>
      </c>
      <c r="CR78" s="582">
        <f t="shared" si="197"/>
        <v>1839</v>
      </c>
      <c r="CS78" s="582">
        <f t="shared" si="197"/>
        <v>1961</v>
      </c>
      <c r="CT78" s="582">
        <f t="shared" si="197"/>
        <v>2101</v>
      </c>
      <c r="CU78" s="582">
        <f t="shared" si="197"/>
        <v>2263</v>
      </c>
      <c r="CV78" s="582">
        <f t="shared" si="197"/>
        <v>2452</v>
      </c>
      <c r="CW78" s="582">
        <f t="shared" si="197"/>
        <v>2675</v>
      </c>
      <c r="CX78" s="582">
        <f t="shared" si="197"/>
        <v>2942</v>
      </c>
      <c r="CY78" s="582">
        <f t="shared" si="197"/>
        <v>3269</v>
      </c>
      <c r="CZ78" s="582">
        <f t="shared" si="197"/>
        <v>3678</v>
      </c>
      <c r="DA78" s="582">
        <f t="shared" si="197"/>
        <v>4203</v>
      </c>
      <c r="DB78" s="582">
        <f t="shared" si="197"/>
        <v>4904</v>
      </c>
      <c r="DC78" s="582">
        <f t="shared" si="197"/>
        <v>5885</v>
      </c>
      <c r="DD78" s="582">
        <f t="shared" si="197"/>
        <v>7356</v>
      </c>
      <c r="DE78" s="582">
        <f t="shared" si="197"/>
        <v>9808</v>
      </c>
      <c r="DF78" s="602">
        <f t="shared" si="197"/>
        <v>14712</v>
      </c>
      <c r="DG78" s="575"/>
      <c r="DH78" s="575" t="str">
        <f t="shared" si="46"/>
        <v/>
      </c>
      <c r="DI78" s="74" t="str">
        <f t="shared" si="47"/>
        <v/>
      </c>
      <c r="DJ78" s="74" t="str">
        <f t="shared" si="48"/>
        <v/>
      </c>
      <c r="DK78" s="664">
        <f t="shared" si="49"/>
        <v>-18.7</v>
      </c>
      <c r="DL78" s="685">
        <v>37.0</v>
      </c>
      <c r="DM78" s="74"/>
      <c r="DN78" s="582">
        <f t="shared" si="181"/>
        <v>1.8</v>
      </c>
      <c r="DO78" s="575"/>
      <c r="DP78" s="297"/>
    </row>
    <row r="79">
      <c r="A79" s="552">
        <v>73.0</v>
      </c>
      <c r="B79" s="86">
        <v>255.0</v>
      </c>
      <c r="C79" s="54">
        <v>33.0</v>
      </c>
      <c r="D79" s="54">
        <v>45.0</v>
      </c>
      <c r="E79" s="74"/>
      <c r="F79" s="68" t="s">
        <v>1246</v>
      </c>
      <c r="G79" s="68">
        <f t="shared" si="5"/>
        <v>16</v>
      </c>
      <c r="H79" s="68">
        <f t="shared" si="6"/>
        <v>15</v>
      </c>
      <c r="I79" s="68">
        <f t="shared" si="7"/>
        <v>16</v>
      </c>
      <c r="J79" s="68">
        <f t="shared" si="8"/>
        <v>19</v>
      </c>
      <c r="K79" s="68">
        <f t="shared" si="9"/>
        <v>19</v>
      </c>
      <c r="L79" s="68">
        <f t="shared" si="10"/>
        <v>15</v>
      </c>
      <c r="M79" s="569">
        <f t="shared" si="11"/>
        <v>20</v>
      </c>
      <c r="N79" s="74" t="s">
        <v>637</v>
      </c>
      <c r="O79" s="570" t="s">
        <v>1975</v>
      </c>
      <c r="P79" s="571"/>
      <c r="Q79" s="571" t="s">
        <v>1676</v>
      </c>
      <c r="R79" s="571" t="s">
        <v>1314</v>
      </c>
      <c r="S79" s="791" t="s">
        <v>584</v>
      </c>
      <c r="T79" s="572" t="s">
        <v>639</v>
      </c>
      <c r="U79" s="54">
        <v>63.0</v>
      </c>
      <c r="V79" s="54">
        <v>47.0</v>
      </c>
      <c r="W79" s="54">
        <v>109.0</v>
      </c>
      <c r="X79" s="679">
        <v>122.0</v>
      </c>
      <c r="Y79" s="54">
        <v>3.0</v>
      </c>
      <c r="Z79" s="54">
        <v>-10.0</v>
      </c>
      <c r="AA79" s="54">
        <v>2.0</v>
      </c>
      <c r="AB79" s="669">
        <v>84.0</v>
      </c>
      <c r="AC79" s="54">
        <v>22785.0</v>
      </c>
      <c r="AD79" s="54">
        <v>3.0</v>
      </c>
      <c r="AE79" s="54">
        <v>75.0</v>
      </c>
      <c r="AF79" s="54">
        <v>75.0</v>
      </c>
      <c r="AG79" s="54">
        <v>41.0</v>
      </c>
      <c r="AH79" s="54">
        <v>56.0</v>
      </c>
      <c r="AI79" s="574">
        <f t="shared" si="12"/>
        <v>48.5</v>
      </c>
      <c r="AJ79" s="74"/>
      <c r="AK79" s="74"/>
      <c r="AL79" s="74"/>
      <c r="AM79" s="74"/>
      <c r="AN79" s="74"/>
      <c r="AO79" s="74"/>
      <c r="AP79" s="74"/>
      <c r="AQ79" s="74"/>
      <c r="AR79" s="74"/>
      <c r="AS79" s="575"/>
      <c r="AT79" s="68">
        <f t="shared" si="13"/>
        <v>1086</v>
      </c>
      <c r="AU79" s="68">
        <f t="shared" si="14"/>
        <v>1386</v>
      </c>
      <c r="AV79" s="581">
        <f t="shared" si="15"/>
        <v>1236</v>
      </c>
      <c r="AW79" s="582">
        <f t="shared" si="16"/>
        <v>2207</v>
      </c>
      <c r="AX79" s="582">
        <f t="shared" si="17"/>
        <v>2377</v>
      </c>
      <c r="AY79" s="582">
        <f t="shared" si="18"/>
        <v>2207</v>
      </c>
      <c r="AZ79" s="582">
        <f t="shared" si="19"/>
        <v>2377</v>
      </c>
      <c r="BA79" s="582">
        <f t="shared" si="20"/>
        <v>1818</v>
      </c>
      <c r="BB79" s="582">
        <f t="shared" si="21"/>
        <v>1717</v>
      </c>
      <c r="BC79" s="582">
        <f t="shared" si="22"/>
        <v>1818</v>
      </c>
      <c r="BD79" s="582">
        <f t="shared" si="23"/>
        <v>1405</v>
      </c>
      <c r="BE79" s="582">
        <f t="shared" si="24"/>
        <v>1717</v>
      </c>
      <c r="BF79" s="582">
        <f t="shared" si="25"/>
        <v>1717</v>
      </c>
      <c r="BG79" s="582">
        <f t="shared" si="26"/>
        <v>2060</v>
      </c>
      <c r="BH79" s="582">
        <f t="shared" si="27"/>
        <v>2060</v>
      </c>
      <c r="BI79" s="582">
        <f t="shared" si="28"/>
        <v>2207</v>
      </c>
      <c r="BJ79" s="582">
        <f t="shared" si="29"/>
        <v>2207</v>
      </c>
      <c r="BK79" s="582">
        <f t="shared" si="30"/>
        <v>1717</v>
      </c>
      <c r="BL79" s="582">
        <f t="shared" si="31"/>
        <v>1626</v>
      </c>
      <c r="BM79" s="74"/>
      <c r="BN79" s="74"/>
      <c r="BO79" s="582">
        <f t="shared" si="141"/>
        <v>4414</v>
      </c>
      <c r="BP79" s="602">
        <f t="shared" si="33"/>
        <v>4414</v>
      </c>
      <c r="BQ79" s="670">
        <v>33.0</v>
      </c>
      <c r="BR79" s="670">
        <v>45.0</v>
      </c>
      <c r="BS79" s="670">
        <v>-10.0</v>
      </c>
      <c r="BT79" s="670">
        <v>100.0</v>
      </c>
      <c r="BU79" s="365"/>
      <c r="BV79" s="671">
        <f t="shared" si="34"/>
        <v>39</v>
      </c>
      <c r="BW79" s="672">
        <f t="shared" si="35"/>
        <v>1069.3</v>
      </c>
      <c r="BX79" s="673">
        <f t="shared" si="36"/>
        <v>1909.5</v>
      </c>
      <c r="BY79" s="673">
        <f t="shared" si="37"/>
        <v>2056.3</v>
      </c>
      <c r="BZ79" s="673">
        <f t="shared" si="38"/>
        <v>1909.5</v>
      </c>
      <c r="CA79" s="673">
        <f t="shared" si="39"/>
        <v>1572.5</v>
      </c>
      <c r="CB79" s="673">
        <f t="shared" si="40"/>
        <v>1572.5</v>
      </c>
      <c r="CC79" s="673">
        <f t="shared" si="41"/>
        <v>2056.3</v>
      </c>
      <c r="CD79" s="673">
        <f t="shared" si="42"/>
        <v>1485.1</v>
      </c>
      <c r="CE79" s="674">
        <f t="shared" si="43"/>
        <v>24.4</v>
      </c>
      <c r="CF79" s="763">
        <f t="shared" ref="CF79:CG79" si="198">IF(ROUND(100*(AV79/BW79)-100,1)=0,"",ROUND(100*(AV79/BW79)-100,1))</f>
        <v>15.6</v>
      </c>
      <c r="CG79" s="676">
        <f t="shared" si="198"/>
        <v>15.6</v>
      </c>
      <c r="CH79" s="575" t="s">
        <v>637</v>
      </c>
      <c r="CI79" s="582">
        <f t="shared" ref="CI79:DF79" si="199">FLOOR($AV79/(CI$3/25),1)</f>
        <v>1236</v>
      </c>
      <c r="CJ79" s="582">
        <f t="shared" si="199"/>
        <v>1287</v>
      </c>
      <c r="CK79" s="582">
        <f t="shared" si="199"/>
        <v>1343</v>
      </c>
      <c r="CL79" s="582">
        <f t="shared" si="199"/>
        <v>1404</v>
      </c>
      <c r="CM79" s="582">
        <f t="shared" si="199"/>
        <v>1471</v>
      </c>
      <c r="CN79" s="582">
        <f t="shared" si="199"/>
        <v>1545</v>
      </c>
      <c r="CO79" s="582">
        <f t="shared" si="199"/>
        <v>1626</v>
      </c>
      <c r="CP79" s="582">
        <f t="shared" si="199"/>
        <v>1716</v>
      </c>
      <c r="CQ79" s="582">
        <f t="shared" si="199"/>
        <v>1817</v>
      </c>
      <c r="CR79" s="582">
        <f t="shared" si="199"/>
        <v>1931</v>
      </c>
      <c r="CS79" s="582">
        <f t="shared" si="199"/>
        <v>2060</v>
      </c>
      <c r="CT79" s="582">
        <f t="shared" si="199"/>
        <v>2207</v>
      </c>
      <c r="CU79" s="582">
        <f t="shared" si="199"/>
        <v>2376</v>
      </c>
      <c r="CV79" s="582">
        <f t="shared" si="199"/>
        <v>2575</v>
      </c>
      <c r="CW79" s="582">
        <f t="shared" si="199"/>
        <v>2809</v>
      </c>
      <c r="CX79" s="582">
        <f t="shared" si="199"/>
        <v>3090</v>
      </c>
      <c r="CY79" s="582">
        <f t="shared" si="199"/>
        <v>3433</v>
      </c>
      <c r="CZ79" s="582">
        <f t="shared" si="199"/>
        <v>3862</v>
      </c>
      <c r="DA79" s="582">
        <f t="shared" si="199"/>
        <v>4414</v>
      </c>
      <c r="DB79" s="582">
        <f t="shared" si="199"/>
        <v>5150</v>
      </c>
      <c r="DC79" s="582">
        <f t="shared" si="199"/>
        <v>6180</v>
      </c>
      <c r="DD79" s="582">
        <f t="shared" si="199"/>
        <v>7725</v>
      </c>
      <c r="DE79" s="582">
        <f t="shared" si="199"/>
        <v>10300</v>
      </c>
      <c r="DF79" s="602">
        <f t="shared" si="199"/>
        <v>15450</v>
      </c>
      <c r="DG79" s="575"/>
      <c r="DH79" s="575" t="str">
        <f t="shared" si="46"/>
        <v/>
      </c>
      <c r="DI79" s="74" t="str">
        <f t="shared" si="47"/>
        <v/>
      </c>
      <c r="DJ79" s="74" t="str">
        <f t="shared" si="48"/>
        <v/>
      </c>
      <c r="DK79" s="664">
        <f t="shared" si="49"/>
        <v>-15.5</v>
      </c>
      <c r="DL79" s="685">
        <v>41.0</v>
      </c>
      <c r="DM79" s="74"/>
      <c r="DN79" s="582">
        <f t="shared" si="181"/>
        <v>1.7</v>
      </c>
      <c r="DO79" s="575" t="s">
        <v>2315</v>
      </c>
      <c r="DP79" s="297"/>
    </row>
    <row r="80">
      <c r="A80" s="552">
        <v>74.0</v>
      </c>
      <c r="B80" s="86">
        <v>256.0</v>
      </c>
      <c r="C80" s="54">
        <v>28.0</v>
      </c>
      <c r="D80" s="54">
        <v>68.0</v>
      </c>
      <c r="E80" s="74"/>
      <c r="F80" s="68" t="s">
        <v>1246</v>
      </c>
      <c r="G80" s="68">
        <f t="shared" si="5"/>
        <v>16</v>
      </c>
      <c r="H80" s="68">
        <f t="shared" si="6"/>
        <v>15</v>
      </c>
      <c r="I80" s="68">
        <f t="shared" si="7"/>
        <v>16</v>
      </c>
      <c r="J80" s="68">
        <f t="shared" si="8"/>
        <v>19</v>
      </c>
      <c r="K80" s="68">
        <f t="shared" si="9"/>
        <v>19</v>
      </c>
      <c r="L80" s="68">
        <f t="shared" si="10"/>
        <v>15</v>
      </c>
      <c r="M80" s="569">
        <f t="shared" si="11"/>
        <v>20</v>
      </c>
      <c r="N80" s="74" t="s">
        <v>657</v>
      </c>
      <c r="O80" s="678"/>
      <c r="P80" s="571"/>
      <c r="Q80" s="571" t="s">
        <v>1676</v>
      </c>
      <c r="R80" s="571" t="s">
        <v>1314</v>
      </c>
      <c r="S80" s="791" t="s">
        <v>584</v>
      </c>
      <c r="T80" s="572" t="s">
        <v>660</v>
      </c>
      <c r="U80" s="54">
        <v>69.0</v>
      </c>
      <c r="V80" s="54">
        <v>51.0</v>
      </c>
      <c r="W80" s="679">
        <v>142.0</v>
      </c>
      <c r="X80" s="679">
        <v>105.0</v>
      </c>
      <c r="Y80" s="54">
        <v>3.0</v>
      </c>
      <c r="Z80" s="669">
        <v>10.0</v>
      </c>
      <c r="AA80" s="54">
        <v>2.0</v>
      </c>
      <c r="AB80" s="669">
        <v>84.0</v>
      </c>
      <c r="AC80" s="54">
        <v>18479.0</v>
      </c>
      <c r="AD80" s="54">
        <v>4.0</v>
      </c>
      <c r="AE80" s="54">
        <v>75.0</v>
      </c>
      <c r="AF80" s="54">
        <v>75.0</v>
      </c>
      <c r="AG80" s="54">
        <v>35.0</v>
      </c>
      <c r="AH80" s="54">
        <v>85.0</v>
      </c>
      <c r="AI80" s="574">
        <f t="shared" si="12"/>
        <v>60</v>
      </c>
      <c r="AJ80" s="74"/>
      <c r="AK80" s="74"/>
      <c r="AL80" s="74"/>
      <c r="AM80" s="74"/>
      <c r="AN80" s="74"/>
      <c r="AO80" s="74"/>
      <c r="AP80" s="74"/>
      <c r="AQ80" s="74"/>
      <c r="AR80" s="74"/>
      <c r="AS80" s="575"/>
      <c r="AT80" s="68">
        <f t="shared" si="13"/>
        <v>967</v>
      </c>
      <c r="AU80" s="68">
        <f t="shared" si="14"/>
        <v>1962</v>
      </c>
      <c r="AV80" s="581">
        <f t="shared" si="15"/>
        <v>1464.5</v>
      </c>
      <c r="AW80" s="582">
        <f t="shared" si="16"/>
        <v>2154</v>
      </c>
      <c r="AX80" s="582">
        <f t="shared" si="17"/>
        <v>2288</v>
      </c>
      <c r="AY80" s="582">
        <f t="shared" si="18"/>
        <v>2154</v>
      </c>
      <c r="AZ80" s="582">
        <f t="shared" si="19"/>
        <v>2288</v>
      </c>
      <c r="BA80" s="582">
        <f t="shared" si="20"/>
        <v>1743</v>
      </c>
      <c r="BB80" s="582">
        <f t="shared" si="21"/>
        <v>1664</v>
      </c>
      <c r="BC80" s="582">
        <f t="shared" si="22"/>
        <v>1743</v>
      </c>
      <c r="BD80" s="582">
        <f t="shared" si="23"/>
        <v>1109</v>
      </c>
      <c r="BE80" s="582">
        <f t="shared" si="24"/>
        <v>1308</v>
      </c>
      <c r="BF80" s="582">
        <f t="shared" si="25"/>
        <v>1356</v>
      </c>
      <c r="BG80" s="582">
        <f t="shared" si="26"/>
        <v>1664</v>
      </c>
      <c r="BH80" s="582">
        <f t="shared" si="27"/>
        <v>1664</v>
      </c>
      <c r="BI80" s="582">
        <f t="shared" si="28"/>
        <v>1743</v>
      </c>
      <c r="BJ80" s="582">
        <f t="shared" si="29"/>
        <v>1743</v>
      </c>
      <c r="BK80" s="582">
        <f t="shared" si="30"/>
        <v>1308</v>
      </c>
      <c r="BL80" s="582">
        <f t="shared" si="31"/>
        <v>1263</v>
      </c>
      <c r="BM80" s="74"/>
      <c r="BN80" s="74"/>
      <c r="BO80" s="582">
        <f t="shared" si="141"/>
        <v>4307</v>
      </c>
      <c r="BP80" s="602">
        <f t="shared" si="33"/>
        <v>4307</v>
      </c>
      <c r="BQ80" s="670">
        <v>28.0</v>
      </c>
      <c r="BR80" s="670">
        <v>68.0</v>
      </c>
      <c r="BS80" s="670">
        <v>10.0</v>
      </c>
      <c r="BT80" s="670">
        <v>100.0</v>
      </c>
      <c r="BU80" s="365"/>
      <c r="BV80" s="671">
        <f t="shared" si="34"/>
        <v>48</v>
      </c>
      <c r="BW80" s="672">
        <f t="shared" si="35"/>
        <v>1251.5</v>
      </c>
      <c r="BX80" s="673">
        <f t="shared" si="36"/>
        <v>1840.4</v>
      </c>
      <c r="BY80" s="673">
        <f t="shared" si="37"/>
        <v>1955.5</v>
      </c>
      <c r="BZ80" s="673">
        <f t="shared" si="38"/>
        <v>1840.4</v>
      </c>
      <c r="CA80" s="673">
        <f t="shared" si="39"/>
        <v>1489.9</v>
      </c>
      <c r="CB80" s="673">
        <f t="shared" si="40"/>
        <v>1489.9</v>
      </c>
      <c r="CC80" s="673">
        <f t="shared" si="41"/>
        <v>1955.5</v>
      </c>
      <c r="CD80" s="673">
        <f t="shared" si="42"/>
        <v>1422.2</v>
      </c>
      <c r="CE80" s="674">
        <f t="shared" si="43"/>
        <v>25</v>
      </c>
      <c r="CF80" s="763">
        <f t="shared" ref="CF80:CG80" si="200">IF(ROUND(100*(AV80/BW80)-100,1)=0,"",ROUND(100*(AV80/BW80)-100,1))</f>
        <v>17</v>
      </c>
      <c r="CG80" s="676">
        <f t="shared" si="200"/>
        <v>17</v>
      </c>
      <c r="CH80" s="575" t="s">
        <v>657</v>
      </c>
      <c r="CI80" s="582">
        <f t="shared" ref="CI80:DF80" si="201">FLOOR($AV80/(CI$3/25),1)</f>
        <v>1464</v>
      </c>
      <c r="CJ80" s="582">
        <f t="shared" si="201"/>
        <v>1525</v>
      </c>
      <c r="CK80" s="582">
        <f t="shared" si="201"/>
        <v>1591</v>
      </c>
      <c r="CL80" s="582">
        <f t="shared" si="201"/>
        <v>1664</v>
      </c>
      <c r="CM80" s="582">
        <f t="shared" si="201"/>
        <v>1743</v>
      </c>
      <c r="CN80" s="582">
        <f t="shared" si="201"/>
        <v>1830</v>
      </c>
      <c r="CO80" s="582">
        <f t="shared" si="201"/>
        <v>1926</v>
      </c>
      <c r="CP80" s="582">
        <f t="shared" si="201"/>
        <v>2034</v>
      </c>
      <c r="CQ80" s="582">
        <f t="shared" si="201"/>
        <v>2153</v>
      </c>
      <c r="CR80" s="582">
        <f t="shared" si="201"/>
        <v>2288</v>
      </c>
      <c r="CS80" s="582">
        <f t="shared" si="201"/>
        <v>2440</v>
      </c>
      <c r="CT80" s="582">
        <f t="shared" si="201"/>
        <v>2615</v>
      </c>
      <c r="CU80" s="582">
        <f t="shared" si="201"/>
        <v>2816</v>
      </c>
      <c r="CV80" s="582">
        <f t="shared" si="201"/>
        <v>3051</v>
      </c>
      <c r="CW80" s="582">
        <f t="shared" si="201"/>
        <v>3328</v>
      </c>
      <c r="CX80" s="582">
        <f t="shared" si="201"/>
        <v>3661</v>
      </c>
      <c r="CY80" s="582">
        <f t="shared" si="201"/>
        <v>4068</v>
      </c>
      <c r="CZ80" s="582">
        <f t="shared" si="201"/>
        <v>4576</v>
      </c>
      <c r="DA80" s="582">
        <f t="shared" si="201"/>
        <v>5230</v>
      </c>
      <c r="DB80" s="582">
        <f t="shared" si="201"/>
        <v>6102</v>
      </c>
      <c r="DC80" s="582">
        <f t="shared" si="201"/>
        <v>7322</v>
      </c>
      <c r="DD80" s="582">
        <f t="shared" si="201"/>
        <v>9153</v>
      </c>
      <c r="DE80" s="582">
        <f t="shared" si="201"/>
        <v>12204</v>
      </c>
      <c r="DF80" s="602">
        <f t="shared" si="201"/>
        <v>18306</v>
      </c>
      <c r="DG80" s="575"/>
      <c r="DH80" s="575" t="str">
        <f t="shared" si="46"/>
        <v/>
      </c>
      <c r="DI80" s="74" t="str">
        <f t="shared" si="47"/>
        <v/>
      </c>
      <c r="DJ80" s="74" t="str">
        <f t="shared" si="48"/>
        <v/>
      </c>
      <c r="DK80" s="623" t="str">
        <f t="shared" si="49"/>
        <v/>
      </c>
      <c r="DL80" s="74"/>
      <c r="DM80" s="74"/>
      <c r="DN80" s="582">
        <f t="shared" si="181"/>
        <v>1.6</v>
      </c>
      <c r="DO80" s="575"/>
      <c r="DP80" s="297"/>
    </row>
    <row r="81">
      <c r="A81" s="552">
        <v>75.0</v>
      </c>
      <c r="B81" s="86">
        <v>257.0</v>
      </c>
      <c r="C81" s="54">
        <v>31.0</v>
      </c>
      <c r="D81" s="54">
        <v>35.0</v>
      </c>
      <c r="E81" s="74"/>
      <c r="F81" s="68" t="s">
        <v>1246</v>
      </c>
      <c r="G81" s="68">
        <f t="shared" si="5"/>
        <v>16</v>
      </c>
      <c r="H81" s="68">
        <f t="shared" si="6"/>
        <v>15</v>
      </c>
      <c r="I81" s="68">
        <f t="shared" si="7"/>
        <v>16</v>
      </c>
      <c r="J81" s="68">
        <f t="shared" si="8"/>
        <v>19</v>
      </c>
      <c r="K81" s="68">
        <f t="shared" si="9"/>
        <v>19</v>
      </c>
      <c r="L81" s="68">
        <f t="shared" si="10"/>
        <v>15</v>
      </c>
      <c r="M81" s="569">
        <f t="shared" si="11"/>
        <v>20</v>
      </c>
      <c r="N81" s="74" t="s">
        <v>679</v>
      </c>
      <c r="O81" s="570" t="s">
        <v>2316</v>
      </c>
      <c r="P81" s="570" t="s">
        <v>2317</v>
      </c>
      <c r="Q81" s="571" t="s">
        <v>1676</v>
      </c>
      <c r="R81" s="571" t="s">
        <v>1314</v>
      </c>
      <c r="S81" s="791" t="s">
        <v>584</v>
      </c>
      <c r="T81" s="572" t="s">
        <v>681</v>
      </c>
      <c r="U81" s="54">
        <v>73.0</v>
      </c>
      <c r="V81" s="54">
        <v>54.0</v>
      </c>
      <c r="W81" s="54">
        <v>25.0</v>
      </c>
      <c r="X81" s="679">
        <v>136.0</v>
      </c>
      <c r="Y81" s="54">
        <v>6.0</v>
      </c>
      <c r="Z81" s="669">
        <v>-30.0</v>
      </c>
      <c r="AA81" s="54">
        <v>2.0</v>
      </c>
      <c r="AB81" s="669">
        <v>0.0</v>
      </c>
      <c r="AC81" s="54">
        <v>25680.0</v>
      </c>
      <c r="AD81" s="54">
        <v>2.0</v>
      </c>
      <c r="AE81" s="54">
        <v>75.0</v>
      </c>
      <c r="AF81" s="54">
        <v>75.0</v>
      </c>
      <c r="AG81" s="54">
        <v>39.0</v>
      </c>
      <c r="AH81" s="54">
        <v>44.0</v>
      </c>
      <c r="AI81" s="574">
        <f t="shared" si="12"/>
        <v>41.5</v>
      </c>
      <c r="AJ81" s="74"/>
      <c r="AK81" s="74"/>
      <c r="AL81" s="74"/>
      <c r="AM81" s="74"/>
      <c r="AN81" s="74"/>
      <c r="AO81" s="74"/>
      <c r="AP81" s="74"/>
      <c r="AQ81" s="74"/>
      <c r="AR81" s="74"/>
      <c r="AS81" s="575"/>
      <c r="AT81" s="68">
        <f t="shared" si="13"/>
        <v>1046</v>
      </c>
      <c r="AU81" s="68">
        <f t="shared" si="14"/>
        <v>1146</v>
      </c>
      <c r="AV81" s="581">
        <f t="shared" si="15"/>
        <v>1096</v>
      </c>
      <c r="AW81" s="582">
        <f t="shared" si="16"/>
        <v>2283</v>
      </c>
      <c r="AX81" s="582">
        <f t="shared" si="17"/>
        <v>2491</v>
      </c>
      <c r="AY81" s="582">
        <f t="shared" si="18"/>
        <v>2283</v>
      </c>
      <c r="AZ81" s="582">
        <f t="shared" si="19"/>
        <v>2491</v>
      </c>
      <c r="BA81" s="582">
        <f t="shared" si="20"/>
        <v>1957</v>
      </c>
      <c r="BB81" s="582">
        <f t="shared" si="21"/>
        <v>1827</v>
      </c>
      <c r="BC81" s="582">
        <f t="shared" si="22"/>
        <v>1957</v>
      </c>
      <c r="BD81" s="582">
        <f t="shared" si="23"/>
        <v>1827</v>
      </c>
      <c r="BE81" s="582">
        <f t="shared" si="24"/>
        <v>2108</v>
      </c>
      <c r="BF81" s="582">
        <f t="shared" si="25"/>
        <v>2108</v>
      </c>
      <c r="BG81" s="582">
        <f t="shared" si="26"/>
        <v>2491</v>
      </c>
      <c r="BH81" s="582">
        <f t="shared" si="27"/>
        <v>2491</v>
      </c>
      <c r="BI81" s="582">
        <f t="shared" si="28"/>
        <v>2740</v>
      </c>
      <c r="BJ81" s="582">
        <f t="shared" si="29"/>
        <v>2740</v>
      </c>
      <c r="BK81" s="582">
        <f t="shared" si="30"/>
        <v>2108</v>
      </c>
      <c r="BL81" s="582">
        <f t="shared" si="31"/>
        <v>2108</v>
      </c>
      <c r="BM81" s="74"/>
      <c r="BN81" s="74"/>
      <c r="BO81" s="582">
        <f t="shared" si="141"/>
        <v>4567</v>
      </c>
      <c r="BP81" s="602">
        <f t="shared" si="33"/>
        <v>4567</v>
      </c>
      <c r="BQ81" s="670">
        <v>31.0</v>
      </c>
      <c r="BR81" s="670">
        <v>35.0</v>
      </c>
      <c r="BS81" s="670">
        <v>-30.0</v>
      </c>
      <c r="BT81" s="670">
        <v>100.0</v>
      </c>
      <c r="BU81" s="365"/>
      <c r="BV81" s="671">
        <f t="shared" si="34"/>
        <v>33</v>
      </c>
      <c r="BW81" s="672">
        <f t="shared" si="35"/>
        <v>947.9</v>
      </c>
      <c r="BX81" s="673">
        <f t="shared" si="36"/>
        <v>1974.8</v>
      </c>
      <c r="BY81" s="673">
        <f t="shared" si="37"/>
        <v>2154.3</v>
      </c>
      <c r="BZ81" s="673">
        <f t="shared" si="38"/>
        <v>1974.8</v>
      </c>
      <c r="CA81" s="673">
        <f t="shared" si="39"/>
        <v>1692.7</v>
      </c>
      <c r="CB81" s="673">
        <f t="shared" si="40"/>
        <v>1692.7</v>
      </c>
      <c r="CC81" s="673">
        <f t="shared" si="41"/>
        <v>2154.3</v>
      </c>
      <c r="CD81" s="673">
        <f t="shared" si="42"/>
        <v>1579.8</v>
      </c>
      <c r="CE81" s="674">
        <f t="shared" si="43"/>
        <v>25.8</v>
      </c>
      <c r="CF81" s="763">
        <f t="shared" ref="CF81:CG81" si="202">IF(ROUND(100*(AV81/BW81)-100,1)=0,"",ROUND(100*(AV81/BW81)-100,1))</f>
        <v>15.6</v>
      </c>
      <c r="CG81" s="676">
        <f t="shared" si="202"/>
        <v>15.6</v>
      </c>
      <c r="CH81" s="575" t="s">
        <v>679</v>
      </c>
      <c r="CI81" s="582">
        <f t="shared" ref="CI81:DF81" si="203">FLOOR($AV81/(CI$3/25),1)</f>
        <v>1096</v>
      </c>
      <c r="CJ81" s="582">
        <f t="shared" si="203"/>
        <v>1141</v>
      </c>
      <c r="CK81" s="582">
        <f t="shared" si="203"/>
        <v>1191</v>
      </c>
      <c r="CL81" s="582">
        <f t="shared" si="203"/>
        <v>1245</v>
      </c>
      <c r="CM81" s="582">
        <f t="shared" si="203"/>
        <v>1304</v>
      </c>
      <c r="CN81" s="582">
        <f t="shared" si="203"/>
        <v>1370</v>
      </c>
      <c r="CO81" s="582">
        <f t="shared" si="203"/>
        <v>1442</v>
      </c>
      <c r="CP81" s="582">
        <f t="shared" si="203"/>
        <v>1522</v>
      </c>
      <c r="CQ81" s="582">
        <f t="shared" si="203"/>
        <v>1611</v>
      </c>
      <c r="CR81" s="582">
        <f t="shared" si="203"/>
        <v>1712</v>
      </c>
      <c r="CS81" s="582">
        <f t="shared" si="203"/>
        <v>1826</v>
      </c>
      <c r="CT81" s="582">
        <f t="shared" si="203"/>
        <v>1957</v>
      </c>
      <c r="CU81" s="582">
        <f t="shared" si="203"/>
        <v>2107</v>
      </c>
      <c r="CV81" s="582">
        <f t="shared" si="203"/>
        <v>2283</v>
      </c>
      <c r="CW81" s="582">
        <f t="shared" si="203"/>
        <v>2490</v>
      </c>
      <c r="CX81" s="582">
        <f t="shared" si="203"/>
        <v>2740</v>
      </c>
      <c r="CY81" s="582">
        <f t="shared" si="203"/>
        <v>3044</v>
      </c>
      <c r="CZ81" s="582">
        <f t="shared" si="203"/>
        <v>3425</v>
      </c>
      <c r="DA81" s="582">
        <f t="shared" si="203"/>
        <v>3914</v>
      </c>
      <c r="DB81" s="582">
        <f t="shared" si="203"/>
        <v>4566</v>
      </c>
      <c r="DC81" s="582">
        <f t="shared" si="203"/>
        <v>5480</v>
      </c>
      <c r="DD81" s="582">
        <f t="shared" si="203"/>
        <v>6850</v>
      </c>
      <c r="DE81" s="582">
        <f t="shared" si="203"/>
        <v>9133</v>
      </c>
      <c r="DF81" s="602">
        <f t="shared" si="203"/>
        <v>13700</v>
      </c>
      <c r="DG81" s="575"/>
      <c r="DH81" s="575" t="str">
        <f t="shared" si="46"/>
        <v/>
      </c>
      <c r="DI81" s="74" t="str">
        <f t="shared" si="47"/>
        <v/>
      </c>
      <c r="DJ81" s="74" t="str">
        <f t="shared" si="48"/>
        <v/>
      </c>
      <c r="DK81" s="623" t="str">
        <f t="shared" si="49"/>
        <v/>
      </c>
      <c r="DL81" s="74"/>
      <c r="DM81" s="74"/>
      <c r="DN81" s="582">
        <f t="shared" si="181"/>
        <v>1.2</v>
      </c>
      <c r="DO81" s="575"/>
      <c r="DP81" s="297"/>
    </row>
    <row r="82">
      <c r="A82" s="552">
        <v>76.0</v>
      </c>
      <c r="B82" s="86">
        <v>258.0</v>
      </c>
      <c r="C82" s="54">
        <v>37.0</v>
      </c>
      <c r="D82" s="54">
        <v>53.0</v>
      </c>
      <c r="E82" s="74"/>
      <c r="F82" s="68" t="s">
        <v>1246</v>
      </c>
      <c r="G82" s="68">
        <f t="shared" si="5"/>
        <v>16</v>
      </c>
      <c r="H82" s="68">
        <f t="shared" si="6"/>
        <v>15</v>
      </c>
      <c r="I82" s="68">
        <f t="shared" si="7"/>
        <v>16</v>
      </c>
      <c r="J82" s="68">
        <f t="shared" si="8"/>
        <v>19</v>
      </c>
      <c r="K82" s="68">
        <f t="shared" si="9"/>
        <v>19</v>
      </c>
      <c r="L82" s="68">
        <f t="shared" si="10"/>
        <v>15</v>
      </c>
      <c r="M82" s="569">
        <f t="shared" si="11"/>
        <v>20</v>
      </c>
      <c r="N82" s="74" t="s">
        <v>700</v>
      </c>
      <c r="O82" s="570" t="s">
        <v>2318</v>
      </c>
      <c r="P82" s="571"/>
      <c r="Q82" s="571" t="s">
        <v>1676</v>
      </c>
      <c r="R82" s="571" t="s">
        <v>1314</v>
      </c>
      <c r="S82" s="791" t="s">
        <v>584</v>
      </c>
      <c r="T82" s="572" t="s">
        <v>702</v>
      </c>
      <c r="U82" s="54">
        <v>78.0</v>
      </c>
      <c r="V82" s="54">
        <v>58.0</v>
      </c>
      <c r="W82" s="679">
        <v>142.0</v>
      </c>
      <c r="X82" s="679">
        <v>112.0</v>
      </c>
      <c r="Y82" s="54">
        <v>4.0</v>
      </c>
      <c r="Z82" s="54">
        <v>0.0</v>
      </c>
      <c r="AA82" s="54">
        <v>2.0</v>
      </c>
      <c r="AB82" s="669">
        <v>84.0</v>
      </c>
      <c r="AC82" s="54">
        <v>19044.0</v>
      </c>
      <c r="AD82" s="54">
        <v>4.0</v>
      </c>
      <c r="AE82" s="54">
        <v>75.0</v>
      </c>
      <c r="AF82" s="54">
        <v>75.0</v>
      </c>
      <c r="AG82" s="54">
        <v>46.0</v>
      </c>
      <c r="AH82" s="54">
        <v>66.0</v>
      </c>
      <c r="AI82" s="574">
        <f t="shared" si="12"/>
        <v>56</v>
      </c>
      <c r="AJ82" s="74"/>
      <c r="AK82" s="74"/>
      <c r="AL82" s="74"/>
      <c r="AM82" s="74"/>
      <c r="AN82" s="74"/>
      <c r="AO82" s="74"/>
      <c r="AP82" s="74"/>
      <c r="AQ82" s="74"/>
      <c r="AR82" s="74"/>
      <c r="AS82" s="575"/>
      <c r="AT82" s="68">
        <f t="shared" si="13"/>
        <v>1186</v>
      </c>
      <c r="AU82" s="68">
        <f t="shared" si="14"/>
        <v>1582</v>
      </c>
      <c r="AV82" s="581">
        <f t="shared" si="15"/>
        <v>1384</v>
      </c>
      <c r="AW82" s="582">
        <f t="shared" si="16"/>
        <v>2307</v>
      </c>
      <c r="AX82" s="582">
        <f t="shared" si="17"/>
        <v>2471</v>
      </c>
      <c r="AY82" s="582">
        <f t="shared" si="18"/>
        <v>2307</v>
      </c>
      <c r="AZ82" s="582">
        <f t="shared" si="19"/>
        <v>2471</v>
      </c>
      <c r="BA82" s="582">
        <f t="shared" si="20"/>
        <v>1922</v>
      </c>
      <c r="BB82" s="582">
        <f t="shared" si="21"/>
        <v>1821</v>
      </c>
      <c r="BC82" s="582">
        <f t="shared" si="22"/>
        <v>1922</v>
      </c>
      <c r="BD82" s="582">
        <f t="shared" si="23"/>
        <v>1281</v>
      </c>
      <c r="BE82" s="582">
        <f t="shared" si="24"/>
        <v>1573</v>
      </c>
      <c r="BF82" s="582">
        <f t="shared" si="25"/>
        <v>1504</v>
      </c>
      <c r="BG82" s="582">
        <f t="shared" si="26"/>
        <v>1821</v>
      </c>
      <c r="BH82" s="582">
        <f t="shared" si="27"/>
        <v>1821</v>
      </c>
      <c r="BI82" s="582">
        <f t="shared" si="28"/>
        <v>1922</v>
      </c>
      <c r="BJ82" s="582">
        <f t="shared" si="29"/>
        <v>1922</v>
      </c>
      <c r="BK82" s="582">
        <f t="shared" si="30"/>
        <v>1573</v>
      </c>
      <c r="BL82" s="582">
        <f t="shared" si="31"/>
        <v>1504</v>
      </c>
      <c r="BM82" s="74"/>
      <c r="BN82" s="74"/>
      <c r="BO82" s="582">
        <f t="shared" si="141"/>
        <v>4613</v>
      </c>
      <c r="BP82" s="602">
        <f t="shared" si="33"/>
        <v>4613</v>
      </c>
      <c r="BQ82" s="670">
        <v>37.0</v>
      </c>
      <c r="BR82" s="670">
        <v>53.0</v>
      </c>
      <c r="BS82" s="365"/>
      <c r="BT82" s="670">
        <v>100.0</v>
      </c>
      <c r="BU82" s="365"/>
      <c r="BV82" s="671">
        <f t="shared" si="34"/>
        <v>45</v>
      </c>
      <c r="BW82" s="672">
        <f t="shared" si="35"/>
        <v>1190.8</v>
      </c>
      <c r="BX82" s="673">
        <f t="shared" si="36"/>
        <v>1984.7</v>
      </c>
      <c r="BY82" s="673">
        <f t="shared" si="37"/>
        <v>2126.4</v>
      </c>
      <c r="BZ82" s="673">
        <f t="shared" si="38"/>
        <v>1984.7</v>
      </c>
      <c r="CA82" s="673">
        <f t="shared" si="39"/>
        <v>1653.9</v>
      </c>
      <c r="CB82" s="673">
        <f t="shared" si="40"/>
        <v>1653.9</v>
      </c>
      <c r="CC82" s="673">
        <f t="shared" si="41"/>
        <v>2126.4</v>
      </c>
      <c r="CD82" s="673">
        <f t="shared" si="42"/>
        <v>1566.8</v>
      </c>
      <c r="CE82" s="674">
        <f t="shared" si="43"/>
        <v>24.4</v>
      </c>
      <c r="CF82" s="763">
        <f t="shared" ref="CF82:CG82" si="204">IF(ROUND(100*(AV82/BW82)-100,1)=0,"",ROUND(100*(AV82/BW82)-100,1))</f>
        <v>16.2</v>
      </c>
      <c r="CG82" s="676">
        <f t="shared" si="204"/>
        <v>16.2</v>
      </c>
      <c r="CH82" s="575" t="s">
        <v>700</v>
      </c>
      <c r="CI82" s="582">
        <f t="shared" ref="CI82:DF82" si="205">FLOOR($AV82/(CI$3/25),1)</f>
        <v>1384</v>
      </c>
      <c r="CJ82" s="582">
        <f t="shared" si="205"/>
        <v>1441</v>
      </c>
      <c r="CK82" s="582">
        <f t="shared" si="205"/>
        <v>1504</v>
      </c>
      <c r="CL82" s="582">
        <f t="shared" si="205"/>
        <v>1572</v>
      </c>
      <c r="CM82" s="582">
        <f t="shared" si="205"/>
        <v>1647</v>
      </c>
      <c r="CN82" s="582">
        <f t="shared" si="205"/>
        <v>1730</v>
      </c>
      <c r="CO82" s="582">
        <f t="shared" si="205"/>
        <v>1821</v>
      </c>
      <c r="CP82" s="582">
        <f t="shared" si="205"/>
        <v>1922</v>
      </c>
      <c r="CQ82" s="582">
        <f t="shared" si="205"/>
        <v>2035</v>
      </c>
      <c r="CR82" s="582">
        <f t="shared" si="205"/>
        <v>2162</v>
      </c>
      <c r="CS82" s="582">
        <f t="shared" si="205"/>
        <v>2306</v>
      </c>
      <c r="CT82" s="582">
        <f t="shared" si="205"/>
        <v>2471</v>
      </c>
      <c r="CU82" s="582">
        <f t="shared" si="205"/>
        <v>2661</v>
      </c>
      <c r="CV82" s="582">
        <f t="shared" si="205"/>
        <v>2883</v>
      </c>
      <c r="CW82" s="582">
        <f t="shared" si="205"/>
        <v>3145</v>
      </c>
      <c r="CX82" s="582">
        <f t="shared" si="205"/>
        <v>3460</v>
      </c>
      <c r="CY82" s="582">
        <f t="shared" si="205"/>
        <v>3844</v>
      </c>
      <c r="CZ82" s="582">
        <f t="shared" si="205"/>
        <v>4325</v>
      </c>
      <c r="DA82" s="582">
        <f t="shared" si="205"/>
        <v>4942</v>
      </c>
      <c r="DB82" s="582">
        <f t="shared" si="205"/>
        <v>5766</v>
      </c>
      <c r="DC82" s="582">
        <f t="shared" si="205"/>
        <v>6920</v>
      </c>
      <c r="DD82" s="582">
        <f t="shared" si="205"/>
        <v>8650</v>
      </c>
      <c r="DE82" s="582">
        <f t="shared" si="205"/>
        <v>11533</v>
      </c>
      <c r="DF82" s="602">
        <f t="shared" si="205"/>
        <v>17300</v>
      </c>
      <c r="DG82" s="575"/>
      <c r="DH82" s="575" t="str">
        <f t="shared" si="46"/>
        <v/>
      </c>
      <c r="DI82" s="74" t="str">
        <f t="shared" si="47"/>
        <v/>
      </c>
      <c r="DJ82" s="74" t="str">
        <f t="shared" si="48"/>
        <v/>
      </c>
      <c r="DK82" s="623" t="str">
        <f t="shared" si="49"/>
        <v/>
      </c>
      <c r="DL82" s="74"/>
      <c r="DM82" s="74"/>
      <c r="DN82" s="582">
        <f t="shared" si="181"/>
        <v>1.6</v>
      </c>
      <c r="DO82" s="575"/>
      <c r="DP82" s="297"/>
    </row>
    <row r="83">
      <c r="A83" s="552">
        <v>77.0</v>
      </c>
      <c r="B83" s="86">
        <v>259.0</v>
      </c>
      <c r="C83" s="54">
        <v>5.0</v>
      </c>
      <c r="D83" s="54">
        <v>77.0</v>
      </c>
      <c r="E83" s="74"/>
      <c r="F83" s="68" t="s">
        <v>1246</v>
      </c>
      <c r="G83" s="68">
        <f t="shared" si="5"/>
        <v>16</v>
      </c>
      <c r="H83" s="68">
        <f t="shared" si="6"/>
        <v>15</v>
      </c>
      <c r="I83" s="68">
        <f t="shared" si="7"/>
        <v>16</v>
      </c>
      <c r="J83" s="68">
        <f t="shared" si="8"/>
        <v>19</v>
      </c>
      <c r="K83" s="68">
        <f t="shared" si="9"/>
        <v>19</v>
      </c>
      <c r="L83" s="68">
        <f t="shared" si="10"/>
        <v>15</v>
      </c>
      <c r="M83" s="569">
        <f t="shared" si="11"/>
        <v>20</v>
      </c>
      <c r="N83" s="74" t="s">
        <v>724</v>
      </c>
      <c r="O83" s="570" t="s">
        <v>1978</v>
      </c>
      <c r="P83" s="639" t="s">
        <v>2202</v>
      </c>
      <c r="Q83" s="571" t="s">
        <v>1676</v>
      </c>
      <c r="R83" s="571" t="s">
        <v>1314</v>
      </c>
      <c r="S83" s="791" t="s">
        <v>584</v>
      </c>
      <c r="T83" s="572" t="s">
        <v>725</v>
      </c>
      <c r="U83" s="54">
        <v>82.0</v>
      </c>
      <c r="V83" s="54">
        <v>61.0</v>
      </c>
      <c r="W83" s="54">
        <v>99.0</v>
      </c>
      <c r="X83" s="679">
        <v>109.0</v>
      </c>
      <c r="Y83" s="54">
        <v>4.0</v>
      </c>
      <c r="Z83" s="54">
        <v>-10.0</v>
      </c>
      <c r="AA83" s="54">
        <v>2.0</v>
      </c>
      <c r="AB83" s="54">
        <v>88.0</v>
      </c>
      <c r="AC83" s="54">
        <v>14306.0</v>
      </c>
      <c r="AD83" s="54">
        <v>4.0</v>
      </c>
      <c r="AE83" s="54">
        <v>75.0</v>
      </c>
      <c r="AF83" s="54">
        <v>75.0</v>
      </c>
      <c r="AG83" s="54">
        <v>6.0</v>
      </c>
      <c r="AH83" s="54">
        <v>96.0</v>
      </c>
      <c r="AI83" s="574">
        <f t="shared" si="12"/>
        <v>51</v>
      </c>
      <c r="AJ83" s="74"/>
      <c r="AK83" s="74"/>
      <c r="AL83" s="74"/>
      <c r="AM83" s="74"/>
      <c r="AN83" s="74"/>
      <c r="AO83" s="74"/>
      <c r="AP83" s="74"/>
      <c r="AQ83" s="74"/>
      <c r="AR83" s="74"/>
      <c r="AS83" s="575"/>
      <c r="AT83" s="68">
        <f t="shared" si="13"/>
        <v>392</v>
      </c>
      <c r="AU83" s="68">
        <f t="shared" si="14"/>
        <v>2181</v>
      </c>
      <c r="AV83" s="581">
        <f t="shared" si="15"/>
        <v>1286.5</v>
      </c>
      <c r="AW83" s="582">
        <f t="shared" si="16"/>
        <v>2297</v>
      </c>
      <c r="AX83" s="582">
        <f t="shared" si="17"/>
        <v>2474</v>
      </c>
      <c r="AY83" s="582">
        <f t="shared" si="18"/>
        <v>2297</v>
      </c>
      <c r="AZ83" s="582">
        <f t="shared" si="19"/>
        <v>2474</v>
      </c>
      <c r="BA83" s="582">
        <f t="shared" si="20"/>
        <v>1892</v>
      </c>
      <c r="BB83" s="582">
        <f t="shared" si="21"/>
        <v>1787</v>
      </c>
      <c r="BC83" s="582">
        <f t="shared" si="22"/>
        <v>1892</v>
      </c>
      <c r="BD83" s="582">
        <f t="shared" si="23"/>
        <v>1462</v>
      </c>
      <c r="BE83" s="582">
        <f t="shared" si="24"/>
        <v>1787</v>
      </c>
      <c r="BF83" s="582">
        <f t="shared" si="25"/>
        <v>1787</v>
      </c>
      <c r="BG83" s="582">
        <f t="shared" si="26"/>
        <v>2144</v>
      </c>
      <c r="BH83" s="582">
        <f t="shared" si="27"/>
        <v>2144</v>
      </c>
      <c r="BI83" s="582">
        <f t="shared" si="28"/>
        <v>2297</v>
      </c>
      <c r="BJ83" s="582">
        <f t="shared" si="29"/>
        <v>2297</v>
      </c>
      <c r="BK83" s="582">
        <f t="shared" si="30"/>
        <v>1787</v>
      </c>
      <c r="BL83" s="582">
        <f t="shared" si="31"/>
        <v>1693</v>
      </c>
      <c r="BM83" s="74"/>
      <c r="BN83" s="74"/>
      <c r="BO83" s="582">
        <f t="shared" si="141"/>
        <v>4595</v>
      </c>
      <c r="BP83" s="602">
        <f t="shared" si="33"/>
        <v>4595</v>
      </c>
      <c r="BQ83" s="670">
        <v>5.0</v>
      </c>
      <c r="BR83" s="670">
        <v>77.0</v>
      </c>
      <c r="BS83" s="670">
        <v>-10.0</v>
      </c>
      <c r="BT83" s="670">
        <v>100.0</v>
      </c>
      <c r="BU83" s="365"/>
      <c r="BV83" s="671">
        <f t="shared" si="34"/>
        <v>41</v>
      </c>
      <c r="BW83" s="672">
        <f t="shared" si="35"/>
        <v>1109.8</v>
      </c>
      <c r="BX83" s="673">
        <f t="shared" si="36"/>
        <v>1981.8</v>
      </c>
      <c r="BY83" s="673">
        <f t="shared" si="37"/>
        <v>2134.2</v>
      </c>
      <c r="BZ83" s="673">
        <f t="shared" si="38"/>
        <v>1981.8</v>
      </c>
      <c r="CA83" s="673">
        <f t="shared" si="39"/>
        <v>1632.1</v>
      </c>
      <c r="CB83" s="673">
        <f t="shared" si="40"/>
        <v>1632.1</v>
      </c>
      <c r="CC83" s="673">
        <f t="shared" si="41"/>
        <v>2134.2</v>
      </c>
      <c r="CD83" s="673">
        <f t="shared" si="42"/>
        <v>1541.4</v>
      </c>
      <c r="CE83" s="674">
        <f t="shared" si="43"/>
        <v>24.4</v>
      </c>
      <c r="CF83" s="763">
        <f t="shared" ref="CF83:CG83" si="206">IF(ROUND(100*(AV83/BW83)-100,1)=0,"",ROUND(100*(AV83/BW83)-100,1))</f>
        <v>15.9</v>
      </c>
      <c r="CG83" s="676">
        <f t="shared" si="206"/>
        <v>15.9</v>
      </c>
      <c r="CH83" s="575" t="s">
        <v>724</v>
      </c>
      <c r="CI83" s="582">
        <f t="shared" ref="CI83:DF83" si="207">FLOOR($AV83/(CI$3/25),1)</f>
        <v>1286</v>
      </c>
      <c r="CJ83" s="582">
        <f t="shared" si="207"/>
        <v>1340</v>
      </c>
      <c r="CK83" s="582">
        <f t="shared" si="207"/>
        <v>1398</v>
      </c>
      <c r="CL83" s="582">
        <f t="shared" si="207"/>
        <v>1461</v>
      </c>
      <c r="CM83" s="582">
        <f t="shared" si="207"/>
        <v>1531</v>
      </c>
      <c r="CN83" s="582">
        <f t="shared" si="207"/>
        <v>1608</v>
      </c>
      <c r="CO83" s="582">
        <f t="shared" si="207"/>
        <v>1692</v>
      </c>
      <c r="CP83" s="582">
        <f t="shared" si="207"/>
        <v>1786</v>
      </c>
      <c r="CQ83" s="582">
        <f t="shared" si="207"/>
        <v>1891</v>
      </c>
      <c r="CR83" s="582">
        <f t="shared" si="207"/>
        <v>2010</v>
      </c>
      <c r="CS83" s="582">
        <f t="shared" si="207"/>
        <v>2144</v>
      </c>
      <c r="CT83" s="582">
        <f t="shared" si="207"/>
        <v>2297</v>
      </c>
      <c r="CU83" s="582">
        <f t="shared" si="207"/>
        <v>2474</v>
      </c>
      <c r="CV83" s="582">
        <f t="shared" si="207"/>
        <v>2680</v>
      </c>
      <c r="CW83" s="582">
        <f t="shared" si="207"/>
        <v>2923</v>
      </c>
      <c r="CX83" s="582">
        <f t="shared" si="207"/>
        <v>3216</v>
      </c>
      <c r="CY83" s="582">
        <f t="shared" si="207"/>
        <v>3573</v>
      </c>
      <c r="CZ83" s="582">
        <f t="shared" si="207"/>
        <v>4020</v>
      </c>
      <c r="DA83" s="582">
        <f t="shared" si="207"/>
        <v>4594</v>
      </c>
      <c r="DB83" s="582">
        <f t="shared" si="207"/>
        <v>5360</v>
      </c>
      <c r="DC83" s="582">
        <f t="shared" si="207"/>
        <v>6432</v>
      </c>
      <c r="DD83" s="582">
        <f t="shared" si="207"/>
        <v>8040</v>
      </c>
      <c r="DE83" s="582">
        <f t="shared" si="207"/>
        <v>10720</v>
      </c>
      <c r="DF83" s="602">
        <f t="shared" si="207"/>
        <v>16081</v>
      </c>
      <c r="DG83" s="575"/>
      <c r="DH83" s="575" t="str">
        <f t="shared" si="46"/>
        <v/>
      </c>
      <c r="DI83" s="74" t="str">
        <f t="shared" si="47"/>
        <v/>
      </c>
      <c r="DJ83" s="74" t="str">
        <f t="shared" si="48"/>
        <v/>
      </c>
      <c r="DK83" s="623" t="str">
        <f t="shared" si="49"/>
        <v/>
      </c>
      <c r="DL83" s="74"/>
      <c r="DM83" s="74"/>
      <c r="DN83" s="582">
        <f t="shared" si="181"/>
        <v>1.4</v>
      </c>
      <c r="DO83" s="575"/>
      <c r="DP83" s="297"/>
    </row>
    <row r="84">
      <c r="A84" s="686">
        <v>78.0</v>
      </c>
      <c r="B84" s="196">
        <v>260.0</v>
      </c>
      <c r="C84" s="186">
        <v>40.0</v>
      </c>
      <c r="D84" s="186">
        <v>50.0</v>
      </c>
      <c r="E84" s="190"/>
      <c r="F84" s="221" t="s">
        <v>1246</v>
      </c>
      <c r="G84" s="221">
        <f t="shared" si="5"/>
        <v>16</v>
      </c>
      <c r="H84" s="221">
        <f t="shared" si="6"/>
        <v>15</v>
      </c>
      <c r="I84" s="221">
        <f t="shared" si="7"/>
        <v>16</v>
      </c>
      <c r="J84" s="221">
        <f t="shared" si="8"/>
        <v>19</v>
      </c>
      <c r="K84" s="221">
        <f t="shared" si="9"/>
        <v>19</v>
      </c>
      <c r="L84" s="221">
        <f t="shared" si="10"/>
        <v>15</v>
      </c>
      <c r="M84" s="687">
        <f t="shared" si="11"/>
        <v>20</v>
      </c>
      <c r="N84" s="190" t="s">
        <v>743</v>
      </c>
      <c r="O84" s="805"/>
      <c r="P84" s="689"/>
      <c r="Q84" s="689" t="s">
        <v>1676</v>
      </c>
      <c r="R84" s="689" t="s">
        <v>1314</v>
      </c>
      <c r="S84" s="797" t="s">
        <v>584</v>
      </c>
      <c r="T84" s="690" t="s">
        <v>744</v>
      </c>
      <c r="U84" s="186">
        <v>85.0</v>
      </c>
      <c r="V84" s="186">
        <v>66.0</v>
      </c>
      <c r="W84" s="798">
        <v>147.0</v>
      </c>
      <c r="X84" s="798">
        <v>124.0</v>
      </c>
      <c r="Y84" s="186">
        <v>3.0</v>
      </c>
      <c r="Z84" s="186">
        <v>0.0</v>
      </c>
      <c r="AA84" s="186">
        <v>2.0</v>
      </c>
      <c r="AB84" s="186">
        <v>88.0</v>
      </c>
      <c r="AC84" s="186">
        <v>20187.0</v>
      </c>
      <c r="AD84" s="186">
        <v>4.0</v>
      </c>
      <c r="AE84" s="186">
        <v>75.0</v>
      </c>
      <c r="AF84" s="186">
        <v>75.0</v>
      </c>
      <c r="AG84" s="186">
        <v>50.0</v>
      </c>
      <c r="AH84" s="186">
        <v>63.0</v>
      </c>
      <c r="AI84" s="692">
        <f t="shared" si="12"/>
        <v>56.5</v>
      </c>
      <c r="AJ84" s="190"/>
      <c r="AK84" s="190"/>
      <c r="AL84" s="190"/>
      <c r="AM84" s="190"/>
      <c r="AN84" s="190"/>
      <c r="AO84" s="190"/>
      <c r="AP84" s="190"/>
      <c r="AQ84" s="190"/>
      <c r="AR84" s="190"/>
      <c r="AS84" s="377"/>
      <c r="AT84" s="221">
        <f t="shared" si="13"/>
        <v>1268</v>
      </c>
      <c r="AU84" s="221">
        <f t="shared" si="14"/>
        <v>1526</v>
      </c>
      <c r="AV84" s="693">
        <f t="shared" si="15"/>
        <v>1397</v>
      </c>
      <c r="AW84" s="694">
        <f t="shared" si="16"/>
        <v>2328</v>
      </c>
      <c r="AX84" s="694">
        <f t="shared" si="17"/>
        <v>2495</v>
      </c>
      <c r="AY84" s="694">
        <f t="shared" si="18"/>
        <v>2328</v>
      </c>
      <c r="AZ84" s="694">
        <f t="shared" si="19"/>
        <v>2495</v>
      </c>
      <c r="BA84" s="694">
        <f t="shared" si="20"/>
        <v>1940</v>
      </c>
      <c r="BB84" s="694">
        <f t="shared" si="21"/>
        <v>1838</v>
      </c>
      <c r="BC84" s="694">
        <f t="shared" si="22"/>
        <v>1940</v>
      </c>
      <c r="BD84" s="694">
        <f t="shared" si="23"/>
        <v>1294</v>
      </c>
      <c r="BE84" s="694">
        <f t="shared" si="24"/>
        <v>1588</v>
      </c>
      <c r="BF84" s="694">
        <f t="shared" si="25"/>
        <v>1518</v>
      </c>
      <c r="BG84" s="694">
        <f t="shared" si="26"/>
        <v>1838</v>
      </c>
      <c r="BH84" s="694">
        <f t="shared" si="27"/>
        <v>1838</v>
      </c>
      <c r="BI84" s="694">
        <f t="shared" si="28"/>
        <v>1940</v>
      </c>
      <c r="BJ84" s="694">
        <f t="shared" si="29"/>
        <v>1940</v>
      </c>
      <c r="BK84" s="694">
        <f t="shared" si="30"/>
        <v>1588</v>
      </c>
      <c r="BL84" s="694">
        <f t="shared" si="31"/>
        <v>1518</v>
      </c>
      <c r="BM84" s="190"/>
      <c r="BN84" s="190"/>
      <c r="BO84" s="694">
        <f t="shared" si="141"/>
        <v>4657</v>
      </c>
      <c r="BP84" s="695">
        <f t="shared" si="33"/>
        <v>4657</v>
      </c>
      <c r="BQ84" s="696">
        <v>40.0</v>
      </c>
      <c r="BR84" s="696">
        <v>50.0</v>
      </c>
      <c r="BS84" s="697"/>
      <c r="BT84" s="696">
        <v>100.0</v>
      </c>
      <c r="BU84" s="697"/>
      <c r="BV84" s="698">
        <f t="shared" si="34"/>
        <v>45</v>
      </c>
      <c r="BW84" s="699">
        <f t="shared" si="35"/>
        <v>1190.8</v>
      </c>
      <c r="BX84" s="700">
        <f t="shared" si="36"/>
        <v>1984.7</v>
      </c>
      <c r="BY84" s="700">
        <f t="shared" si="37"/>
        <v>2126.4</v>
      </c>
      <c r="BZ84" s="700">
        <f t="shared" si="38"/>
        <v>1984.7</v>
      </c>
      <c r="CA84" s="700">
        <f t="shared" si="39"/>
        <v>1653.9</v>
      </c>
      <c r="CB84" s="700">
        <f t="shared" si="40"/>
        <v>1653.9</v>
      </c>
      <c r="CC84" s="700">
        <f t="shared" si="41"/>
        <v>2126.4</v>
      </c>
      <c r="CD84" s="700">
        <f t="shared" si="42"/>
        <v>1566.8</v>
      </c>
      <c r="CE84" s="701">
        <f t="shared" si="43"/>
        <v>25.6</v>
      </c>
      <c r="CF84" s="806">
        <f t="shared" ref="CF84:CG84" si="208">IF(ROUND(100*(AV84/BW84)-100,1)=0,"",ROUND(100*(AV84/BW84)-100,1))</f>
        <v>17.3</v>
      </c>
      <c r="CG84" s="703">
        <f t="shared" si="208"/>
        <v>17.3</v>
      </c>
      <c r="CH84" s="377" t="s">
        <v>743</v>
      </c>
      <c r="CI84" s="694">
        <f t="shared" ref="CI84:DF84" si="209">FLOOR($AV84/(CI$3/25),1)</f>
        <v>1397</v>
      </c>
      <c r="CJ84" s="694">
        <f t="shared" si="209"/>
        <v>1455</v>
      </c>
      <c r="CK84" s="694">
        <f t="shared" si="209"/>
        <v>1518</v>
      </c>
      <c r="CL84" s="694">
        <f t="shared" si="209"/>
        <v>1587</v>
      </c>
      <c r="CM84" s="694">
        <f t="shared" si="209"/>
        <v>1663</v>
      </c>
      <c r="CN84" s="694">
        <f t="shared" si="209"/>
        <v>1746</v>
      </c>
      <c r="CO84" s="694">
        <f t="shared" si="209"/>
        <v>1838</v>
      </c>
      <c r="CP84" s="694">
        <f t="shared" si="209"/>
        <v>1940</v>
      </c>
      <c r="CQ84" s="694">
        <f t="shared" si="209"/>
        <v>2054</v>
      </c>
      <c r="CR84" s="694">
        <f t="shared" si="209"/>
        <v>2182</v>
      </c>
      <c r="CS84" s="694">
        <f t="shared" si="209"/>
        <v>2328</v>
      </c>
      <c r="CT84" s="694">
        <f t="shared" si="209"/>
        <v>2494</v>
      </c>
      <c r="CU84" s="694">
        <f t="shared" si="209"/>
        <v>2686</v>
      </c>
      <c r="CV84" s="694">
        <f t="shared" si="209"/>
        <v>2910</v>
      </c>
      <c r="CW84" s="694">
        <f t="shared" si="209"/>
        <v>3175</v>
      </c>
      <c r="CX84" s="694">
        <f t="shared" si="209"/>
        <v>3492</v>
      </c>
      <c r="CY84" s="694">
        <f t="shared" si="209"/>
        <v>3880</v>
      </c>
      <c r="CZ84" s="694">
        <f t="shared" si="209"/>
        <v>4365</v>
      </c>
      <c r="DA84" s="694">
        <f t="shared" si="209"/>
        <v>4989</v>
      </c>
      <c r="DB84" s="694">
        <f t="shared" si="209"/>
        <v>5820</v>
      </c>
      <c r="DC84" s="694">
        <f t="shared" si="209"/>
        <v>6985</v>
      </c>
      <c r="DD84" s="694">
        <f t="shared" si="209"/>
        <v>8731</v>
      </c>
      <c r="DE84" s="694">
        <f t="shared" si="209"/>
        <v>11641</v>
      </c>
      <c r="DF84" s="695">
        <f t="shared" si="209"/>
        <v>17462</v>
      </c>
      <c r="DG84" s="377"/>
      <c r="DH84" s="377" t="str">
        <f t="shared" si="46"/>
        <v/>
      </c>
      <c r="DI84" s="190" t="str">
        <f t="shared" si="47"/>
        <v/>
      </c>
      <c r="DJ84" s="190" t="str">
        <f t="shared" si="48"/>
        <v/>
      </c>
      <c r="DK84" s="704" t="str">
        <f t="shared" si="49"/>
        <v/>
      </c>
      <c r="DL84" s="190"/>
      <c r="DM84" s="190"/>
      <c r="DN84" s="694">
        <f t="shared" si="181"/>
        <v>1.4</v>
      </c>
      <c r="DO84" s="377"/>
      <c r="DP84" s="705"/>
    </row>
    <row r="85">
      <c r="A85" s="552">
        <v>79.0</v>
      </c>
      <c r="B85" s="86">
        <v>35.0</v>
      </c>
      <c r="C85" s="54">
        <v>8.0</v>
      </c>
      <c r="D85" s="54">
        <v>17.0</v>
      </c>
      <c r="E85" s="74"/>
      <c r="F85" s="68" t="s">
        <v>753</v>
      </c>
      <c r="G85" s="68">
        <f t="shared" si="5"/>
        <v>20</v>
      </c>
      <c r="H85" s="68">
        <f t="shared" si="6"/>
        <v>23</v>
      </c>
      <c r="I85" s="68">
        <f t="shared" si="7"/>
        <v>18</v>
      </c>
      <c r="J85" s="68">
        <f t="shared" si="8"/>
        <v>21</v>
      </c>
      <c r="K85" s="68">
        <f t="shared" si="9"/>
        <v>23</v>
      </c>
      <c r="L85" s="68">
        <f t="shared" si="10"/>
        <v>18.5</v>
      </c>
      <c r="M85" s="569">
        <f t="shared" si="11"/>
        <v>24</v>
      </c>
      <c r="N85" s="74" t="s">
        <v>750</v>
      </c>
      <c r="O85" s="570" t="s">
        <v>1954</v>
      </c>
      <c r="P85" s="571"/>
      <c r="Q85" s="571" t="s">
        <v>1313</v>
      </c>
      <c r="R85" s="571" t="s">
        <v>1685</v>
      </c>
      <c r="S85" s="791" t="s">
        <v>584</v>
      </c>
      <c r="T85" s="572" t="s">
        <v>753</v>
      </c>
      <c r="U85" s="54">
        <v>10.0</v>
      </c>
      <c r="V85" s="54">
        <v>0.0</v>
      </c>
      <c r="W85" s="54">
        <v>35.0</v>
      </c>
      <c r="X85" s="54">
        <v>27.0</v>
      </c>
      <c r="Y85" s="54">
        <v>3.0</v>
      </c>
      <c r="Z85" s="54">
        <v>0.0</v>
      </c>
      <c r="AA85" s="54">
        <v>3.0</v>
      </c>
      <c r="AB85" s="54">
        <v>88.0</v>
      </c>
      <c r="AC85" s="54">
        <v>644.0</v>
      </c>
      <c r="AD85" s="54">
        <v>4.0</v>
      </c>
      <c r="AE85" s="54">
        <v>110.0</v>
      </c>
      <c r="AF85" s="74"/>
      <c r="AG85" s="54">
        <v>8.0</v>
      </c>
      <c r="AH85" s="54">
        <v>17.0</v>
      </c>
      <c r="AI85" s="574">
        <f t="shared" si="12"/>
        <v>12.5</v>
      </c>
      <c r="AJ85" s="74"/>
      <c r="AK85" s="74"/>
      <c r="AL85" s="74"/>
      <c r="AM85" s="74"/>
      <c r="AN85" s="74"/>
      <c r="AO85" s="74"/>
      <c r="AP85" s="74"/>
      <c r="AQ85" s="74"/>
      <c r="AR85" s="74"/>
      <c r="AS85" s="575"/>
      <c r="AT85" s="68">
        <f t="shared" si="13"/>
        <v>390</v>
      </c>
      <c r="AU85" s="68">
        <f t="shared" si="14"/>
        <v>551</v>
      </c>
      <c r="AV85" s="581">
        <f t="shared" si="15"/>
        <v>470.5</v>
      </c>
      <c r="AW85" s="582">
        <f t="shared" si="16"/>
        <v>619</v>
      </c>
      <c r="AX85" s="582">
        <f t="shared" si="17"/>
        <v>535</v>
      </c>
      <c r="AY85" s="582">
        <f t="shared" si="18"/>
        <v>692</v>
      </c>
      <c r="AZ85" s="582">
        <f t="shared" si="19"/>
        <v>653</v>
      </c>
      <c r="BA85" s="582">
        <f t="shared" si="20"/>
        <v>535</v>
      </c>
      <c r="BB85" s="582">
        <f t="shared" si="21"/>
        <v>511</v>
      </c>
      <c r="BC85" s="582">
        <f t="shared" si="22"/>
        <v>588</v>
      </c>
      <c r="BD85" s="582">
        <f t="shared" si="23"/>
        <v>436</v>
      </c>
      <c r="BE85" s="582">
        <f t="shared" si="24"/>
        <v>535</v>
      </c>
      <c r="BF85" s="582">
        <f t="shared" si="25"/>
        <v>511</v>
      </c>
      <c r="BG85" s="582">
        <f t="shared" si="26"/>
        <v>619</v>
      </c>
      <c r="BH85" s="582">
        <f t="shared" si="27"/>
        <v>619</v>
      </c>
      <c r="BI85" s="582">
        <f t="shared" si="28"/>
        <v>653</v>
      </c>
      <c r="BJ85" s="582">
        <f t="shared" si="29"/>
        <v>653</v>
      </c>
      <c r="BK85" s="582">
        <f t="shared" si="30"/>
        <v>535</v>
      </c>
      <c r="BL85" s="582">
        <f t="shared" si="31"/>
        <v>511</v>
      </c>
      <c r="BM85" s="74"/>
      <c r="BN85" s="74"/>
      <c r="BO85" s="582">
        <f t="shared" si="141"/>
        <v>784</v>
      </c>
      <c r="BP85" s="602">
        <f t="shared" si="33"/>
        <v>784</v>
      </c>
      <c r="BQ85" s="54">
        <v>8.0</v>
      </c>
      <c r="BR85" s="54">
        <v>17.0</v>
      </c>
      <c r="BS85" s="74"/>
      <c r="BT85" s="54">
        <v>100.0</v>
      </c>
      <c r="BU85" s="74"/>
      <c r="BV85" s="83">
        <f t="shared" si="34"/>
        <v>12.5</v>
      </c>
      <c r="BW85" s="608">
        <f t="shared" si="35"/>
        <v>532.8</v>
      </c>
      <c r="BX85" s="582">
        <f t="shared" si="36"/>
        <v>701.1</v>
      </c>
      <c r="BY85" s="582">
        <f t="shared" si="37"/>
        <v>605.5</v>
      </c>
      <c r="BZ85" s="582">
        <f t="shared" si="38"/>
        <v>783.5</v>
      </c>
      <c r="CA85" s="582">
        <f t="shared" si="39"/>
        <v>666</v>
      </c>
      <c r="CB85" s="582">
        <f t="shared" si="40"/>
        <v>605.5</v>
      </c>
      <c r="CC85" s="582">
        <f t="shared" si="41"/>
        <v>740</v>
      </c>
      <c r="CD85" s="582">
        <f t="shared" si="42"/>
        <v>579.1</v>
      </c>
      <c r="CE85" s="623" t="str">
        <f t="shared" si="43"/>
        <v/>
      </c>
      <c r="CF85" s="706">
        <f t="shared" ref="CF85:CG85" si="210">IF(ROUND(100*(AV85/BW85)-100,1)=0,"",ROUND(100*(AV85/BW85)-100,1))</f>
        <v>-11.7</v>
      </c>
      <c r="CG85" s="552">
        <f t="shared" si="210"/>
        <v>-11.7</v>
      </c>
      <c r="CH85" s="575" t="s">
        <v>750</v>
      </c>
      <c r="CI85" s="582">
        <f t="shared" ref="CI85:DF85" si="211">FLOOR($AV85/(CI$3/25),1)</f>
        <v>470</v>
      </c>
      <c r="CJ85" s="582">
        <f t="shared" si="211"/>
        <v>490</v>
      </c>
      <c r="CK85" s="582">
        <f t="shared" si="211"/>
        <v>511</v>
      </c>
      <c r="CL85" s="582">
        <f t="shared" si="211"/>
        <v>534</v>
      </c>
      <c r="CM85" s="582">
        <f t="shared" si="211"/>
        <v>560</v>
      </c>
      <c r="CN85" s="582">
        <f t="shared" si="211"/>
        <v>588</v>
      </c>
      <c r="CO85" s="582">
        <f t="shared" si="211"/>
        <v>619</v>
      </c>
      <c r="CP85" s="582">
        <f t="shared" si="211"/>
        <v>653</v>
      </c>
      <c r="CQ85" s="582">
        <f t="shared" si="211"/>
        <v>691</v>
      </c>
      <c r="CR85" s="582">
        <f t="shared" si="211"/>
        <v>735</v>
      </c>
      <c r="CS85" s="582">
        <f t="shared" si="211"/>
        <v>784</v>
      </c>
      <c r="CT85" s="582">
        <f t="shared" si="211"/>
        <v>840</v>
      </c>
      <c r="CU85" s="582">
        <f t="shared" si="211"/>
        <v>904</v>
      </c>
      <c r="CV85" s="582">
        <f t="shared" si="211"/>
        <v>980</v>
      </c>
      <c r="CW85" s="582">
        <f t="shared" si="211"/>
        <v>1069</v>
      </c>
      <c r="CX85" s="582">
        <f t="shared" si="211"/>
        <v>1176</v>
      </c>
      <c r="CY85" s="582">
        <f t="shared" si="211"/>
        <v>1306</v>
      </c>
      <c r="CZ85" s="582">
        <f t="shared" si="211"/>
        <v>1470</v>
      </c>
      <c r="DA85" s="582">
        <f t="shared" si="211"/>
        <v>1680</v>
      </c>
      <c r="DB85" s="582">
        <f t="shared" si="211"/>
        <v>1960</v>
      </c>
      <c r="DC85" s="582">
        <f t="shared" si="211"/>
        <v>2352</v>
      </c>
      <c r="DD85" s="582">
        <f t="shared" si="211"/>
        <v>2940</v>
      </c>
      <c r="DE85" s="582">
        <f t="shared" si="211"/>
        <v>3920</v>
      </c>
      <c r="DF85" s="602">
        <f t="shared" si="211"/>
        <v>5881</v>
      </c>
      <c r="DG85" s="575"/>
      <c r="DH85" s="575" t="str">
        <f t="shared" si="46"/>
        <v/>
      </c>
      <c r="DI85" s="74" t="str">
        <f t="shared" si="47"/>
        <v/>
      </c>
      <c r="DJ85" s="74" t="str">
        <f t="shared" si="48"/>
        <v/>
      </c>
      <c r="DK85" s="623" t="str">
        <f t="shared" si="49"/>
        <v/>
      </c>
      <c r="DL85" s="74"/>
      <c r="DM85" s="74"/>
      <c r="DN85" s="74"/>
      <c r="DO85" s="575"/>
      <c r="DP85" s="297"/>
    </row>
    <row r="86">
      <c r="A86" s="552">
        <v>80.0</v>
      </c>
      <c r="B86" s="86">
        <v>37.0</v>
      </c>
      <c r="C86" s="54">
        <v>13.0</v>
      </c>
      <c r="D86" s="54">
        <v>30.0</v>
      </c>
      <c r="E86" s="74"/>
      <c r="F86" s="68" t="s">
        <v>753</v>
      </c>
      <c r="G86" s="68">
        <f t="shared" si="5"/>
        <v>20</v>
      </c>
      <c r="H86" s="68">
        <f t="shared" si="6"/>
        <v>23</v>
      </c>
      <c r="I86" s="68">
        <f t="shared" si="7"/>
        <v>18</v>
      </c>
      <c r="J86" s="68">
        <f t="shared" si="8"/>
        <v>21</v>
      </c>
      <c r="K86" s="68">
        <f t="shared" si="9"/>
        <v>23</v>
      </c>
      <c r="L86" s="68">
        <f t="shared" si="10"/>
        <v>18.5</v>
      </c>
      <c r="M86" s="569">
        <f t="shared" si="11"/>
        <v>24</v>
      </c>
      <c r="N86" s="74" t="s">
        <v>772</v>
      </c>
      <c r="O86" s="570" t="s">
        <v>1955</v>
      </c>
      <c r="P86" s="571"/>
      <c r="Q86" s="571" t="s">
        <v>1313</v>
      </c>
      <c r="R86" s="571" t="s">
        <v>1685</v>
      </c>
      <c r="S86" s="791" t="s">
        <v>584</v>
      </c>
      <c r="T86" s="572" t="s">
        <v>775</v>
      </c>
      <c r="U86" s="54">
        <v>17.0</v>
      </c>
      <c r="V86" s="54">
        <v>0.0</v>
      </c>
      <c r="W86" s="54">
        <v>47.0</v>
      </c>
      <c r="X86" s="74"/>
      <c r="Y86" s="54">
        <v>4.0</v>
      </c>
      <c r="Z86" s="54">
        <v>10.0</v>
      </c>
      <c r="AA86" s="54">
        <v>3.0</v>
      </c>
      <c r="AB86" s="54">
        <v>100.0</v>
      </c>
      <c r="AC86" s="54">
        <v>1262.0</v>
      </c>
      <c r="AD86" s="54">
        <v>4.0</v>
      </c>
      <c r="AE86" s="54">
        <v>110.0</v>
      </c>
      <c r="AF86" s="74"/>
      <c r="AG86" s="54">
        <v>13.0</v>
      </c>
      <c r="AH86" s="54">
        <v>30.0</v>
      </c>
      <c r="AI86" s="574">
        <f t="shared" si="12"/>
        <v>21.5</v>
      </c>
      <c r="AJ86" s="74"/>
      <c r="AK86" s="74"/>
      <c r="AL86" s="74"/>
      <c r="AM86" s="74"/>
      <c r="AN86" s="74"/>
      <c r="AO86" s="74"/>
      <c r="AP86" s="74"/>
      <c r="AQ86" s="74"/>
      <c r="AR86" s="74"/>
      <c r="AS86" s="575"/>
      <c r="AT86" s="68">
        <f t="shared" si="13"/>
        <v>481</v>
      </c>
      <c r="AU86" s="68">
        <f t="shared" si="14"/>
        <v>785</v>
      </c>
      <c r="AV86" s="581">
        <f t="shared" si="15"/>
        <v>633</v>
      </c>
      <c r="AW86" s="582">
        <f t="shared" si="16"/>
        <v>719</v>
      </c>
      <c r="AX86" s="582">
        <f t="shared" si="17"/>
        <v>633</v>
      </c>
      <c r="AY86" s="582">
        <f t="shared" si="18"/>
        <v>791</v>
      </c>
      <c r="AZ86" s="582">
        <f t="shared" si="19"/>
        <v>791</v>
      </c>
      <c r="BA86" s="582">
        <f t="shared" si="20"/>
        <v>633</v>
      </c>
      <c r="BB86" s="582">
        <f t="shared" si="21"/>
        <v>609</v>
      </c>
      <c r="BC86" s="582">
        <f t="shared" si="22"/>
        <v>688</v>
      </c>
      <c r="BD86" s="582">
        <f t="shared" si="23"/>
        <v>480</v>
      </c>
      <c r="BE86" s="582">
        <f t="shared" si="24"/>
        <v>565</v>
      </c>
      <c r="BF86" s="582">
        <f t="shared" si="25"/>
        <v>586</v>
      </c>
      <c r="BG86" s="582">
        <f t="shared" si="26"/>
        <v>719</v>
      </c>
      <c r="BH86" s="582">
        <f t="shared" si="27"/>
        <v>719</v>
      </c>
      <c r="BI86" s="582">
        <f t="shared" si="28"/>
        <v>754</v>
      </c>
      <c r="BJ86" s="582">
        <f t="shared" si="29"/>
        <v>754</v>
      </c>
      <c r="BK86" s="582">
        <f t="shared" si="30"/>
        <v>565</v>
      </c>
      <c r="BL86" s="582">
        <f t="shared" si="31"/>
        <v>546</v>
      </c>
      <c r="BM86" s="74"/>
      <c r="BN86" s="74"/>
      <c r="BO86" s="582">
        <f t="shared" si="141"/>
        <v>931</v>
      </c>
      <c r="BP86" s="602">
        <f t="shared" si="33"/>
        <v>931</v>
      </c>
      <c r="BQ86" s="54">
        <v>13.0</v>
      </c>
      <c r="BR86" s="54">
        <v>30.0</v>
      </c>
      <c r="BS86" s="54">
        <v>10.0</v>
      </c>
      <c r="BT86" s="54">
        <v>100.0</v>
      </c>
      <c r="BU86" s="74"/>
      <c r="BV86" s="83">
        <f t="shared" si="34"/>
        <v>21.5</v>
      </c>
      <c r="BW86" s="608">
        <f t="shared" si="35"/>
        <v>715</v>
      </c>
      <c r="BX86" s="582">
        <f t="shared" si="36"/>
        <v>812.5</v>
      </c>
      <c r="BY86" s="582">
        <f t="shared" si="37"/>
        <v>715</v>
      </c>
      <c r="BZ86" s="582">
        <f t="shared" si="38"/>
        <v>893.8</v>
      </c>
      <c r="CA86" s="582">
        <f t="shared" si="39"/>
        <v>777.2</v>
      </c>
      <c r="CB86" s="582">
        <f t="shared" si="40"/>
        <v>715</v>
      </c>
      <c r="CC86" s="582">
        <f t="shared" si="41"/>
        <v>893.8</v>
      </c>
      <c r="CD86" s="582">
        <f t="shared" si="42"/>
        <v>687.5</v>
      </c>
      <c r="CE86" s="623" t="str">
        <f t="shared" si="43"/>
        <v/>
      </c>
      <c r="CF86" s="706">
        <f t="shared" ref="CF86:CG86" si="212">IF(ROUND(100*(AV86/BW86)-100,1)=0,"",ROUND(100*(AV86/BW86)-100,1))</f>
        <v>-11.5</v>
      </c>
      <c r="CG86" s="552">
        <f t="shared" si="212"/>
        <v>-11.5</v>
      </c>
      <c r="CH86" s="575" t="s">
        <v>772</v>
      </c>
      <c r="CI86" s="582">
        <f t="shared" ref="CI86:DF86" si="213">FLOOR($AV86/(CI$3/25),1)</f>
        <v>633</v>
      </c>
      <c r="CJ86" s="582">
        <f t="shared" si="213"/>
        <v>659</v>
      </c>
      <c r="CK86" s="582">
        <f t="shared" si="213"/>
        <v>688</v>
      </c>
      <c r="CL86" s="582">
        <f t="shared" si="213"/>
        <v>719</v>
      </c>
      <c r="CM86" s="582">
        <f t="shared" si="213"/>
        <v>753</v>
      </c>
      <c r="CN86" s="582">
        <f t="shared" si="213"/>
        <v>791</v>
      </c>
      <c r="CO86" s="582">
        <f t="shared" si="213"/>
        <v>832</v>
      </c>
      <c r="CP86" s="582">
        <f t="shared" si="213"/>
        <v>879</v>
      </c>
      <c r="CQ86" s="582">
        <f t="shared" si="213"/>
        <v>930</v>
      </c>
      <c r="CR86" s="582">
        <f t="shared" si="213"/>
        <v>989</v>
      </c>
      <c r="CS86" s="582">
        <f t="shared" si="213"/>
        <v>1055</v>
      </c>
      <c r="CT86" s="582">
        <f t="shared" si="213"/>
        <v>1130</v>
      </c>
      <c r="CU86" s="582">
        <f t="shared" si="213"/>
        <v>1217</v>
      </c>
      <c r="CV86" s="582">
        <f t="shared" si="213"/>
        <v>1318</v>
      </c>
      <c r="CW86" s="582">
        <f t="shared" si="213"/>
        <v>1438</v>
      </c>
      <c r="CX86" s="582">
        <f t="shared" si="213"/>
        <v>1582</v>
      </c>
      <c r="CY86" s="582">
        <f t="shared" si="213"/>
        <v>1758</v>
      </c>
      <c r="CZ86" s="582">
        <f t="shared" si="213"/>
        <v>1978</v>
      </c>
      <c r="DA86" s="582">
        <f t="shared" si="213"/>
        <v>2260</v>
      </c>
      <c r="DB86" s="582">
        <f t="shared" si="213"/>
        <v>2637</v>
      </c>
      <c r="DC86" s="582">
        <f t="shared" si="213"/>
        <v>3165</v>
      </c>
      <c r="DD86" s="582">
        <f t="shared" si="213"/>
        <v>3956</v>
      </c>
      <c r="DE86" s="582">
        <f t="shared" si="213"/>
        <v>5275</v>
      </c>
      <c r="DF86" s="602">
        <f t="shared" si="213"/>
        <v>7912</v>
      </c>
      <c r="DG86" s="575"/>
      <c r="DH86" s="575" t="str">
        <f t="shared" si="46"/>
        <v/>
      </c>
      <c r="DI86" s="74" t="str">
        <f t="shared" si="47"/>
        <v/>
      </c>
      <c r="DJ86" s="74" t="str">
        <f t="shared" si="48"/>
        <v/>
      </c>
      <c r="DK86" s="623" t="str">
        <f t="shared" si="49"/>
        <v/>
      </c>
      <c r="DL86" s="74"/>
      <c r="DM86" s="74"/>
      <c r="DN86" s="74"/>
      <c r="DO86" s="575"/>
      <c r="DP86" s="297"/>
    </row>
    <row r="87">
      <c r="A87" s="552">
        <v>81.0</v>
      </c>
      <c r="B87" s="86">
        <v>39.0</v>
      </c>
      <c r="C87" s="54">
        <v>9.0</v>
      </c>
      <c r="D87" s="54">
        <v>28.0</v>
      </c>
      <c r="E87" s="74"/>
      <c r="F87" s="68" t="s">
        <v>753</v>
      </c>
      <c r="G87" s="68">
        <f t="shared" si="5"/>
        <v>20</v>
      </c>
      <c r="H87" s="68">
        <f t="shared" si="6"/>
        <v>23</v>
      </c>
      <c r="I87" s="68">
        <f t="shared" si="7"/>
        <v>18</v>
      </c>
      <c r="J87" s="68">
        <f t="shared" si="8"/>
        <v>21</v>
      </c>
      <c r="K87" s="68">
        <f t="shared" si="9"/>
        <v>23</v>
      </c>
      <c r="L87" s="68">
        <f t="shared" si="10"/>
        <v>18.5</v>
      </c>
      <c r="M87" s="569">
        <f t="shared" si="11"/>
        <v>24</v>
      </c>
      <c r="N87" s="74" t="s">
        <v>821</v>
      </c>
      <c r="O87" s="570" t="s">
        <v>1956</v>
      </c>
      <c r="P87" s="571"/>
      <c r="Q87" s="571" t="s">
        <v>1313</v>
      </c>
      <c r="R87" s="571" t="s">
        <v>1685</v>
      </c>
      <c r="S87" s="791" t="s">
        <v>584</v>
      </c>
      <c r="T87" s="572" t="s">
        <v>823</v>
      </c>
      <c r="U87" s="54">
        <v>21.0</v>
      </c>
      <c r="V87" s="54">
        <v>0.0</v>
      </c>
      <c r="W87" s="54">
        <v>56.0</v>
      </c>
      <c r="X87" s="54">
        <v>34.0</v>
      </c>
      <c r="Y87" s="54">
        <v>4.0</v>
      </c>
      <c r="Z87" s="54">
        <v>0.0</v>
      </c>
      <c r="AA87" s="54">
        <v>3.0</v>
      </c>
      <c r="AB87" s="54">
        <v>100.0</v>
      </c>
      <c r="AC87" s="54">
        <v>1459.0</v>
      </c>
      <c r="AD87" s="54">
        <v>4.0</v>
      </c>
      <c r="AE87" s="54">
        <v>110.0</v>
      </c>
      <c r="AF87" s="74"/>
      <c r="AG87" s="54">
        <v>9.0</v>
      </c>
      <c r="AH87" s="54">
        <v>28.0</v>
      </c>
      <c r="AI87" s="574">
        <f t="shared" si="12"/>
        <v>18.5</v>
      </c>
      <c r="AJ87" s="74"/>
      <c r="AK87" s="74"/>
      <c r="AL87" s="74"/>
      <c r="AM87" s="74"/>
      <c r="AN87" s="74"/>
      <c r="AO87" s="74"/>
      <c r="AP87" s="74"/>
      <c r="AQ87" s="74"/>
      <c r="AR87" s="74"/>
      <c r="AS87" s="575"/>
      <c r="AT87" s="68">
        <f t="shared" si="13"/>
        <v>410</v>
      </c>
      <c r="AU87" s="68">
        <f t="shared" si="14"/>
        <v>748</v>
      </c>
      <c r="AV87" s="581">
        <f t="shared" si="15"/>
        <v>579</v>
      </c>
      <c r="AW87" s="582">
        <f t="shared" si="16"/>
        <v>762</v>
      </c>
      <c r="AX87" s="582">
        <f t="shared" si="17"/>
        <v>658</v>
      </c>
      <c r="AY87" s="582">
        <f t="shared" si="18"/>
        <v>851</v>
      </c>
      <c r="AZ87" s="582">
        <f t="shared" si="19"/>
        <v>804</v>
      </c>
      <c r="BA87" s="582">
        <f t="shared" si="20"/>
        <v>658</v>
      </c>
      <c r="BB87" s="582">
        <f t="shared" si="21"/>
        <v>629</v>
      </c>
      <c r="BC87" s="582">
        <f t="shared" si="22"/>
        <v>724</v>
      </c>
      <c r="BD87" s="582">
        <f t="shared" si="23"/>
        <v>536</v>
      </c>
      <c r="BE87" s="582">
        <f t="shared" si="24"/>
        <v>658</v>
      </c>
      <c r="BF87" s="582">
        <f t="shared" si="25"/>
        <v>629</v>
      </c>
      <c r="BG87" s="582">
        <f t="shared" si="26"/>
        <v>762</v>
      </c>
      <c r="BH87" s="582">
        <f t="shared" si="27"/>
        <v>762</v>
      </c>
      <c r="BI87" s="582">
        <f t="shared" si="28"/>
        <v>804</v>
      </c>
      <c r="BJ87" s="582">
        <f t="shared" si="29"/>
        <v>804</v>
      </c>
      <c r="BK87" s="582">
        <f t="shared" si="30"/>
        <v>658</v>
      </c>
      <c r="BL87" s="582">
        <f t="shared" si="31"/>
        <v>629</v>
      </c>
      <c r="BM87" s="74"/>
      <c r="BN87" s="74"/>
      <c r="BO87" s="582">
        <f t="shared" si="141"/>
        <v>965</v>
      </c>
      <c r="BP87" s="602">
        <f t="shared" si="33"/>
        <v>965</v>
      </c>
      <c r="BQ87" s="54">
        <v>9.0</v>
      </c>
      <c r="BR87" s="54">
        <v>28.0</v>
      </c>
      <c r="BS87" s="74"/>
      <c r="BT87" s="54">
        <v>100.0</v>
      </c>
      <c r="BU87" s="74"/>
      <c r="BV87" s="83">
        <f t="shared" si="34"/>
        <v>18.5</v>
      </c>
      <c r="BW87" s="608">
        <f t="shared" si="35"/>
        <v>654.3</v>
      </c>
      <c r="BX87" s="582">
        <f t="shared" si="36"/>
        <v>860.9</v>
      </c>
      <c r="BY87" s="582">
        <f t="shared" si="37"/>
        <v>743.5</v>
      </c>
      <c r="BZ87" s="582">
        <f t="shared" si="38"/>
        <v>962.2</v>
      </c>
      <c r="CA87" s="582">
        <f t="shared" si="39"/>
        <v>817.9</v>
      </c>
      <c r="CB87" s="582">
        <f t="shared" si="40"/>
        <v>743.5</v>
      </c>
      <c r="CC87" s="582">
        <f t="shared" si="41"/>
        <v>908.8</v>
      </c>
      <c r="CD87" s="582">
        <f t="shared" si="42"/>
        <v>711.2</v>
      </c>
      <c r="CE87" s="623" t="str">
        <f t="shared" si="43"/>
        <v/>
      </c>
      <c r="CF87" s="706">
        <f t="shared" ref="CF87:CG87" si="214">IF(ROUND(100*(AV87/BW87)-100,1)=0,"",ROUND(100*(AV87/BW87)-100,1))</f>
        <v>-11.5</v>
      </c>
      <c r="CG87" s="552">
        <f t="shared" si="214"/>
        <v>-11.5</v>
      </c>
      <c r="CH87" s="575" t="s">
        <v>821</v>
      </c>
      <c r="CI87" s="582">
        <f t="shared" ref="CI87:DF87" si="215">FLOOR($AV87/(CI$3/25),1)</f>
        <v>579</v>
      </c>
      <c r="CJ87" s="582">
        <f t="shared" si="215"/>
        <v>603</v>
      </c>
      <c r="CK87" s="582">
        <f t="shared" si="215"/>
        <v>629</v>
      </c>
      <c r="CL87" s="582">
        <f t="shared" si="215"/>
        <v>657</v>
      </c>
      <c r="CM87" s="582">
        <f t="shared" si="215"/>
        <v>689</v>
      </c>
      <c r="CN87" s="582">
        <f t="shared" si="215"/>
        <v>723</v>
      </c>
      <c r="CO87" s="582">
        <f t="shared" si="215"/>
        <v>761</v>
      </c>
      <c r="CP87" s="582">
        <f t="shared" si="215"/>
        <v>804</v>
      </c>
      <c r="CQ87" s="582">
        <f t="shared" si="215"/>
        <v>851</v>
      </c>
      <c r="CR87" s="582">
        <f t="shared" si="215"/>
        <v>904</v>
      </c>
      <c r="CS87" s="582">
        <f t="shared" si="215"/>
        <v>965</v>
      </c>
      <c r="CT87" s="582">
        <f t="shared" si="215"/>
        <v>1033</v>
      </c>
      <c r="CU87" s="582">
        <f t="shared" si="215"/>
        <v>1113</v>
      </c>
      <c r="CV87" s="582">
        <f t="shared" si="215"/>
        <v>1206</v>
      </c>
      <c r="CW87" s="582">
        <f t="shared" si="215"/>
        <v>1315</v>
      </c>
      <c r="CX87" s="582">
        <f t="shared" si="215"/>
        <v>1447</v>
      </c>
      <c r="CY87" s="582">
        <f t="shared" si="215"/>
        <v>1608</v>
      </c>
      <c r="CZ87" s="582">
        <f t="shared" si="215"/>
        <v>1809</v>
      </c>
      <c r="DA87" s="582">
        <f t="shared" si="215"/>
        <v>2067</v>
      </c>
      <c r="DB87" s="582">
        <f t="shared" si="215"/>
        <v>2412</v>
      </c>
      <c r="DC87" s="582">
        <f t="shared" si="215"/>
        <v>2895</v>
      </c>
      <c r="DD87" s="582">
        <f t="shared" si="215"/>
        <v>3618</v>
      </c>
      <c r="DE87" s="582">
        <f t="shared" si="215"/>
        <v>4825</v>
      </c>
      <c r="DF87" s="602">
        <f t="shared" si="215"/>
        <v>7237</v>
      </c>
      <c r="DG87" s="575"/>
      <c r="DH87" s="575" t="str">
        <f t="shared" si="46"/>
        <v/>
      </c>
      <c r="DI87" s="74" t="str">
        <f t="shared" si="47"/>
        <v/>
      </c>
      <c r="DJ87" s="74" t="str">
        <f t="shared" si="48"/>
        <v/>
      </c>
      <c r="DK87" s="623" t="str">
        <f t="shared" si="49"/>
        <v/>
      </c>
      <c r="DL87" s="74"/>
      <c r="DM87" s="74"/>
      <c r="DN87" s="74"/>
      <c r="DO87" s="575"/>
      <c r="DP87" s="297"/>
    </row>
    <row r="88">
      <c r="A88" s="552">
        <v>82.0</v>
      </c>
      <c r="B88" s="86">
        <v>41.0</v>
      </c>
      <c r="C88" s="54">
        <v>20.0</v>
      </c>
      <c r="D88" s="54">
        <v>28.0</v>
      </c>
      <c r="E88" s="74"/>
      <c r="F88" s="68" t="s">
        <v>753</v>
      </c>
      <c r="G88" s="68">
        <f t="shared" si="5"/>
        <v>20</v>
      </c>
      <c r="H88" s="68">
        <f t="shared" si="6"/>
        <v>23</v>
      </c>
      <c r="I88" s="68">
        <f t="shared" si="7"/>
        <v>18</v>
      </c>
      <c r="J88" s="68">
        <f t="shared" si="8"/>
        <v>21</v>
      </c>
      <c r="K88" s="68">
        <f t="shared" si="9"/>
        <v>23</v>
      </c>
      <c r="L88" s="68">
        <f t="shared" si="10"/>
        <v>18.5</v>
      </c>
      <c r="M88" s="569">
        <f t="shared" si="11"/>
        <v>24</v>
      </c>
      <c r="N88" s="74" t="s">
        <v>855</v>
      </c>
      <c r="O88" s="570" t="s">
        <v>1957</v>
      </c>
      <c r="P88" s="571"/>
      <c r="Q88" s="571" t="s">
        <v>1313</v>
      </c>
      <c r="R88" s="571" t="s">
        <v>1685</v>
      </c>
      <c r="S88" s="791" t="s">
        <v>584</v>
      </c>
      <c r="T88" s="572" t="s">
        <v>856</v>
      </c>
      <c r="U88" s="54">
        <v>24.0</v>
      </c>
      <c r="V88" s="54">
        <v>0.0</v>
      </c>
      <c r="W88" s="54">
        <v>62.0</v>
      </c>
      <c r="X88" s="74"/>
      <c r="Y88" s="54">
        <v>4.0</v>
      </c>
      <c r="Z88" s="54">
        <v>10.0</v>
      </c>
      <c r="AA88" s="54">
        <v>3.0</v>
      </c>
      <c r="AB88" s="54">
        <v>80.0</v>
      </c>
      <c r="AC88" s="54">
        <v>1971.0</v>
      </c>
      <c r="AD88" s="54">
        <v>4.0</v>
      </c>
      <c r="AE88" s="54">
        <v>110.0</v>
      </c>
      <c r="AF88" s="74"/>
      <c r="AG88" s="54">
        <v>20.0</v>
      </c>
      <c r="AH88" s="54">
        <v>28.0</v>
      </c>
      <c r="AI88" s="574">
        <f t="shared" si="12"/>
        <v>24</v>
      </c>
      <c r="AJ88" s="74"/>
      <c r="AK88" s="74"/>
      <c r="AL88" s="74"/>
      <c r="AM88" s="74"/>
      <c r="AN88" s="74"/>
      <c r="AO88" s="74"/>
      <c r="AP88" s="74"/>
      <c r="AQ88" s="74"/>
      <c r="AR88" s="74"/>
      <c r="AS88" s="575"/>
      <c r="AT88" s="68">
        <f t="shared" si="13"/>
        <v>607</v>
      </c>
      <c r="AU88" s="68">
        <f t="shared" si="14"/>
        <v>748</v>
      </c>
      <c r="AV88" s="581">
        <f t="shared" si="15"/>
        <v>677.5</v>
      </c>
      <c r="AW88" s="582">
        <f t="shared" si="16"/>
        <v>770</v>
      </c>
      <c r="AX88" s="582">
        <f t="shared" si="17"/>
        <v>678</v>
      </c>
      <c r="AY88" s="582">
        <f t="shared" si="18"/>
        <v>847</v>
      </c>
      <c r="AZ88" s="582">
        <f t="shared" si="19"/>
        <v>847</v>
      </c>
      <c r="BA88" s="582">
        <f t="shared" si="20"/>
        <v>678</v>
      </c>
      <c r="BB88" s="582">
        <f t="shared" si="21"/>
        <v>651</v>
      </c>
      <c r="BC88" s="582">
        <f t="shared" si="22"/>
        <v>736</v>
      </c>
      <c r="BD88" s="582">
        <f t="shared" si="23"/>
        <v>513</v>
      </c>
      <c r="BE88" s="582">
        <f t="shared" si="24"/>
        <v>605</v>
      </c>
      <c r="BF88" s="582">
        <f t="shared" si="25"/>
        <v>627</v>
      </c>
      <c r="BG88" s="582">
        <f t="shared" si="26"/>
        <v>770</v>
      </c>
      <c r="BH88" s="582">
        <f t="shared" si="27"/>
        <v>770</v>
      </c>
      <c r="BI88" s="582">
        <f t="shared" si="28"/>
        <v>807</v>
      </c>
      <c r="BJ88" s="582">
        <f t="shared" si="29"/>
        <v>807</v>
      </c>
      <c r="BK88" s="582">
        <f t="shared" si="30"/>
        <v>605</v>
      </c>
      <c r="BL88" s="582">
        <f t="shared" si="31"/>
        <v>584</v>
      </c>
      <c r="BM88" s="74"/>
      <c r="BN88" s="74"/>
      <c r="BO88" s="582">
        <f t="shared" si="141"/>
        <v>996</v>
      </c>
      <c r="BP88" s="602">
        <f t="shared" si="33"/>
        <v>996</v>
      </c>
      <c r="BQ88" s="54">
        <v>20.0</v>
      </c>
      <c r="BR88" s="54">
        <v>28.0</v>
      </c>
      <c r="BS88" s="54">
        <v>10.0</v>
      </c>
      <c r="BT88" s="54">
        <v>100.0</v>
      </c>
      <c r="BU88" s="74"/>
      <c r="BV88" s="83">
        <f t="shared" si="34"/>
        <v>24</v>
      </c>
      <c r="BW88" s="608">
        <f t="shared" si="35"/>
        <v>765.6</v>
      </c>
      <c r="BX88" s="582">
        <f t="shared" si="36"/>
        <v>870</v>
      </c>
      <c r="BY88" s="582">
        <f t="shared" si="37"/>
        <v>765.6</v>
      </c>
      <c r="BZ88" s="582">
        <f t="shared" si="38"/>
        <v>957</v>
      </c>
      <c r="CA88" s="582">
        <f t="shared" si="39"/>
        <v>832.2</v>
      </c>
      <c r="CB88" s="582">
        <f t="shared" si="40"/>
        <v>765.6</v>
      </c>
      <c r="CC88" s="582">
        <f t="shared" si="41"/>
        <v>957</v>
      </c>
      <c r="CD88" s="582">
        <f t="shared" si="42"/>
        <v>736.2</v>
      </c>
      <c r="CE88" s="623" t="str">
        <f t="shared" si="43"/>
        <v/>
      </c>
      <c r="CF88" s="706">
        <f t="shared" ref="CF88:CG88" si="216">IF(ROUND(100*(AV88/BW88)-100,1)=0,"",ROUND(100*(AV88/BW88)-100,1))</f>
        <v>-11.5</v>
      </c>
      <c r="CG88" s="552">
        <f t="shared" si="216"/>
        <v>-11.5</v>
      </c>
      <c r="CH88" s="575" t="s">
        <v>855</v>
      </c>
      <c r="CI88" s="582">
        <f t="shared" ref="CI88:DF88" si="217">FLOOR($AV88/(CI$3/25),1)</f>
        <v>677</v>
      </c>
      <c r="CJ88" s="582">
        <f t="shared" si="217"/>
        <v>705</v>
      </c>
      <c r="CK88" s="582">
        <f t="shared" si="217"/>
        <v>736</v>
      </c>
      <c r="CL88" s="582">
        <f t="shared" si="217"/>
        <v>769</v>
      </c>
      <c r="CM88" s="582">
        <f t="shared" si="217"/>
        <v>806</v>
      </c>
      <c r="CN88" s="582">
        <f t="shared" si="217"/>
        <v>846</v>
      </c>
      <c r="CO88" s="582">
        <f t="shared" si="217"/>
        <v>891</v>
      </c>
      <c r="CP88" s="582">
        <f t="shared" si="217"/>
        <v>940</v>
      </c>
      <c r="CQ88" s="582">
        <f t="shared" si="217"/>
        <v>996</v>
      </c>
      <c r="CR88" s="582">
        <f t="shared" si="217"/>
        <v>1058</v>
      </c>
      <c r="CS88" s="582">
        <f t="shared" si="217"/>
        <v>1129</v>
      </c>
      <c r="CT88" s="582">
        <f t="shared" si="217"/>
        <v>1209</v>
      </c>
      <c r="CU88" s="582">
        <f t="shared" si="217"/>
        <v>1302</v>
      </c>
      <c r="CV88" s="582">
        <f t="shared" si="217"/>
        <v>1411</v>
      </c>
      <c r="CW88" s="582">
        <f t="shared" si="217"/>
        <v>1539</v>
      </c>
      <c r="CX88" s="582">
        <f t="shared" si="217"/>
        <v>1693</v>
      </c>
      <c r="CY88" s="582">
        <f t="shared" si="217"/>
        <v>1881</v>
      </c>
      <c r="CZ88" s="582">
        <f t="shared" si="217"/>
        <v>2117</v>
      </c>
      <c r="DA88" s="582">
        <f t="shared" si="217"/>
        <v>2419</v>
      </c>
      <c r="DB88" s="582">
        <f t="shared" si="217"/>
        <v>2822</v>
      </c>
      <c r="DC88" s="582">
        <f t="shared" si="217"/>
        <v>3387</v>
      </c>
      <c r="DD88" s="582">
        <f t="shared" si="217"/>
        <v>4234</v>
      </c>
      <c r="DE88" s="582">
        <f t="shared" si="217"/>
        <v>5645</v>
      </c>
      <c r="DF88" s="602">
        <f t="shared" si="217"/>
        <v>8468</v>
      </c>
      <c r="DG88" s="575"/>
      <c r="DH88" s="575" t="str">
        <f t="shared" si="46"/>
        <v/>
      </c>
      <c r="DI88" s="74" t="str">
        <f t="shared" si="47"/>
        <v/>
      </c>
      <c r="DJ88" s="74" t="str">
        <f t="shared" si="48"/>
        <v/>
      </c>
      <c r="DK88" s="623" t="str">
        <f t="shared" si="49"/>
        <v/>
      </c>
      <c r="DL88" s="74"/>
      <c r="DM88" s="74"/>
      <c r="DN88" s="74"/>
      <c r="DO88" s="575"/>
      <c r="DP88" s="297"/>
    </row>
    <row r="89">
      <c r="A89" s="552">
        <v>83.0</v>
      </c>
      <c r="B89" s="86">
        <v>43.0</v>
      </c>
      <c r="C89" s="54">
        <v>13.0</v>
      </c>
      <c r="D89" s="54">
        <v>26.0</v>
      </c>
      <c r="E89" s="74"/>
      <c r="F89" s="68" t="s">
        <v>753</v>
      </c>
      <c r="G89" s="68">
        <f t="shared" si="5"/>
        <v>20</v>
      </c>
      <c r="H89" s="68">
        <f t="shared" si="6"/>
        <v>23</v>
      </c>
      <c r="I89" s="68">
        <f t="shared" si="7"/>
        <v>18</v>
      </c>
      <c r="J89" s="68">
        <f t="shared" si="8"/>
        <v>21</v>
      </c>
      <c r="K89" s="68">
        <f t="shared" si="9"/>
        <v>23</v>
      </c>
      <c r="L89" s="68">
        <f t="shared" si="10"/>
        <v>18.5</v>
      </c>
      <c r="M89" s="569">
        <f t="shared" si="11"/>
        <v>24</v>
      </c>
      <c r="N89" s="74" t="s">
        <v>864</v>
      </c>
      <c r="O89" s="570" t="s">
        <v>1958</v>
      </c>
      <c r="P89" s="571"/>
      <c r="Q89" s="571" t="s">
        <v>1313</v>
      </c>
      <c r="R89" s="571" t="s">
        <v>1685</v>
      </c>
      <c r="S89" s="791" t="s">
        <v>584</v>
      </c>
      <c r="T89" s="572" t="s">
        <v>865</v>
      </c>
      <c r="U89" s="54">
        <v>27.0</v>
      </c>
      <c r="V89" s="54">
        <v>0.0</v>
      </c>
      <c r="W89" s="54">
        <v>70.0</v>
      </c>
      <c r="X89" s="54">
        <v>49.0</v>
      </c>
      <c r="Y89" s="54">
        <v>5.0</v>
      </c>
      <c r="Z89" s="54">
        <v>-10.0</v>
      </c>
      <c r="AA89" s="54">
        <v>3.0</v>
      </c>
      <c r="AB89" s="54">
        <v>100.0</v>
      </c>
      <c r="AC89" s="54">
        <v>2400.0</v>
      </c>
      <c r="AD89" s="54">
        <v>4.0</v>
      </c>
      <c r="AE89" s="54">
        <v>110.0</v>
      </c>
      <c r="AF89" s="74"/>
      <c r="AG89" s="54">
        <v>13.0</v>
      </c>
      <c r="AH89" s="54">
        <v>26.0</v>
      </c>
      <c r="AI89" s="574">
        <f t="shared" si="12"/>
        <v>19.5</v>
      </c>
      <c r="AJ89" s="74"/>
      <c r="AK89" s="74"/>
      <c r="AL89" s="74"/>
      <c r="AM89" s="74"/>
      <c r="AN89" s="74"/>
      <c r="AO89" s="74"/>
      <c r="AP89" s="74"/>
      <c r="AQ89" s="74"/>
      <c r="AR89" s="74"/>
      <c r="AS89" s="575"/>
      <c r="AT89" s="68">
        <f t="shared" si="13"/>
        <v>481</v>
      </c>
      <c r="AU89" s="68">
        <f t="shared" si="14"/>
        <v>713</v>
      </c>
      <c r="AV89" s="581">
        <f t="shared" si="15"/>
        <v>597</v>
      </c>
      <c r="AW89" s="582">
        <f t="shared" si="16"/>
        <v>829</v>
      </c>
      <c r="AX89" s="582">
        <f t="shared" si="17"/>
        <v>746</v>
      </c>
      <c r="AY89" s="582">
        <f t="shared" si="18"/>
        <v>933</v>
      </c>
      <c r="AZ89" s="582">
        <f t="shared" si="19"/>
        <v>933</v>
      </c>
      <c r="BA89" s="582">
        <f t="shared" si="20"/>
        <v>746</v>
      </c>
      <c r="BB89" s="582">
        <f t="shared" si="21"/>
        <v>711</v>
      </c>
      <c r="BC89" s="582">
        <f t="shared" si="22"/>
        <v>786</v>
      </c>
      <c r="BD89" s="582">
        <f t="shared" si="23"/>
        <v>678</v>
      </c>
      <c r="BE89" s="582">
        <f t="shared" si="24"/>
        <v>829</v>
      </c>
      <c r="BF89" s="582">
        <f t="shared" si="25"/>
        <v>829</v>
      </c>
      <c r="BG89" s="582">
        <f t="shared" si="26"/>
        <v>995</v>
      </c>
      <c r="BH89" s="582">
        <f t="shared" si="27"/>
        <v>995</v>
      </c>
      <c r="BI89" s="582">
        <f t="shared" si="28"/>
        <v>1066</v>
      </c>
      <c r="BJ89" s="582">
        <f t="shared" si="29"/>
        <v>1066</v>
      </c>
      <c r="BK89" s="582">
        <f t="shared" si="30"/>
        <v>829</v>
      </c>
      <c r="BL89" s="582">
        <f t="shared" si="31"/>
        <v>786</v>
      </c>
      <c r="BM89" s="74"/>
      <c r="BN89" s="74"/>
      <c r="BO89" s="582">
        <f t="shared" si="141"/>
        <v>1066</v>
      </c>
      <c r="BP89" s="602">
        <f t="shared" si="33"/>
        <v>1066</v>
      </c>
      <c r="BQ89" s="54">
        <v>13.0</v>
      </c>
      <c r="BR89" s="54">
        <v>26.0</v>
      </c>
      <c r="BS89" s="54">
        <v>-10.0</v>
      </c>
      <c r="BT89" s="54">
        <v>100.0</v>
      </c>
      <c r="BU89" s="74"/>
      <c r="BV89" s="83">
        <f t="shared" si="34"/>
        <v>19.5</v>
      </c>
      <c r="BW89" s="608">
        <f t="shared" si="35"/>
        <v>674.5</v>
      </c>
      <c r="BX89" s="582">
        <f t="shared" si="36"/>
        <v>936.8</v>
      </c>
      <c r="BY89" s="582">
        <f t="shared" si="37"/>
        <v>843.1</v>
      </c>
      <c r="BZ89" s="582">
        <f t="shared" si="38"/>
        <v>1053.9</v>
      </c>
      <c r="CA89" s="582">
        <f t="shared" si="39"/>
        <v>887.5</v>
      </c>
      <c r="CB89" s="582">
        <f t="shared" si="40"/>
        <v>843.1</v>
      </c>
      <c r="CC89" s="582">
        <f t="shared" si="41"/>
        <v>1053.9</v>
      </c>
      <c r="CD89" s="582">
        <f t="shared" si="42"/>
        <v>803</v>
      </c>
      <c r="CE89" s="623" t="str">
        <f t="shared" si="43"/>
        <v/>
      </c>
      <c r="CF89" s="706">
        <f t="shared" ref="CF89:CG89" si="218">IF(ROUND(100*(AV89/BW89)-100,1)=0,"",ROUND(100*(AV89/BW89)-100,1))</f>
        <v>-11.5</v>
      </c>
      <c r="CG89" s="552">
        <f t="shared" si="218"/>
        <v>-11.5</v>
      </c>
      <c r="CH89" s="575" t="s">
        <v>864</v>
      </c>
      <c r="CI89" s="582">
        <f t="shared" ref="CI89:DF89" si="219">FLOOR($AV89/(CI$3/25),1)</f>
        <v>597</v>
      </c>
      <c r="CJ89" s="582">
        <f t="shared" si="219"/>
        <v>621</v>
      </c>
      <c r="CK89" s="582">
        <f t="shared" si="219"/>
        <v>648</v>
      </c>
      <c r="CL89" s="582">
        <f t="shared" si="219"/>
        <v>678</v>
      </c>
      <c r="CM89" s="582">
        <f t="shared" si="219"/>
        <v>710</v>
      </c>
      <c r="CN89" s="582">
        <f t="shared" si="219"/>
        <v>746</v>
      </c>
      <c r="CO89" s="582">
        <f t="shared" si="219"/>
        <v>785</v>
      </c>
      <c r="CP89" s="582">
        <f t="shared" si="219"/>
        <v>829</v>
      </c>
      <c r="CQ89" s="582">
        <f t="shared" si="219"/>
        <v>877</v>
      </c>
      <c r="CR89" s="582">
        <f t="shared" si="219"/>
        <v>932</v>
      </c>
      <c r="CS89" s="582">
        <f t="shared" si="219"/>
        <v>995</v>
      </c>
      <c r="CT89" s="582">
        <f t="shared" si="219"/>
        <v>1066</v>
      </c>
      <c r="CU89" s="582">
        <f t="shared" si="219"/>
        <v>1148</v>
      </c>
      <c r="CV89" s="582">
        <f t="shared" si="219"/>
        <v>1243</v>
      </c>
      <c r="CW89" s="582">
        <f t="shared" si="219"/>
        <v>1356</v>
      </c>
      <c r="CX89" s="582">
        <f t="shared" si="219"/>
        <v>1492</v>
      </c>
      <c r="CY89" s="582">
        <f t="shared" si="219"/>
        <v>1658</v>
      </c>
      <c r="CZ89" s="582">
        <f t="shared" si="219"/>
        <v>1865</v>
      </c>
      <c r="DA89" s="582">
        <f t="shared" si="219"/>
        <v>2132</v>
      </c>
      <c r="DB89" s="582">
        <f t="shared" si="219"/>
        <v>2487</v>
      </c>
      <c r="DC89" s="582">
        <f t="shared" si="219"/>
        <v>2985</v>
      </c>
      <c r="DD89" s="582">
        <f t="shared" si="219"/>
        <v>3731</v>
      </c>
      <c r="DE89" s="582">
        <f t="shared" si="219"/>
        <v>4975</v>
      </c>
      <c r="DF89" s="602">
        <f t="shared" si="219"/>
        <v>7462</v>
      </c>
      <c r="DG89" s="575"/>
      <c r="DH89" s="575" t="str">
        <f t="shared" si="46"/>
        <v/>
      </c>
      <c r="DI89" s="74" t="str">
        <f t="shared" si="47"/>
        <v/>
      </c>
      <c r="DJ89" s="74" t="str">
        <f t="shared" si="48"/>
        <v/>
      </c>
      <c r="DK89" s="623" t="str">
        <f t="shared" si="49"/>
        <v/>
      </c>
      <c r="DL89" s="74"/>
      <c r="DM89" s="74"/>
      <c r="DN89" s="74"/>
      <c r="DO89" s="575"/>
      <c r="DP89" s="297"/>
    </row>
    <row r="90">
      <c r="A90" s="647">
        <v>84.0</v>
      </c>
      <c r="B90" s="141">
        <v>45.0</v>
      </c>
      <c r="C90" s="129">
        <v>25.0</v>
      </c>
      <c r="D90" s="129">
        <v>42.0</v>
      </c>
      <c r="E90" s="134"/>
      <c r="F90" s="154" t="s">
        <v>753</v>
      </c>
      <c r="G90" s="154">
        <f t="shared" si="5"/>
        <v>20</v>
      </c>
      <c r="H90" s="154">
        <f t="shared" si="6"/>
        <v>23</v>
      </c>
      <c r="I90" s="154">
        <f t="shared" si="7"/>
        <v>18</v>
      </c>
      <c r="J90" s="154">
        <f t="shared" si="8"/>
        <v>21</v>
      </c>
      <c r="K90" s="154">
        <f t="shared" si="9"/>
        <v>23</v>
      </c>
      <c r="L90" s="154">
        <f t="shared" si="10"/>
        <v>18.5</v>
      </c>
      <c r="M90" s="648">
        <f t="shared" si="11"/>
        <v>24</v>
      </c>
      <c r="N90" s="134" t="s">
        <v>878</v>
      </c>
      <c r="O90" s="649" t="s">
        <v>1959</v>
      </c>
      <c r="P90" s="650"/>
      <c r="Q90" s="650" t="s">
        <v>1313</v>
      </c>
      <c r="R90" s="650" t="s">
        <v>1685</v>
      </c>
      <c r="S90" s="796" t="s">
        <v>584</v>
      </c>
      <c r="T90" s="651" t="s">
        <v>879</v>
      </c>
      <c r="U90" s="129">
        <v>33.0</v>
      </c>
      <c r="V90" s="129">
        <v>0.0</v>
      </c>
      <c r="W90" s="129">
        <v>100.0</v>
      </c>
      <c r="X90" s="129">
        <v>60.0</v>
      </c>
      <c r="Y90" s="129">
        <v>6.0</v>
      </c>
      <c r="Z90" s="129">
        <v>10.0</v>
      </c>
      <c r="AA90" s="129">
        <v>3.0</v>
      </c>
      <c r="AB90" s="129">
        <v>100.0</v>
      </c>
      <c r="AC90" s="129">
        <v>3451.0</v>
      </c>
      <c r="AD90" s="129">
        <v>4.0</v>
      </c>
      <c r="AE90" s="129">
        <v>110.0</v>
      </c>
      <c r="AF90" s="134"/>
      <c r="AG90" s="129">
        <v>25.0</v>
      </c>
      <c r="AH90" s="129">
        <v>42.0</v>
      </c>
      <c r="AI90" s="652">
        <f t="shared" si="12"/>
        <v>33.5</v>
      </c>
      <c r="AJ90" s="134"/>
      <c r="AK90" s="134"/>
      <c r="AL90" s="134"/>
      <c r="AM90" s="134"/>
      <c r="AN90" s="134"/>
      <c r="AO90" s="134"/>
      <c r="AP90" s="134"/>
      <c r="AQ90" s="134"/>
      <c r="AR90" s="134"/>
      <c r="AS90" s="653"/>
      <c r="AT90" s="154">
        <f t="shared" si="13"/>
        <v>697</v>
      </c>
      <c r="AU90" s="154">
        <f t="shared" si="14"/>
        <v>1001</v>
      </c>
      <c r="AV90" s="654">
        <f t="shared" si="15"/>
        <v>849</v>
      </c>
      <c r="AW90" s="655">
        <f t="shared" si="16"/>
        <v>965</v>
      </c>
      <c r="AX90" s="655">
        <f t="shared" si="17"/>
        <v>849</v>
      </c>
      <c r="AY90" s="655">
        <f t="shared" si="18"/>
        <v>1061</v>
      </c>
      <c r="AZ90" s="655">
        <f t="shared" si="19"/>
        <v>1061</v>
      </c>
      <c r="BA90" s="655">
        <f t="shared" si="20"/>
        <v>849</v>
      </c>
      <c r="BB90" s="655">
        <f t="shared" si="21"/>
        <v>816</v>
      </c>
      <c r="BC90" s="655">
        <f t="shared" si="22"/>
        <v>923</v>
      </c>
      <c r="BD90" s="655">
        <f t="shared" si="23"/>
        <v>643</v>
      </c>
      <c r="BE90" s="655">
        <f t="shared" si="24"/>
        <v>758</v>
      </c>
      <c r="BF90" s="655">
        <f t="shared" si="25"/>
        <v>786</v>
      </c>
      <c r="BG90" s="655">
        <f t="shared" si="26"/>
        <v>965</v>
      </c>
      <c r="BH90" s="655">
        <f t="shared" si="27"/>
        <v>965</v>
      </c>
      <c r="BI90" s="655">
        <f t="shared" si="28"/>
        <v>1011</v>
      </c>
      <c r="BJ90" s="655">
        <f t="shared" si="29"/>
        <v>1011</v>
      </c>
      <c r="BK90" s="655">
        <f t="shared" si="30"/>
        <v>758</v>
      </c>
      <c r="BL90" s="655">
        <f t="shared" si="31"/>
        <v>732</v>
      </c>
      <c r="BM90" s="134"/>
      <c r="BN90" s="134"/>
      <c r="BO90" s="655">
        <f t="shared" si="141"/>
        <v>1249</v>
      </c>
      <c r="BP90" s="656">
        <f t="shared" si="33"/>
        <v>1249</v>
      </c>
      <c r="BQ90" s="129">
        <v>25.0</v>
      </c>
      <c r="BR90" s="129">
        <v>42.0</v>
      </c>
      <c r="BS90" s="129">
        <v>10.0</v>
      </c>
      <c r="BT90" s="129">
        <v>100.0</v>
      </c>
      <c r="BU90" s="134"/>
      <c r="BV90" s="135">
        <f t="shared" si="34"/>
        <v>33.5</v>
      </c>
      <c r="BW90" s="657">
        <f t="shared" si="35"/>
        <v>958</v>
      </c>
      <c r="BX90" s="655">
        <f t="shared" si="36"/>
        <v>1088.6</v>
      </c>
      <c r="BY90" s="655">
        <f t="shared" si="37"/>
        <v>958</v>
      </c>
      <c r="BZ90" s="655">
        <f t="shared" si="38"/>
        <v>1197.5</v>
      </c>
      <c r="CA90" s="655">
        <f t="shared" si="39"/>
        <v>1041.3</v>
      </c>
      <c r="CB90" s="655">
        <f t="shared" si="40"/>
        <v>958</v>
      </c>
      <c r="CC90" s="655">
        <f t="shared" si="41"/>
        <v>1197.5</v>
      </c>
      <c r="CD90" s="655">
        <f t="shared" si="42"/>
        <v>921.2</v>
      </c>
      <c r="CE90" s="662" t="str">
        <f t="shared" si="43"/>
        <v/>
      </c>
      <c r="CF90" s="712">
        <f t="shared" ref="CF90:CG90" si="220">IF(ROUND(100*(AV90/BW90)-100,1)=0,"",ROUND(100*(AV90/BW90)-100,1))</f>
        <v>-11.4</v>
      </c>
      <c r="CG90" s="647">
        <f t="shared" si="220"/>
        <v>-11.4</v>
      </c>
      <c r="CH90" s="653" t="s">
        <v>878</v>
      </c>
      <c r="CI90" s="655">
        <f t="shared" ref="CI90:DF90" si="221">FLOOR($AV90/(CI$3/25),1)</f>
        <v>849</v>
      </c>
      <c r="CJ90" s="655">
        <f t="shared" si="221"/>
        <v>884</v>
      </c>
      <c r="CK90" s="655">
        <f t="shared" si="221"/>
        <v>922</v>
      </c>
      <c r="CL90" s="655">
        <f t="shared" si="221"/>
        <v>964</v>
      </c>
      <c r="CM90" s="655">
        <f t="shared" si="221"/>
        <v>1010</v>
      </c>
      <c r="CN90" s="655">
        <f t="shared" si="221"/>
        <v>1061</v>
      </c>
      <c r="CO90" s="655">
        <f t="shared" si="221"/>
        <v>1117</v>
      </c>
      <c r="CP90" s="655">
        <f t="shared" si="221"/>
        <v>1179</v>
      </c>
      <c r="CQ90" s="655">
        <f t="shared" si="221"/>
        <v>1248</v>
      </c>
      <c r="CR90" s="655">
        <f t="shared" si="221"/>
        <v>1326</v>
      </c>
      <c r="CS90" s="655">
        <f t="shared" si="221"/>
        <v>1415</v>
      </c>
      <c r="CT90" s="655">
        <f t="shared" si="221"/>
        <v>1516</v>
      </c>
      <c r="CU90" s="655">
        <f t="shared" si="221"/>
        <v>1632</v>
      </c>
      <c r="CV90" s="655">
        <f t="shared" si="221"/>
        <v>1768</v>
      </c>
      <c r="CW90" s="655">
        <f t="shared" si="221"/>
        <v>1929</v>
      </c>
      <c r="CX90" s="655">
        <f t="shared" si="221"/>
        <v>2122</v>
      </c>
      <c r="CY90" s="655">
        <f t="shared" si="221"/>
        <v>2358</v>
      </c>
      <c r="CZ90" s="655">
        <f t="shared" si="221"/>
        <v>2653</v>
      </c>
      <c r="DA90" s="655">
        <f t="shared" si="221"/>
        <v>3032</v>
      </c>
      <c r="DB90" s="655">
        <f t="shared" si="221"/>
        <v>3537</v>
      </c>
      <c r="DC90" s="655">
        <f t="shared" si="221"/>
        <v>4245</v>
      </c>
      <c r="DD90" s="655">
        <f t="shared" si="221"/>
        <v>5306</v>
      </c>
      <c r="DE90" s="655">
        <f t="shared" si="221"/>
        <v>7075</v>
      </c>
      <c r="DF90" s="656">
        <f t="shared" si="221"/>
        <v>10612</v>
      </c>
      <c r="DG90" s="653"/>
      <c r="DH90" s="653" t="str">
        <f t="shared" si="46"/>
        <v/>
      </c>
      <c r="DI90" s="134" t="str">
        <f t="shared" si="47"/>
        <v/>
      </c>
      <c r="DJ90" s="134" t="str">
        <f t="shared" si="48"/>
        <v/>
      </c>
      <c r="DK90" s="662" t="str">
        <f t="shared" si="49"/>
        <v/>
      </c>
      <c r="DL90" s="134"/>
      <c r="DM90" s="134"/>
      <c r="DN90" s="134"/>
      <c r="DO90" s="653"/>
      <c r="DP90" s="663"/>
    </row>
    <row r="91">
      <c r="A91" s="552">
        <v>85.0</v>
      </c>
      <c r="B91" s="86">
        <v>143.0</v>
      </c>
      <c r="C91" s="54">
        <v>28.0</v>
      </c>
      <c r="D91" s="54">
        <v>50.0</v>
      </c>
      <c r="E91" s="74"/>
      <c r="F91" s="68" t="s">
        <v>753</v>
      </c>
      <c r="G91" s="68">
        <f t="shared" si="5"/>
        <v>20</v>
      </c>
      <c r="H91" s="68">
        <f t="shared" si="6"/>
        <v>23</v>
      </c>
      <c r="I91" s="68">
        <f t="shared" si="7"/>
        <v>18</v>
      </c>
      <c r="J91" s="68">
        <f t="shared" si="8"/>
        <v>21</v>
      </c>
      <c r="K91" s="68">
        <f t="shared" si="9"/>
        <v>23</v>
      </c>
      <c r="L91" s="68">
        <f t="shared" si="10"/>
        <v>18.5</v>
      </c>
      <c r="M91" s="569">
        <f t="shared" si="11"/>
        <v>24</v>
      </c>
      <c r="N91" s="37" t="s">
        <v>759</v>
      </c>
      <c r="O91" s="570" t="s">
        <v>1968</v>
      </c>
      <c r="P91" s="571"/>
      <c r="Q91" s="571" t="s">
        <v>1670</v>
      </c>
      <c r="R91" s="571" t="s">
        <v>1685</v>
      </c>
      <c r="S91" s="791" t="s">
        <v>584</v>
      </c>
      <c r="T91" s="572" t="s">
        <v>760</v>
      </c>
      <c r="U91" s="54">
        <v>37.0</v>
      </c>
      <c r="V91" s="54">
        <v>25.0</v>
      </c>
      <c r="W91" s="54">
        <v>73.0</v>
      </c>
      <c r="X91" s="54">
        <v>61.0</v>
      </c>
      <c r="Y91" s="54">
        <v>3.0</v>
      </c>
      <c r="Z91" s="54">
        <v>0.0</v>
      </c>
      <c r="AA91" s="54">
        <v>3.0</v>
      </c>
      <c r="AB91" s="54">
        <v>88.0</v>
      </c>
      <c r="AC91" s="54">
        <v>2232.0</v>
      </c>
      <c r="AD91" s="54">
        <v>4.0</v>
      </c>
      <c r="AE91" s="54">
        <v>110.0</v>
      </c>
      <c r="AF91" s="74"/>
      <c r="AG91" s="54">
        <v>32.0</v>
      </c>
      <c r="AH91" s="54">
        <v>58.0</v>
      </c>
      <c r="AI91" s="574">
        <f t="shared" si="12"/>
        <v>45</v>
      </c>
      <c r="AJ91" s="74"/>
      <c r="AK91" s="74"/>
      <c r="AL91" s="74"/>
      <c r="AM91" s="74"/>
      <c r="AN91" s="74"/>
      <c r="AO91" s="74"/>
      <c r="AP91" s="74"/>
      <c r="AQ91" s="74"/>
      <c r="AR91" s="74"/>
      <c r="AS91" s="575"/>
      <c r="AT91" s="68">
        <f t="shared" si="13"/>
        <v>820</v>
      </c>
      <c r="AU91" s="68">
        <f t="shared" si="14"/>
        <v>1290</v>
      </c>
      <c r="AV91" s="581">
        <f t="shared" si="15"/>
        <v>1055</v>
      </c>
      <c r="AW91" s="582">
        <f t="shared" si="16"/>
        <v>1388</v>
      </c>
      <c r="AX91" s="582">
        <f t="shared" si="17"/>
        <v>1199</v>
      </c>
      <c r="AY91" s="582">
        <f t="shared" si="18"/>
        <v>1551</v>
      </c>
      <c r="AZ91" s="582">
        <f t="shared" si="19"/>
        <v>1465</v>
      </c>
      <c r="BA91" s="582">
        <f t="shared" si="20"/>
        <v>1199</v>
      </c>
      <c r="BB91" s="582">
        <f t="shared" si="21"/>
        <v>1147</v>
      </c>
      <c r="BC91" s="582">
        <f t="shared" si="22"/>
        <v>1319</v>
      </c>
      <c r="BD91" s="582">
        <f t="shared" si="23"/>
        <v>977</v>
      </c>
      <c r="BE91" s="582">
        <f t="shared" si="24"/>
        <v>1199</v>
      </c>
      <c r="BF91" s="582">
        <f t="shared" si="25"/>
        <v>1147</v>
      </c>
      <c r="BG91" s="582">
        <f t="shared" si="26"/>
        <v>1388</v>
      </c>
      <c r="BH91" s="582">
        <f t="shared" si="27"/>
        <v>1388</v>
      </c>
      <c r="BI91" s="582">
        <f t="shared" si="28"/>
        <v>1465</v>
      </c>
      <c r="BJ91" s="582">
        <f t="shared" si="29"/>
        <v>1465</v>
      </c>
      <c r="BK91" s="582">
        <f t="shared" si="30"/>
        <v>1199</v>
      </c>
      <c r="BL91" s="582">
        <f t="shared" si="31"/>
        <v>1147</v>
      </c>
      <c r="BM91" s="74"/>
      <c r="BN91" s="74"/>
      <c r="BO91" s="582">
        <f t="shared" si="141"/>
        <v>1758</v>
      </c>
      <c r="BP91" s="602">
        <f t="shared" si="33"/>
        <v>1758</v>
      </c>
      <c r="BQ91" s="54">
        <v>18.0</v>
      </c>
      <c r="BR91" s="54">
        <v>40.0</v>
      </c>
      <c r="BS91" s="74"/>
      <c r="BT91" s="54">
        <v>100.0</v>
      </c>
      <c r="BU91" s="74"/>
      <c r="BV91" s="83">
        <f t="shared" si="34"/>
        <v>29</v>
      </c>
      <c r="BW91" s="608">
        <f t="shared" si="35"/>
        <v>866.9</v>
      </c>
      <c r="BX91" s="582">
        <f t="shared" si="36"/>
        <v>1140.7</v>
      </c>
      <c r="BY91" s="582">
        <f t="shared" si="37"/>
        <v>985.1</v>
      </c>
      <c r="BZ91" s="582">
        <f t="shared" si="38"/>
        <v>1274.9</v>
      </c>
      <c r="CA91" s="582">
        <f t="shared" si="39"/>
        <v>1083.6</v>
      </c>
      <c r="CB91" s="582">
        <f t="shared" si="40"/>
        <v>985.1</v>
      </c>
      <c r="CC91" s="582">
        <f t="shared" si="41"/>
        <v>1204</v>
      </c>
      <c r="CD91" s="582">
        <f t="shared" si="42"/>
        <v>942.3</v>
      </c>
      <c r="CE91" s="664">
        <f t="shared" si="43"/>
        <v>55.2</v>
      </c>
      <c r="CF91" s="706">
        <f t="shared" ref="CF91:CG91" si="222">IF(ROUND(100*(AV91/BW91)-100,1)=0,"",ROUND(100*(AV91/BW91)-100,1))</f>
        <v>21.7</v>
      </c>
      <c r="CG91" s="552">
        <f t="shared" si="222"/>
        <v>21.7</v>
      </c>
      <c r="CH91" s="575" t="s">
        <v>2319</v>
      </c>
      <c r="CI91" s="582">
        <f t="shared" ref="CI91:DF91" si="223">FLOOR($AV91/(CI$3/25),1)</f>
        <v>1055</v>
      </c>
      <c r="CJ91" s="582">
        <f t="shared" si="223"/>
        <v>1098</v>
      </c>
      <c r="CK91" s="582">
        <f t="shared" si="223"/>
        <v>1146</v>
      </c>
      <c r="CL91" s="582">
        <f t="shared" si="223"/>
        <v>1198</v>
      </c>
      <c r="CM91" s="582">
        <f t="shared" si="223"/>
        <v>1255</v>
      </c>
      <c r="CN91" s="582">
        <f t="shared" si="223"/>
        <v>1318</v>
      </c>
      <c r="CO91" s="582">
        <f t="shared" si="223"/>
        <v>1388</v>
      </c>
      <c r="CP91" s="582">
        <f t="shared" si="223"/>
        <v>1465</v>
      </c>
      <c r="CQ91" s="582">
        <f t="shared" si="223"/>
        <v>1551</v>
      </c>
      <c r="CR91" s="582">
        <f t="shared" si="223"/>
        <v>1648</v>
      </c>
      <c r="CS91" s="582">
        <f t="shared" si="223"/>
        <v>1758</v>
      </c>
      <c r="CT91" s="582">
        <f t="shared" si="223"/>
        <v>1883</v>
      </c>
      <c r="CU91" s="582">
        <f t="shared" si="223"/>
        <v>2028</v>
      </c>
      <c r="CV91" s="582">
        <f t="shared" si="223"/>
        <v>2197</v>
      </c>
      <c r="CW91" s="582">
        <f t="shared" si="223"/>
        <v>2397</v>
      </c>
      <c r="CX91" s="582">
        <f t="shared" si="223"/>
        <v>2637</v>
      </c>
      <c r="CY91" s="582">
        <f t="shared" si="223"/>
        <v>2930</v>
      </c>
      <c r="CZ91" s="582">
        <f t="shared" si="223"/>
        <v>3296</v>
      </c>
      <c r="DA91" s="582">
        <f t="shared" si="223"/>
        <v>3767</v>
      </c>
      <c r="DB91" s="582">
        <f t="shared" si="223"/>
        <v>4395</v>
      </c>
      <c r="DC91" s="582">
        <f t="shared" si="223"/>
        <v>5275</v>
      </c>
      <c r="DD91" s="582">
        <f t="shared" si="223"/>
        <v>6593</v>
      </c>
      <c r="DE91" s="582">
        <f t="shared" si="223"/>
        <v>8791</v>
      </c>
      <c r="DF91" s="602">
        <f t="shared" si="223"/>
        <v>13187</v>
      </c>
      <c r="DG91" s="575"/>
      <c r="DH91" s="575" t="str">
        <f t="shared" si="46"/>
        <v/>
      </c>
      <c r="DI91" s="74" t="str">
        <f t="shared" si="47"/>
        <v/>
      </c>
      <c r="DJ91" s="74" t="str">
        <f t="shared" si="48"/>
        <v/>
      </c>
      <c r="DK91" s="623" t="str">
        <f t="shared" si="49"/>
        <v/>
      </c>
      <c r="DL91" s="74"/>
      <c r="DM91" s="74"/>
      <c r="DN91" s="582">
        <f t="shared" ref="DN91:DN102" si="226">IF(ISBLANK(DL91),ROUND(AI91/IF(ISBLANK(DL85),AI85,DL85),1),ROUND(DL91/IF(ISBLANK(DL85),AI85,DL85),1))</f>
        <v>3.6</v>
      </c>
      <c r="DO91" s="575"/>
      <c r="DP91" s="297"/>
    </row>
    <row r="92">
      <c r="A92" s="552">
        <v>86.0</v>
      </c>
      <c r="B92" s="86">
        <v>145.0</v>
      </c>
      <c r="C92" s="54">
        <v>33.0</v>
      </c>
      <c r="D92" s="54">
        <v>76.0</v>
      </c>
      <c r="E92" s="74"/>
      <c r="F92" s="68" t="s">
        <v>753</v>
      </c>
      <c r="G92" s="68">
        <f t="shared" si="5"/>
        <v>20</v>
      </c>
      <c r="H92" s="68">
        <f t="shared" si="6"/>
        <v>23</v>
      </c>
      <c r="I92" s="68">
        <f t="shared" si="7"/>
        <v>18</v>
      </c>
      <c r="J92" s="68">
        <f t="shared" si="8"/>
        <v>21</v>
      </c>
      <c r="K92" s="68">
        <f t="shared" si="9"/>
        <v>23</v>
      </c>
      <c r="L92" s="68">
        <f t="shared" si="10"/>
        <v>18.5</v>
      </c>
      <c r="M92" s="569">
        <f t="shared" si="11"/>
        <v>24</v>
      </c>
      <c r="N92" s="74" t="s">
        <v>788</v>
      </c>
      <c r="O92" s="570" t="s">
        <v>1969</v>
      </c>
      <c r="P92" s="571"/>
      <c r="Q92" s="571" t="s">
        <v>1670</v>
      </c>
      <c r="R92" s="571" t="s">
        <v>1685</v>
      </c>
      <c r="S92" s="791" t="s">
        <v>584</v>
      </c>
      <c r="T92" s="572" t="s">
        <v>791</v>
      </c>
      <c r="U92" s="54">
        <v>42.0</v>
      </c>
      <c r="V92" s="54">
        <v>25.0</v>
      </c>
      <c r="W92" s="54">
        <v>91.0</v>
      </c>
      <c r="X92" s="54">
        <v>20.0</v>
      </c>
      <c r="Y92" s="54">
        <v>4.0</v>
      </c>
      <c r="Z92" s="54">
        <v>10.0</v>
      </c>
      <c r="AA92" s="54">
        <v>3.0</v>
      </c>
      <c r="AB92" s="54">
        <v>100.0</v>
      </c>
      <c r="AC92" s="54">
        <v>4086.0</v>
      </c>
      <c r="AD92" s="54">
        <v>4.0</v>
      </c>
      <c r="AE92" s="54">
        <v>110.0</v>
      </c>
      <c r="AF92" s="74"/>
      <c r="AG92" s="54">
        <v>38.0</v>
      </c>
      <c r="AH92" s="54">
        <v>87.0</v>
      </c>
      <c r="AI92" s="574">
        <f t="shared" si="12"/>
        <v>62.5</v>
      </c>
      <c r="AJ92" s="74"/>
      <c r="AK92" s="74"/>
      <c r="AL92" s="74"/>
      <c r="AM92" s="74"/>
      <c r="AN92" s="74"/>
      <c r="AO92" s="74"/>
      <c r="AP92" s="74"/>
      <c r="AQ92" s="74"/>
      <c r="AR92" s="74"/>
      <c r="AS92" s="575"/>
      <c r="AT92" s="68">
        <f t="shared" si="13"/>
        <v>930</v>
      </c>
      <c r="AU92" s="68">
        <f t="shared" si="14"/>
        <v>1810</v>
      </c>
      <c r="AV92" s="581">
        <f t="shared" si="15"/>
        <v>1370</v>
      </c>
      <c r="AW92" s="582">
        <f t="shared" si="16"/>
        <v>1557</v>
      </c>
      <c r="AX92" s="582">
        <f t="shared" si="17"/>
        <v>1370</v>
      </c>
      <c r="AY92" s="582">
        <f t="shared" si="18"/>
        <v>1713</v>
      </c>
      <c r="AZ92" s="582">
        <f t="shared" si="19"/>
        <v>1713</v>
      </c>
      <c r="BA92" s="582">
        <f t="shared" si="20"/>
        <v>1370</v>
      </c>
      <c r="BB92" s="582">
        <f t="shared" si="21"/>
        <v>1317</v>
      </c>
      <c r="BC92" s="582">
        <f t="shared" si="22"/>
        <v>1489</v>
      </c>
      <c r="BD92" s="582">
        <f t="shared" si="23"/>
        <v>1038</v>
      </c>
      <c r="BE92" s="582">
        <f t="shared" si="24"/>
        <v>1223</v>
      </c>
      <c r="BF92" s="582">
        <f t="shared" si="25"/>
        <v>1269</v>
      </c>
      <c r="BG92" s="582">
        <f t="shared" si="26"/>
        <v>1557</v>
      </c>
      <c r="BH92" s="582">
        <f t="shared" si="27"/>
        <v>1557</v>
      </c>
      <c r="BI92" s="582">
        <f t="shared" si="28"/>
        <v>1631</v>
      </c>
      <c r="BJ92" s="582">
        <f t="shared" si="29"/>
        <v>1631</v>
      </c>
      <c r="BK92" s="582">
        <f t="shared" si="30"/>
        <v>1223</v>
      </c>
      <c r="BL92" s="582">
        <f t="shared" si="31"/>
        <v>1181</v>
      </c>
      <c r="BM92" s="74"/>
      <c r="BN92" s="74"/>
      <c r="BO92" s="582">
        <f t="shared" si="141"/>
        <v>2015</v>
      </c>
      <c r="BP92" s="602">
        <f t="shared" si="33"/>
        <v>2015</v>
      </c>
      <c r="BQ92" s="54">
        <v>26.0</v>
      </c>
      <c r="BR92" s="54">
        <v>61.0</v>
      </c>
      <c r="BS92" s="54">
        <v>10.0</v>
      </c>
      <c r="BT92" s="54">
        <v>100.0</v>
      </c>
      <c r="BU92" s="74"/>
      <c r="BV92" s="83">
        <f t="shared" si="34"/>
        <v>43.5</v>
      </c>
      <c r="BW92" s="608">
        <f t="shared" si="35"/>
        <v>1160.4</v>
      </c>
      <c r="BX92" s="582">
        <f t="shared" si="36"/>
        <v>1318.6</v>
      </c>
      <c r="BY92" s="582">
        <f t="shared" si="37"/>
        <v>1160.4</v>
      </c>
      <c r="BZ92" s="582">
        <f t="shared" si="38"/>
        <v>1450.5</v>
      </c>
      <c r="CA92" s="582">
        <f t="shared" si="39"/>
        <v>1261.3</v>
      </c>
      <c r="CB92" s="582">
        <f t="shared" si="40"/>
        <v>1160.4</v>
      </c>
      <c r="CC92" s="582">
        <f t="shared" si="41"/>
        <v>1450.5</v>
      </c>
      <c r="CD92" s="582">
        <f t="shared" si="42"/>
        <v>1115.8</v>
      </c>
      <c r="CE92" s="664">
        <f t="shared" si="43"/>
        <v>43.7</v>
      </c>
      <c r="CF92" s="706">
        <f t="shared" ref="CF92:CG92" si="224">IF(ROUND(100*(AV92/BW92)-100,1)=0,"",ROUND(100*(AV92/BW92)-100,1))</f>
        <v>18.1</v>
      </c>
      <c r="CG92" s="552">
        <f t="shared" si="224"/>
        <v>18.1</v>
      </c>
      <c r="CH92" s="575" t="s">
        <v>788</v>
      </c>
      <c r="CI92" s="582">
        <f t="shared" ref="CI92:DF92" si="225">FLOOR($AV92/(CI$3/25),1)</f>
        <v>1370</v>
      </c>
      <c r="CJ92" s="582">
        <f t="shared" si="225"/>
        <v>1427</v>
      </c>
      <c r="CK92" s="582">
        <f t="shared" si="225"/>
        <v>1489</v>
      </c>
      <c r="CL92" s="582">
        <f t="shared" si="225"/>
        <v>1556</v>
      </c>
      <c r="CM92" s="582">
        <f t="shared" si="225"/>
        <v>1630</v>
      </c>
      <c r="CN92" s="582">
        <f t="shared" si="225"/>
        <v>1712</v>
      </c>
      <c r="CO92" s="582">
        <f t="shared" si="225"/>
        <v>1802</v>
      </c>
      <c r="CP92" s="582">
        <f t="shared" si="225"/>
        <v>1902</v>
      </c>
      <c r="CQ92" s="582">
        <f t="shared" si="225"/>
        <v>2014</v>
      </c>
      <c r="CR92" s="582">
        <f t="shared" si="225"/>
        <v>2140</v>
      </c>
      <c r="CS92" s="582">
        <f t="shared" si="225"/>
        <v>2283</v>
      </c>
      <c r="CT92" s="582">
        <f t="shared" si="225"/>
        <v>2446</v>
      </c>
      <c r="CU92" s="582">
        <f t="shared" si="225"/>
        <v>2634</v>
      </c>
      <c r="CV92" s="582">
        <f t="shared" si="225"/>
        <v>2854</v>
      </c>
      <c r="CW92" s="582">
        <f t="shared" si="225"/>
        <v>3113</v>
      </c>
      <c r="CX92" s="582">
        <f t="shared" si="225"/>
        <v>3425</v>
      </c>
      <c r="CY92" s="582">
        <f t="shared" si="225"/>
        <v>3805</v>
      </c>
      <c r="CZ92" s="582">
        <f t="shared" si="225"/>
        <v>4281</v>
      </c>
      <c r="DA92" s="582">
        <f t="shared" si="225"/>
        <v>4892</v>
      </c>
      <c r="DB92" s="582">
        <f t="shared" si="225"/>
        <v>5708</v>
      </c>
      <c r="DC92" s="582">
        <f t="shared" si="225"/>
        <v>6850</v>
      </c>
      <c r="DD92" s="582">
        <f t="shared" si="225"/>
        <v>8562</v>
      </c>
      <c r="DE92" s="582">
        <f t="shared" si="225"/>
        <v>11416</v>
      </c>
      <c r="DF92" s="602">
        <f t="shared" si="225"/>
        <v>17125</v>
      </c>
      <c r="DG92" s="575"/>
      <c r="DH92" s="575" t="str">
        <f t="shared" si="46"/>
        <v/>
      </c>
      <c r="DI92" s="74" t="str">
        <f t="shared" si="47"/>
        <v/>
      </c>
      <c r="DJ92" s="74" t="str">
        <f t="shared" si="48"/>
        <v/>
      </c>
      <c r="DK92" s="664">
        <f t="shared" si="49"/>
        <v>-10.4</v>
      </c>
      <c r="DL92" s="685">
        <v>56.0</v>
      </c>
      <c r="DM92" s="74"/>
      <c r="DN92" s="582">
        <f t="shared" si="226"/>
        <v>2.6</v>
      </c>
      <c r="DO92" s="575"/>
      <c r="DP92" s="297"/>
    </row>
    <row r="93">
      <c r="A93" s="552">
        <v>87.0</v>
      </c>
      <c r="B93" s="86">
        <v>147.0</v>
      </c>
      <c r="C93" s="54">
        <v>24.0</v>
      </c>
      <c r="D93" s="54">
        <v>72.0</v>
      </c>
      <c r="E93" s="74"/>
      <c r="F93" s="68" t="s">
        <v>753</v>
      </c>
      <c r="G93" s="68">
        <f t="shared" si="5"/>
        <v>20</v>
      </c>
      <c r="H93" s="68">
        <f t="shared" si="6"/>
        <v>23</v>
      </c>
      <c r="I93" s="68">
        <f t="shared" si="7"/>
        <v>18</v>
      </c>
      <c r="J93" s="68">
        <f t="shared" si="8"/>
        <v>21</v>
      </c>
      <c r="K93" s="68">
        <f t="shared" si="9"/>
        <v>23</v>
      </c>
      <c r="L93" s="68">
        <f t="shared" si="10"/>
        <v>18.5</v>
      </c>
      <c r="M93" s="569">
        <f t="shared" si="11"/>
        <v>24</v>
      </c>
      <c r="N93" s="74" t="s">
        <v>834</v>
      </c>
      <c r="O93" s="570" t="s">
        <v>1970</v>
      </c>
      <c r="P93" s="571"/>
      <c r="Q93" s="571" t="s">
        <v>1670</v>
      </c>
      <c r="R93" s="571" t="s">
        <v>1685</v>
      </c>
      <c r="S93" s="791" t="s">
        <v>584</v>
      </c>
      <c r="T93" s="572" t="s">
        <v>836</v>
      </c>
      <c r="U93" s="54">
        <v>45.0</v>
      </c>
      <c r="V93" s="54">
        <v>25.0</v>
      </c>
      <c r="W93" s="54">
        <v>104.0</v>
      </c>
      <c r="X93" s="54">
        <v>71.0</v>
      </c>
      <c r="Y93" s="54">
        <v>4.0</v>
      </c>
      <c r="Z93" s="54">
        <v>0.0</v>
      </c>
      <c r="AA93" s="54">
        <v>3.0</v>
      </c>
      <c r="AB93" s="54">
        <v>100.0</v>
      </c>
      <c r="AC93" s="54">
        <v>4677.0</v>
      </c>
      <c r="AD93" s="54">
        <v>4.0</v>
      </c>
      <c r="AE93" s="54">
        <v>110.0</v>
      </c>
      <c r="AF93" s="74"/>
      <c r="AG93" s="54">
        <v>28.0</v>
      </c>
      <c r="AH93" s="54">
        <v>83.0</v>
      </c>
      <c r="AI93" s="574">
        <f t="shared" si="12"/>
        <v>55.5</v>
      </c>
      <c r="AJ93" s="74"/>
      <c r="AK93" s="74"/>
      <c r="AL93" s="74"/>
      <c r="AM93" s="74"/>
      <c r="AN93" s="74"/>
      <c r="AO93" s="74"/>
      <c r="AP93" s="74"/>
      <c r="AQ93" s="74"/>
      <c r="AR93" s="74"/>
      <c r="AS93" s="575"/>
      <c r="AT93" s="68">
        <f t="shared" si="13"/>
        <v>748</v>
      </c>
      <c r="AU93" s="68">
        <f t="shared" si="14"/>
        <v>1738</v>
      </c>
      <c r="AV93" s="581">
        <f t="shared" si="15"/>
        <v>1243</v>
      </c>
      <c r="AW93" s="582">
        <f t="shared" si="16"/>
        <v>1636</v>
      </c>
      <c r="AX93" s="582">
        <f t="shared" si="17"/>
        <v>1413</v>
      </c>
      <c r="AY93" s="582">
        <f t="shared" si="18"/>
        <v>1828</v>
      </c>
      <c r="AZ93" s="582">
        <f t="shared" si="19"/>
        <v>1726</v>
      </c>
      <c r="BA93" s="582">
        <f t="shared" si="20"/>
        <v>1413</v>
      </c>
      <c r="BB93" s="582">
        <f t="shared" si="21"/>
        <v>1351</v>
      </c>
      <c r="BC93" s="582">
        <f t="shared" si="22"/>
        <v>1554</v>
      </c>
      <c r="BD93" s="582">
        <f t="shared" si="23"/>
        <v>1151</v>
      </c>
      <c r="BE93" s="582">
        <f t="shared" si="24"/>
        <v>1413</v>
      </c>
      <c r="BF93" s="582">
        <f t="shared" si="25"/>
        <v>1351</v>
      </c>
      <c r="BG93" s="582">
        <f t="shared" si="26"/>
        <v>1636</v>
      </c>
      <c r="BH93" s="582">
        <f t="shared" si="27"/>
        <v>1636</v>
      </c>
      <c r="BI93" s="582">
        <f t="shared" si="28"/>
        <v>1726</v>
      </c>
      <c r="BJ93" s="582">
        <f t="shared" si="29"/>
        <v>1726</v>
      </c>
      <c r="BK93" s="582">
        <f t="shared" si="30"/>
        <v>1413</v>
      </c>
      <c r="BL93" s="582">
        <f t="shared" si="31"/>
        <v>1351</v>
      </c>
      <c r="BM93" s="74"/>
      <c r="BN93" s="74"/>
      <c r="BO93" s="582">
        <f t="shared" si="141"/>
        <v>2072</v>
      </c>
      <c r="BP93" s="602">
        <f t="shared" si="33"/>
        <v>2072</v>
      </c>
      <c r="BQ93" s="54">
        <v>19.0</v>
      </c>
      <c r="BR93" s="54">
        <v>58.0</v>
      </c>
      <c r="BS93" s="74"/>
      <c r="BT93" s="54">
        <v>100.0</v>
      </c>
      <c r="BU93" s="74"/>
      <c r="BV93" s="83">
        <f t="shared" si="34"/>
        <v>38.5</v>
      </c>
      <c r="BW93" s="608">
        <f t="shared" si="35"/>
        <v>1059.2</v>
      </c>
      <c r="BX93" s="582">
        <f t="shared" si="36"/>
        <v>1393.7</v>
      </c>
      <c r="BY93" s="582">
        <f t="shared" si="37"/>
        <v>1203.6</v>
      </c>
      <c r="BZ93" s="582">
        <f t="shared" si="38"/>
        <v>1557.6</v>
      </c>
      <c r="CA93" s="582">
        <f t="shared" si="39"/>
        <v>1324</v>
      </c>
      <c r="CB93" s="582">
        <f t="shared" si="40"/>
        <v>1203.6</v>
      </c>
      <c r="CC93" s="582">
        <f t="shared" si="41"/>
        <v>1471.1</v>
      </c>
      <c r="CD93" s="582">
        <f t="shared" si="42"/>
        <v>1151.3</v>
      </c>
      <c r="CE93" s="664">
        <f t="shared" si="43"/>
        <v>44.2</v>
      </c>
      <c r="CF93" s="706">
        <f t="shared" ref="CF93:CG93" si="227">IF(ROUND(100*(AV93/BW93)-100,1)=0,"",ROUND(100*(AV93/BW93)-100,1))</f>
        <v>17.4</v>
      </c>
      <c r="CG93" s="552">
        <f t="shared" si="227"/>
        <v>17.4</v>
      </c>
      <c r="CH93" s="575" t="s">
        <v>834</v>
      </c>
      <c r="CI93" s="582">
        <f t="shared" ref="CI93:DF93" si="228">FLOOR($AV93/(CI$3/25),1)</f>
        <v>1243</v>
      </c>
      <c r="CJ93" s="582">
        <f t="shared" si="228"/>
        <v>1294</v>
      </c>
      <c r="CK93" s="582">
        <f t="shared" si="228"/>
        <v>1351</v>
      </c>
      <c r="CL93" s="582">
        <f t="shared" si="228"/>
        <v>1412</v>
      </c>
      <c r="CM93" s="582">
        <f t="shared" si="228"/>
        <v>1479</v>
      </c>
      <c r="CN93" s="582">
        <f t="shared" si="228"/>
        <v>1553</v>
      </c>
      <c r="CO93" s="582">
        <f t="shared" si="228"/>
        <v>1635</v>
      </c>
      <c r="CP93" s="582">
        <f t="shared" si="228"/>
        <v>1726</v>
      </c>
      <c r="CQ93" s="582">
        <f t="shared" si="228"/>
        <v>1827</v>
      </c>
      <c r="CR93" s="582">
        <f t="shared" si="228"/>
        <v>1942</v>
      </c>
      <c r="CS93" s="582">
        <f t="shared" si="228"/>
        <v>2071</v>
      </c>
      <c r="CT93" s="582">
        <f t="shared" si="228"/>
        <v>2219</v>
      </c>
      <c r="CU93" s="582">
        <f t="shared" si="228"/>
        <v>2390</v>
      </c>
      <c r="CV93" s="582">
        <f t="shared" si="228"/>
        <v>2589</v>
      </c>
      <c r="CW93" s="582">
        <f t="shared" si="228"/>
        <v>2825</v>
      </c>
      <c r="CX93" s="582">
        <f t="shared" si="228"/>
        <v>3107</v>
      </c>
      <c r="CY93" s="582">
        <f t="shared" si="228"/>
        <v>3452</v>
      </c>
      <c r="CZ93" s="582">
        <f t="shared" si="228"/>
        <v>3884</v>
      </c>
      <c r="DA93" s="582">
        <f t="shared" si="228"/>
        <v>4439</v>
      </c>
      <c r="DB93" s="582">
        <f t="shared" si="228"/>
        <v>5179</v>
      </c>
      <c r="DC93" s="582">
        <f t="shared" si="228"/>
        <v>6215</v>
      </c>
      <c r="DD93" s="582">
        <f t="shared" si="228"/>
        <v>7768</v>
      </c>
      <c r="DE93" s="582">
        <f t="shared" si="228"/>
        <v>10358</v>
      </c>
      <c r="DF93" s="602">
        <f t="shared" si="228"/>
        <v>15537</v>
      </c>
      <c r="DG93" s="575"/>
      <c r="DH93" s="575" t="str">
        <f t="shared" si="46"/>
        <v/>
      </c>
      <c r="DI93" s="74" t="str">
        <f t="shared" si="47"/>
        <v/>
      </c>
      <c r="DJ93" s="74" t="str">
        <f t="shared" si="48"/>
        <v/>
      </c>
      <c r="DK93" s="623" t="str">
        <f t="shared" si="49"/>
        <v/>
      </c>
      <c r="DL93" s="74"/>
      <c r="DM93" s="74"/>
      <c r="DN93" s="582">
        <f t="shared" si="226"/>
        <v>3</v>
      </c>
      <c r="DO93" s="575"/>
      <c r="DP93" s="297"/>
    </row>
    <row r="94">
      <c r="A94" s="552">
        <v>88.0</v>
      </c>
      <c r="B94" s="86">
        <v>149.0</v>
      </c>
      <c r="C94" s="54">
        <v>50.0</v>
      </c>
      <c r="D94" s="54">
        <v>75.0</v>
      </c>
      <c r="E94" s="74"/>
      <c r="F94" s="68" t="s">
        <v>753</v>
      </c>
      <c r="G94" s="68">
        <f t="shared" si="5"/>
        <v>20</v>
      </c>
      <c r="H94" s="68">
        <f t="shared" si="6"/>
        <v>23</v>
      </c>
      <c r="I94" s="68">
        <f t="shared" si="7"/>
        <v>18</v>
      </c>
      <c r="J94" s="68">
        <f t="shared" si="8"/>
        <v>21</v>
      </c>
      <c r="K94" s="68">
        <f t="shared" si="9"/>
        <v>23</v>
      </c>
      <c r="L94" s="68">
        <f t="shared" si="10"/>
        <v>18.5</v>
      </c>
      <c r="M94" s="569">
        <f t="shared" si="11"/>
        <v>24</v>
      </c>
      <c r="N94" s="74" t="s">
        <v>858</v>
      </c>
      <c r="O94" s="570" t="s">
        <v>1971</v>
      </c>
      <c r="P94" s="571"/>
      <c r="Q94" s="571" t="s">
        <v>1670</v>
      </c>
      <c r="R94" s="571" t="s">
        <v>1685</v>
      </c>
      <c r="S94" s="791" t="s">
        <v>584</v>
      </c>
      <c r="T94" s="572" t="s">
        <v>859</v>
      </c>
      <c r="U94" s="54">
        <v>48.0</v>
      </c>
      <c r="V94" s="54">
        <v>25.0</v>
      </c>
      <c r="W94" s="54">
        <v>113.0</v>
      </c>
      <c r="X94" s="54">
        <v>20.0</v>
      </c>
      <c r="Y94" s="54">
        <v>4.0</v>
      </c>
      <c r="Z94" s="54">
        <v>10.0</v>
      </c>
      <c r="AA94" s="54">
        <v>3.0</v>
      </c>
      <c r="AB94" s="54">
        <v>80.0</v>
      </c>
      <c r="AC94" s="54">
        <v>6213.0</v>
      </c>
      <c r="AD94" s="54">
        <v>4.0</v>
      </c>
      <c r="AE94" s="54">
        <v>110.0</v>
      </c>
      <c r="AF94" s="74"/>
      <c r="AG94" s="54">
        <v>58.0</v>
      </c>
      <c r="AH94" s="54">
        <v>86.0</v>
      </c>
      <c r="AI94" s="574">
        <f t="shared" si="12"/>
        <v>72</v>
      </c>
      <c r="AJ94" s="74"/>
      <c r="AK94" s="74"/>
      <c r="AL94" s="74"/>
      <c r="AM94" s="74"/>
      <c r="AN94" s="74"/>
      <c r="AO94" s="74"/>
      <c r="AP94" s="74"/>
      <c r="AQ94" s="74"/>
      <c r="AR94" s="74"/>
      <c r="AS94" s="575"/>
      <c r="AT94" s="68">
        <f t="shared" si="13"/>
        <v>1290</v>
      </c>
      <c r="AU94" s="68">
        <f t="shared" si="14"/>
        <v>1793</v>
      </c>
      <c r="AV94" s="581">
        <f t="shared" si="15"/>
        <v>1541.5</v>
      </c>
      <c r="AW94" s="582">
        <f t="shared" si="16"/>
        <v>1752</v>
      </c>
      <c r="AX94" s="582">
        <f t="shared" si="17"/>
        <v>1542</v>
      </c>
      <c r="AY94" s="582">
        <f t="shared" si="18"/>
        <v>1927</v>
      </c>
      <c r="AZ94" s="582">
        <f t="shared" si="19"/>
        <v>1927</v>
      </c>
      <c r="BA94" s="582">
        <f t="shared" si="20"/>
        <v>1542</v>
      </c>
      <c r="BB94" s="582">
        <f t="shared" si="21"/>
        <v>1482</v>
      </c>
      <c r="BC94" s="582">
        <f t="shared" si="22"/>
        <v>1676</v>
      </c>
      <c r="BD94" s="582">
        <f t="shared" si="23"/>
        <v>1168</v>
      </c>
      <c r="BE94" s="582">
        <f t="shared" si="24"/>
        <v>1376</v>
      </c>
      <c r="BF94" s="582">
        <f t="shared" si="25"/>
        <v>1427</v>
      </c>
      <c r="BG94" s="582">
        <f t="shared" si="26"/>
        <v>1752</v>
      </c>
      <c r="BH94" s="582">
        <f t="shared" si="27"/>
        <v>1752</v>
      </c>
      <c r="BI94" s="582">
        <f t="shared" si="28"/>
        <v>1835</v>
      </c>
      <c r="BJ94" s="582">
        <f t="shared" si="29"/>
        <v>1835</v>
      </c>
      <c r="BK94" s="582">
        <f t="shared" si="30"/>
        <v>1376</v>
      </c>
      <c r="BL94" s="582">
        <f t="shared" si="31"/>
        <v>1329</v>
      </c>
      <c r="BM94" s="74"/>
      <c r="BN94" s="74"/>
      <c r="BO94" s="582">
        <f t="shared" si="141"/>
        <v>2267</v>
      </c>
      <c r="BP94" s="602">
        <f t="shared" si="33"/>
        <v>2267</v>
      </c>
      <c r="BQ94" s="54">
        <v>39.0</v>
      </c>
      <c r="BR94" s="54">
        <v>60.0</v>
      </c>
      <c r="BS94" s="54">
        <v>10.0</v>
      </c>
      <c r="BT94" s="54">
        <v>100.0</v>
      </c>
      <c r="BU94" s="74"/>
      <c r="BV94" s="83">
        <f t="shared" si="34"/>
        <v>49.5</v>
      </c>
      <c r="BW94" s="608">
        <f t="shared" si="35"/>
        <v>1281.9</v>
      </c>
      <c r="BX94" s="582">
        <f t="shared" si="36"/>
        <v>1456.7</v>
      </c>
      <c r="BY94" s="582">
        <f t="shared" si="37"/>
        <v>1281.9</v>
      </c>
      <c r="BZ94" s="582">
        <f t="shared" si="38"/>
        <v>1602.4</v>
      </c>
      <c r="CA94" s="582">
        <f t="shared" si="39"/>
        <v>1393.4</v>
      </c>
      <c r="CB94" s="582">
        <f t="shared" si="40"/>
        <v>1281.9</v>
      </c>
      <c r="CC94" s="582">
        <f t="shared" si="41"/>
        <v>1602.4</v>
      </c>
      <c r="CD94" s="582">
        <f t="shared" si="42"/>
        <v>1232.6</v>
      </c>
      <c r="CE94" s="664">
        <f t="shared" si="43"/>
        <v>45.5</v>
      </c>
      <c r="CF94" s="706">
        <f t="shared" ref="CF94:CG94" si="229">IF(ROUND(100*(AV94/BW94)-100,1)=0,"",ROUND(100*(AV94/BW94)-100,1))</f>
        <v>20.3</v>
      </c>
      <c r="CG94" s="552">
        <f t="shared" si="229"/>
        <v>20.3</v>
      </c>
      <c r="CH94" s="575" t="s">
        <v>858</v>
      </c>
      <c r="CI94" s="582">
        <f t="shared" ref="CI94:DF94" si="230">FLOOR($AV94/(CI$3/25),1)</f>
        <v>1541</v>
      </c>
      <c r="CJ94" s="582">
        <f t="shared" si="230"/>
        <v>1605</v>
      </c>
      <c r="CK94" s="582">
        <f t="shared" si="230"/>
        <v>1675</v>
      </c>
      <c r="CL94" s="582">
        <f t="shared" si="230"/>
        <v>1751</v>
      </c>
      <c r="CM94" s="582">
        <f t="shared" si="230"/>
        <v>1835</v>
      </c>
      <c r="CN94" s="582">
        <f t="shared" si="230"/>
        <v>1926</v>
      </c>
      <c r="CO94" s="582">
        <f t="shared" si="230"/>
        <v>2028</v>
      </c>
      <c r="CP94" s="582">
        <f t="shared" si="230"/>
        <v>2140</v>
      </c>
      <c r="CQ94" s="582">
        <f t="shared" si="230"/>
        <v>2266</v>
      </c>
      <c r="CR94" s="582">
        <f t="shared" si="230"/>
        <v>2408</v>
      </c>
      <c r="CS94" s="582">
        <f t="shared" si="230"/>
        <v>2569</v>
      </c>
      <c r="CT94" s="582">
        <f t="shared" si="230"/>
        <v>2752</v>
      </c>
      <c r="CU94" s="582">
        <f t="shared" si="230"/>
        <v>2964</v>
      </c>
      <c r="CV94" s="582">
        <f t="shared" si="230"/>
        <v>3211</v>
      </c>
      <c r="CW94" s="582">
        <f t="shared" si="230"/>
        <v>3503</v>
      </c>
      <c r="CX94" s="582">
        <f t="shared" si="230"/>
        <v>3853</v>
      </c>
      <c r="CY94" s="582">
        <f t="shared" si="230"/>
        <v>4281</v>
      </c>
      <c r="CZ94" s="582">
        <f t="shared" si="230"/>
        <v>4817</v>
      </c>
      <c r="DA94" s="582">
        <f t="shared" si="230"/>
        <v>5505</v>
      </c>
      <c r="DB94" s="582">
        <f t="shared" si="230"/>
        <v>6422</v>
      </c>
      <c r="DC94" s="582">
        <f t="shared" si="230"/>
        <v>7707</v>
      </c>
      <c r="DD94" s="582">
        <f t="shared" si="230"/>
        <v>9634</v>
      </c>
      <c r="DE94" s="582">
        <f t="shared" si="230"/>
        <v>12845</v>
      </c>
      <c r="DF94" s="602">
        <f t="shared" si="230"/>
        <v>19268</v>
      </c>
      <c r="DG94" s="575"/>
      <c r="DH94" s="575" t="str">
        <f t="shared" si="46"/>
        <v/>
      </c>
      <c r="DI94" s="74" t="str">
        <f t="shared" si="47"/>
        <v/>
      </c>
      <c r="DJ94" s="74" t="str">
        <f t="shared" si="48"/>
        <v/>
      </c>
      <c r="DK94" s="623" t="str">
        <f t="shared" si="49"/>
        <v/>
      </c>
      <c r="DL94" s="74"/>
      <c r="DM94" s="74"/>
      <c r="DN94" s="582">
        <f t="shared" si="226"/>
        <v>3</v>
      </c>
      <c r="DO94" s="575"/>
      <c r="DP94" s="297"/>
    </row>
    <row r="95">
      <c r="A95" s="552">
        <v>89.0</v>
      </c>
      <c r="B95" s="86">
        <v>151.0</v>
      </c>
      <c r="C95" s="54">
        <v>36.0</v>
      </c>
      <c r="D95" s="54">
        <v>67.0</v>
      </c>
      <c r="E95" s="74"/>
      <c r="F95" s="68" t="s">
        <v>753</v>
      </c>
      <c r="G95" s="68">
        <f t="shared" si="5"/>
        <v>20</v>
      </c>
      <c r="H95" s="68">
        <f t="shared" si="6"/>
        <v>23</v>
      </c>
      <c r="I95" s="68">
        <f t="shared" si="7"/>
        <v>18</v>
      </c>
      <c r="J95" s="68">
        <f t="shared" si="8"/>
        <v>21</v>
      </c>
      <c r="K95" s="68">
        <f t="shared" si="9"/>
        <v>23</v>
      </c>
      <c r="L95" s="68">
        <f t="shared" si="10"/>
        <v>18.5</v>
      </c>
      <c r="M95" s="569">
        <f t="shared" si="11"/>
        <v>24</v>
      </c>
      <c r="N95" s="74" t="s">
        <v>868</v>
      </c>
      <c r="O95" s="570" t="s">
        <v>1972</v>
      </c>
      <c r="P95" s="571"/>
      <c r="Q95" s="571" t="s">
        <v>1670</v>
      </c>
      <c r="R95" s="571" t="s">
        <v>1685</v>
      </c>
      <c r="S95" s="791" t="s">
        <v>584</v>
      </c>
      <c r="T95" s="572" t="s">
        <v>869</v>
      </c>
      <c r="U95" s="54">
        <v>49.0</v>
      </c>
      <c r="V95" s="54">
        <v>25.0</v>
      </c>
      <c r="W95" s="54">
        <v>125.0</v>
      </c>
      <c r="X95" s="679">
        <v>94.0</v>
      </c>
      <c r="Y95" s="54">
        <v>5.0</v>
      </c>
      <c r="Z95" s="54">
        <v>-10.0</v>
      </c>
      <c r="AA95" s="54">
        <v>3.0</v>
      </c>
      <c r="AB95" s="54">
        <v>100.0</v>
      </c>
      <c r="AC95" s="54">
        <v>7500.0</v>
      </c>
      <c r="AD95" s="54">
        <v>4.0</v>
      </c>
      <c r="AE95" s="54">
        <v>110.0</v>
      </c>
      <c r="AF95" s="74"/>
      <c r="AG95" s="54">
        <v>41.0</v>
      </c>
      <c r="AH95" s="54">
        <v>77.0</v>
      </c>
      <c r="AI95" s="574">
        <f t="shared" si="12"/>
        <v>59</v>
      </c>
      <c r="AJ95" s="74"/>
      <c r="AK95" s="74"/>
      <c r="AL95" s="74"/>
      <c r="AM95" s="74"/>
      <c r="AN95" s="74"/>
      <c r="AO95" s="74"/>
      <c r="AP95" s="74"/>
      <c r="AQ95" s="74"/>
      <c r="AR95" s="74"/>
      <c r="AS95" s="575"/>
      <c r="AT95" s="68">
        <f t="shared" si="13"/>
        <v>981</v>
      </c>
      <c r="AU95" s="68">
        <f t="shared" si="14"/>
        <v>1632</v>
      </c>
      <c r="AV95" s="581">
        <f t="shared" si="15"/>
        <v>1306.5</v>
      </c>
      <c r="AW95" s="582">
        <f t="shared" si="16"/>
        <v>1815</v>
      </c>
      <c r="AX95" s="582">
        <f t="shared" si="17"/>
        <v>1633</v>
      </c>
      <c r="AY95" s="582">
        <f t="shared" si="18"/>
        <v>2041</v>
      </c>
      <c r="AZ95" s="582">
        <f t="shared" si="19"/>
        <v>2041</v>
      </c>
      <c r="BA95" s="582">
        <f t="shared" si="20"/>
        <v>1633</v>
      </c>
      <c r="BB95" s="582">
        <f t="shared" si="21"/>
        <v>1555</v>
      </c>
      <c r="BC95" s="582">
        <f t="shared" si="22"/>
        <v>1719</v>
      </c>
      <c r="BD95" s="582">
        <f t="shared" si="23"/>
        <v>1485</v>
      </c>
      <c r="BE95" s="582">
        <f t="shared" si="24"/>
        <v>1815</v>
      </c>
      <c r="BF95" s="582">
        <f t="shared" si="25"/>
        <v>1815</v>
      </c>
      <c r="BG95" s="582">
        <f t="shared" si="26"/>
        <v>2178</v>
      </c>
      <c r="BH95" s="582">
        <f t="shared" si="27"/>
        <v>2178</v>
      </c>
      <c r="BI95" s="582">
        <f t="shared" si="28"/>
        <v>2333</v>
      </c>
      <c r="BJ95" s="582">
        <f t="shared" si="29"/>
        <v>2333</v>
      </c>
      <c r="BK95" s="582">
        <f t="shared" si="30"/>
        <v>1815</v>
      </c>
      <c r="BL95" s="582">
        <f t="shared" si="31"/>
        <v>1719</v>
      </c>
      <c r="BM95" s="74"/>
      <c r="BN95" s="74"/>
      <c r="BO95" s="582">
        <f t="shared" si="141"/>
        <v>2333</v>
      </c>
      <c r="BP95" s="602">
        <f t="shared" si="33"/>
        <v>2333</v>
      </c>
      <c r="BQ95" s="54">
        <v>29.0</v>
      </c>
      <c r="BR95" s="54">
        <v>54.0</v>
      </c>
      <c r="BS95" s="54">
        <v>-10.0</v>
      </c>
      <c r="BT95" s="54">
        <v>100.0</v>
      </c>
      <c r="BU95" s="74"/>
      <c r="BV95" s="83">
        <f t="shared" si="34"/>
        <v>41.5</v>
      </c>
      <c r="BW95" s="608">
        <f t="shared" si="35"/>
        <v>1119.9</v>
      </c>
      <c r="BX95" s="582">
        <f t="shared" si="36"/>
        <v>1555.4</v>
      </c>
      <c r="BY95" s="582">
        <f t="shared" si="37"/>
        <v>1399.9</v>
      </c>
      <c r="BZ95" s="582">
        <f t="shared" si="38"/>
        <v>1749.8</v>
      </c>
      <c r="CA95" s="582">
        <f t="shared" si="39"/>
        <v>1473.6</v>
      </c>
      <c r="CB95" s="582">
        <f t="shared" si="40"/>
        <v>1399.9</v>
      </c>
      <c r="CC95" s="582">
        <f t="shared" si="41"/>
        <v>1749.8</v>
      </c>
      <c r="CD95" s="582">
        <f t="shared" si="42"/>
        <v>1333.2</v>
      </c>
      <c r="CE95" s="664">
        <f t="shared" si="43"/>
        <v>42.2</v>
      </c>
      <c r="CF95" s="706">
        <f t="shared" ref="CF95:CG95" si="231">IF(ROUND(100*(AV95/BW95)-100,1)=0,"",ROUND(100*(AV95/BW95)-100,1))</f>
        <v>16.7</v>
      </c>
      <c r="CG95" s="552">
        <f t="shared" si="231"/>
        <v>16.7</v>
      </c>
      <c r="CH95" s="575" t="s">
        <v>868</v>
      </c>
      <c r="CI95" s="582">
        <f t="shared" ref="CI95:DF95" si="232">FLOOR($AV95/(CI$3/25),1)</f>
        <v>1306</v>
      </c>
      <c r="CJ95" s="582">
        <f t="shared" si="232"/>
        <v>1360</v>
      </c>
      <c r="CK95" s="582">
        <f t="shared" si="232"/>
        <v>1420</v>
      </c>
      <c r="CL95" s="582">
        <f t="shared" si="232"/>
        <v>1484</v>
      </c>
      <c r="CM95" s="582">
        <f t="shared" si="232"/>
        <v>1555</v>
      </c>
      <c r="CN95" s="582">
        <f t="shared" si="232"/>
        <v>1633</v>
      </c>
      <c r="CO95" s="582">
        <f t="shared" si="232"/>
        <v>1719</v>
      </c>
      <c r="CP95" s="582">
        <f t="shared" si="232"/>
        <v>1814</v>
      </c>
      <c r="CQ95" s="582">
        <f t="shared" si="232"/>
        <v>1921</v>
      </c>
      <c r="CR95" s="582">
        <f t="shared" si="232"/>
        <v>2041</v>
      </c>
      <c r="CS95" s="582">
        <f t="shared" si="232"/>
        <v>2177</v>
      </c>
      <c r="CT95" s="582">
        <f t="shared" si="232"/>
        <v>2333</v>
      </c>
      <c r="CU95" s="582">
        <f t="shared" si="232"/>
        <v>2512</v>
      </c>
      <c r="CV95" s="582">
        <f t="shared" si="232"/>
        <v>2721</v>
      </c>
      <c r="CW95" s="582">
        <f t="shared" si="232"/>
        <v>2969</v>
      </c>
      <c r="CX95" s="582">
        <f t="shared" si="232"/>
        <v>3266</v>
      </c>
      <c r="CY95" s="582">
        <f t="shared" si="232"/>
        <v>3629</v>
      </c>
      <c r="CZ95" s="582">
        <f t="shared" si="232"/>
        <v>4082</v>
      </c>
      <c r="DA95" s="582">
        <f t="shared" si="232"/>
        <v>4666</v>
      </c>
      <c r="DB95" s="582">
        <f t="shared" si="232"/>
        <v>5443</v>
      </c>
      <c r="DC95" s="582">
        <f t="shared" si="232"/>
        <v>6532</v>
      </c>
      <c r="DD95" s="582">
        <f t="shared" si="232"/>
        <v>8165</v>
      </c>
      <c r="DE95" s="582">
        <f t="shared" si="232"/>
        <v>10887</v>
      </c>
      <c r="DF95" s="602">
        <f t="shared" si="232"/>
        <v>16331</v>
      </c>
      <c r="DG95" s="575"/>
      <c r="DH95" s="575" t="str">
        <f t="shared" si="46"/>
        <v/>
      </c>
      <c r="DI95" s="74" t="str">
        <f t="shared" si="47"/>
        <v/>
      </c>
      <c r="DJ95" s="74" t="str">
        <f t="shared" si="48"/>
        <v/>
      </c>
      <c r="DK95" s="623" t="str">
        <f t="shared" si="49"/>
        <v/>
      </c>
      <c r="DL95" s="74"/>
      <c r="DM95" s="74"/>
      <c r="DN95" s="582">
        <f t="shared" si="226"/>
        <v>3</v>
      </c>
      <c r="DO95" s="575"/>
      <c r="DP95" s="297"/>
    </row>
    <row r="96">
      <c r="A96" s="647">
        <v>90.0</v>
      </c>
      <c r="B96" s="141">
        <v>153.0</v>
      </c>
      <c r="C96" s="129">
        <v>59.0</v>
      </c>
      <c r="D96" s="129">
        <v>100.0</v>
      </c>
      <c r="E96" s="134"/>
      <c r="F96" s="154" t="s">
        <v>753</v>
      </c>
      <c r="G96" s="154">
        <f t="shared" si="5"/>
        <v>20</v>
      </c>
      <c r="H96" s="154">
        <f t="shared" si="6"/>
        <v>23</v>
      </c>
      <c r="I96" s="154">
        <f t="shared" si="7"/>
        <v>18</v>
      </c>
      <c r="J96" s="154">
        <f t="shared" si="8"/>
        <v>21</v>
      </c>
      <c r="K96" s="154">
        <f t="shared" si="9"/>
        <v>23</v>
      </c>
      <c r="L96" s="154">
        <f t="shared" si="10"/>
        <v>18.5</v>
      </c>
      <c r="M96" s="648">
        <f t="shared" si="11"/>
        <v>24</v>
      </c>
      <c r="N96" s="134" t="s">
        <v>885</v>
      </c>
      <c r="O96" s="649" t="s">
        <v>1973</v>
      </c>
      <c r="P96" s="650"/>
      <c r="Q96" s="650" t="s">
        <v>1670</v>
      </c>
      <c r="R96" s="650" t="s">
        <v>1685</v>
      </c>
      <c r="S96" s="796" t="s">
        <v>584</v>
      </c>
      <c r="T96" s="651" t="s">
        <v>886</v>
      </c>
      <c r="U96" s="129">
        <v>54.0</v>
      </c>
      <c r="V96" s="129">
        <v>25.0</v>
      </c>
      <c r="W96" s="799">
        <v>170.0</v>
      </c>
      <c r="X96" s="799">
        <v>110.0</v>
      </c>
      <c r="Y96" s="129">
        <v>6.0</v>
      </c>
      <c r="Z96" s="129">
        <v>10.0</v>
      </c>
      <c r="AA96" s="129">
        <v>3.0</v>
      </c>
      <c r="AB96" s="129">
        <v>100.0</v>
      </c>
      <c r="AC96" s="129">
        <v>10653.0</v>
      </c>
      <c r="AD96" s="129">
        <v>4.0</v>
      </c>
      <c r="AE96" s="129">
        <v>110.0</v>
      </c>
      <c r="AF96" s="134"/>
      <c r="AG96" s="129">
        <v>68.0</v>
      </c>
      <c r="AH96" s="129">
        <v>115.0</v>
      </c>
      <c r="AI96" s="652">
        <f t="shared" si="12"/>
        <v>91.5</v>
      </c>
      <c r="AJ96" s="134"/>
      <c r="AK96" s="134"/>
      <c r="AL96" s="134"/>
      <c r="AM96" s="134"/>
      <c r="AN96" s="134"/>
      <c r="AO96" s="134"/>
      <c r="AP96" s="134"/>
      <c r="AQ96" s="134"/>
      <c r="AR96" s="134"/>
      <c r="AS96" s="653"/>
      <c r="AT96" s="154">
        <f t="shared" si="13"/>
        <v>1471</v>
      </c>
      <c r="AU96" s="154">
        <f t="shared" si="14"/>
        <v>2315</v>
      </c>
      <c r="AV96" s="654">
        <f t="shared" si="15"/>
        <v>1893</v>
      </c>
      <c r="AW96" s="655">
        <f t="shared" si="16"/>
        <v>2151</v>
      </c>
      <c r="AX96" s="655">
        <f t="shared" si="17"/>
        <v>1893</v>
      </c>
      <c r="AY96" s="655">
        <f t="shared" si="18"/>
        <v>2366</v>
      </c>
      <c r="AZ96" s="655">
        <f t="shared" si="19"/>
        <v>2366</v>
      </c>
      <c r="BA96" s="655">
        <f t="shared" si="20"/>
        <v>1893</v>
      </c>
      <c r="BB96" s="655">
        <f t="shared" si="21"/>
        <v>1820</v>
      </c>
      <c r="BC96" s="655">
        <f t="shared" si="22"/>
        <v>2058</v>
      </c>
      <c r="BD96" s="655">
        <f t="shared" si="23"/>
        <v>1434</v>
      </c>
      <c r="BE96" s="655">
        <f t="shared" si="24"/>
        <v>1690</v>
      </c>
      <c r="BF96" s="655">
        <f t="shared" si="25"/>
        <v>1753</v>
      </c>
      <c r="BG96" s="655">
        <f t="shared" si="26"/>
        <v>2151</v>
      </c>
      <c r="BH96" s="655">
        <f t="shared" si="27"/>
        <v>2151</v>
      </c>
      <c r="BI96" s="655">
        <f t="shared" si="28"/>
        <v>2254</v>
      </c>
      <c r="BJ96" s="655">
        <f t="shared" si="29"/>
        <v>2254</v>
      </c>
      <c r="BK96" s="655">
        <f t="shared" si="30"/>
        <v>1690</v>
      </c>
      <c r="BL96" s="655">
        <f t="shared" si="31"/>
        <v>1632</v>
      </c>
      <c r="BM96" s="134"/>
      <c r="BN96" s="134"/>
      <c r="BO96" s="655">
        <f t="shared" si="141"/>
        <v>2784</v>
      </c>
      <c r="BP96" s="656">
        <f t="shared" si="33"/>
        <v>2784</v>
      </c>
      <c r="BQ96" s="129">
        <v>47.0</v>
      </c>
      <c r="BR96" s="129">
        <v>80.0</v>
      </c>
      <c r="BS96" s="129">
        <v>10.0</v>
      </c>
      <c r="BT96" s="129">
        <v>100.0</v>
      </c>
      <c r="BU96" s="134"/>
      <c r="BV96" s="135">
        <f t="shared" si="34"/>
        <v>63.5</v>
      </c>
      <c r="BW96" s="657">
        <f t="shared" si="35"/>
        <v>1565.4</v>
      </c>
      <c r="BX96" s="655">
        <f t="shared" si="36"/>
        <v>1778.9</v>
      </c>
      <c r="BY96" s="655">
        <f t="shared" si="37"/>
        <v>1565.4</v>
      </c>
      <c r="BZ96" s="655">
        <f t="shared" si="38"/>
        <v>1956.8</v>
      </c>
      <c r="CA96" s="655">
        <f t="shared" si="39"/>
        <v>1701.5</v>
      </c>
      <c r="CB96" s="655">
        <f t="shared" si="40"/>
        <v>1565.4</v>
      </c>
      <c r="CC96" s="655">
        <f t="shared" si="41"/>
        <v>1956.8</v>
      </c>
      <c r="CD96" s="655">
        <f t="shared" si="42"/>
        <v>1505.2</v>
      </c>
      <c r="CE96" s="659">
        <f t="shared" si="43"/>
        <v>44.1</v>
      </c>
      <c r="CF96" s="712">
        <f t="shared" ref="CF96:CG96" si="233">IF(ROUND(100*(AV96/BW96)-100,1)=0,"",ROUND(100*(AV96/BW96)-100,1))</f>
        <v>20.9</v>
      </c>
      <c r="CG96" s="647">
        <f t="shared" si="233"/>
        <v>20.9</v>
      </c>
      <c r="CH96" s="653" t="s">
        <v>885</v>
      </c>
      <c r="CI96" s="655">
        <f t="shared" ref="CI96:DF96" si="234">FLOOR($AV96/(CI$3/25),1)</f>
        <v>1893</v>
      </c>
      <c r="CJ96" s="655">
        <f t="shared" si="234"/>
        <v>1971</v>
      </c>
      <c r="CK96" s="655">
        <f t="shared" si="234"/>
        <v>2057</v>
      </c>
      <c r="CL96" s="655">
        <f t="shared" si="234"/>
        <v>2151</v>
      </c>
      <c r="CM96" s="655">
        <f t="shared" si="234"/>
        <v>2253</v>
      </c>
      <c r="CN96" s="655">
        <f t="shared" si="234"/>
        <v>2366</v>
      </c>
      <c r="CO96" s="655">
        <f t="shared" si="234"/>
        <v>2490</v>
      </c>
      <c r="CP96" s="655">
        <f t="shared" si="234"/>
        <v>2629</v>
      </c>
      <c r="CQ96" s="655">
        <f t="shared" si="234"/>
        <v>2783</v>
      </c>
      <c r="CR96" s="655">
        <f t="shared" si="234"/>
        <v>2957</v>
      </c>
      <c r="CS96" s="655">
        <f t="shared" si="234"/>
        <v>3155</v>
      </c>
      <c r="CT96" s="655">
        <f t="shared" si="234"/>
        <v>3380</v>
      </c>
      <c r="CU96" s="655">
        <f t="shared" si="234"/>
        <v>3640</v>
      </c>
      <c r="CV96" s="655">
        <f t="shared" si="234"/>
        <v>3943</v>
      </c>
      <c r="CW96" s="655">
        <f t="shared" si="234"/>
        <v>4302</v>
      </c>
      <c r="CX96" s="655">
        <f t="shared" si="234"/>
        <v>4732</v>
      </c>
      <c r="CY96" s="655">
        <f t="shared" si="234"/>
        <v>5258</v>
      </c>
      <c r="CZ96" s="655">
        <f t="shared" si="234"/>
        <v>5915</v>
      </c>
      <c r="DA96" s="655">
        <f t="shared" si="234"/>
        <v>6760</v>
      </c>
      <c r="DB96" s="655">
        <f t="shared" si="234"/>
        <v>7887</v>
      </c>
      <c r="DC96" s="655">
        <f t="shared" si="234"/>
        <v>9465</v>
      </c>
      <c r="DD96" s="655">
        <f t="shared" si="234"/>
        <v>11831</v>
      </c>
      <c r="DE96" s="655">
        <f t="shared" si="234"/>
        <v>15775</v>
      </c>
      <c r="DF96" s="656">
        <f t="shared" si="234"/>
        <v>23662</v>
      </c>
      <c r="DG96" s="653"/>
      <c r="DH96" s="653" t="str">
        <f t="shared" si="46"/>
        <v/>
      </c>
      <c r="DI96" s="134" t="str">
        <f t="shared" si="47"/>
        <v/>
      </c>
      <c r="DJ96" s="134" t="str">
        <f t="shared" si="48"/>
        <v/>
      </c>
      <c r="DK96" s="662" t="str">
        <f t="shared" si="49"/>
        <v/>
      </c>
      <c r="DL96" s="134"/>
      <c r="DM96" s="134"/>
      <c r="DN96" s="655">
        <f t="shared" si="226"/>
        <v>2.7</v>
      </c>
      <c r="DO96" s="653"/>
      <c r="DP96" s="663"/>
    </row>
    <row r="97">
      <c r="A97" s="552">
        <v>91.0</v>
      </c>
      <c r="B97" s="86">
        <v>262.0</v>
      </c>
      <c r="C97" s="54">
        <v>50.0</v>
      </c>
      <c r="D97" s="54">
        <v>94.0</v>
      </c>
      <c r="E97" s="74"/>
      <c r="F97" s="68" t="s">
        <v>753</v>
      </c>
      <c r="G97" s="68">
        <f t="shared" si="5"/>
        <v>20</v>
      </c>
      <c r="H97" s="68">
        <f t="shared" si="6"/>
        <v>23</v>
      </c>
      <c r="I97" s="68">
        <f t="shared" si="7"/>
        <v>18</v>
      </c>
      <c r="J97" s="68">
        <f t="shared" si="8"/>
        <v>21</v>
      </c>
      <c r="K97" s="68">
        <f t="shared" si="9"/>
        <v>23</v>
      </c>
      <c r="L97" s="68">
        <f t="shared" si="10"/>
        <v>18.5</v>
      </c>
      <c r="M97" s="569">
        <f t="shared" si="11"/>
        <v>24</v>
      </c>
      <c r="N97" s="74" t="s">
        <v>761</v>
      </c>
      <c r="O97" s="678"/>
      <c r="P97" s="571"/>
      <c r="Q97" s="571" t="s">
        <v>1676</v>
      </c>
      <c r="R97" s="571" t="s">
        <v>1685</v>
      </c>
      <c r="S97" s="791" t="s">
        <v>584</v>
      </c>
      <c r="T97" s="572" t="s">
        <v>762</v>
      </c>
      <c r="U97" s="54">
        <v>59.0</v>
      </c>
      <c r="V97" s="54">
        <v>44.0</v>
      </c>
      <c r="W97" s="679">
        <v>175.0</v>
      </c>
      <c r="X97" s="679">
        <v>100.0</v>
      </c>
      <c r="Y97" s="54">
        <v>3.0</v>
      </c>
      <c r="Z97" s="669">
        <v>-15.0</v>
      </c>
      <c r="AA97" s="54">
        <v>3.0</v>
      </c>
      <c r="AB97" s="54">
        <v>88.0</v>
      </c>
      <c r="AC97" s="54">
        <v>23789.0</v>
      </c>
      <c r="AD97" s="54">
        <v>4.0</v>
      </c>
      <c r="AE97" s="54">
        <v>110.0</v>
      </c>
      <c r="AF97" s="74"/>
      <c r="AG97" s="54">
        <v>63.0</v>
      </c>
      <c r="AH97" s="54">
        <v>118.0</v>
      </c>
      <c r="AI97" s="574">
        <f t="shared" si="12"/>
        <v>90.5</v>
      </c>
      <c r="AJ97" s="74"/>
      <c r="AK97" s="74"/>
      <c r="AL97" s="74"/>
      <c r="AM97" s="74"/>
      <c r="AN97" s="74"/>
      <c r="AO97" s="74"/>
      <c r="AP97" s="74"/>
      <c r="AQ97" s="74"/>
      <c r="AR97" s="74"/>
      <c r="AS97" s="575"/>
      <c r="AT97" s="68">
        <f t="shared" si="13"/>
        <v>1380</v>
      </c>
      <c r="AU97" s="68">
        <f t="shared" si="14"/>
        <v>2370</v>
      </c>
      <c r="AV97" s="581">
        <f t="shared" si="15"/>
        <v>1875</v>
      </c>
      <c r="AW97" s="582">
        <f t="shared" si="16"/>
        <v>2757</v>
      </c>
      <c r="AX97" s="582">
        <f t="shared" si="17"/>
        <v>2344</v>
      </c>
      <c r="AY97" s="582">
        <f t="shared" si="18"/>
        <v>3125</v>
      </c>
      <c r="AZ97" s="582">
        <f t="shared" si="19"/>
        <v>2930</v>
      </c>
      <c r="BA97" s="582">
        <f t="shared" si="20"/>
        <v>2344</v>
      </c>
      <c r="BB97" s="582">
        <f t="shared" si="21"/>
        <v>2344</v>
      </c>
      <c r="BC97" s="582">
        <f t="shared" si="22"/>
        <v>2604</v>
      </c>
      <c r="BD97" s="582">
        <f t="shared" si="23"/>
        <v>2344</v>
      </c>
      <c r="BE97" s="582">
        <f t="shared" si="24"/>
        <v>2930</v>
      </c>
      <c r="BF97" s="582">
        <f t="shared" si="25"/>
        <v>2930</v>
      </c>
      <c r="BG97" s="582">
        <f t="shared" si="26"/>
        <v>3606</v>
      </c>
      <c r="BH97" s="582">
        <f t="shared" si="27"/>
        <v>3606</v>
      </c>
      <c r="BI97" s="582">
        <f t="shared" si="28"/>
        <v>3606</v>
      </c>
      <c r="BJ97" s="582">
        <f t="shared" si="29"/>
        <v>3606</v>
      </c>
      <c r="BK97" s="582">
        <f t="shared" si="30"/>
        <v>2930</v>
      </c>
      <c r="BL97" s="582">
        <f t="shared" si="31"/>
        <v>2757</v>
      </c>
      <c r="BM97" s="74"/>
      <c r="BN97" s="74"/>
      <c r="BO97" s="582">
        <f t="shared" si="141"/>
        <v>3606</v>
      </c>
      <c r="BP97" s="602">
        <f t="shared" si="33"/>
        <v>3606</v>
      </c>
      <c r="BQ97" s="670">
        <v>50.0</v>
      </c>
      <c r="BR97" s="670">
        <v>94.0</v>
      </c>
      <c r="BS97" s="670">
        <v>-15.0</v>
      </c>
      <c r="BT97" s="670">
        <v>100.0</v>
      </c>
      <c r="BU97" s="365"/>
      <c r="BV97" s="671">
        <f t="shared" si="34"/>
        <v>72</v>
      </c>
      <c r="BW97" s="672">
        <f t="shared" si="35"/>
        <v>1737.5</v>
      </c>
      <c r="BX97" s="673">
        <f t="shared" si="36"/>
        <v>2555.1</v>
      </c>
      <c r="BY97" s="673">
        <f t="shared" si="37"/>
        <v>2171.9</v>
      </c>
      <c r="BZ97" s="673">
        <f t="shared" si="38"/>
        <v>2895.8</v>
      </c>
      <c r="CA97" s="673">
        <f t="shared" si="39"/>
        <v>2413.2</v>
      </c>
      <c r="CB97" s="673">
        <f t="shared" si="40"/>
        <v>2171.9</v>
      </c>
      <c r="CC97" s="673">
        <f t="shared" si="41"/>
        <v>2714.8</v>
      </c>
      <c r="CD97" s="673">
        <f t="shared" si="42"/>
        <v>2171.9</v>
      </c>
      <c r="CE97" s="674">
        <f t="shared" si="43"/>
        <v>25.7</v>
      </c>
      <c r="CF97" s="763">
        <f t="shared" ref="CF97:CG97" si="235">IF(ROUND(100*(AV97/BW97)-100,1)=0,"",ROUND(100*(AV97/BW97)-100,1))</f>
        <v>7.9</v>
      </c>
      <c r="CG97" s="676">
        <f t="shared" si="235"/>
        <v>7.9</v>
      </c>
      <c r="CH97" s="575" t="s">
        <v>761</v>
      </c>
      <c r="CI97" s="582">
        <f t="shared" ref="CI97:DF97" si="236">FLOOR($AV97/(CI$3/25),1)</f>
        <v>1875</v>
      </c>
      <c r="CJ97" s="582">
        <f t="shared" si="236"/>
        <v>1953</v>
      </c>
      <c r="CK97" s="582">
        <f t="shared" si="236"/>
        <v>2038</v>
      </c>
      <c r="CL97" s="582">
        <f t="shared" si="236"/>
        <v>2130</v>
      </c>
      <c r="CM97" s="582">
        <f t="shared" si="236"/>
        <v>2232</v>
      </c>
      <c r="CN97" s="582">
        <f t="shared" si="236"/>
        <v>2343</v>
      </c>
      <c r="CO97" s="582">
        <f t="shared" si="236"/>
        <v>2467</v>
      </c>
      <c r="CP97" s="582">
        <f t="shared" si="236"/>
        <v>2604</v>
      </c>
      <c r="CQ97" s="582">
        <f t="shared" si="236"/>
        <v>2757</v>
      </c>
      <c r="CR97" s="582">
        <f t="shared" si="236"/>
        <v>2929</v>
      </c>
      <c r="CS97" s="582">
        <f t="shared" si="236"/>
        <v>3125</v>
      </c>
      <c r="CT97" s="582">
        <f t="shared" si="236"/>
        <v>3348</v>
      </c>
      <c r="CU97" s="582">
        <f t="shared" si="236"/>
        <v>3605</v>
      </c>
      <c r="CV97" s="582">
        <f t="shared" si="236"/>
        <v>3906</v>
      </c>
      <c r="CW97" s="582">
        <f t="shared" si="236"/>
        <v>4261</v>
      </c>
      <c r="CX97" s="582">
        <f t="shared" si="236"/>
        <v>4687</v>
      </c>
      <c r="CY97" s="582">
        <f t="shared" si="236"/>
        <v>5208</v>
      </c>
      <c r="CZ97" s="582">
        <f t="shared" si="236"/>
        <v>5859</v>
      </c>
      <c r="DA97" s="582">
        <f t="shared" si="236"/>
        <v>6696</v>
      </c>
      <c r="DB97" s="582">
        <f t="shared" si="236"/>
        <v>7812</v>
      </c>
      <c r="DC97" s="582">
        <f t="shared" si="236"/>
        <v>9375</v>
      </c>
      <c r="DD97" s="582">
        <f t="shared" si="236"/>
        <v>11718</v>
      </c>
      <c r="DE97" s="582">
        <f t="shared" si="236"/>
        <v>15625</v>
      </c>
      <c r="DF97" s="602">
        <f t="shared" si="236"/>
        <v>23437</v>
      </c>
      <c r="DG97" s="575"/>
      <c r="DH97" s="575" t="str">
        <f t="shared" si="46"/>
        <v/>
      </c>
      <c r="DI97" s="74" t="str">
        <f t="shared" si="47"/>
        <v/>
      </c>
      <c r="DJ97" s="74" t="str">
        <f t="shared" si="48"/>
        <v/>
      </c>
      <c r="DK97" s="664">
        <f t="shared" si="49"/>
        <v>-14.9</v>
      </c>
      <c r="DL97" s="685">
        <v>77.0</v>
      </c>
      <c r="DM97" s="74"/>
      <c r="DN97" s="582">
        <f t="shared" si="226"/>
        <v>1.7</v>
      </c>
      <c r="DO97" s="575" t="s">
        <v>2320</v>
      </c>
      <c r="DP97" s="297"/>
    </row>
    <row r="98">
      <c r="A98" s="552">
        <v>92.0</v>
      </c>
      <c r="B98" s="86">
        <v>264.0</v>
      </c>
      <c r="C98" s="54">
        <v>67.0</v>
      </c>
      <c r="D98" s="54">
        <v>96.0</v>
      </c>
      <c r="E98" s="74"/>
      <c r="F98" s="68" t="s">
        <v>753</v>
      </c>
      <c r="G98" s="68">
        <f t="shared" si="5"/>
        <v>20</v>
      </c>
      <c r="H98" s="68">
        <f t="shared" si="6"/>
        <v>23</v>
      </c>
      <c r="I98" s="68">
        <f t="shared" si="7"/>
        <v>18</v>
      </c>
      <c r="J98" s="68">
        <f t="shared" si="8"/>
        <v>21</v>
      </c>
      <c r="K98" s="68">
        <f t="shared" si="9"/>
        <v>23</v>
      </c>
      <c r="L98" s="68">
        <f t="shared" si="10"/>
        <v>18.5</v>
      </c>
      <c r="M98" s="569">
        <f t="shared" si="11"/>
        <v>24</v>
      </c>
      <c r="N98" s="74" t="s">
        <v>802</v>
      </c>
      <c r="O98" s="570" t="s">
        <v>2321</v>
      </c>
      <c r="P98" s="571"/>
      <c r="Q98" s="571" t="s">
        <v>1676</v>
      </c>
      <c r="R98" s="571" t="s">
        <v>1685</v>
      </c>
      <c r="S98" s="791" t="s">
        <v>584</v>
      </c>
      <c r="T98" s="572" t="s">
        <v>803</v>
      </c>
      <c r="U98" s="54">
        <v>66.0</v>
      </c>
      <c r="V98" s="54">
        <v>49.0</v>
      </c>
      <c r="W98" s="679">
        <v>171.0</v>
      </c>
      <c r="X98" s="679">
        <v>104.0</v>
      </c>
      <c r="Y98" s="54">
        <v>4.0</v>
      </c>
      <c r="Z98" s="669">
        <v>-5.0</v>
      </c>
      <c r="AA98" s="54">
        <v>3.0</v>
      </c>
      <c r="AB98" s="54">
        <v>100.0</v>
      </c>
      <c r="AC98" s="54">
        <v>14391.0</v>
      </c>
      <c r="AD98" s="54">
        <v>4.0</v>
      </c>
      <c r="AE98" s="54">
        <v>110.0</v>
      </c>
      <c r="AF98" s="74"/>
      <c r="AG98" s="54">
        <v>84.0</v>
      </c>
      <c r="AH98" s="54">
        <v>120.0</v>
      </c>
      <c r="AI98" s="574">
        <f t="shared" si="12"/>
        <v>102</v>
      </c>
      <c r="AJ98" s="74"/>
      <c r="AK98" s="74"/>
      <c r="AL98" s="74"/>
      <c r="AM98" s="74"/>
      <c r="AN98" s="74"/>
      <c r="AO98" s="74"/>
      <c r="AP98" s="74"/>
      <c r="AQ98" s="74"/>
      <c r="AR98" s="74"/>
      <c r="AS98" s="575"/>
      <c r="AT98" s="68">
        <f t="shared" si="13"/>
        <v>1758</v>
      </c>
      <c r="AU98" s="68">
        <f t="shared" si="14"/>
        <v>2406</v>
      </c>
      <c r="AV98" s="581">
        <f t="shared" si="15"/>
        <v>2082</v>
      </c>
      <c r="AW98" s="582">
        <f t="shared" si="16"/>
        <v>2739</v>
      </c>
      <c r="AX98" s="582">
        <f t="shared" si="17"/>
        <v>2479</v>
      </c>
      <c r="AY98" s="582">
        <f t="shared" si="18"/>
        <v>3062</v>
      </c>
      <c r="AZ98" s="582">
        <f t="shared" si="19"/>
        <v>3062</v>
      </c>
      <c r="BA98" s="582">
        <f t="shared" si="20"/>
        <v>2479</v>
      </c>
      <c r="BB98" s="582">
        <f t="shared" si="21"/>
        <v>2366</v>
      </c>
      <c r="BC98" s="582">
        <f t="shared" si="22"/>
        <v>2603</v>
      </c>
      <c r="BD98" s="582">
        <f t="shared" si="23"/>
        <v>2169</v>
      </c>
      <c r="BE98" s="582">
        <f t="shared" si="24"/>
        <v>2603</v>
      </c>
      <c r="BF98" s="582">
        <f t="shared" si="25"/>
        <v>2603</v>
      </c>
      <c r="BG98" s="582">
        <f t="shared" si="26"/>
        <v>3062</v>
      </c>
      <c r="BH98" s="582">
        <f t="shared" si="27"/>
        <v>3062</v>
      </c>
      <c r="BI98" s="582">
        <f t="shared" si="28"/>
        <v>3253</v>
      </c>
      <c r="BJ98" s="582">
        <f t="shared" si="29"/>
        <v>3253</v>
      </c>
      <c r="BK98" s="582">
        <f t="shared" si="30"/>
        <v>2603</v>
      </c>
      <c r="BL98" s="582">
        <f t="shared" si="31"/>
        <v>2479</v>
      </c>
      <c r="BM98" s="74"/>
      <c r="BN98" s="74"/>
      <c r="BO98" s="582">
        <f t="shared" si="141"/>
        <v>3470</v>
      </c>
      <c r="BP98" s="602">
        <f t="shared" si="33"/>
        <v>3470</v>
      </c>
      <c r="BQ98" s="670">
        <v>67.0</v>
      </c>
      <c r="BR98" s="670">
        <v>96.0</v>
      </c>
      <c r="BS98" s="670">
        <v>-5.0</v>
      </c>
      <c r="BT98" s="670">
        <v>100.0</v>
      </c>
      <c r="BU98" s="365"/>
      <c r="BV98" s="671">
        <f t="shared" si="34"/>
        <v>81.5</v>
      </c>
      <c r="BW98" s="672">
        <f t="shared" si="35"/>
        <v>1929.8</v>
      </c>
      <c r="BX98" s="673">
        <f t="shared" si="36"/>
        <v>2539.2</v>
      </c>
      <c r="BY98" s="673">
        <f t="shared" si="37"/>
        <v>2297.4</v>
      </c>
      <c r="BZ98" s="673">
        <f t="shared" si="38"/>
        <v>2837.9</v>
      </c>
      <c r="CA98" s="673">
        <f t="shared" si="39"/>
        <v>2412.3</v>
      </c>
      <c r="CB98" s="673">
        <f t="shared" si="40"/>
        <v>2297.4</v>
      </c>
      <c r="CC98" s="673">
        <f t="shared" si="41"/>
        <v>2837.9</v>
      </c>
      <c r="CD98" s="673">
        <f t="shared" si="42"/>
        <v>2193</v>
      </c>
      <c r="CE98" s="674">
        <f t="shared" si="43"/>
        <v>25.2</v>
      </c>
      <c r="CF98" s="763">
        <f t="shared" ref="CF98:CG98" si="237">IF(ROUND(100*(AV98/BW98)-100,1)=0,"",ROUND(100*(AV98/BW98)-100,1))</f>
        <v>7.9</v>
      </c>
      <c r="CG98" s="676">
        <f t="shared" si="237"/>
        <v>7.9</v>
      </c>
      <c r="CH98" s="575" t="s">
        <v>802</v>
      </c>
      <c r="CI98" s="582">
        <f t="shared" ref="CI98:DF98" si="238">FLOOR($AV98/(CI$3/25),1)</f>
        <v>2082</v>
      </c>
      <c r="CJ98" s="582">
        <f t="shared" si="238"/>
        <v>2168</v>
      </c>
      <c r="CK98" s="582">
        <f t="shared" si="238"/>
        <v>2263</v>
      </c>
      <c r="CL98" s="582">
        <f t="shared" si="238"/>
        <v>2365</v>
      </c>
      <c r="CM98" s="582">
        <f t="shared" si="238"/>
        <v>2478</v>
      </c>
      <c r="CN98" s="582">
        <f t="shared" si="238"/>
        <v>2602</v>
      </c>
      <c r="CO98" s="582">
        <f t="shared" si="238"/>
        <v>2739</v>
      </c>
      <c r="CP98" s="582">
        <f t="shared" si="238"/>
        <v>2891</v>
      </c>
      <c r="CQ98" s="582">
        <f t="shared" si="238"/>
        <v>3061</v>
      </c>
      <c r="CR98" s="582">
        <f t="shared" si="238"/>
        <v>3253</v>
      </c>
      <c r="CS98" s="582">
        <f t="shared" si="238"/>
        <v>3470</v>
      </c>
      <c r="CT98" s="582">
        <f t="shared" si="238"/>
        <v>3717</v>
      </c>
      <c r="CU98" s="582">
        <f t="shared" si="238"/>
        <v>4003</v>
      </c>
      <c r="CV98" s="582">
        <f t="shared" si="238"/>
        <v>4337</v>
      </c>
      <c r="CW98" s="582">
        <f t="shared" si="238"/>
        <v>4731</v>
      </c>
      <c r="CX98" s="582">
        <f t="shared" si="238"/>
        <v>5205</v>
      </c>
      <c r="CY98" s="582">
        <f t="shared" si="238"/>
        <v>5783</v>
      </c>
      <c r="CZ98" s="582">
        <f t="shared" si="238"/>
        <v>6506</v>
      </c>
      <c r="DA98" s="582">
        <f t="shared" si="238"/>
        <v>7435</v>
      </c>
      <c r="DB98" s="582">
        <f t="shared" si="238"/>
        <v>8675</v>
      </c>
      <c r="DC98" s="582">
        <f t="shared" si="238"/>
        <v>10410</v>
      </c>
      <c r="DD98" s="582">
        <f t="shared" si="238"/>
        <v>13012</v>
      </c>
      <c r="DE98" s="582">
        <f t="shared" si="238"/>
        <v>17350</v>
      </c>
      <c r="DF98" s="602">
        <f t="shared" si="238"/>
        <v>26025</v>
      </c>
      <c r="DG98" s="575"/>
      <c r="DH98" s="575" t="str">
        <f t="shared" si="46"/>
        <v/>
      </c>
      <c r="DI98" s="74" t="str">
        <f t="shared" si="47"/>
        <v/>
      </c>
      <c r="DJ98" s="74" t="str">
        <f t="shared" si="48"/>
        <v/>
      </c>
      <c r="DK98" s="664">
        <f t="shared" si="49"/>
        <v>-17.6</v>
      </c>
      <c r="DL98" s="685">
        <v>84.0</v>
      </c>
      <c r="DM98" s="74"/>
      <c r="DN98" s="582">
        <f t="shared" si="226"/>
        <v>1.5</v>
      </c>
      <c r="DO98" s="575"/>
      <c r="DP98" s="297"/>
    </row>
    <row r="99">
      <c r="A99" s="552">
        <v>93.0</v>
      </c>
      <c r="B99" s="86">
        <v>266.0</v>
      </c>
      <c r="C99" s="54">
        <v>55.0</v>
      </c>
      <c r="D99" s="54">
        <v>118.0</v>
      </c>
      <c r="E99" s="74"/>
      <c r="F99" s="68" t="s">
        <v>753</v>
      </c>
      <c r="G99" s="68">
        <f t="shared" si="5"/>
        <v>20</v>
      </c>
      <c r="H99" s="68">
        <f t="shared" si="6"/>
        <v>23</v>
      </c>
      <c r="I99" s="68">
        <f t="shared" si="7"/>
        <v>18</v>
      </c>
      <c r="J99" s="68">
        <f t="shared" si="8"/>
        <v>21</v>
      </c>
      <c r="K99" s="68">
        <f t="shared" si="9"/>
        <v>23</v>
      </c>
      <c r="L99" s="68">
        <f t="shared" si="10"/>
        <v>18.5</v>
      </c>
      <c r="M99" s="569">
        <f t="shared" si="11"/>
        <v>24</v>
      </c>
      <c r="N99" s="74" t="s">
        <v>843</v>
      </c>
      <c r="O99" s="570" t="s">
        <v>1979</v>
      </c>
      <c r="P99" s="571"/>
      <c r="Q99" s="571" t="s">
        <v>1676</v>
      </c>
      <c r="R99" s="571" t="s">
        <v>1685</v>
      </c>
      <c r="S99" s="791" t="s">
        <v>584</v>
      </c>
      <c r="T99" s="572" t="s">
        <v>844</v>
      </c>
      <c r="U99" s="54">
        <v>71.0</v>
      </c>
      <c r="V99" s="54">
        <v>53.0</v>
      </c>
      <c r="W99" s="679">
        <v>185.0</v>
      </c>
      <c r="X99" s="679">
        <v>87.0</v>
      </c>
      <c r="Y99" s="54">
        <v>4.0</v>
      </c>
      <c r="Z99" s="54">
        <v>0.0</v>
      </c>
      <c r="AA99" s="54">
        <v>3.0</v>
      </c>
      <c r="AB99" s="54">
        <v>100.0</v>
      </c>
      <c r="AC99" s="54">
        <v>16331.0</v>
      </c>
      <c r="AD99" s="54">
        <v>4.0</v>
      </c>
      <c r="AE99" s="54">
        <v>110.0</v>
      </c>
      <c r="AF99" s="74"/>
      <c r="AG99" s="54">
        <v>69.0</v>
      </c>
      <c r="AH99" s="54">
        <v>149.0</v>
      </c>
      <c r="AI99" s="574">
        <f t="shared" si="12"/>
        <v>109</v>
      </c>
      <c r="AJ99" s="74"/>
      <c r="AK99" s="74"/>
      <c r="AL99" s="74"/>
      <c r="AM99" s="74"/>
      <c r="AN99" s="74"/>
      <c r="AO99" s="74"/>
      <c r="AP99" s="74"/>
      <c r="AQ99" s="74"/>
      <c r="AR99" s="74"/>
      <c r="AS99" s="575"/>
      <c r="AT99" s="68">
        <f t="shared" si="13"/>
        <v>1486</v>
      </c>
      <c r="AU99" s="68">
        <f t="shared" si="14"/>
        <v>2926</v>
      </c>
      <c r="AV99" s="581">
        <f t="shared" si="15"/>
        <v>2206</v>
      </c>
      <c r="AW99" s="582">
        <f t="shared" si="16"/>
        <v>2903</v>
      </c>
      <c r="AX99" s="582">
        <f t="shared" si="17"/>
        <v>2507</v>
      </c>
      <c r="AY99" s="582">
        <f t="shared" si="18"/>
        <v>3244</v>
      </c>
      <c r="AZ99" s="582">
        <f t="shared" si="19"/>
        <v>3064</v>
      </c>
      <c r="BA99" s="582">
        <f t="shared" si="20"/>
        <v>2507</v>
      </c>
      <c r="BB99" s="582">
        <f t="shared" si="21"/>
        <v>2398</v>
      </c>
      <c r="BC99" s="582">
        <f t="shared" si="22"/>
        <v>2758</v>
      </c>
      <c r="BD99" s="582">
        <f t="shared" si="23"/>
        <v>2043</v>
      </c>
      <c r="BE99" s="582">
        <f t="shared" si="24"/>
        <v>2507</v>
      </c>
      <c r="BF99" s="582">
        <f t="shared" si="25"/>
        <v>2398</v>
      </c>
      <c r="BG99" s="582">
        <f t="shared" si="26"/>
        <v>2903</v>
      </c>
      <c r="BH99" s="582">
        <f t="shared" si="27"/>
        <v>2903</v>
      </c>
      <c r="BI99" s="582">
        <f t="shared" si="28"/>
        <v>3064</v>
      </c>
      <c r="BJ99" s="582">
        <f t="shared" si="29"/>
        <v>3064</v>
      </c>
      <c r="BK99" s="582">
        <f t="shared" si="30"/>
        <v>2507</v>
      </c>
      <c r="BL99" s="582">
        <f t="shared" si="31"/>
        <v>2398</v>
      </c>
      <c r="BM99" s="74"/>
      <c r="BN99" s="74"/>
      <c r="BO99" s="582">
        <f t="shared" si="141"/>
        <v>3677</v>
      </c>
      <c r="BP99" s="602">
        <f t="shared" si="33"/>
        <v>3677</v>
      </c>
      <c r="BQ99" s="670">
        <v>55.0</v>
      </c>
      <c r="BR99" s="670">
        <v>118.0</v>
      </c>
      <c r="BS99" s="365"/>
      <c r="BT99" s="670">
        <v>100.0</v>
      </c>
      <c r="BU99" s="365"/>
      <c r="BV99" s="671">
        <f t="shared" si="34"/>
        <v>86.5</v>
      </c>
      <c r="BW99" s="672">
        <f t="shared" si="35"/>
        <v>2031</v>
      </c>
      <c r="BX99" s="673">
        <f t="shared" si="36"/>
        <v>2672.4</v>
      </c>
      <c r="BY99" s="673">
        <f t="shared" si="37"/>
        <v>2308</v>
      </c>
      <c r="BZ99" s="673">
        <f t="shared" si="38"/>
        <v>2986.8</v>
      </c>
      <c r="CA99" s="673">
        <f t="shared" si="39"/>
        <v>2538.8</v>
      </c>
      <c r="CB99" s="673">
        <f t="shared" si="40"/>
        <v>2308</v>
      </c>
      <c r="CC99" s="673">
        <f t="shared" si="41"/>
        <v>2820.8</v>
      </c>
      <c r="CD99" s="673">
        <f t="shared" si="42"/>
        <v>2207.6</v>
      </c>
      <c r="CE99" s="674">
        <f t="shared" si="43"/>
        <v>26</v>
      </c>
      <c r="CF99" s="763">
        <f t="shared" ref="CF99:CG99" si="239">IF(ROUND(100*(AV99/BW99)-100,1)=0,"",ROUND(100*(AV99/BW99)-100,1))</f>
        <v>8.6</v>
      </c>
      <c r="CG99" s="676">
        <f t="shared" si="239"/>
        <v>8.6</v>
      </c>
      <c r="CH99" s="575" t="s">
        <v>843</v>
      </c>
      <c r="CI99" s="582">
        <f t="shared" ref="CI99:DF99" si="240">FLOOR($AV99/(CI$3/25),1)</f>
        <v>2206</v>
      </c>
      <c r="CJ99" s="582">
        <f t="shared" si="240"/>
        <v>2297</v>
      </c>
      <c r="CK99" s="582">
        <f t="shared" si="240"/>
        <v>2397</v>
      </c>
      <c r="CL99" s="582">
        <f t="shared" si="240"/>
        <v>2506</v>
      </c>
      <c r="CM99" s="582">
        <f t="shared" si="240"/>
        <v>2626</v>
      </c>
      <c r="CN99" s="582">
        <f t="shared" si="240"/>
        <v>2757</v>
      </c>
      <c r="CO99" s="582">
        <f t="shared" si="240"/>
        <v>2902</v>
      </c>
      <c r="CP99" s="582">
        <f t="shared" si="240"/>
        <v>3063</v>
      </c>
      <c r="CQ99" s="582">
        <f t="shared" si="240"/>
        <v>3244</v>
      </c>
      <c r="CR99" s="582">
        <f t="shared" si="240"/>
        <v>3446</v>
      </c>
      <c r="CS99" s="582">
        <f t="shared" si="240"/>
        <v>3676</v>
      </c>
      <c r="CT99" s="582">
        <f t="shared" si="240"/>
        <v>3939</v>
      </c>
      <c r="CU99" s="582">
        <f t="shared" si="240"/>
        <v>4242</v>
      </c>
      <c r="CV99" s="582">
        <f t="shared" si="240"/>
        <v>4595</v>
      </c>
      <c r="CW99" s="582">
        <f t="shared" si="240"/>
        <v>5013</v>
      </c>
      <c r="CX99" s="582">
        <f t="shared" si="240"/>
        <v>5515</v>
      </c>
      <c r="CY99" s="582">
        <f t="shared" si="240"/>
        <v>6127</v>
      </c>
      <c r="CZ99" s="582">
        <f t="shared" si="240"/>
        <v>6893</v>
      </c>
      <c r="DA99" s="582">
        <f t="shared" si="240"/>
        <v>7878</v>
      </c>
      <c r="DB99" s="582">
        <f t="shared" si="240"/>
        <v>9191</v>
      </c>
      <c r="DC99" s="582">
        <f t="shared" si="240"/>
        <v>11030</v>
      </c>
      <c r="DD99" s="582">
        <f t="shared" si="240"/>
        <v>13787</v>
      </c>
      <c r="DE99" s="582">
        <f t="shared" si="240"/>
        <v>18383</v>
      </c>
      <c r="DF99" s="602">
        <f t="shared" si="240"/>
        <v>27575</v>
      </c>
      <c r="DG99" s="575"/>
      <c r="DH99" s="575" t="str">
        <f t="shared" si="46"/>
        <v/>
      </c>
      <c r="DI99" s="74" t="str">
        <f t="shared" si="47"/>
        <v/>
      </c>
      <c r="DJ99" s="74" t="str">
        <f t="shared" si="48"/>
        <v/>
      </c>
      <c r="DK99" s="623" t="str">
        <f t="shared" si="49"/>
        <v/>
      </c>
      <c r="DL99" s="74"/>
      <c r="DM99" s="74"/>
      <c r="DN99" s="582">
        <f t="shared" si="226"/>
        <v>2</v>
      </c>
      <c r="DO99" s="575" t="s">
        <v>2322</v>
      </c>
      <c r="DP99" s="297"/>
    </row>
    <row r="100">
      <c r="A100" s="552">
        <v>94.0</v>
      </c>
      <c r="B100" s="86">
        <v>268.0</v>
      </c>
      <c r="C100" s="54">
        <v>71.0</v>
      </c>
      <c r="D100" s="54">
        <v>83.0</v>
      </c>
      <c r="E100" s="74"/>
      <c r="F100" s="68" t="s">
        <v>753</v>
      </c>
      <c r="G100" s="68">
        <f t="shared" si="5"/>
        <v>20</v>
      </c>
      <c r="H100" s="68">
        <f t="shared" si="6"/>
        <v>23</v>
      </c>
      <c r="I100" s="68">
        <f t="shared" si="7"/>
        <v>18</v>
      </c>
      <c r="J100" s="68">
        <f t="shared" si="8"/>
        <v>21</v>
      </c>
      <c r="K100" s="68">
        <f t="shared" si="9"/>
        <v>23</v>
      </c>
      <c r="L100" s="68">
        <f t="shared" si="10"/>
        <v>18.5</v>
      </c>
      <c r="M100" s="569">
        <f t="shared" si="11"/>
        <v>24</v>
      </c>
      <c r="N100" s="74" t="s">
        <v>861</v>
      </c>
      <c r="O100" s="570" t="s">
        <v>1980</v>
      </c>
      <c r="P100" s="571"/>
      <c r="Q100" s="571" t="s">
        <v>1676</v>
      </c>
      <c r="R100" s="571" t="s">
        <v>1685</v>
      </c>
      <c r="S100" s="791" t="s">
        <v>584</v>
      </c>
      <c r="T100" s="572" t="s">
        <v>863</v>
      </c>
      <c r="U100" s="54">
        <v>77.0</v>
      </c>
      <c r="V100" s="54">
        <v>57.0</v>
      </c>
      <c r="W100" s="679">
        <v>163.0</v>
      </c>
      <c r="X100" s="679">
        <v>103.0</v>
      </c>
      <c r="Y100" s="54">
        <v>4.0</v>
      </c>
      <c r="Z100" s="669">
        <v>-10.0</v>
      </c>
      <c r="AA100" s="54">
        <v>3.0</v>
      </c>
      <c r="AB100" s="54">
        <v>80.0</v>
      </c>
      <c r="AC100" s="54">
        <v>19939.0</v>
      </c>
      <c r="AD100" s="54">
        <v>4.0</v>
      </c>
      <c r="AE100" s="54">
        <v>110.0</v>
      </c>
      <c r="AF100" s="74"/>
      <c r="AG100" s="54">
        <v>89.0</v>
      </c>
      <c r="AH100" s="54">
        <v>104.0</v>
      </c>
      <c r="AI100" s="574">
        <f t="shared" si="12"/>
        <v>96.5</v>
      </c>
      <c r="AJ100" s="74"/>
      <c r="AK100" s="74"/>
      <c r="AL100" s="74"/>
      <c r="AM100" s="74"/>
      <c r="AN100" s="74"/>
      <c r="AO100" s="74"/>
      <c r="AP100" s="74"/>
      <c r="AQ100" s="74"/>
      <c r="AR100" s="74"/>
      <c r="AS100" s="575"/>
      <c r="AT100" s="68">
        <f t="shared" si="13"/>
        <v>1846</v>
      </c>
      <c r="AU100" s="68">
        <f t="shared" si="14"/>
        <v>2117</v>
      </c>
      <c r="AV100" s="581">
        <f t="shared" si="15"/>
        <v>1981.5</v>
      </c>
      <c r="AW100" s="582">
        <f t="shared" si="16"/>
        <v>2752</v>
      </c>
      <c r="AX100" s="582">
        <f t="shared" si="17"/>
        <v>2477</v>
      </c>
      <c r="AY100" s="582">
        <f t="shared" si="18"/>
        <v>3096</v>
      </c>
      <c r="AZ100" s="582">
        <f t="shared" si="19"/>
        <v>3096</v>
      </c>
      <c r="BA100" s="582">
        <f t="shared" si="20"/>
        <v>2477</v>
      </c>
      <c r="BB100" s="582">
        <f t="shared" si="21"/>
        <v>2359</v>
      </c>
      <c r="BC100" s="582">
        <f t="shared" si="22"/>
        <v>2607</v>
      </c>
      <c r="BD100" s="582">
        <f t="shared" si="23"/>
        <v>2252</v>
      </c>
      <c r="BE100" s="582">
        <f t="shared" si="24"/>
        <v>2752</v>
      </c>
      <c r="BF100" s="582">
        <f t="shared" si="25"/>
        <v>2752</v>
      </c>
      <c r="BG100" s="582">
        <f t="shared" si="26"/>
        <v>3303</v>
      </c>
      <c r="BH100" s="582">
        <f t="shared" si="27"/>
        <v>3303</v>
      </c>
      <c r="BI100" s="582">
        <f t="shared" si="28"/>
        <v>3538</v>
      </c>
      <c r="BJ100" s="582">
        <f t="shared" si="29"/>
        <v>3538</v>
      </c>
      <c r="BK100" s="582">
        <f t="shared" si="30"/>
        <v>2752</v>
      </c>
      <c r="BL100" s="582">
        <f t="shared" si="31"/>
        <v>2607</v>
      </c>
      <c r="BM100" s="74"/>
      <c r="BN100" s="74"/>
      <c r="BO100" s="582">
        <f t="shared" si="141"/>
        <v>3538</v>
      </c>
      <c r="BP100" s="602">
        <f t="shared" si="33"/>
        <v>3538</v>
      </c>
      <c r="BQ100" s="670">
        <v>71.0</v>
      </c>
      <c r="BR100" s="670">
        <v>83.0</v>
      </c>
      <c r="BS100" s="670">
        <v>-10.0</v>
      </c>
      <c r="BT100" s="670">
        <v>100.0</v>
      </c>
      <c r="BU100" s="365"/>
      <c r="BV100" s="671">
        <f t="shared" si="34"/>
        <v>77</v>
      </c>
      <c r="BW100" s="672">
        <f t="shared" si="35"/>
        <v>1838.7</v>
      </c>
      <c r="BX100" s="673">
        <f t="shared" si="36"/>
        <v>2553.8</v>
      </c>
      <c r="BY100" s="673">
        <f t="shared" si="37"/>
        <v>2298.4</v>
      </c>
      <c r="BZ100" s="673">
        <f t="shared" si="38"/>
        <v>2873</v>
      </c>
      <c r="CA100" s="673">
        <f t="shared" si="39"/>
        <v>2419.3</v>
      </c>
      <c r="CB100" s="673">
        <f t="shared" si="40"/>
        <v>2298.4</v>
      </c>
      <c r="CC100" s="673">
        <f t="shared" si="41"/>
        <v>2873</v>
      </c>
      <c r="CD100" s="673">
        <f t="shared" si="42"/>
        <v>2188.9</v>
      </c>
      <c r="CE100" s="674">
        <f t="shared" si="43"/>
        <v>25.3</v>
      </c>
      <c r="CF100" s="763">
        <f t="shared" ref="CF100:CG100" si="241">IF(ROUND(100*(AV100/BW100)-100,1)=0,"",ROUND(100*(AV100/BW100)-100,1))</f>
        <v>7.8</v>
      </c>
      <c r="CG100" s="676">
        <f t="shared" si="241"/>
        <v>7.8</v>
      </c>
      <c r="CH100" s="575" t="s">
        <v>861</v>
      </c>
      <c r="CI100" s="582">
        <f t="shared" ref="CI100:DF100" si="242">FLOOR($AV100/(CI$3/25),1)</f>
        <v>1981</v>
      </c>
      <c r="CJ100" s="582">
        <f t="shared" si="242"/>
        <v>2064</v>
      </c>
      <c r="CK100" s="582">
        <f t="shared" si="242"/>
        <v>2153</v>
      </c>
      <c r="CL100" s="582">
        <f t="shared" si="242"/>
        <v>2251</v>
      </c>
      <c r="CM100" s="582">
        <f t="shared" si="242"/>
        <v>2358</v>
      </c>
      <c r="CN100" s="582">
        <f t="shared" si="242"/>
        <v>2476</v>
      </c>
      <c r="CO100" s="582">
        <f t="shared" si="242"/>
        <v>2607</v>
      </c>
      <c r="CP100" s="582">
        <f t="shared" si="242"/>
        <v>2752</v>
      </c>
      <c r="CQ100" s="582">
        <f t="shared" si="242"/>
        <v>2913</v>
      </c>
      <c r="CR100" s="582">
        <f t="shared" si="242"/>
        <v>3096</v>
      </c>
      <c r="CS100" s="582">
        <f t="shared" si="242"/>
        <v>3302</v>
      </c>
      <c r="CT100" s="582">
        <f t="shared" si="242"/>
        <v>3538</v>
      </c>
      <c r="CU100" s="582">
        <f t="shared" si="242"/>
        <v>3810</v>
      </c>
      <c r="CV100" s="582">
        <f t="shared" si="242"/>
        <v>4128</v>
      </c>
      <c r="CW100" s="582">
        <f t="shared" si="242"/>
        <v>4503</v>
      </c>
      <c r="CX100" s="582">
        <f t="shared" si="242"/>
        <v>4953</v>
      </c>
      <c r="CY100" s="582">
        <f t="shared" si="242"/>
        <v>5504</v>
      </c>
      <c r="CZ100" s="582">
        <f t="shared" si="242"/>
        <v>6192</v>
      </c>
      <c r="DA100" s="582">
        <f t="shared" si="242"/>
        <v>7076</v>
      </c>
      <c r="DB100" s="582">
        <f t="shared" si="242"/>
        <v>8256</v>
      </c>
      <c r="DC100" s="582">
        <f t="shared" si="242"/>
        <v>9907</v>
      </c>
      <c r="DD100" s="582">
        <f t="shared" si="242"/>
        <v>12384</v>
      </c>
      <c r="DE100" s="582">
        <f t="shared" si="242"/>
        <v>16512</v>
      </c>
      <c r="DF100" s="602">
        <f t="shared" si="242"/>
        <v>24768</v>
      </c>
      <c r="DG100" s="575"/>
      <c r="DH100" s="575" t="str">
        <f t="shared" si="46"/>
        <v/>
      </c>
      <c r="DI100" s="74" t="str">
        <f t="shared" si="47"/>
        <v/>
      </c>
      <c r="DJ100" s="74" t="str">
        <f t="shared" si="48"/>
        <v/>
      </c>
      <c r="DK100" s="664">
        <f t="shared" si="49"/>
        <v>-16.1</v>
      </c>
      <c r="DL100" s="685">
        <v>81.0</v>
      </c>
      <c r="DM100" s="74"/>
      <c r="DN100" s="582">
        <f t="shared" si="226"/>
        <v>1.1</v>
      </c>
      <c r="DO100" s="575"/>
      <c r="DP100" s="297"/>
    </row>
    <row r="101">
      <c r="A101" s="552">
        <v>95.0</v>
      </c>
      <c r="B101" s="86">
        <v>270.0</v>
      </c>
      <c r="C101" s="54">
        <v>61.0</v>
      </c>
      <c r="D101" s="54">
        <v>121.0</v>
      </c>
      <c r="E101" s="74"/>
      <c r="F101" s="68" t="s">
        <v>753</v>
      </c>
      <c r="G101" s="68">
        <f t="shared" si="5"/>
        <v>20</v>
      </c>
      <c r="H101" s="68">
        <f t="shared" si="6"/>
        <v>23</v>
      </c>
      <c r="I101" s="68">
        <f t="shared" si="7"/>
        <v>18</v>
      </c>
      <c r="J101" s="68">
        <f t="shared" si="8"/>
        <v>21</v>
      </c>
      <c r="K101" s="68">
        <f t="shared" si="9"/>
        <v>23</v>
      </c>
      <c r="L101" s="68">
        <f t="shared" si="10"/>
        <v>18.5</v>
      </c>
      <c r="M101" s="569">
        <f t="shared" si="11"/>
        <v>24</v>
      </c>
      <c r="N101" s="74" t="s">
        <v>872</v>
      </c>
      <c r="O101" s="570" t="s">
        <v>2323</v>
      </c>
      <c r="P101" s="639" t="s">
        <v>2208</v>
      </c>
      <c r="Q101" s="571" t="s">
        <v>1676</v>
      </c>
      <c r="R101" s="571" t="s">
        <v>1685</v>
      </c>
      <c r="S101" s="791" t="s">
        <v>584</v>
      </c>
      <c r="T101" s="572" t="s">
        <v>873</v>
      </c>
      <c r="U101" s="54">
        <v>80.0</v>
      </c>
      <c r="V101" s="54">
        <v>60.0</v>
      </c>
      <c r="W101" s="679">
        <v>182.0</v>
      </c>
      <c r="X101" s="679">
        <v>95.0</v>
      </c>
      <c r="Y101" s="54">
        <v>5.0</v>
      </c>
      <c r="Z101" s="573">
        <v>10.0</v>
      </c>
      <c r="AA101" s="54">
        <v>3.0</v>
      </c>
      <c r="AB101" s="54">
        <v>100.0</v>
      </c>
      <c r="AC101" s="54">
        <v>24800.0</v>
      </c>
      <c r="AD101" s="54">
        <v>4.0</v>
      </c>
      <c r="AE101" s="54">
        <v>110.0</v>
      </c>
      <c r="AF101" s="74"/>
      <c r="AG101" s="54">
        <v>76.0</v>
      </c>
      <c r="AH101" s="54">
        <v>151.0</v>
      </c>
      <c r="AI101" s="574">
        <f t="shared" si="12"/>
        <v>113.5</v>
      </c>
      <c r="AJ101" s="37"/>
      <c r="AK101" s="37"/>
      <c r="AL101" s="37"/>
      <c r="AM101" s="37"/>
      <c r="AN101" s="37"/>
      <c r="AO101" s="37"/>
      <c r="AP101" s="37"/>
      <c r="AQ101" s="37"/>
      <c r="AR101" s="37"/>
      <c r="AS101" s="807"/>
      <c r="AT101" s="68">
        <f t="shared" si="13"/>
        <v>1612</v>
      </c>
      <c r="AU101" s="68">
        <f t="shared" si="14"/>
        <v>2962</v>
      </c>
      <c r="AV101" s="581">
        <f t="shared" si="15"/>
        <v>2287</v>
      </c>
      <c r="AW101" s="582">
        <f t="shared" si="16"/>
        <v>2599</v>
      </c>
      <c r="AX101" s="582">
        <f t="shared" si="17"/>
        <v>2287</v>
      </c>
      <c r="AY101" s="582">
        <f t="shared" si="18"/>
        <v>2859</v>
      </c>
      <c r="AZ101" s="582">
        <f t="shared" si="19"/>
        <v>2859</v>
      </c>
      <c r="BA101" s="582">
        <f t="shared" si="20"/>
        <v>2287</v>
      </c>
      <c r="BB101" s="582">
        <f t="shared" si="21"/>
        <v>2199</v>
      </c>
      <c r="BC101" s="582">
        <f t="shared" si="22"/>
        <v>2486</v>
      </c>
      <c r="BD101" s="582">
        <f t="shared" si="23"/>
        <v>1733</v>
      </c>
      <c r="BE101" s="582">
        <f t="shared" si="24"/>
        <v>2042</v>
      </c>
      <c r="BF101" s="582">
        <f t="shared" si="25"/>
        <v>2118</v>
      </c>
      <c r="BG101" s="582">
        <f t="shared" si="26"/>
        <v>2599</v>
      </c>
      <c r="BH101" s="582">
        <f t="shared" si="27"/>
        <v>2599</v>
      </c>
      <c r="BI101" s="582">
        <f t="shared" si="28"/>
        <v>2723</v>
      </c>
      <c r="BJ101" s="582">
        <f t="shared" si="29"/>
        <v>2723</v>
      </c>
      <c r="BK101" s="582">
        <f t="shared" si="30"/>
        <v>2042</v>
      </c>
      <c r="BL101" s="582">
        <f t="shared" si="31"/>
        <v>1972</v>
      </c>
      <c r="BM101" s="74"/>
      <c r="BN101" s="74"/>
      <c r="BO101" s="582">
        <f t="shared" si="141"/>
        <v>3363</v>
      </c>
      <c r="BP101" s="602">
        <f t="shared" si="33"/>
        <v>3363</v>
      </c>
      <c r="BQ101" s="670">
        <v>61.0</v>
      </c>
      <c r="BR101" s="670">
        <v>121.0</v>
      </c>
      <c r="BS101" s="670">
        <v>10.0</v>
      </c>
      <c r="BT101" s="670">
        <v>100.0</v>
      </c>
      <c r="BU101" s="365"/>
      <c r="BV101" s="671">
        <f t="shared" si="34"/>
        <v>91</v>
      </c>
      <c r="BW101" s="672">
        <f t="shared" si="35"/>
        <v>2122.1</v>
      </c>
      <c r="BX101" s="673">
        <f t="shared" si="36"/>
        <v>2411.5</v>
      </c>
      <c r="BY101" s="673">
        <f t="shared" si="37"/>
        <v>2122.1</v>
      </c>
      <c r="BZ101" s="673">
        <f t="shared" si="38"/>
        <v>2652.6</v>
      </c>
      <c r="CA101" s="673">
        <f t="shared" si="39"/>
        <v>2306.6</v>
      </c>
      <c r="CB101" s="673">
        <f t="shared" si="40"/>
        <v>2122.1</v>
      </c>
      <c r="CC101" s="673">
        <f t="shared" si="41"/>
        <v>2652.6</v>
      </c>
      <c r="CD101" s="673">
        <f t="shared" si="42"/>
        <v>2040.5</v>
      </c>
      <c r="CE101" s="674">
        <f t="shared" si="43"/>
        <v>24.7</v>
      </c>
      <c r="CF101" s="763">
        <f t="shared" ref="CF101:CG101" si="243">IF(ROUND(100*(AV101/BW101)-100,1)=0,"",ROUND(100*(AV101/BW101)-100,1))</f>
        <v>7.8</v>
      </c>
      <c r="CG101" s="676">
        <f t="shared" si="243"/>
        <v>7.8</v>
      </c>
      <c r="CH101" s="575" t="s">
        <v>872</v>
      </c>
      <c r="CI101" s="582">
        <f t="shared" ref="CI101:DF101" si="244">FLOOR($AV101/(CI$3/25),1)</f>
        <v>2287</v>
      </c>
      <c r="CJ101" s="582">
        <f t="shared" si="244"/>
        <v>2382</v>
      </c>
      <c r="CK101" s="582">
        <f t="shared" si="244"/>
        <v>2485</v>
      </c>
      <c r="CL101" s="582">
        <f t="shared" si="244"/>
        <v>2598</v>
      </c>
      <c r="CM101" s="582">
        <f t="shared" si="244"/>
        <v>2722</v>
      </c>
      <c r="CN101" s="582">
        <f t="shared" si="244"/>
        <v>2858</v>
      </c>
      <c r="CO101" s="582">
        <f t="shared" si="244"/>
        <v>3009</v>
      </c>
      <c r="CP101" s="582">
        <f t="shared" si="244"/>
        <v>3176</v>
      </c>
      <c r="CQ101" s="582">
        <f t="shared" si="244"/>
        <v>3363</v>
      </c>
      <c r="CR101" s="582">
        <f t="shared" si="244"/>
        <v>3573</v>
      </c>
      <c r="CS101" s="582">
        <f t="shared" si="244"/>
        <v>3811</v>
      </c>
      <c r="CT101" s="582">
        <f t="shared" si="244"/>
        <v>4083</v>
      </c>
      <c r="CU101" s="582">
        <f t="shared" si="244"/>
        <v>4398</v>
      </c>
      <c r="CV101" s="582">
        <f t="shared" si="244"/>
        <v>4764</v>
      </c>
      <c r="CW101" s="582">
        <f t="shared" si="244"/>
        <v>5197</v>
      </c>
      <c r="CX101" s="582">
        <f t="shared" si="244"/>
        <v>5717</v>
      </c>
      <c r="CY101" s="582">
        <f t="shared" si="244"/>
        <v>6352</v>
      </c>
      <c r="CZ101" s="582">
        <f t="shared" si="244"/>
        <v>7146</v>
      </c>
      <c r="DA101" s="582">
        <f t="shared" si="244"/>
        <v>8167</v>
      </c>
      <c r="DB101" s="582">
        <f t="shared" si="244"/>
        <v>9529</v>
      </c>
      <c r="DC101" s="582">
        <f t="shared" si="244"/>
        <v>11435</v>
      </c>
      <c r="DD101" s="582">
        <f t="shared" si="244"/>
        <v>14293</v>
      </c>
      <c r="DE101" s="582">
        <f t="shared" si="244"/>
        <v>19058</v>
      </c>
      <c r="DF101" s="602">
        <f t="shared" si="244"/>
        <v>28587</v>
      </c>
      <c r="DG101" s="575"/>
      <c r="DH101" s="575" t="str">
        <f t="shared" si="46"/>
        <v/>
      </c>
      <c r="DI101" s="74" t="str">
        <f t="shared" si="47"/>
        <v/>
      </c>
      <c r="DJ101" s="74" t="str">
        <f t="shared" si="48"/>
        <v/>
      </c>
      <c r="DK101" s="623" t="str">
        <f t="shared" si="49"/>
        <v/>
      </c>
      <c r="DL101" s="74"/>
      <c r="DM101" s="74"/>
      <c r="DN101" s="582">
        <f t="shared" si="226"/>
        <v>1.9</v>
      </c>
      <c r="DO101" s="575"/>
      <c r="DP101" s="297"/>
    </row>
    <row r="102">
      <c r="A102" s="686">
        <v>96.0</v>
      </c>
      <c r="B102" s="196">
        <v>272.0</v>
      </c>
      <c r="C102" s="186">
        <v>58.0</v>
      </c>
      <c r="D102" s="186">
        <v>115.0</v>
      </c>
      <c r="E102" s="190"/>
      <c r="F102" s="221" t="s">
        <v>753</v>
      </c>
      <c r="G102" s="221">
        <f t="shared" si="5"/>
        <v>20</v>
      </c>
      <c r="H102" s="221">
        <f t="shared" si="6"/>
        <v>23</v>
      </c>
      <c r="I102" s="221">
        <f t="shared" si="7"/>
        <v>18</v>
      </c>
      <c r="J102" s="221">
        <f t="shared" si="8"/>
        <v>21</v>
      </c>
      <c r="K102" s="221">
        <f t="shared" si="9"/>
        <v>23</v>
      </c>
      <c r="L102" s="221">
        <f t="shared" si="10"/>
        <v>18.5</v>
      </c>
      <c r="M102" s="687">
        <f t="shared" si="11"/>
        <v>24</v>
      </c>
      <c r="N102" s="190" t="s">
        <v>898</v>
      </c>
      <c r="O102" s="688" t="s">
        <v>1981</v>
      </c>
      <c r="P102" s="808" t="s">
        <v>2207</v>
      </c>
      <c r="Q102" s="689" t="s">
        <v>1676</v>
      </c>
      <c r="R102" s="689" t="s">
        <v>1685</v>
      </c>
      <c r="S102" s="797" t="s">
        <v>584</v>
      </c>
      <c r="T102" s="690" t="s">
        <v>900</v>
      </c>
      <c r="U102" s="186">
        <v>85.0</v>
      </c>
      <c r="V102" s="186">
        <v>63.0</v>
      </c>
      <c r="W102" s="798">
        <v>189.0</v>
      </c>
      <c r="X102" s="798">
        <v>110.0</v>
      </c>
      <c r="Y102" s="186">
        <v>6.0</v>
      </c>
      <c r="Z102" s="691">
        <v>5.0</v>
      </c>
      <c r="AA102" s="186">
        <v>3.0</v>
      </c>
      <c r="AB102" s="186">
        <v>100.0</v>
      </c>
      <c r="AC102" s="186">
        <v>22259.0</v>
      </c>
      <c r="AD102" s="186">
        <v>4.0</v>
      </c>
      <c r="AE102" s="186">
        <v>110.0</v>
      </c>
      <c r="AF102" s="190"/>
      <c r="AG102" s="186">
        <v>73.0</v>
      </c>
      <c r="AH102" s="186">
        <v>144.0</v>
      </c>
      <c r="AI102" s="692">
        <f t="shared" si="12"/>
        <v>108.5</v>
      </c>
      <c r="AJ102" s="190"/>
      <c r="AK102" s="190"/>
      <c r="AL102" s="190"/>
      <c r="AM102" s="190"/>
      <c r="AN102" s="190"/>
      <c r="AO102" s="190"/>
      <c r="AP102" s="190"/>
      <c r="AQ102" s="190"/>
      <c r="AR102" s="190"/>
      <c r="AS102" s="377"/>
      <c r="AT102" s="221">
        <f t="shared" si="13"/>
        <v>1557</v>
      </c>
      <c r="AU102" s="221">
        <f t="shared" si="14"/>
        <v>2836</v>
      </c>
      <c r="AV102" s="693">
        <f t="shared" si="15"/>
        <v>2196.5</v>
      </c>
      <c r="AW102" s="694">
        <f t="shared" si="16"/>
        <v>2615</v>
      </c>
      <c r="AX102" s="694">
        <f t="shared" si="17"/>
        <v>2288</v>
      </c>
      <c r="AY102" s="694">
        <f t="shared" si="18"/>
        <v>3051</v>
      </c>
      <c r="AZ102" s="694">
        <f t="shared" si="19"/>
        <v>2890</v>
      </c>
      <c r="BA102" s="694">
        <f t="shared" si="20"/>
        <v>2288</v>
      </c>
      <c r="BB102" s="694">
        <f t="shared" si="21"/>
        <v>2197</v>
      </c>
      <c r="BC102" s="694">
        <f t="shared" si="22"/>
        <v>2496</v>
      </c>
      <c r="BD102" s="694">
        <f t="shared" si="23"/>
        <v>1830</v>
      </c>
      <c r="BE102" s="694">
        <f t="shared" si="24"/>
        <v>2197</v>
      </c>
      <c r="BF102" s="694">
        <f t="shared" si="25"/>
        <v>2288</v>
      </c>
      <c r="BG102" s="694">
        <f t="shared" si="26"/>
        <v>2746</v>
      </c>
      <c r="BH102" s="694">
        <f t="shared" si="27"/>
        <v>2746</v>
      </c>
      <c r="BI102" s="694">
        <f t="shared" si="28"/>
        <v>2890</v>
      </c>
      <c r="BJ102" s="694">
        <f t="shared" si="29"/>
        <v>2890</v>
      </c>
      <c r="BK102" s="694">
        <f t="shared" si="30"/>
        <v>2197</v>
      </c>
      <c r="BL102" s="694">
        <f t="shared" si="31"/>
        <v>2112</v>
      </c>
      <c r="BM102" s="190"/>
      <c r="BN102" s="190"/>
      <c r="BO102" s="694">
        <f t="shared" si="141"/>
        <v>3432</v>
      </c>
      <c r="BP102" s="695">
        <f t="shared" si="33"/>
        <v>3432</v>
      </c>
      <c r="BQ102" s="696">
        <v>58.0</v>
      </c>
      <c r="BR102" s="696">
        <v>115.0</v>
      </c>
      <c r="BS102" s="696">
        <v>5.0</v>
      </c>
      <c r="BT102" s="696">
        <v>100.0</v>
      </c>
      <c r="BU102" s="697"/>
      <c r="BV102" s="698">
        <f t="shared" si="34"/>
        <v>86.5</v>
      </c>
      <c r="BW102" s="699">
        <f t="shared" si="35"/>
        <v>2031</v>
      </c>
      <c r="BX102" s="700">
        <f t="shared" si="36"/>
        <v>2417.9</v>
      </c>
      <c r="BY102" s="700">
        <f t="shared" si="37"/>
        <v>2115.6</v>
      </c>
      <c r="BZ102" s="700">
        <f t="shared" si="38"/>
        <v>2820.8</v>
      </c>
      <c r="CA102" s="700">
        <f t="shared" si="39"/>
        <v>2308</v>
      </c>
      <c r="CB102" s="700">
        <f t="shared" si="40"/>
        <v>2115.6</v>
      </c>
      <c r="CC102" s="700">
        <f t="shared" si="41"/>
        <v>2672.4</v>
      </c>
      <c r="CD102" s="700">
        <f t="shared" si="42"/>
        <v>2031</v>
      </c>
      <c r="CE102" s="701">
        <f t="shared" si="43"/>
        <v>25.4</v>
      </c>
      <c r="CF102" s="806">
        <f t="shared" ref="CF102:CG102" si="245">IF(ROUND(100*(AV102/BW102)-100,1)=0,"",ROUND(100*(AV102/BW102)-100,1))</f>
        <v>8.1</v>
      </c>
      <c r="CG102" s="703">
        <f t="shared" si="245"/>
        <v>8.2</v>
      </c>
      <c r="CH102" s="377" t="s">
        <v>898</v>
      </c>
      <c r="CI102" s="694">
        <f t="shared" ref="CI102:DF102" si="246">FLOOR($AV102/(CI$3/25),1)</f>
        <v>2196</v>
      </c>
      <c r="CJ102" s="694">
        <f t="shared" si="246"/>
        <v>2288</v>
      </c>
      <c r="CK102" s="694">
        <f t="shared" si="246"/>
        <v>2387</v>
      </c>
      <c r="CL102" s="694">
        <f t="shared" si="246"/>
        <v>2496</v>
      </c>
      <c r="CM102" s="694">
        <f t="shared" si="246"/>
        <v>2614</v>
      </c>
      <c r="CN102" s="694">
        <f t="shared" si="246"/>
        <v>2745</v>
      </c>
      <c r="CO102" s="694">
        <f t="shared" si="246"/>
        <v>2890</v>
      </c>
      <c r="CP102" s="694">
        <f t="shared" si="246"/>
        <v>3050</v>
      </c>
      <c r="CQ102" s="694">
        <f t="shared" si="246"/>
        <v>3230</v>
      </c>
      <c r="CR102" s="694">
        <f t="shared" si="246"/>
        <v>3432</v>
      </c>
      <c r="CS102" s="694">
        <f t="shared" si="246"/>
        <v>3660</v>
      </c>
      <c r="CT102" s="694">
        <f t="shared" si="246"/>
        <v>3922</v>
      </c>
      <c r="CU102" s="694">
        <f t="shared" si="246"/>
        <v>4224</v>
      </c>
      <c r="CV102" s="694">
        <f t="shared" si="246"/>
        <v>4576</v>
      </c>
      <c r="CW102" s="694">
        <f t="shared" si="246"/>
        <v>4992</v>
      </c>
      <c r="CX102" s="694">
        <f t="shared" si="246"/>
        <v>5491</v>
      </c>
      <c r="CY102" s="694">
        <f t="shared" si="246"/>
        <v>6101</v>
      </c>
      <c r="CZ102" s="694">
        <f t="shared" si="246"/>
        <v>6864</v>
      </c>
      <c r="DA102" s="694">
        <f t="shared" si="246"/>
        <v>7844</v>
      </c>
      <c r="DB102" s="694">
        <f t="shared" si="246"/>
        <v>9152</v>
      </c>
      <c r="DC102" s="694">
        <f t="shared" si="246"/>
        <v>10982</v>
      </c>
      <c r="DD102" s="694">
        <f t="shared" si="246"/>
        <v>13728</v>
      </c>
      <c r="DE102" s="694">
        <f t="shared" si="246"/>
        <v>18304</v>
      </c>
      <c r="DF102" s="695">
        <f t="shared" si="246"/>
        <v>27456</v>
      </c>
      <c r="DG102" s="377"/>
      <c r="DH102" s="377" t="str">
        <f t="shared" si="46"/>
        <v/>
      </c>
      <c r="DI102" s="190" t="str">
        <f t="shared" si="47"/>
        <v/>
      </c>
      <c r="DJ102" s="190" t="str">
        <f t="shared" si="48"/>
        <v/>
      </c>
      <c r="DK102" s="704" t="str">
        <f t="shared" si="49"/>
        <v/>
      </c>
      <c r="DL102" s="190"/>
      <c r="DM102" s="190"/>
      <c r="DN102" s="694">
        <f t="shared" si="226"/>
        <v>1.2</v>
      </c>
      <c r="DO102" s="377"/>
      <c r="DP102" s="705"/>
    </row>
    <row r="103">
      <c r="A103" s="809">
        <v>97.0</v>
      </c>
      <c r="B103" s="337">
        <v>34.0</v>
      </c>
      <c r="C103" s="338">
        <v>2.0</v>
      </c>
      <c r="D103" s="338">
        <v>9.0</v>
      </c>
      <c r="E103" s="347"/>
      <c r="F103" s="349" t="s">
        <v>1246</v>
      </c>
      <c r="G103" s="347"/>
      <c r="H103" s="347"/>
      <c r="I103" s="349">
        <f t="shared" si="7"/>
        <v>16</v>
      </c>
      <c r="J103" s="347"/>
      <c r="K103" s="347"/>
      <c r="L103" s="347"/>
      <c r="M103" s="810"/>
      <c r="N103" s="811" t="s">
        <v>2324</v>
      </c>
      <c r="O103" s="812" t="s">
        <v>1954</v>
      </c>
      <c r="P103" s="813"/>
      <c r="Q103" s="813" t="s">
        <v>1313</v>
      </c>
      <c r="R103" s="813" t="s">
        <v>1314</v>
      </c>
      <c r="S103" s="814" t="s">
        <v>584</v>
      </c>
      <c r="T103" s="815" t="s">
        <v>753</v>
      </c>
      <c r="U103" s="338">
        <v>10.0</v>
      </c>
      <c r="V103" s="338">
        <v>0.0</v>
      </c>
      <c r="W103" s="338">
        <v>35.0</v>
      </c>
      <c r="X103" s="338">
        <v>27.0</v>
      </c>
      <c r="Y103" s="338">
        <v>3.0</v>
      </c>
      <c r="Z103" s="338">
        <v>0.0</v>
      </c>
      <c r="AA103" s="338">
        <v>3.0</v>
      </c>
      <c r="AB103" s="338">
        <v>88.0</v>
      </c>
      <c r="AC103" s="338">
        <v>644.0</v>
      </c>
      <c r="AD103" s="338">
        <v>4.0</v>
      </c>
      <c r="AE103" s="338">
        <v>110.0</v>
      </c>
      <c r="AF103" s="347"/>
      <c r="AG103" s="338">
        <v>2.0</v>
      </c>
      <c r="AH103" s="338">
        <v>9.0</v>
      </c>
      <c r="AI103" s="816">
        <f t="shared" si="12"/>
        <v>5.5</v>
      </c>
      <c r="AJ103" s="347"/>
      <c r="AK103" s="347"/>
      <c r="AL103" s="347"/>
      <c r="AM103" s="347"/>
      <c r="AN103" s="347"/>
      <c r="AO103" s="347"/>
      <c r="AP103" s="347"/>
      <c r="AQ103" s="347"/>
      <c r="AR103" s="347"/>
      <c r="AS103" s="810"/>
      <c r="AT103" s="349">
        <f t="shared" si="13"/>
        <v>283</v>
      </c>
      <c r="AU103" s="349">
        <f t="shared" si="14"/>
        <v>410</v>
      </c>
      <c r="AV103" s="817">
        <f t="shared" si="15"/>
        <v>346.5</v>
      </c>
      <c r="AW103" s="347"/>
      <c r="AX103" s="347"/>
      <c r="AY103" s="818">
        <f t="shared" si="18"/>
        <v>578</v>
      </c>
      <c r="AZ103" s="347"/>
      <c r="BA103" s="347"/>
      <c r="BB103" s="347"/>
      <c r="BC103" s="347"/>
      <c r="BD103" s="347"/>
      <c r="BE103" s="347"/>
      <c r="BF103" s="818">
        <f t="shared" si="25"/>
        <v>377</v>
      </c>
      <c r="BG103" s="818">
        <f t="shared" si="26"/>
        <v>456</v>
      </c>
      <c r="BH103" s="347"/>
      <c r="BI103" s="347"/>
      <c r="BJ103" s="347"/>
      <c r="BK103" s="347"/>
      <c r="BL103" s="347"/>
      <c r="BM103" s="347"/>
      <c r="BN103" s="347"/>
      <c r="BO103" s="347"/>
      <c r="BP103" s="810" t="str">
        <f t="shared" si="33"/>
        <v/>
      </c>
      <c r="BQ103" s="338">
        <v>2.0</v>
      </c>
      <c r="BR103" s="338">
        <v>9.0</v>
      </c>
      <c r="BS103" s="347"/>
      <c r="BT103" s="338">
        <v>100.0</v>
      </c>
      <c r="BU103" s="347"/>
      <c r="BV103" s="339">
        <f t="shared" si="34"/>
        <v>5.5</v>
      </c>
      <c r="BW103" s="819">
        <f t="shared" si="35"/>
        <v>391.1</v>
      </c>
      <c r="BX103" s="347"/>
      <c r="BY103" s="347"/>
      <c r="BZ103" s="818">
        <f t="shared" si="38"/>
        <v>651.8</v>
      </c>
      <c r="CA103" s="347"/>
      <c r="CB103" s="347"/>
      <c r="CC103" s="347"/>
      <c r="CD103" s="347"/>
      <c r="CE103" s="820" t="str">
        <f t="shared" si="43"/>
        <v/>
      </c>
      <c r="CF103" s="821">
        <f t="shared" ref="CF103:CF345" si="248">IF(ROUND(100*(AV103/BW103)-100,1)=0,"",ROUND(100*(AV103/BW103)-100,1))</f>
        <v>-11.4</v>
      </c>
      <c r="CG103" s="809">
        <f t="shared" ref="CG103:CG120" si="249">IF(ROUND(100*(AY103/BZ103)-100,1)=0,"",ROUND(100*(AY103/BZ103)-100,1))</f>
        <v>-11.3</v>
      </c>
      <c r="CH103" s="822" t="s">
        <v>2324</v>
      </c>
      <c r="CI103" s="818">
        <f t="shared" ref="CI103:DF103" si="247">FLOOR($AV103/(CI$3/25),1)</f>
        <v>346</v>
      </c>
      <c r="CJ103" s="818">
        <f t="shared" si="247"/>
        <v>360</v>
      </c>
      <c r="CK103" s="818">
        <f t="shared" si="247"/>
        <v>376</v>
      </c>
      <c r="CL103" s="818">
        <f t="shared" si="247"/>
        <v>393</v>
      </c>
      <c r="CM103" s="818">
        <f t="shared" si="247"/>
        <v>412</v>
      </c>
      <c r="CN103" s="818">
        <f t="shared" si="247"/>
        <v>433</v>
      </c>
      <c r="CO103" s="818">
        <f t="shared" si="247"/>
        <v>455</v>
      </c>
      <c r="CP103" s="818">
        <f t="shared" si="247"/>
        <v>481</v>
      </c>
      <c r="CQ103" s="818">
        <f t="shared" si="247"/>
        <v>509</v>
      </c>
      <c r="CR103" s="818">
        <f t="shared" si="247"/>
        <v>541</v>
      </c>
      <c r="CS103" s="818">
        <f t="shared" si="247"/>
        <v>577</v>
      </c>
      <c r="CT103" s="818">
        <f t="shared" si="247"/>
        <v>618</v>
      </c>
      <c r="CU103" s="818">
        <f t="shared" si="247"/>
        <v>666</v>
      </c>
      <c r="CV103" s="818">
        <f t="shared" si="247"/>
        <v>721</v>
      </c>
      <c r="CW103" s="818">
        <f t="shared" si="247"/>
        <v>787</v>
      </c>
      <c r="CX103" s="818">
        <f t="shared" si="247"/>
        <v>866</v>
      </c>
      <c r="CY103" s="818">
        <f t="shared" si="247"/>
        <v>962</v>
      </c>
      <c r="CZ103" s="818">
        <f t="shared" si="247"/>
        <v>1082</v>
      </c>
      <c r="DA103" s="818">
        <f t="shared" si="247"/>
        <v>1237</v>
      </c>
      <c r="DB103" s="818">
        <f t="shared" si="247"/>
        <v>1443</v>
      </c>
      <c r="DC103" s="818">
        <f t="shared" si="247"/>
        <v>1732</v>
      </c>
      <c r="DD103" s="818">
        <f t="shared" si="247"/>
        <v>2165</v>
      </c>
      <c r="DE103" s="818">
        <f t="shared" si="247"/>
        <v>2887</v>
      </c>
      <c r="DF103" s="823">
        <f t="shared" si="247"/>
        <v>4331</v>
      </c>
      <c r="DG103" s="810"/>
      <c r="DH103" s="810" t="str">
        <f t="shared" si="46"/>
        <v/>
      </c>
      <c r="DI103" s="347" t="str">
        <f t="shared" si="47"/>
        <v/>
      </c>
      <c r="DJ103" s="347" t="str">
        <f t="shared" si="48"/>
        <v/>
      </c>
      <c r="DK103" s="820" t="str">
        <f t="shared" si="49"/>
        <v/>
      </c>
      <c r="DL103" s="347"/>
      <c r="DM103" s="347"/>
      <c r="DN103" s="347"/>
      <c r="DO103" s="810"/>
      <c r="DP103" s="824"/>
    </row>
    <row r="104">
      <c r="A104" s="809">
        <v>98.0</v>
      </c>
      <c r="B104" s="337">
        <v>36.0</v>
      </c>
      <c r="C104" s="338">
        <v>5.0</v>
      </c>
      <c r="D104" s="338">
        <v>12.0</v>
      </c>
      <c r="E104" s="347"/>
      <c r="F104" s="349" t="s">
        <v>1246</v>
      </c>
      <c r="G104" s="347"/>
      <c r="H104" s="347"/>
      <c r="I104" s="349">
        <f t="shared" si="7"/>
        <v>16</v>
      </c>
      <c r="J104" s="347"/>
      <c r="K104" s="347"/>
      <c r="L104" s="347"/>
      <c r="M104" s="810"/>
      <c r="N104" s="811" t="s">
        <v>2325</v>
      </c>
      <c r="O104" s="812" t="s">
        <v>1955</v>
      </c>
      <c r="P104" s="813"/>
      <c r="Q104" s="813" t="s">
        <v>1313</v>
      </c>
      <c r="R104" s="813" t="s">
        <v>1314</v>
      </c>
      <c r="S104" s="814" t="s">
        <v>584</v>
      </c>
      <c r="T104" s="815" t="s">
        <v>775</v>
      </c>
      <c r="U104" s="338">
        <v>17.0</v>
      </c>
      <c r="V104" s="338">
        <v>0.0</v>
      </c>
      <c r="W104" s="338">
        <v>47.0</v>
      </c>
      <c r="X104" s="347"/>
      <c r="Y104" s="338">
        <v>4.0</v>
      </c>
      <c r="Z104" s="338">
        <v>10.0</v>
      </c>
      <c r="AA104" s="338">
        <v>3.0</v>
      </c>
      <c r="AB104" s="338">
        <v>100.0</v>
      </c>
      <c r="AC104" s="338">
        <v>1262.0</v>
      </c>
      <c r="AD104" s="338">
        <v>4.0</v>
      </c>
      <c r="AE104" s="338">
        <v>110.0</v>
      </c>
      <c r="AF104" s="347"/>
      <c r="AG104" s="338">
        <v>5.0</v>
      </c>
      <c r="AH104" s="338">
        <v>12.0</v>
      </c>
      <c r="AI104" s="816">
        <f t="shared" si="12"/>
        <v>8.5</v>
      </c>
      <c r="AJ104" s="347"/>
      <c r="AK104" s="347"/>
      <c r="AL104" s="347"/>
      <c r="AM104" s="347"/>
      <c r="AN104" s="347"/>
      <c r="AO104" s="347"/>
      <c r="AP104" s="347"/>
      <c r="AQ104" s="347"/>
      <c r="AR104" s="347"/>
      <c r="AS104" s="810"/>
      <c r="AT104" s="349">
        <f t="shared" si="13"/>
        <v>335</v>
      </c>
      <c r="AU104" s="349">
        <f t="shared" si="14"/>
        <v>461</v>
      </c>
      <c r="AV104" s="817">
        <f t="shared" si="15"/>
        <v>398</v>
      </c>
      <c r="AW104" s="347"/>
      <c r="AX104" s="347"/>
      <c r="AY104" s="818">
        <f t="shared" si="18"/>
        <v>585</v>
      </c>
      <c r="AZ104" s="347"/>
      <c r="BA104" s="347"/>
      <c r="BB104" s="347"/>
      <c r="BC104" s="347"/>
      <c r="BD104" s="347"/>
      <c r="BE104" s="347"/>
      <c r="BF104" s="818">
        <f t="shared" si="25"/>
        <v>369</v>
      </c>
      <c r="BG104" s="818">
        <f t="shared" si="26"/>
        <v>452</v>
      </c>
      <c r="BH104" s="347"/>
      <c r="BI104" s="347"/>
      <c r="BJ104" s="347"/>
      <c r="BK104" s="347"/>
      <c r="BL104" s="347"/>
      <c r="BM104" s="347"/>
      <c r="BN104" s="347"/>
      <c r="BO104" s="347"/>
      <c r="BP104" s="810" t="str">
        <f t="shared" si="33"/>
        <v/>
      </c>
      <c r="BQ104" s="338">
        <v>5.0</v>
      </c>
      <c r="BR104" s="338">
        <v>12.0</v>
      </c>
      <c r="BS104" s="338">
        <v>10.0</v>
      </c>
      <c r="BT104" s="338">
        <v>100.0</v>
      </c>
      <c r="BU104" s="347"/>
      <c r="BV104" s="339">
        <f t="shared" si="34"/>
        <v>8.5</v>
      </c>
      <c r="BW104" s="819">
        <f t="shared" si="35"/>
        <v>451.8</v>
      </c>
      <c r="BX104" s="347"/>
      <c r="BY104" s="347"/>
      <c r="BZ104" s="818">
        <f t="shared" si="38"/>
        <v>664.4</v>
      </c>
      <c r="CA104" s="347"/>
      <c r="CB104" s="347"/>
      <c r="CC104" s="347"/>
      <c r="CD104" s="347"/>
      <c r="CE104" s="820" t="str">
        <f t="shared" si="43"/>
        <v/>
      </c>
      <c r="CF104" s="821">
        <f t="shared" si="248"/>
        <v>-11.9</v>
      </c>
      <c r="CG104" s="809">
        <f t="shared" si="249"/>
        <v>-12</v>
      </c>
      <c r="CH104" s="822" t="s">
        <v>2325</v>
      </c>
      <c r="CI104" s="818">
        <f t="shared" ref="CI104:DF104" si="250">FLOOR($AV104/(CI$3/25),1)</f>
        <v>398</v>
      </c>
      <c r="CJ104" s="818">
        <f t="shared" si="250"/>
        <v>414</v>
      </c>
      <c r="CK104" s="818">
        <f t="shared" si="250"/>
        <v>432</v>
      </c>
      <c r="CL104" s="818">
        <f t="shared" si="250"/>
        <v>452</v>
      </c>
      <c r="CM104" s="818">
        <f t="shared" si="250"/>
        <v>473</v>
      </c>
      <c r="CN104" s="818">
        <f t="shared" si="250"/>
        <v>497</v>
      </c>
      <c r="CO104" s="818">
        <f t="shared" si="250"/>
        <v>523</v>
      </c>
      <c r="CP104" s="818">
        <f t="shared" si="250"/>
        <v>552</v>
      </c>
      <c r="CQ104" s="818">
        <f t="shared" si="250"/>
        <v>585</v>
      </c>
      <c r="CR104" s="818">
        <f t="shared" si="250"/>
        <v>621</v>
      </c>
      <c r="CS104" s="818">
        <f t="shared" si="250"/>
        <v>663</v>
      </c>
      <c r="CT104" s="818">
        <f t="shared" si="250"/>
        <v>710</v>
      </c>
      <c r="CU104" s="818">
        <f t="shared" si="250"/>
        <v>765</v>
      </c>
      <c r="CV104" s="818">
        <f t="shared" si="250"/>
        <v>829</v>
      </c>
      <c r="CW104" s="818">
        <f t="shared" si="250"/>
        <v>904</v>
      </c>
      <c r="CX104" s="818">
        <f t="shared" si="250"/>
        <v>995</v>
      </c>
      <c r="CY104" s="818">
        <f t="shared" si="250"/>
        <v>1105</v>
      </c>
      <c r="CZ104" s="818">
        <f t="shared" si="250"/>
        <v>1243</v>
      </c>
      <c r="DA104" s="818">
        <f t="shared" si="250"/>
        <v>1421</v>
      </c>
      <c r="DB104" s="818">
        <f t="shared" si="250"/>
        <v>1658</v>
      </c>
      <c r="DC104" s="818">
        <f t="shared" si="250"/>
        <v>1990</v>
      </c>
      <c r="DD104" s="818">
        <f t="shared" si="250"/>
        <v>2487</v>
      </c>
      <c r="DE104" s="818">
        <f t="shared" si="250"/>
        <v>3316</v>
      </c>
      <c r="DF104" s="823">
        <f t="shared" si="250"/>
        <v>4975</v>
      </c>
      <c r="DG104" s="810"/>
      <c r="DH104" s="810" t="str">
        <f t="shared" si="46"/>
        <v/>
      </c>
      <c r="DI104" s="347" t="str">
        <f t="shared" si="47"/>
        <v/>
      </c>
      <c r="DJ104" s="347" t="str">
        <f t="shared" si="48"/>
        <v/>
      </c>
      <c r="DK104" s="820" t="str">
        <f t="shared" si="49"/>
        <v/>
      </c>
      <c r="DL104" s="347"/>
      <c r="DM104" s="347"/>
      <c r="DN104" s="347"/>
      <c r="DO104" s="810"/>
      <c r="DP104" s="824"/>
    </row>
    <row r="105">
      <c r="A105" s="809">
        <v>99.0</v>
      </c>
      <c r="B105" s="337">
        <v>38.0</v>
      </c>
      <c r="C105" s="338">
        <v>3.0</v>
      </c>
      <c r="D105" s="338">
        <v>16.0</v>
      </c>
      <c r="E105" s="347"/>
      <c r="F105" s="349" t="s">
        <v>1246</v>
      </c>
      <c r="G105" s="347"/>
      <c r="H105" s="347"/>
      <c r="I105" s="349">
        <f t="shared" si="7"/>
        <v>16</v>
      </c>
      <c r="J105" s="347"/>
      <c r="K105" s="347"/>
      <c r="L105" s="347"/>
      <c r="M105" s="810"/>
      <c r="N105" s="811" t="s">
        <v>2326</v>
      </c>
      <c r="O105" s="812" t="s">
        <v>1956</v>
      </c>
      <c r="P105" s="813"/>
      <c r="Q105" s="813" t="s">
        <v>1313</v>
      </c>
      <c r="R105" s="813" t="s">
        <v>1314</v>
      </c>
      <c r="S105" s="814" t="s">
        <v>584</v>
      </c>
      <c r="T105" s="815" t="s">
        <v>823</v>
      </c>
      <c r="U105" s="338">
        <v>21.0</v>
      </c>
      <c r="V105" s="338">
        <v>0.0</v>
      </c>
      <c r="W105" s="338">
        <v>56.0</v>
      </c>
      <c r="X105" s="338">
        <v>34.0</v>
      </c>
      <c r="Y105" s="338">
        <v>4.0</v>
      </c>
      <c r="Z105" s="338">
        <v>0.0</v>
      </c>
      <c r="AA105" s="338">
        <v>3.0</v>
      </c>
      <c r="AB105" s="338">
        <v>100.0</v>
      </c>
      <c r="AC105" s="338">
        <v>1459.0</v>
      </c>
      <c r="AD105" s="338">
        <v>4.0</v>
      </c>
      <c r="AE105" s="338">
        <v>110.0</v>
      </c>
      <c r="AF105" s="347"/>
      <c r="AG105" s="338">
        <v>3.0</v>
      </c>
      <c r="AH105" s="338">
        <v>16.0</v>
      </c>
      <c r="AI105" s="816">
        <f t="shared" si="12"/>
        <v>9.5</v>
      </c>
      <c r="AJ105" s="347"/>
      <c r="AK105" s="347"/>
      <c r="AL105" s="347"/>
      <c r="AM105" s="347"/>
      <c r="AN105" s="347"/>
      <c r="AO105" s="347"/>
      <c r="AP105" s="347"/>
      <c r="AQ105" s="347"/>
      <c r="AR105" s="347"/>
      <c r="AS105" s="810"/>
      <c r="AT105" s="349">
        <f t="shared" si="13"/>
        <v>298</v>
      </c>
      <c r="AU105" s="349">
        <f t="shared" si="14"/>
        <v>532</v>
      </c>
      <c r="AV105" s="817">
        <f t="shared" si="15"/>
        <v>415</v>
      </c>
      <c r="AW105" s="347"/>
      <c r="AX105" s="347"/>
      <c r="AY105" s="818">
        <f t="shared" si="18"/>
        <v>692</v>
      </c>
      <c r="AZ105" s="347"/>
      <c r="BA105" s="347"/>
      <c r="BB105" s="347"/>
      <c r="BC105" s="347"/>
      <c r="BD105" s="347"/>
      <c r="BE105" s="347"/>
      <c r="BF105" s="818">
        <f t="shared" si="25"/>
        <v>451</v>
      </c>
      <c r="BG105" s="818">
        <f t="shared" si="26"/>
        <v>546</v>
      </c>
      <c r="BH105" s="347"/>
      <c r="BI105" s="347"/>
      <c r="BJ105" s="347"/>
      <c r="BK105" s="347"/>
      <c r="BL105" s="347"/>
      <c r="BM105" s="347"/>
      <c r="BN105" s="347"/>
      <c r="BO105" s="347"/>
      <c r="BP105" s="810" t="str">
        <f t="shared" si="33"/>
        <v/>
      </c>
      <c r="BQ105" s="338">
        <v>3.0</v>
      </c>
      <c r="BR105" s="338">
        <v>16.0</v>
      </c>
      <c r="BS105" s="347"/>
      <c r="BT105" s="338">
        <v>100.0</v>
      </c>
      <c r="BU105" s="347"/>
      <c r="BV105" s="339">
        <f t="shared" si="34"/>
        <v>9.5</v>
      </c>
      <c r="BW105" s="819">
        <f t="shared" si="35"/>
        <v>472.1</v>
      </c>
      <c r="BX105" s="347"/>
      <c r="BY105" s="347"/>
      <c r="BZ105" s="818">
        <f t="shared" si="38"/>
        <v>786.8</v>
      </c>
      <c r="CA105" s="347"/>
      <c r="CB105" s="347"/>
      <c r="CC105" s="347"/>
      <c r="CD105" s="347"/>
      <c r="CE105" s="820" t="str">
        <f t="shared" si="43"/>
        <v/>
      </c>
      <c r="CF105" s="821">
        <f t="shared" si="248"/>
        <v>-12.1</v>
      </c>
      <c r="CG105" s="809">
        <f t="shared" si="249"/>
        <v>-12</v>
      </c>
      <c r="CH105" s="822" t="s">
        <v>2326</v>
      </c>
      <c r="CI105" s="818">
        <f t="shared" ref="CI105:DF105" si="251">FLOOR($AV105/(CI$3/25),1)</f>
        <v>415</v>
      </c>
      <c r="CJ105" s="818">
        <f t="shared" si="251"/>
        <v>432</v>
      </c>
      <c r="CK105" s="818">
        <f t="shared" si="251"/>
        <v>451</v>
      </c>
      <c r="CL105" s="818">
        <f t="shared" si="251"/>
        <v>471</v>
      </c>
      <c r="CM105" s="818">
        <f t="shared" si="251"/>
        <v>494</v>
      </c>
      <c r="CN105" s="818">
        <f t="shared" si="251"/>
        <v>518</v>
      </c>
      <c r="CO105" s="818">
        <f t="shared" si="251"/>
        <v>546</v>
      </c>
      <c r="CP105" s="818">
        <f t="shared" si="251"/>
        <v>576</v>
      </c>
      <c r="CQ105" s="818">
        <f t="shared" si="251"/>
        <v>610</v>
      </c>
      <c r="CR105" s="818">
        <f t="shared" si="251"/>
        <v>648</v>
      </c>
      <c r="CS105" s="818">
        <f t="shared" si="251"/>
        <v>691</v>
      </c>
      <c r="CT105" s="818">
        <f t="shared" si="251"/>
        <v>741</v>
      </c>
      <c r="CU105" s="818">
        <f t="shared" si="251"/>
        <v>798</v>
      </c>
      <c r="CV105" s="818">
        <f t="shared" si="251"/>
        <v>864</v>
      </c>
      <c r="CW105" s="818">
        <f t="shared" si="251"/>
        <v>943</v>
      </c>
      <c r="CX105" s="818">
        <f t="shared" si="251"/>
        <v>1037</v>
      </c>
      <c r="CY105" s="818">
        <f t="shared" si="251"/>
        <v>1152</v>
      </c>
      <c r="CZ105" s="818">
        <f t="shared" si="251"/>
        <v>1296</v>
      </c>
      <c r="DA105" s="818">
        <f t="shared" si="251"/>
        <v>1482</v>
      </c>
      <c r="DB105" s="818">
        <f t="shared" si="251"/>
        <v>1729</v>
      </c>
      <c r="DC105" s="818">
        <f t="shared" si="251"/>
        <v>2075</v>
      </c>
      <c r="DD105" s="818">
        <f t="shared" si="251"/>
        <v>2593</v>
      </c>
      <c r="DE105" s="818">
        <f t="shared" si="251"/>
        <v>3458</v>
      </c>
      <c r="DF105" s="823">
        <f t="shared" si="251"/>
        <v>5187</v>
      </c>
      <c r="DG105" s="810"/>
      <c r="DH105" s="810" t="str">
        <f t="shared" si="46"/>
        <v/>
      </c>
      <c r="DI105" s="347" t="str">
        <f t="shared" si="47"/>
        <v/>
      </c>
      <c r="DJ105" s="347" t="str">
        <f t="shared" si="48"/>
        <v/>
      </c>
      <c r="DK105" s="820" t="str">
        <f t="shared" si="49"/>
        <v/>
      </c>
      <c r="DL105" s="347"/>
      <c r="DM105" s="347"/>
      <c r="DN105" s="347"/>
      <c r="DO105" s="810"/>
      <c r="DP105" s="824"/>
    </row>
    <row r="106">
      <c r="A106" s="809">
        <v>100.0</v>
      </c>
      <c r="B106" s="337">
        <v>40.0</v>
      </c>
      <c r="C106" s="338">
        <v>7.0</v>
      </c>
      <c r="D106" s="338">
        <v>19.0</v>
      </c>
      <c r="E106" s="347"/>
      <c r="F106" s="349" t="s">
        <v>1246</v>
      </c>
      <c r="G106" s="347"/>
      <c r="H106" s="347"/>
      <c r="I106" s="349">
        <f t="shared" si="7"/>
        <v>16</v>
      </c>
      <c r="J106" s="347"/>
      <c r="K106" s="347"/>
      <c r="L106" s="347"/>
      <c r="M106" s="810"/>
      <c r="N106" s="811" t="s">
        <v>2327</v>
      </c>
      <c r="O106" s="812" t="s">
        <v>1957</v>
      </c>
      <c r="P106" s="813"/>
      <c r="Q106" s="813" t="s">
        <v>1313</v>
      </c>
      <c r="R106" s="813" t="s">
        <v>1314</v>
      </c>
      <c r="S106" s="814" t="s">
        <v>584</v>
      </c>
      <c r="T106" s="815" t="s">
        <v>856</v>
      </c>
      <c r="U106" s="338">
        <v>24.0</v>
      </c>
      <c r="V106" s="338">
        <v>0.0</v>
      </c>
      <c r="W106" s="338">
        <v>62.0</v>
      </c>
      <c r="X106" s="347"/>
      <c r="Y106" s="338">
        <v>4.0</v>
      </c>
      <c r="Z106" s="338">
        <v>10.0</v>
      </c>
      <c r="AA106" s="338">
        <v>3.0</v>
      </c>
      <c r="AB106" s="338">
        <v>80.0</v>
      </c>
      <c r="AC106" s="338">
        <v>1971.0</v>
      </c>
      <c r="AD106" s="338">
        <v>4.0</v>
      </c>
      <c r="AE106" s="338">
        <v>110.0</v>
      </c>
      <c r="AF106" s="347"/>
      <c r="AG106" s="338">
        <v>7.0</v>
      </c>
      <c r="AH106" s="338">
        <v>19.0</v>
      </c>
      <c r="AI106" s="816">
        <f t="shared" si="12"/>
        <v>13</v>
      </c>
      <c r="AJ106" s="347"/>
      <c r="AK106" s="347"/>
      <c r="AL106" s="347"/>
      <c r="AM106" s="347"/>
      <c r="AN106" s="347"/>
      <c r="AO106" s="347"/>
      <c r="AP106" s="347"/>
      <c r="AQ106" s="347"/>
      <c r="AR106" s="347"/>
      <c r="AS106" s="810"/>
      <c r="AT106" s="349">
        <f t="shared" si="13"/>
        <v>370</v>
      </c>
      <c r="AU106" s="349">
        <f t="shared" si="14"/>
        <v>587</v>
      </c>
      <c r="AV106" s="817">
        <f t="shared" si="15"/>
        <v>478.5</v>
      </c>
      <c r="AW106" s="347"/>
      <c r="AX106" s="347"/>
      <c r="AY106" s="818">
        <f t="shared" si="18"/>
        <v>704</v>
      </c>
      <c r="AZ106" s="347"/>
      <c r="BA106" s="347"/>
      <c r="BB106" s="347"/>
      <c r="BC106" s="347"/>
      <c r="BD106" s="347"/>
      <c r="BE106" s="347"/>
      <c r="BF106" s="818">
        <f t="shared" si="25"/>
        <v>443</v>
      </c>
      <c r="BG106" s="818">
        <f t="shared" si="26"/>
        <v>544</v>
      </c>
      <c r="BH106" s="347"/>
      <c r="BI106" s="347"/>
      <c r="BJ106" s="347"/>
      <c r="BK106" s="347"/>
      <c r="BL106" s="347"/>
      <c r="BM106" s="347"/>
      <c r="BN106" s="347"/>
      <c r="BO106" s="347"/>
      <c r="BP106" s="810" t="str">
        <f t="shared" si="33"/>
        <v/>
      </c>
      <c r="BQ106" s="338">
        <v>7.0</v>
      </c>
      <c r="BR106" s="338">
        <v>19.0</v>
      </c>
      <c r="BS106" s="338">
        <v>10.0</v>
      </c>
      <c r="BT106" s="338">
        <v>100.0</v>
      </c>
      <c r="BU106" s="347"/>
      <c r="BV106" s="339">
        <f t="shared" si="34"/>
        <v>13</v>
      </c>
      <c r="BW106" s="819">
        <f t="shared" si="35"/>
        <v>542.9</v>
      </c>
      <c r="BX106" s="347"/>
      <c r="BY106" s="347"/>
      <c r="BZ106" s="818">
        <f t="shared" si="38"/>
        <v>798.4</v>
      </c>
      <c r="CA106" s="347"/>
      <c r="CB106" s="347"/>
      <c r="CC106" s="347"/>
      <c r="CD106" s="347"/>
      <c r="CE106" s="820" t="str">
        <f t="shared" si="43"/>
        <v/>
      </c>
      <c r="CF106" s="821">
        <f t="shared" si="248"/>
        <v>-11.9</v>
      </c>
      <c r="CG106" s="809">
        <f t="shared" si="249"/>
        <v>-11.8</v>
      </c>
      <c r="CH106" s="822" t="s">
        <v>2327</v>
      </c>
      <c r="CI106" s="818">
        <f t="shared" ref="CI106:DF106" si="252">FLOOR($AV106/(CI$3/25),1)</f>
        <v>478</v>
      </c>
      <c r="CJ106" s="818">
        <f t="shared" si="252"/>
        <v>498</v>
      </c>
      <c r="CK106" s="818">
        <f t="shared" si="252"/>
        <v>520</v>
      </c>
      <c r="CL106" s="818">
        <f t="shared" si="252"/>
        <v>543</v>
      </c>
      <c r="CM106" s="818">
        <f t="shared" si="252"/>
        <v>569</v>
      </c>
      <c r="CN106" s="818">
        <f t="shared" si="252"/>
        <v>598</v>
      </c>
      <c r="CO106" s="818">
        <f t="shared" si="252"/>
        <v>629</v>
      </c>
      <c r="CP106" s="818">
        <f t="shared" si="252"/>
        <v>664</v>
      </c>
      <c r="CQ106" s="818">
        <f t="shared" si="252"/>
        <v>703</v>
      </c>
      <c r="CR106" s="818">
        <f t="shared" si="252"/>
        <v>747</v>
      </c>
      <c r="CS106" s="818">
        <f t="shared" si="252"/>
        <v>797</v>
      </c>
      <c r="CT106" s="818">
        <f t="shared" si="252"/>
        <v>854</v>
      </c>
      <c r="CU106" s="818">
        <f t="shared" si="252"/>
        <v>920</v>
      </c>
      <c r="CV106" s="818">
        <f t="shared" si="252"/>
        <v>996</v>
      </c>
      <c r="CW106" s="818">
        <f t="shared" si="252"/>
        <v>1087</v>
      </c>
      <c r="CX106" s="818">
        <f t="shared" si="252"/>
        <v>1196</v>
      </c>
      <c r="CY106" s="818">
        <f t="shared" si="252"/>
        <v>1329</v>
      </c>
      <c r="CZ106" s="818">
        <f t="shared" si="252"/>
        <v>1495</v>
      </c>
      <c r="DA106" s="818">
        <f t="shared" si="252"/>
        <v>1708</v>
      </c>
      <c r="DB106" s="818">
        <f t="shared" si="252"/>
        <v>1993</v>
      </c>
      <c r="DC106" s="818">
        <f t="shared" si="252"/>
        <v>2392</v>
      </c>
      <c r="DD106" s="818">
        <f t="shared" si="252"/>
        <v>2990</v>
      </c>
      <c r="DE106" s="818">
        <f t="shared" si="252"/>
        <v>3987</v>
      </c>
      <c r="DF106" s="823">
        <f t="shared" si="252"/>
        <v>5981</v>
      </c>
      <c r="DG106" s="810"/>
      <c r="DH106" s="810" t="str">
        <f t="shared" si="46"/>
        <v/>
      </c>
      <c r="DI106" s="347" t="str">
        <f t="shared" si="47"/>
        <v/>
      </c>
      <c r="DJ106" s="347" t="str">
        <f t="shared" si="48"/>
        <v/>
      </c>
      <c r="DK106" s="820" t="str">
        <f t="shared" si="49"/>
        <v/>
      </c>
      <c r="DL106" s="347"/>
      <c r="DM106" s="347"/>
      <c r="DN106" s="347"/>
      <c r="DO106" s="810"/>
      <c r="DP106" s="824"/>
    </row>
    <row r="107">
      <c r="A107" s="809">
        <v>101.0</v>
      </c>
      <c r="B107" s="337">
        <v>42.0</v>
      </c>
      <c r="C107" s="338">
        <v>9.0</v>
      </c>
      <c r="D107" s="338">
        <v>15.0</v>
      </c>
      <c r="E107" s="347"/>
      <c r="F107" s="349" t="s">
        <v>1246</v>
      </c>
      <c r="G107" s="347"/>
      <c r="H107" s="347"/>
      <c r="I107" s="349">
        <f t="shared" si="7"/>
        <v>16</v>
      </c>
      <c r="J107" s="347"/>
      <c r="K107" s="347"/>
      <c r="L107" s="347"/>
      <c r="M107" s="810"/>
      <c r="N107" s="811" t="s">
        <v>2328</v>
      </c>
      <c r="O107" s="812" t="s">
        <v>1958</v>
      </c>
      <c r="P107" s="813"/>
      <c r="Q107" s="813" t="s">
        <v>1313</v>
      </c>
      <c r="R107" s="813" t="s">
        <v>1314</v>
      </c>
      <c r="S107" s="814" t="s">
        <v>584</v>
      </c>
      <c r="T107" s="815" t="s">
        <v>865</v>
      </c>
      <c r="U107" s="338">
        <v>27.0</v>
      </c>
      <c r="V107" s="338">
        <v>0.0</v>
      </c>
      <c r="W107" s="338">
        <v>70.0</v>
      </c>
      <c r="X107" s="338">
        <v>49.0</v>
      </c>
      <c r="Y107" s="338">
        <v>5.0</v>
      </c>
      <c r="Z107" s="338">
        <v>-10.0</v>
      </c>
      <c r="AA107" s="338">
        <v>3.0</v>
      </c>
      <c r="AB107" s="338">
        <v>100.0</v>
      </c>
      <c r="AC107" s="338">
        <v>2400.0</v>
      </c>
      <c r="AD107" s="338">
        <v>4.0</v>
      </c>
      <c r="AE107" s="338">
        <v>110.0</v>
      </c>
      <c r="AF107" s="347"/>
      <c r="AG107" s="338">
        <v>9.0</v>
      </c>
      <c r="AH107" s="338">
        <v>15.0</v>
      </c>
      <c r="AI107" s="816">
        <f t="shared" si="12"/>
        <v>12</v>
      </c>
      <c r="AJ107" s="347"/>
      <c r="AK107" s="347"/>
      <c r="AL107" s="347"/>
      <c r="AM107" s="347"/>
      <c r="AN107" s="347"/>
      <c r="AO107" s="347"/>
      <c r="AP107" s="347"/>
      <c r="AQ107" s="347"/>
      <c r="AR107" s="347"/>
      <c r="AS107" s="810"/>
      <c r="AT107" s="349">
        <f t="shared" si="13"/>
        <v>410</v>
      </c>
      <c r="AU107" s="349">
        <f t="shared" si="14"/>
        <v>516</v>
      </c>
      <c r="AV107" s="817">
        <f t="shared" si="15"/>
        <v>463</v>
      </c>
      <c r="AW107" s="347"/>
      <c r="AX107" s="347"/>
      <c r="AY107" s="818">
        <f t="shared" si="18"/>
        <v>827</v>
      </c>
      <c r="AZ107" s="347"/>
      <c r="BA107" s="347"/>
      <c r="BB107" s="347"/>
      <c r="BC107" s="347"/>
      <c r="BD107" s="347"/>
      <c r="BE107" s="347"/>
      <c r="BF107" s="818">
        <f t="shared" si="25"/>
        <v>643</v>
      </c>
      <c r="BG107" s="818">
        <f t="shared" si="26"/>
        <v>772</v>
      </c>
      <c r="BH107" s="347"/>
      <c r="BI107" s="347"/>
      <c r="BJ107" s="347"/>
      <c r="BK107" s="347"/>
      <c r="BL107" s="347"/>
      <c r="BM107" s="347"/>
      <c r="BN107" s="347"/>
      <c r="BO107" s="347"/>
      <c r="BP107" s="810" t="str">
        <f t="shared" si="33"/>
        <v/>
      </c>
      <c r="BQ107" s="338">
        <v>9.0</v>
      </c>
      <c r="BR107" s="338">
        <v>15.0</v>
      </c>
      <c r="BS107" s="338">
        <v>-10.0</v>
      </c>
      <c r="BT107" s="338">
        <v>100.0</v>
      </c>
      <c r="BU107" s="347"/>
      <c r="BV107" s="339">
        <f t="shared" si="34"/>
        <v>12</v>
      </c>
      <c r="BW107" s="819">
        <f t="shared" si="35"/>
        <v>522.7</v>
      </c>
      <c r="BX107" s="347"/>
      <c r="BY107" s="347"/>
      <c r="BZ107" s="818">
        <f t="shared" si="38"/>
        <v>933.4</v>
      </c>
      <c r="CA107" s="347"/>
      <c r="CB107" s="347"/>
      <c r="CC107" s="347"/>
      <c r="CD107" s="347"/>
      <c r="CE107" s="820" t="str">
        <f t="shared" si="43"/>
        <v/>
      </c>
      <c r="CF107" s="821">
        <f t="shared" si="248"/>
        <v>-11.4</v>
      </c>
      <c r="CG107" s="823">
        <f t="shared" si="249"/>
        <v>-11.4</v>
      </c>
      <c r="CH107" s="822" t="s">
        <v>2328</v>
      </c>
      <c r="CI107" s="818">
        <f t="shared" ref="CI107:DF107" si="253">FLOOR($AV107/(CI$3/25),1)</f>
        <v>463</v>
      </c>
      <c r="CJ107" s="818">
        <f t="shared" si="253"/>
        <v>482</v>
      </c>
      <c r="CK107" s="818">
        <f t="shared" si="253"/>
        <v>503</v>
      </c>
      <c r="CL107" s="818">
        <f t="shared" si="253"/>
        <v>526</v>
      </c>
      <c r="CM107" s="818">
        <f t="shared" si="253"/>
        <v>551</v>
      </c>
      <c r="CN107" s="818">
        <f t="shared" si="253"/>
        <v>578</v>
      </c>
      <c r="CO107" s="818">
        <f t="shared" si="253"/>
        <v>609</v>
      </c>
      <c r="CP107" s="818">
        <f t="shared" si="253"/>
        <v>643</v>
      </c>
      <c r="CQ107" s="818">
        <f t="shared" si="253"/>
        <v>680</v>
      </c>
      <c r="CR107" s="818">
        <f t="shared" si="253"/>
        <v>723</v>
      </c>
      <c r="CS107" s="818">
        <f t="shared" si="253"/>
        <v>771</v>
      </c>
      <c r="CT107" s="818">
        <f t="shared" si="253"/>
        <v>826</v>
      </c>
      <c r="CU107" s="818">
        <f t="shared" si="253"/>
        <v>890</v>
      </c>
      <c r="CV107" s="818">
        <f t="shared" si="253"/>
        <v>964</v>
      </c>
      <c r="CW107" s="818">
        <f t="shared" si="253"/>
        <v>1052</v>
      </c>
      <c r="CX107" s="818">
        <f t="shared" si="253"/>
        <v>1157</v>
      </c>
      <c r="CY107" s="818">
        <f t="shared" si="253"/>
        <v>1286</v>
      </c>
      <c r="CZ107" s="818">
        <f t="shared" si="253"/>
        <v>1446</v>
      </c>
      <c r="DA107" s="818">
        <f t="shared" si="253"/>
        <v>1653</v>
      </c>
      <c r="DB107" s="818">
        <f t="shared" si="253"/>
        <v>1929</v>
      </c>
      <c r="DC107" s="818">
        <f t="shared" si="253"/>
        <v>2315</v>
      </c>
      <c r="DD107" s="818">
        <f t="shared" si="253"/>
        <v>2893</v>
      </c>
      <c r="DE107" s="818">
        <f t="shared" si="253"/>
        <v>3858</v>
      </c>
      <c r="DF107" s="823">
        <f t="shared" si="253"/>
        <v>5787</v>
      </c>
      <c r="DG107" s="810"/>
      <c r="DH107" s="810" t="str">
        <f t="shared" si="46"/>
        <v/>
      </c>
      <c r="DI107" s="347" t="str">
        <f t="shared" si="47"/>
        <v/>
      </c>
      <c r="DJ107" s="347" t="str">
        <f t="shared" si="48"/>
        <v/>
      </c>
      <c r="DK107" s="820" t="str">
        <f t="shared" si="49"/>
        <v/>
      </c>
      <c r="DL107" s="347"/>
      <c r="DM107" s="347"/>
      <c r="DN107" s="347"/>
      <c r="DO107" s="810"/>
      <c r="DP107" s="824"/>
    </row>
    <row r="108">
      <c r="A108" s="825">
        <v>102.0</v>
      </c>
      <c r="B108" s="438">
        <v>44.0</v>
      </c>
      <c r="C108" s="440">
        <v>12.0</v>
      </c>
      <c r="D108" s="440">
        <v>20.0</v>
      </c>
      <c r="E108" s="439"/>
      <c r="F108" s="459" t="s">
        <v>1246</v>
      </c>
      <c r="G108" s="439"/>
      <c r="H108" s="439"/>
      <c r="I108" s="459">
        <f t="shared" si="7"/>
        <v>16</v>
      </c>
      <c r="J108" s="439"/>
      <c r="K108" s="439"/>
      <c r="L108" s="439"/>
      <c r="M108" s="826"/>
      <c r="N108" s="827" t="s">
        <v>2329</v>
      </c>
      <c r="O108" s="828" t="s">
        <v>1959</v>
      </c>
      <c r="P108" s="829"/>
      <c r="Q108" s="829" t="s">
        <v>1313</v>
      </c>
      <c r="R108" s="829" t="s">
        <v>1314</v>
      </c>
      <c r="S108" s="830" t="s">
        <v>584</v>
      </c>
      <c r="T108" s="831" t="s">
        <v>879</v>
      </c>
      <c r="U108" s="440">
        <v>33.0</v>
      </c>
      <c r="V108" s="440">
        <v>0.0</v>
      </c>
      <c r="W108" s="440">
        <v>100.0</v>
      </c>
      <c r="X108" s="440">
        <v>60.0</v>
      </c>
      <c r="Y108" s="440">
        <v>6.0</v>
      </c>
      <c r="Z108" s="440">
        <v>10.0</v>
      </c>
      <c r="AA108" s="440">
        <v>3.0</v>
      </c>
      <c r="AB108" s="440">
        <v>100.0</v>
      </c>
      <c r="AC108" s="440">
        <v>3451.0</v>
      </c>
      <c r="AD108" s="440">
        <v>4.0</v>
      </c>
      <c r="AE108" s="440">
        <v>110.0</v>
      </c>
      <c r="AF108" s="439"/>
      <c r="AG108" s="440">
        <v>12.0</v>
      </c>
      <c r="AH108" s="440">
        <v>20.0</v>
      </c>
      <c r="AI108" s="832">
        <f t="shared" si="12"/>
        <v>16</v>
      </c>
      <c r="AJ108" s="439"/>
      <c r="AK108" s="439"/>
      <c r="AL108" s="439"/>
      <c r="AM108" s="439"/>
      <c r="AN108" s="439"/>
      <c r="AO108" s="439"/>
      <c r="AP108" s="439"/>
      <c r="AQ108" s="439"/>
      <c r="AR108" s="439"/>
      <c r="AS108" s="826"/>
      <c r="AT108" s="459">
        <f t="shared" si="13"/>
        <v>461</v>
      </c>
      <c r="AU108" s="459">
        <f t="shared" si="14"/>
        <v>607</v>
      </c>
      <c r="AV108" s="833">
        <f t="shared" si="15"/>
        <v>534</v>
      </c>
      <c r="AW108" s="439"/>
      <c r="AX108" s="439"/>
      <c r="AY108" s="834">
        <f t="shared" si="18"/>
        <v>785</v>
      </c>
      <c r="AZ108" s="439"/>
      <c r="BA108" s="439"/>
      <c r="BB108" s="439"/>
      <c r="BC108" s="439"/>
      <c r="BD108" s="439"/>
      <c r="BE108" s="439"/>
      <c r="BF108" s="834">
        <f t="shared" si="25"/>
        <v>494</v>
      </c>
      <c r="BG108" s="834">
        <f t="shared" si="26"/>
        <v>607</v>
      </c>
      <c r="BH108" s="439"/>
      <c r="BI108" s="439"/>
      <c r="BJ108" s="439"/>
      <c r="BK108" s="439"/>
      <c r="BL108" s="439"/>
      <c r="BM108" s="439"/>
      <c r="BN108" s="439"/>
      <c r="BO108" s="439"/>
      <c r="BP108" s="826" t="str">
        <f t="shared" si="33"/>
        <v/>
      </c>
      <c r="BQ108" s="440">
        <v>12.0</v>
      </c>
      <c r="BR108" s="440">
        <v>20.0</v>
      </c>
      <c r="BS108" s="440">
        <v>10.0</v>
      </c>
      <c r="BT108" s="440">
        <v>100.0</v>
      </c>
      <c r="BU108" s="439"/>
      <c r="BV108" s="442">
        <f t="shared" si="34"/>
        <v>16</v>
      </c>
      <c r="BW108" s="835">
        <f t="shared" si="35"/>
        <v>603.7</v>
      </c>
      <c r="BX108" s="439"/>
      <c r="BY108" s="439"/>
      <c r="BZ108" s="834">
        <f t="shared" si="38"/>
        <v>887.8</v>
      </c>
      <c r="CA108" s="439"/>
      <c r="CB108" s="439"/>
      <c r="CC108" s="439"/>
      <c r="CD108" s="439"/>
      <c r="CE108" s="836" t="str">
        <f t="shared" si="43"/>
        <v/>
      </c>
      <c r="CF108" s="837">
        <f t="shared" si="248"/>
        <v>-11.5</v>
      </c>
      <c r="CG108" s="825">
        <f t="shared" si="249"/>
        <v>-11.6</v>
      </c>
      <c r="CH108" s="838" t="s">
        <v>2329</v>
      </c>
      <c r="CI108" s="834">
        <f t="shared" ref="CI108:DF108" si="254">FLOOR($AV108/(CI$3/25),1)</f>
        <v>534</v>
      </c>
      <c r="CJ108" s="834">
        <f t="shared" si="254"/>
        <v>556</v>
      </c>
      <c r="CK108" s="834">
        <f t="shared" si="254"/>
        <v>580</v>
      </c>
      <c r="CL108" s="834">
        <f t="shared" si="254"/>
        <v>606</v>
      </c>
      <c r="CM108" s="834">
        <f t="shared" si="254"/>
        <v>635</v>
      </c>
      <c r="CN108" s="834">
        <f t="shared" si="254"/>
        <v>667</v>
      </c>
      <c r="CO108" s="834">
        <f t="shared" si="254"/>
        <v>702</v>
      </c>
      <c r="CP108" s="834">
        <f t="shared" si="254"/>
        <v>741</v>
      </c>
      <c r="CQ108" s="834">
        <f t="shared" si="254"/>
        <v>785</v>
      </c>
      <c r="CR108" s="834">
        <f t="shared" si="254"/>
        <v>834</v>
      </c>
      <c r="CS108" s="834">
        <f t="shared" si="254"/>
        <v>890</v>
      </c>
      <c r="CT108" s="834">
        <f t="shared" si="254"/>
        <v>953</v>
      </c>
      <c r="CU108" s="834">
        <f t="shared" si="254"/>
        <v>1026</v>
      </c>
      <c r="CV108" s="834">
        <f t="shared" si="254"/>
        <v>1112</v>
      </c>
      <c r="CW108" s="834">
        <f t="shared" si="254"/>
        <v>1213</v>
      </c>
      <c r="CX108" s="834">
        <f t="shared" si="254"/>
        <v>1335</v>
      </c>
      <c r="CY108" s="834">
        <f t="shared" si="254"/>
        <v>1483</v>
      </c>
      <c r="CZ108" s="834">
        <f t="shared" si="254"/>
        <v>1668</v>
      </c>
      <c r="DA108" s="834">
        <f t="shared" si="254"/>
        <v>1907</v>
      </c>
      <c r="DB108" s="834">
        <f t="shared" si="254"/>
        <v>2225</v>
      </c>
      <c r="DC108" s="834">
        <f t="shared" si="254"/>
        <v>2670</v>
      </c>
      <c r="DD108" s="834">
        <f t="shared" si="254"/>
        <v>3337</v>
      </c>
      <c r="DE108" s="834">
        <f t="shared" si="254"/>
        <v>4450</v>
      </c>
      <c r="DF108" s="839">
        <f t="shared" si="254"/>
        <v>6675</v>
      </c>
      <c r="DG108" s="826"/>
      <c r="DH108" s="826" t="str">
        <f t="shared" si="46"/>
        <v/>
      </c>
      <c r="DI108" s="439" t="str">
        <f t="shared" si="47"/>
        <v/>
      </c>
      <c r="DJ108" s="439" t="str">
        <f t="shared" si="48"/>
        <v/>
      </c>
      <c r="DK108" s="836" t="str">
        <f t="shared" si="49"/>
        <v/>
      </c>
      <c r="DL108" s="439"/>
      <c r="DM108" s="439"/>
      <c r="DN108" s="439"/>
      <c r="DO108" s="826"/>
      <c r="DP108" s="840"/>
    </row>
    <row r="109">
      <c r="A109" s="809">
        <v>103.0</v>
      </c>
      <c r="B109" s="337">
        <v>142.0</v>
      </c>
      <c r="C109" s="338">
        <v>10.0</v>
      </c>
      <c r="D109" s="338">
        <v>32.0</v>
      </c>
      <c r="E109" s="347"/>
      <c r="F109" s="349" t="s">
        <v>1246</v>
      </c>
      <c r="G109" s="347"/>
      <c r="H109" s="347"/>
      <c r="I109" s="349">
        <f t="shared" si="7"/>
        <v>16</v>
      </c>
      <c r="J109" s="347"/>
      <c r="K109" s="347"/>
      <c r="L109" s="347"/>
      <c r="M109" s="810"/>
      <c r="N109" s="841" t="s">
        <v>2330</v>
      </c>
      <c r="O109" s="812" t="s">
        <v>1968</v>
      </c>
      <c r="P109" s="813"/>
      <c r="Q109" s="813" t="s">
        <v>1670</v>
      </c>
      <c r="R109" s="813" t="s">
        <v>1314</v>
      </c>
      <c r="S109" s="814" t="s">
        <v>584</v>
      </c>
      <c r="T109" s="815" t="s">
        <v>760</v>
      </c>
      <c r="U109" s="338">
        <v>37.0</v>
      </c>
      <c r="V109" s="338">
        <v>25.0</v>
      </c>
      <c r="W109" s="338">
        <v>73.0</v>
      </c>
      <c r="X109" s="338">
        <v>61.0</v>
      </c>
      <c r="Y109" s="338">
        <v>3.0</v>
      </c>
      <c r="Z109" s="338">
        <v>0.0</v>
      </c>
      <c r="AA109" s="338">
        <v>3.0</v>
      </c>
      <c r="AB109" s="338">
        <v>88.0</v>
      </c>
      <c r="AC109" s="338">
        <v>2232.0</v>
      </c>
      <c r="AD109" s="338">
        <v>4.0</v>
      </c>
      <c r="AE109" s="338">
        <v>110.0</v>
      </c>
      <c r="AF109" s="347"/>
      <c r="AG109" s="338">
        <v>12.0</v>
      </c>
      <c r="AH109" s="338">
        <v>37.0</v>
      </c>
      <c r="AI109" s="816">
        <f t="shared" si="12"/>
        <v>24.5</v>
      </c>
      <c r="AJ109" s="347"/>
      <c r="AK109" s="347"/>
      <c r="AL109" s="347"/>
      <c r="AM109" s="347"/>
      <c r="AN109" s="347"/>
      <c r="AO109" s="347"/>
      <c r="AP109" s="347"/>
      <c r="AQ109" s="347"/>
      <c r="AR109" s="347"/>
      <c r="AS109" s="810"/>
      <c r="AT109" s="349">
        <f t="shared" si="13"/>
        <v>461</v>
      </c>
      <c r="AU109" s="349">
        <f t="shared" si="14"/>
        <v>911</v>
      </c>
      <c r="AV109" s="817">
        <f t="shared" si="15"/>
        <v>686</v>
      </c>
      <c r="AW109" s="347"/>
      <c r="AX109" s="347"/>
      <c r="AY109" s="818">
        <f t="shared" si="18"/>
        <v>1143</v>
      </c>
      <c r="AZ109" s="347"/>
      <c r="BA109" s="347"/>
      <c r="BB109" s="347"/>
      <c r="BC109" s="347"/>
      <c r="BD109" s="347"/>
      <c r="BE109" s="347"/>
      <c r="BF109" s="818">
        <f t="shared" si="25"/>
        <v>746</v>
      </c>
      <c r="BG109" s="818">
        <f t="shared" si="26"/>
        <v>903</v>
      </c>
      <c r="BH109" s="347"/>
      <c r="BI109" s="347"/>
      <c r="BJ109" s="347"/>
      <c r="BK109" s="347"/>
      <c r="BL109" s="347"/>
      <c r="BM109" s="347"/>
      <c r="BN109" s="347"/>
      <c r="BO109" s="347"/>
      <c r="BP109" s="810" t="str">
        <f t="shared" si="33"/>
        <v/>
      </c>
      <c r="BQ109" s="338">
        <v>8.0</v>
      </c>
      <c r="BR109" s="338">
        <v>26.0</v>
      </c>
      <c r="BS109" s="347"/>
      <c r="BT109" s="338">
        <v>100.0</v>
      </c>
      <c r="BU109" s="347"/>
      <c r="BV109" s="339">
        <f t="shared" si="34"/>
        <v>17</v>
      </c>
      <c r="BW109" s="819">
        <f t="shared" si="35"/>
        <v>623.9</v>
      </c>
      <c r="BX109" s="347"/>
      <c r="BY109" s="347"/>
      <c r="BZ109" s="818">
        <f t="shared" si="38"/>
        <v>1039.8</v>
      </c>
      <c r="CA109" s="347"/>
      <c r="CB109" s="347"/>
      <c r="CC109" s="347"/>
      <c r="CD109" s="347"/>
      <c r="CE109" s="842">
        <f t="shared" si="43"/>
        <v>44.1</v>
      </c>
      <c r="CF109" s="821">
        <f t="shared" si="248"/>
        <v>10</v>
      </c>
      <c r="CG109" s="809">
        <f t="shared" si="249"/>
        <v>9.9</v>
      </c>
      <c r="CH109" s="822" t="s">
        <v>2331</v>
      </c>
      <c r="CI109" s="818">
        <f t="shared" ref="CI109:DF109" si="255">FLOOR($AV109/(CI$3/25),1)</f>
        <v>686</v>
      </c>
      <c r="CJ109" s="818">
        <f t="shared" si="255"/>
        <v>714</v>
      </c>
      <c r="CK109" s="818">
        <f t="shared" si="255"/>
        <v>745</v>
      </c>
      <c r="CL109" s="818">
        <f t="shared" si="255"/>
        <v>779</v>
      </c>
      <c r="CM109" s="818">
        <f t="shared" si="255"/>
        <v>816</v>
      </c>
      <c r="CN109" s="818">
        <f t="shared" si="255"/>
        <v>857</v>
      </c>
      <c r="CO109" s="818">
        <f t="shared" si="255"/>
        <v>902</v>
      </c>
      <c r="CP109" s="818">
        <f t="shared" si="255"/>
        <v>952</v>
      </c>
      <c r="CQ109" s="818">
        <f t="shared" si="255"/>
        <v>1008</v>
      </c>
      <c r="CR109" s="818">
        <f t="shared" si="255"/>
        <v>1071</v>
      </c>
      <c r="CS109" s="818">
        <f t="shared" si="255"/>
        <v>1143</v>
      </c>
      <c r="CT109" s="818">
        <f t="shared" si="255"/>
        <v>1225</v>
      </c>
      <c r="CU109" s="818">
        <f t="shared" si="255"/>
        <v>1319</v>
      </c>
      <c r="CV109" s="818">
        <f t="shared" si="255"/>
        <v>1429</v>
      </c>
      <c r="CW109" s="818">
        <f t="shared" si="255"/>
        <v>1559</v>
      </c>
      <c r="CX109" s="818">
        <f t="shared" si="255"/>
        <v>1715</v>
      </c>
      <c r="CY109" s="818">
        <f t="shared" si="255"/>
        <v>1905</v>
      </c>
      <c r="CZ109" s="818">
        <f t="shared" si="255"/>
        <v>2143</v>
      </c>
      <c r="DA109" s="818">
        <f t="shared" si="255"/>
        <v>2450</v>
      </c>
      <c r="DB109" s="818">
        <f t="shared" si="255"/>
        <v>2858</v>
      </c>
      <c r="DC109" s="818">
        <f t="shared" si="255"/>
        <v>3430</v>
      </c>
      <c r="DD109" s="818">
        <f t="shared" si="255"/>
        <v>4287</v>
      </c>
      <c r="DE109" s="818">
        <f t="shared" si="255"/>
        <v>5716</v>
      </c>
      <c r="DF109" s="823">
        <f t="shared" si="255"/>
        <v>8575</v>
      </c>
      <c r="DG109" s="810"/>
      <c r="DH109" s="810" t="str">
        <f t="shared" si="46"/>
        <v/>
      </c>
      <c r="DI109" s="347" t="str">
        <f t="shared" si="47"/>
        <v/>
      </c>
      <c r="DJ109" s="347" t="str">
        <f t="shared" si="48"/>
        <v/>
      </c>
      <c r="DK109" s="820" t="str">
        <f t="shared" si="49"/>
        <v/>
      </c>
      <c r="DL109" s="347"/>
      <c r="DM109" s="347"/>
      <c r="DN109" s="818">
        <f t="shared" ref="DN109:DN120" si="257">IF(ISBLANK(DL109),ROUND(AI109/IF(ISBLANK(DL103),AI103,DL103),1),ROUND(DL109/IF(ISBLANK(DL103),AI103,DL103),1))</f>
        <v>4.5</v>
      </c>
      <c r="DO109" s="810"/>
      <c r="DP109" s="824"/>
    </row>
    <row r="110">
      <c r="A110" s="809">
        <v>104.0</v>
      </c>
      <c r="B110" s="337">
        <v>144.0</v>
      </c>
      <c r="C110" s="338">
        <v>16.0</v>
      </c>
      <c r="D110" s="338">
        <v>37.0</v>
      </c>
      <c r="E110" s="347"/>
      <c r="F110" s="349" t="s">
        <v>1246</v>
      </c>
      <c r="G110" s="347"/>
      <c r="H110" s="347"/>
      <c r="I110" s="349">
        <f t="shared" si="7"/>
        <v>16</v>
      </c>
      <c r="J110" s="347"/>
      <c r="K110" s="347"/>
      <c r="L110" s="347"/>
      <c r="M110" s="810"/>
      <c r="N110" s="811" t="s">
        <v>2332</v>
      </c>
      <c r="O110" s="812" t="s">
        <v>1969</v>
      </c>
      <c r="P110" s="813"/>
      <c r="Q110" s="813" t="s">
        <v>1670</v>
      </c>
      <c r="R110" s="813" t="s">
        <v>1314</v>
      </c>
      <c r="S110" s="814" t="s">
        <v>584</v>
      </c>
      <c r="T110" s="815" t="s">
        <v>791</v>
      </c>
      <c r="U110" s="338">
        <v>42.0</v>
      </c>
      <c r="V110" s="338">
        <v>25.0</v>
      </c>
      <c r="W110" s="338">
        <v>91.0</v>
      </c>
      <c r="X110" s="338">
        <v>20.0</v>
      </c>
      <c r="Y110" s="338">
        <v>4.0</v>
      </c>
      <c r="Z110" s="338">
        <v>10.0</v>
      </c>
      <c r="AA110" s="338">
        <v>3.0</v>
      </c>
      <c r="AB110" s="338">
        <v>100.0</v>
      </c>
      <c r="AC110" s="338">
        <v>4086.0</v>
      </c>
      <c r="AD110" s="338">
        <v>4.0</v>
      </c>
      <c r="AE110" s="338">
        <v>110.0</v>
      </c>
      <c r="AF110" s="347"/>
      <c r="AG110" s="338">
        <v>18.0</v>
      </c>
      <c r="AH110" s="338">
        <v>43.0</v>
      </c>
      <c r="AI110" s="816">
        <f t="shared" si="12"/>
        <v>30.5</v>
      </c>
      <c r="AJ110" s="347"/>
      <c r="AK110" s="347"/>
      <c r="AL110" s="347"/>
      <c r="AM110" s="347"/>
      <c r="AN110" s="347"/>
      <c r="AO110" s="347"/>
      <c r="AP110" s="347"/>
      <c r="AQ110" s="347"/>
      <c r="AR110" s="347"/>
      <c r="AS110" s="810"/>
      <c r="AT110" s="349">
        <f t="shared" si="13"/>
        <v>571</v>
      </c>
      <c r="AU110" s="349">
        <f t="shared" si="14"/>
        <v>1021</v>
      </c>
      <c r="AV110" s="817">
        <f t="shared" si="15"/>
        <v>796</v>
      </c>
      <c r="AW110" s="347"/>
      <c r="AX110" s="347"/>
      <c r="AY110" s="818">
        <f t="shared" si="18"/>
        <v>1171</v>
      </c>
      <c r="AZ110" s="347"/>
      <c r="BA110" s="347"/>
      <c r="BB110" s="347"/>
      <c r="BC110" s="347"/>
      <c r="BD110" s="347"/>
      <c r="BE110" s="347"/>
      <c r="BF110" s="818">
        <f t="shared" si="25"/>
        <v>737</v>
      </c>
      <c r="BG110" s="818">
        <f t="shared" si="26"/>
        <v>905</v>
      </c>
      <c r="BH110" s="347"/>
      <c r="BI110" s="347"/>
      <c r="BJ110" s="347"/>
      <c r="BK110" s="347"/>
      <c r="BL110" s="347"/>
      <c r="BM110" s="347"/>
      <c r="BN110" s="347"/>
      <c r="BO110" s="347"/>
      <c r="BP110" s="810" t="str">
        <f t="shared" si="33"/>
        <v/>
      </c>
      <c r="BQ110" s="338">
        <v>13.0</v>
      </c>
      <c r="BR110" s="338">
        <v>30.0</v>
      </c>
      <c r="BS110" s="338">
        <v>10.0</v>
      </c>
      <c r="BT110" s="338">
        <v>100.0</v>
      </c>
      <c r="BU110" s="347"/>
      <c r="BV110" s="339">
        <f t="shared" si="34"/>
        <v>21.5</v>
      </c>
      <c r="BW110" s="819">
        <f t="shared" si="35"/>
        <v>715</v>
      </c>
      <c r="BX110" s="347"/>
      <c r="BY110" s="347"/>
      <c r="BZ110" s="818">
        <f t="shared" si="38"/>
        <v>1051.5</v>
      </c>
      <c r="CA110" s="347"/>
      <c r="CB110" s="347"/>
      <c r="CC110" s="347"/>
      <c r="CD110" s="347"/>
      <c r="CE110" s="842">
        <f t="shared" si="43"/>
        <v>41.9</v>
      </c>
      <c r="CF110" s="821">
        <f t="shared" si="248"/>
        <v>11.3</v>
      </c>
      <c r="CG110" s="809">
        <f t="shared" si="249"/>
        <v>11.4</v>
      </c>
      <c r="CH110" s="822" t="s">
        <v>2332</v>
      </c>
      <c r="CI110" s="818">
        <f t="shared" ref="CI110:DF110" si="256">FLOOR($AV110/(CI$3/25),1)</f>
        <v>796</v>
      </c>
      <c r="CJ110" s="818">
        <f t="shared" si="256"/>
        <v>829</v>
      </c>
      <c r="CK110" s="818">
        <f t="shared" si="256"/>
        <v>865</v>
      </c>
      <c r="CL110" s="818">
        <f t="shared" si="256"/>
        <v>904</v>
      </c>
      <c r="CM110" s="818">
        <f t="shared" si="256"/>
        <v>947</v>
      </c>
      <c r="CN110" s="818">
        <f t="shared" si="256"/>
        <v>995</v>
      </c>
      <c r="CO110" s="818">
        <f t="shared" si="256"/>
        <v>1047</v>
      </c>
      <c r="CP110" s="818">
        <f t="shared" si="256"/>
        <v>1105</v>
      </c>
      <c r="CQ110" s="818">
        <f t="shared" si="256"/>
        <v>1170</v>
      </c>
      <c r="CR110" s="818">
        <f t="shared" si="256"/>
        <v>1243</v>
      </c>
      <c r="CS110" s="818">
        <f t="shared" si="256"/>
        <v>1326</v>
      </c>
      <c r="CT110" s="818">
        <f t="shared" si="256"/>
        <v>1421</v>
      </c>
      <c r="CU110" s="818">
        <f t="shared" si="256"/>
        <v>1530</v>
      </c>
      <c r="CV110" s="818">
        <f t="shared" si="256"/>
        <v>1658</v>
      </c>
      <c r="CW110" s="818">
        <f t="shared" si="256"/>
        <v>1809</v>
      </c>
      <c r="CX110" s="818">
        <f t="shared" si="256"/>
        <v>1990</v>
      </c>
      <c r="CY110" s="818">
        <f t="shared" si="256"/>
        <v>2211</v>
      </c>
      <c r="CZ110" s="818">
        <f t="shared" si="256"/>
        <v>2487</v>
      </c>
      <c r="DA110" s="818">
        <f t="shared" si="256"/>
        <v>2842</v>
      </c>
      <c r="DB110" s="818">
        <f t="shared" si="256"/>
        <v>3316</v>
      </c>
      <c r="DC110" s="818">
        <f t="shared" si="256"/>
        <v>3980</v>
      </c>
      <c r="DD110" s="818">
        <f t="shared" si="256"/>
        <v>4975</v>
      </c>
      <c r="DE110" s="818">
        <f t="shared" si="256"/>
        <v>6633</v>
      </c>
      <c r="DF110" s="823">
        <f t="shared" si="256"/>
        <v>9950</v>
      </c>
      <c r="DG110" s="810"/>
      <c r="DH110" s="810" t="str">
        <f t="shared" si="46"/>
        <v/>
      </c>
      <c r="DI110" s="347" t="str">
        <f t="shared" si="47"/>
        <v/>
      </c>
      <c r="DJ110" s="347" t="str">
        <f t="shared" si="48"/>
        <v/>
      </c>
      <c r="DK110" s="820" t="str">
        <f t="shared" si="49"/>
        <v/>
      </c>
      <c r="DL110" s="347"/>
      <c r="DM110" s="347"/>
      <c r="DN110" s="818">
        <f t="shared" si="257"/>
        <v>3.6</v>
      </c>
      <c r="DO110" s="810"/>
      <c r="DP110" s="824"/>
    </row>
    <row r="111">
      <c r="A111" s="809">
        <v>105.0</v>
      </c>
      <c r="B111" s="337">
        <v>146.0</v>
      </c>
      <c r="C111" s="338">
        <v>12.0</v>
      </c>
      <c r="D111" s="338">
        <v>46.0</v>
      </c>
      <c r="E111" s="347"/>
      <c r="F111" s="349" t="s">
        <v>1246</v>
      </c>
      <c r="G111" s="347"/>
      <c r="H111" s="347"/>
      <c r="I111" s="349">
        <f t="shared" si="7"/>
        <v>16</v>
      </c>
      <c r="J111" s="347"/>
      <c r="K111" s="347"/>
      <c r="L111" s="347"/>
      <c r="M111" s="810"/>
      <c r="N111" s="811" t="s">
        <v>2333</v>
      </c>
      <c r="O111" s="812" t="s">
        <v>1970</v>
      </c>
      <c r="P111" s="813"/>
      <c r="Q111" s="813" t="s">
        <v>1670</v>
      </c>
      <c r="R111" s="813" t="s">
        <v>1314</v>
      </c>
      <c r="S111" s="814" t="s">
        <v>584</v>
      </c>
      <c r="T111" s="815" t="s">
        <v>836</v>
      </c>
      <c r="U111" s="338">
        <v>45.0</v>
      </c>
      <c r="V111" s="338">
        <v>25.0</v>
      </c>
      <c r="W111" s="338">
        <v>104.0</v>
      </c>
      <c r="X111" s="338">
        <v>71.0</v>
      </c>
      <c r="Y111" s="338">
        <v>4.0</v>
      </c>
      <c r="Z111" s="338">
        <v>0.0</v>
      </c>
      <c r="AA111" s="338">
        <v>3.0</v>
      </c>
      <c r="AB111" s="338">
        <v>100.0</v>
      </c>
      <c r="AC111" s="338">
        <v>4677.0</v>
      </c>
      <c r="AD111" s="338">
        <v>4.0</v>
      </c>
      <c r="AE111" s="338">
        <v>110.0</v>
      </c>
      <c r="AF111" s="347"/>
      <c r="AG111" s="338">
        <v>14.0</v>
      </c>
      <c r="AH111" s="338">
        <v>53.0</v>
      </c>
      <c r="AI111" s="816">
        <f t="shared" si="12"/>
        <v>33.5</v>
      </c>
      <c r="AJ111" s="347"/>
      <c r="AK111" s="347"/>
      <c r="AL111" s="347"/>
      <c r="AM111" s="347"/>
      <c r="AN111" s="347"/>
      <c r="AO111" s="347"/>
      <c r="AP111" s="347"/>
      <c r="AQ111" s="347"/>
      <c r="AR111" s="347"/>
      <c r="AS111" s="810"/>
      <c r="AT111" s="349">
        <f t="shared" si="13"/>
        <v>496</v>
      </c>
      <c r="AU111" s="349">
        <f t="shared" si="14"/>
        <v>1198</v>
      </c>
      <c r="AV111" s="817">
        <f t="shared" si="15"/>
        <v>847</v>
      </c>
      <c r="AW111" s="347"/>
      <c r="AX111" s="347"/>
      <c r="AY111" s="818">
        <f t="shared" si="18"/>
        <v>1412</v>
      </c>
      <c r="AZ111" s="347"/>
      <c r="BA111" s="347"/>
      <c r="BB111" s="347"/>
      <c r="BC111" s="347"/>
      <c r="BD111" s="347"/>
      <c r="BE111" s="347"/>
      <c r="BF111" s="818">
        <f t="shared" si="25"/>
        <v>921</v>
      </c>
      <c r="BG111" s="818">
        <f t="shared" si="26"/>
        <v>1114</v>
      </c>
      <c r="BH111" s="347"/>
      <c r="BI111" s="347"/>
      <c r="BJ111" s="347"/>
      <c r="BK111" s="347"/>
      <c r="BL111" s="347"/>
      <c r="BM111" s="347"/>
      <c r="BN111" s="347"/>
      <c r="BO111" s="347"/>
      <c r="BP111" s="810" t="str">
        <f t="shared" si="33"/>
        <v/>
      </c>
      <c r="BQ111" s="338">
        <v>10.0</v>
      </c>
      <c r="BR111" s="338">
        <v>37.0</v>
      </c>
      <c r="BS111" s="347"/>
      <c r="BT111" s="338">
        <v>100.0</v>
      </c>
      <c r="BU111" s="347"/>
      <c r="BV111" s="339">
        <f t="shared" si="34"/>
        <v>23.5</v>
      </c>
      <c r="BW111" s="819">
        <f t="shared" si="35"/>
        <v>755.5</v>
      </c>
      <c r="BX111" s="347"/>
      <c r="BY111" s="347"/>
      <c r="BZ111" s="818">
        <f t="shared" si="38"/>
        <v>1259.2</v>
      </c>
      <c r="CA111" s="347"/>
      <c r="CB111" s="347"/>
      <c r="CC111" s="347"/>
      <c r="CD111" s="347"/>
      <c r="CE111" s="842">
        <f t="shared" si="43"/>
        <v>42.6</v>
      </c>
      <c r="CF111" s="821">
        <f t="shared" si="248"/>
        <v>12.1</v>
      </c>
      <c r="CG111" s="809">
        <f t="shared" si="249"/>
        <v>12.1</v>
      </c>
      <c r="CH111" s="822" t="s">
        <v>2333</v>
      </c>
      <c r="CI111" s="818">
        <f t="shared" ref="CI111:DF111" si="258">FLOOR($AV111/(CI$3/25),1)</f>
        <v>847</v>
      </c>
      <c r="CJ111" s="818">
        <f t="shared" si="258"/>
        <v>882</v>
      </c>
      <c r="CK111" s="818">
        <f t="shared" si="258"/>
        <v>920</v>
      </c>
      <c r="CL111" s="818">
        <f t="shared" si="258"/>
        <v>962</v>
      </c>
      <c r="CM111" s="818">
        <f t="shared" si="258"/>
        <v>1008</v>
      </c>
      <c r="CN111" s="818">
        <f t="shared" si="258"/>
        <v>1058</v>
      </c>
      <c r="CO111" s="818">
        <f t="shared" si="258"/>
        <v>1114</v>
      </c>
      <c r="CP111" s="818">
        <f t="shared" si="258"/>
        <v>1176</v>
      </c>
      <c r="CQ111" s="818">
        <f t="shared" si="258"/>
        <v>1245</v>
      </c>
      <c r="CR111" s="818">
        <f t="shared" si="258"/>
        <v>1323</v>
      </c>
      <c r="CS111" s="818">
        <f t="shared" si="258"/>
        <v>1411</v>
      </c>
      <c r="CT111" s="818">
        <f t="shared" si="258"/>
        <v>1512</v>
      </c>
      <c r="CU111" s="818">
        <f t="shared" si="258"/>
        <v>1628</v>
      </c>
      <c r="CV111" s="818">
        <f t="shared" si="258"/>
        <v>1764</v>
      </c>
      <c r="CW111" s="818">
        <f t="shared" si="258"/>
        <v>1925</v>
      </c>
      <c r="CX111" s="818">
        <f t="shared" si="258"/>
        <v>2117</v>
      </c>
      <c r="CY111" s="818">
        <f t="shared" si="258"/>
        <v>2352</v>
      </c>
      <c r="CZ111" s="818">
        <f t="shared" si="258"/>
        <v>2646</v>
      </c>
      <c r="DA111" s="818">
        <f t="shared" si="258"/>
        <v>3025</v>
      </c>
      <c r="DB111" s="818">
        <f t="shared" si="258"/>
        <v>3529</v>
      </c>
      <c r="DC111" s="818">
        <f t="shared" si="258"/>
        <v>4235</v>
      </c>
      <c r="DD111" s="818">
        <f t="shared" si="258"/>
        <v>5293</v>
      </c>
      <c r="DE111" s="818">
        <f t="shared" si="258"/>
        <v>7058</v>
      </c>
      <c r="DF111" s="823">
        <f t="shared" si="258"/>
        <v>10587</v>
      </c>
      <c r="DG111" s="810"/>
      <c r="DH111" s="810" t="str">
        <f t="shared" si="46"/>
        <v/>
      </c>
      <c r="DI111" s="347" t="str">
        <f t="shared" si="47"/>
        <v/>
      </c>
      <c r="DJ111" s="347" t="str">
        <f t="shared" si="48"/>
        <v/>
      </c>
      <c r="DK111" s="820" t="str">
        <f t="shared" si="49"/>
        <v/>
      </c>
      <c r="DL111" s="347"/>
      <c r="DM111" s="347"/>
      <c r="DN111" s="818">
        <f t="shared" si="257"/>
        <v>3.5</v>
      </c>
      <c r="DO111" s="810"/>
      <c r="DP111" s="824"/>
    </row>
    <row r="112">
      <c r="A112" s="809">
        <v>106.0</v>
      </c>
      <c r="B112" s="337">
        <v>148.0</v>
      </c>
      <c r="C112" s="338">
        <v>19.0</v>
      </c>
      <c r="D112" s="338">
        <v>50.0</v>
      </c>
      <c r="E112" s="347"/>
      <c r="F112" s="349" t="s">
        <v>1246</v>
      </c>
      <c r="G112" s="347"/>
      <c r="H112" s="347"/>
      <c r="I112" s="349">
        <f t="shared" si="7"/>
        <v>16</v>
      </c>
      <c r="J112" s="347"/>
      <c r="K112" s="347"/>
      <c r="L112" s="347"/>
      <c r="M112" s="810"/>
      <c r="N112" s="811" t="s">
        <v>2334</v>
      </c>
      <c r="O112" s="812" t="s">
        <v>1971</v>
      </c>
      <c r="P112" s="813"/>
      <c r="Q112" s="813" t="s">
        <v>1670</v>
      </c>
      <c r="R112" s="813" t="s">
        <v>1314</v>
      </c>
      <c r="S112" s="814" t="s">
        <v>584</v>
      </c>
      <c r="T112" s="815" t="s">
        <v>859</v>
      </c>
      <c r="U112" s="338">
        <v>48.0</v>
      </c>
      <c r="V112" s="338">
        <v>25.0</v>
      </c>
      <c r="W112" s="338">
        <v>113.0</v>
      </c>
      <c r="X112" s="338">
        <v>20.0</v>
      </c>
      <c r="Y112" s="338">
        <v>4.0</v>
      </c>
      <c r="Z112" s="338">
        <v>10.0</v>
      </c>
      <c r="AA112" s="338">
        <v>3.0</v>
      </c>
      <c r="AB112" s="338">
        <v>80.0</v>
      </c>
      <c r="AC112" s="338">
        <v>6213.0</v>
      </c>
      <c r="AD112" s="338">
        <v>4.0</v>
      </c>
      <c r="AE112" s="338">
        <v>110.0</v>
      </c>
      <c r="AF112" s="347"/>
      <c r="AG112" s="338">
        <v>22.0</v>
      </c>
      <c r="AH112" s="338">
        <v>58.0</v>
      </c>
      <c r="AI112" s="816">
        <f t="shared" si="12"/>
        <v>40</v>
      </c>
      <c r="AJ112" s="347"/>
      <c r="AK112" s="347"/>
      <c r="AL112" s="347"/>
      <c r="AM112" s="347"/>
      <c r="AN112" s="347"/>
      <c r="AO112" s="347"/>
      <c r="AP112" s="347"/>
      <c r="AQ112" s="347"/>
      <c r="AR112" s="347"/>
      <c r="AS112" s="810"/>
      <c r="AT112" s="349">
        <f t="shared" si="13"/>
        <v>642</v>
      </c>
      <c r="AU112" s="349">
        <f t="shared" si="14"/>
        <v>1290</v>
      </c>
      <c r="AV112" s="817">
        <f t="shared" si="15"/>
        <v>966</v>
      </c>
      <c r="AW112" s="347"/>
      <c r="AX112" s="347"/>
      <c r="AY112" s="818">
        <f t="shared" si="18"/>
        <v>1421</v>
      </c>
      <c r="AZ112" s="347"/>
      <c r="BA112" s="347"/>
      <c r="BB112" s="347"/>
      <c r="BC112" s="347"/>
      <c r="BD112" s="347"/>
      <c r="BE112" s="347"/>
      <c r="BF112" s="818">
        <f t="shared" si="25"/>
        <v>894</v>
      </c>
      <c r="BG112" s="818">
        <f t="shared" si="26"/>
        <v>1098</v>
      </c>
      <c r="BH112" s="347"/>
      <c r="BI112" s="347"/>
      <c r="BJ112" s="347"/>
      <c r="BK112" s="347"/>
      <c r="BL112" s="347"/>
      <c r="BM112" s="347"/>
      <c r="BN112" s="347"/>
      <c r="BO112" s="347"/>
      <c r="BP112" s="810" t="str">
        <f t="shared" si="33"/>
        <v/>
      </c>
      <c r="BQ112" s="338">
        <v>14.0</v>
      </c>
      <c r="BR112" s="338">
        <v>40.0</v>
      </c>
      <c r="BS112" s="338">
        <v>10.0</v>
      </c>
      <c r="BT112" s="338">
        <v>100.0</v>
      </c>
      <c r="BU112" s="347"/>
      <c r="BV112" s="339">
        <f t="shared" si="34"/>
        <v>27</v>
      </c>
      <c r="BW112" s="819">
        <f t="shared" si="35"/>
        <v>826.4</v>
      </c>
      <c r="BX112" s="347"/>
      <c r="BY112" s="347"/>
      <c r="BZ112" s="818">
        <f t="shared" si="38"/>
        <v>1215.3</v>
      </c>
      <c r="CA112" s="347"/>
      <c r="CB112" s="347"/>
      <c r="CC112" s="347"/>
      <c r="CD112" s="347"/>
      <c r="CE112" s="842">
        <f t="shared" si="43"/>
        <v>48.1</v>
      </c>
      <c r="CF112" s="821">
        <f t="shared" si="248"/>
        <v>16.9</v>
      </c>
      <c r="CG112" s="809">
        <f t="shared" si="249"/>
        <v>16.9</v>
      </c>
      <c r="CH112" s="822" t="s">
        <v>2334</v>
      </c>
      <c r="CI112" s="818">
        <f t="shared" ref="CI112:DF112" si="259">FLOOR($AV112/(CI$3/25),1)</f>
        <v>966</v>
      </c>
      <c r="CJ112" s="818">
        <f t="shared" si="259"/>
        <v>1006</v>
      </c>
      <c r="CK112" s="818">
        <f t="shared" si="259"/>
        <v>1050</v>
      </c>
      <c r="CL112" s="818">
        <f t="shared" si="259"/>
        <v>1097</v>
      </c>
      <c r="CM112" s="818">
        <f t="shared" si="259"/>
        <v>1150</v>
      </c>
      <c r="CN112" s="818">
        <f t="shared" si="259"/>
        <v>1207</v>
      </c>
      <c r="CO112" s="818">
        <f t="shared" si="259"/>
        <v>1271</v>
      </c>
      <c r="CP112" s="818">
        <f t="shared" si="259"/>
        <v>1341</v>
      </c>
      <c r="CQ112" s="818">
        <f t="shared" si="259"/>
        <v>1420</v>
      </c>
      <c r="CR112" s="818">
        <f t="shared" si="259"/>
        <v>1509</v>
      </c>
      <c r="CS112" s="818">
        <f t="shared" si="259"/>
        <v>1610</v>
      </c>
      <c r="CT112" s="818">
        <f t="shared" si="259"/>
        <v>1725</v>
      </c>
      <c r="CU112" s="818">
        <f t="shared" si="259"/>
        <v>1857</v>
      </c>
      <c r="CV112" s="818">
        <f t="shared" si="259"/>
        <v>2012</v>
      </c>
      <c r="CW112" s="818">
        <f t="shared" si="259"/>
        <v>2195</v>
      </c>
      <c r="CX112" s="818">
        <f t="shared" si="259"/>
        <v>2415</v>
      </c>
      <c r="CY112" s="818">
        <f t="shared" si="259"/>
        <v>2683</v>
      </c>
      <c r="CZ112" s="818">
        <f t="shared" si="259"/>
        <v>3018</v>
      </c>
      <c r="DA112" s="818">
        <f t="shared" si="259"/>
        <v>3450</v>
      </c>
      <c r="DB112" s="818">
        <f t="shared" si="259"/>
        <v>4025</v>
      </c>
      <c r="DC112" s="818">
        <f t="shared" si="259"/>
        <v>4830</v>
      </c>
      <c r="DD112" s="818">
        <f t="shared" si="259"/>
        <v>6037</v>
      </c>
      <c r="DE112" s="818">
        <f t="shared" si="259"/>
        <v>8050</v>
      </c>
      <c r="DF112" s="823">
        <f t="shared" si="259"/>
        <v>12075</v>
      </c>
      <c r="DG112" s="810"/>
      <c r="DH112" s="810" t="str">
        <f t="shared" si="46"/>
        <v/>
      </c>
      <c r="DI112" s="347" t="str">
        <f t="shared" si="47"/>
        <v/>
      </c>
      <c r="DJ112" s="347" t="str">
        <f t="shared" si="48"/>
        <v/>
      </c>
      <c r="DK112" s="820" t="str">
        <f t="shared" si="49"/>
        <v/>
      </c>
      <c r="DL112" s="347"/>
      <c r="DM112" s="347"/>
      <c r="DN112" s="818">
        <f t="shared" si="257"/>
        <v>3.1</v>
      </c>
      <c r="DO112" s="810"/>
      <c r="DP112" s="824"/>
    </row>
    <row r="113">
      <c r="A113" s="809">
        <v>107.0</v>
      </c>
      <c r="B113" s="337">
        <v>150.0</v>
      </c>
      <c r="C113" s="338">
        <v>24.0</v>
      </c>
      <c r="D113" s="338">
        <v>44.0</v>
      </c>
      <c r="E113" s="347"/>
      <c r="F113" s="349" t="s">
        <v>1246</v>
      </c>
      <c r="G113" s="347"/>
      <c r="H113" s="347"/>
      <c r="I113" s="349">
        <f t="shared" si="7"/>
        <v>16</v>
      </c>
      <c r="J113" s="347"/>
      <c r="K113" s="347"/>
      <c r="L113" s="347"/>
      <c r="M113" s="810"/>
      <c r="N113" s="811" t="s">
        <v>2335</v>
      </c>
      <c r="O113" s="812" t="s">
        <v>1972</v>
      </c>
      <c r="P113" s="813"/>
      <c r="Q113" s="813" t="s">
        <v>1670</v>
      </c>
      <c r="R113" s="813" t="s">
        <v>1314</v>
      </c>
      <c r="S113" s="814" t="s">
        <v>584</v>
      </c>
      <c r="T113" s="815" t="s">
        <v>869</v>
      </c>
      <c r="U113" s="338">
        <v>49.0</v>
      </c>
      <c r="V113" s="338">
        <v>25.0</v>
      </c>
      <c r="W113" s="338">
        <v>125.0</v>
      </c>
      <c r="X113" s="679">
        <v>94.0</v>
      </c>
      <c r="Y113" s="338">
        <v>5.0</v>
      </c>
      <c r="Z113" s="338">
        <v>-10.0</v>
      </c>
      <c r="AA113" s="338">
        <v>3.0</v>
      </c>
      <c r="AB113" s="338">
        <v>100.0</v>
      </c>
      <c r="AC113" s="338">
        <v>7500.0</v>
      </c>
      <c r="AD113" s="338">
        <v>4.0</v>
      </c>
      <c r="AE113" s="338">
        <v>110.0</v>
      </c>
      <c r="AF113" s="347"/>
      <c r="AG113" s="338">
        <v>28.0</v>
      </c>
      <c r="AH113" s="338">
        <v>51.0</v>
      </c>
      <c r="AI113" s="816">
        <f t="shared" si="12"/>
        <v>39.5</v>
      </c>
      <c r="AJ113" s="347"/>
      <c r="AK113" s="347"/>
      <c r="AL113" s="347"/>
      <c r="AM113" s="347"/>
      <c r="AN113" s="347"/>
      <c r="AO113" s="347"/>
      <c r="AP113" s="347"/>
      <c r="AQ113" s="347"/>
      <c r="AR113" s="347"/>
      <c r="AS113" s="810"/>
      <c r="AT113" s="349">
        <f t="shared" si="13"/>
        <v>748</v>
      </c>
      <c r="AU113" s="349">
        <f t="shared" si="14"/>
        <v>1163</v>
      </c>
      <c r="AV113" s="817">
        <f t="shared" si="15"/>
        <v>955.5</v>
      </c>
      <c r="AW113" s="347"/>
      <c r="AX113" s="347"/>
      <c r="AY113" s="818">
        <f t="shared" si="18"/>
        <v>1706</v>
      </c>
      <c r="AZ113" s="347"/>
      <c r="BA113" s="347"/>
      <c r="BB113" s="347"/>
      <c r="BC113" s="347"/>
      <c r="BD113" s="347"/>
      <c r="BE113" s="347"/>
      <c r="BF113" s="818">
        <f t="shared" si="25"/>
        <v>1327</v>
      </c>
      <c r="BG113" s="818">
        <f t="shared" si="26"/>
        <v>1593</v>
      </c>
      <c r="BH113" s="347"/>
      <c r="BI113" s="347"/>
      <c r="BJ113" s="347"/>
      <c r="BK113" s="347"/>
      <c r="BL113" s="347"/>
      <c r="BM113" s="347"/>
      <c r="BN113" s="347"/>
      <c r="BO113" s="347"/>
      <c r="BP113" s="810" t="str">
        <f t="shared" si="33"/>
        <v/>
      </c>
      <c r="BQ113" s="338">
        <v>19.0</v>
      </c>
      <c r="BR113" s="338">
        <v>35.0</v>
      </c>
      <c r="BS113" s="338">
        <v>-10.0</v>
      </c>
      <c r="BT113" s="338">
        <v>100.0</v>
      </c>
      <c r="BU113" s="347"/>
      <c r="BV113" s="339">
        <f t="shared" si="34"/>
        <v>27</v>
      </c>
      <c r="BW113" s="819">
        <f t="shared" si="35"/>
        <v>826.4</v>
      </c>
      <c r="BX113" s="347"/>
      <c r="BY113" s="347"/>
      <c r="BZ113" s="818">
        <f t="shared" si="38"/>
        <v>1475.7</v>
      </c>
      <c r="CA113" s="347"/>
      <c r="CB113" s="347"/>
      <c r="CC113" s="347"/>
      <c r="CD113" s="347"/>
      <c r="CE113" s="842">
        <f t="shared" si="43"/>
        <v>46.3</v>
      </c>
      <c r="CF113" s="821">
        <f t="shared" si="248"/>
        <v>15.6</v>
      </c>
      <c r="CG113" s="809">
        <f t="shared" si="249"/>
        <v>15.6</v>
      </c>
      <c r="CH113" s="822" t="s">
        <v>2335</v>
      </c>
      <c r="CI113" s="818">
        <f t="shared" ref="CI113:DF113" si="260">FLOOR($AV113/(CI$3/25),1)</f>
        <v>955</v>
      </c>
      <c r="CJ113" s="818">
        <f t="shared" si="260"/>
        <v>995</v>
      </c>
      <c r="CK113" s="818">
        <f t="shared" si="260"/>
        <v>1038</v>
      </c>
      <c r="CL113" s="818">
        <f t="shared" si="260"/>
        <v>1085</v>
      </c>
      <c r="CM113" s="818">
        <f t="shared" si="260"/>
        <v>1137</v>
      </c>
      <c r="CN113" s="818">
        <f t="shared" si="260"/>
        <v>1194</v>
      </c>
      <c r="CO113" s="818">
        <f t="shared" si="260"/>
        <v>1257</v>
      </c>
      <c r="CP113" s="818">
        <f t="shared" si="260"/>
        <v>1327</v>
      </c>
      <c r="CQ113" s="818">
        <f t="shared" si="260"/>
        <v>1405</v>
      </c>
      <c r="CR113" s="818">
        <f t="shared" si="260"/>
        <v>1492</v>
      </c>
      <c r="CS113" s="818">
        <f t="shared" si="260"/>
        <v>1592</v>
      </c>
      <c r="CT113" s="818">
        <f t="shared" si="260"/>
        <v>1706</v>
      </c>
      <c r="CU113" s="818">
        <f t="shared" si="260"/>
        <v>1837</v>
      </c>
      <c r="CV113" s="818">
        <f t="shared" si="260"/>
        <v>1990</v>
      </c>
      <c r="CW113" s="818">
        <f t="shared" si="260"/>
        <v>2171</v>
      </c>
      <c r="CX113" s="818">
        <f t="shared" si="260"/>
        <v>2388</v>
      </c>
      <c r="CY113" s="818">
        <f t="shared" si="260"/>
        <v>2654</v>
      </c>
      <c r="CZ113" s="818">
        <f t="shared" si="260"/>
        <v>2985</v>
      </c>
      <c r="DA113" s="818">
        <f t="shared" si="260"/>
        <v>3412</v>
      </c>
      <c r="DB113" s="818">
        <f t="shared" si="260"/>
        <v>3981</v>
      </c>
      <c r="DC113" s="818">
        <f t="shared" si="260"/>
        <v>4777</v>
      </c>
      <c r="DD113" s="818">
        <f t="shared" si="260"/>
        <v>5971</v>
      </c>
      <c r="DE113" s="818">
        <f t="shared" si="260"/>
        <v>7962</v>
      </c>
      <c r="DF113" s="823">
        <f t="shared" si="260"/>
        <v>11943</v>
      </c>
      <c r="DG113" s="810"/>
      <c r="DH113" s="810" t="str">
        <f t="shared" si="46"/>
        <v/>
      </c>
      <c r="DI113" s="347" t="str">
        <f t="shared" si="47"/>
        <v/>
      </c>
      <c r="DJ113" s="347" t="str">
        <f t="shared" si="48"/>
        <v/>
      </c>
      <c r="DK113" s="820" t="str">
        <f t="shared" si="49"/>
        <v/>
      </c>
      <c r="DL113" s="347"/>
      <c r="DM113" s="347"/>
      <c r="DN113" s="818">
        <f t="shared" si="257"/>
        <v>3.3</v>
      </c>
      <c r="DO113" s="810"/>
      <c r="DP113" s="824"/>
    </row>
    <row r="114">
      <c r="A114" s="825">
        <v>108.0</v>
      </c>
      <c r="B114" s="438">
        <v>152.0</v>
      </c>
      <c r="C114" s="440">
        <v>24.0</v>
      </c>
      <c r="D114" s="440">
        <v>50.0</v>
      </c>
      <c r="E114" s="439"/>
      <c r="F114" s="459" t="s">
        <v>1246</v>
      </c>
      <c r="G114" s="439"/>
      <c r="H114" s="439"/>
      <c r="I114" s="459">
        <f t="shared" si="7"/>
        <v>16</v>
      </c>
      <c r="J114" s="439"/>
      <c r="K114" s="439"/>
      <c r="L114" s="439"/>
      <c r="M114" s="826"/>
      <c r="N114" s="827" t="s">
        <v>2336</v>
      </c>
      <c r="O114" s="828" t="s">
        <v>1973</v>
      </c>
      <c r="P114" s="829"/>
      <c r="Q114" s="829" t="s">
        <v>1670</v>
      </c>
      <c r="R114" s="829" t="s">
        <v>1314</v>
      </c>
      <c r="S114" s="830" t="s">
        <v>584</v>
      </c>
      <c r="T114" s="831" t="s">
        <v>886</v>
      </c>
      <c r="U114" s="440">
        <v>54.0</v>
      </c>
      <c r="V114" s="440">
        <v>25.0</v>
      </c>
      <c r="W114" s="799">
        <v>170.0</v>
      </c>
      <c r="X114" s="799">
        <v>110.0</v>
      </c>
      <c r="Y114" s="440">
        <v>6.0</v>
      </c>
      <c r="Z114" s="440">
        <v>10.0</v>
      </c>
      <c r="AA114" s="440">
        <v>3.0</v>
      </c>
      <c r="AB114" s="440">
        <v>100.0</v>
      </c>
      <c r="AC114" s="440">
        <v>10653.0</v>
      </c>
      <c r="AD114" s="440">
        <v>4.0</v>
      </c>
      <c r="AE114" s="440">
        <v>110.0</v>
      </c>
      <c r="AF114" s="439"/>
      <c r="AG114" s="440">
        <v>28.0</v>
      </c>
      <c r="AH114" s="440">
        <v>58.0</v>
      </c>
      <c r="AI114" s="832">
        <f t="shared" si="12"/>
        <v>43</v>
      </c>
      <c r="AJ114" s="439"/>
      <c r="AK114" s="439"/>
      <c r="AL114" s="439"/>
      <c r="AM114" s="439"/>
      <c r="AN114" s="439"/>
      <c r="AO114" s="439"/>
      <c r="AP114" s="439"/>
      <c r="AQ114" s="439"/>
      <c r="AR114" s="439"/>
      <c r="AS114" s="826"/>
      <c r="AT114" s="459">
        <f t="shared" si="13"/>
        <v>748</v>
      </c>
      <c r="AU114" s="459">
        <f t="shared" si="14"/>
        <v>1290</v>
      </c>
      <c r="AV114" s="833">
        <f t="shared" si="15"/>
        <v>1019</v>
      </c>
      <c r="AW114" s="439"/>
      <c r="AX114" s="439"/>
      <c r="AY114" s="834">
        <f t="shared" si="18"/>
        <v>1499</v>
      </c>
      <c r="AZ114" s="439"/>
      <c r="BA114" s="439"/>
      <c r="BB114" s="439"/>
      <c r="BC114" s="439"/>
      <c r="BD114" s="439"/>
      <c r="BE114" s="439"/>
      <c r="BF114" s="834">
        <f t="shared" si="25"/>
        <v>944</v>
      </c>
      <c r="BG114" s="834">
        <f t="shared" si="26"/>
        <v>1158</v>
      </c>
      <c r="BH114" s="439"/>
      <c r="BI114" s="439"/>
      <c r="BJ114" s="439"/>
      <c r="BK114" s="439"/>
      <c r="BL114" s="439"/>
      <c r="BM114" s="439"/>
      <c r="BN114" s="439"/>
      <c r="BO114" s="439"/>
      <c r="BP114" s="826" t="str">
        <f t="shared" si="33"/>
        <v/>
      </c>
      <c r="BQ114" s="440">
        <v>24.0</v>
      </c>
      <c r="BR114" s="440">
        <v>40.0</v>
      </c>
      <c r="BS114" s="440">
        <v>10.0</v>
      </c>
      <c r="BT114" s="440">
        <v>100.0</v>
      </c>
      <c r="BU114" s="439"/>
      <c r="BV114" s="442">
        <f t="shared" si="34"/>
        <v>32</v>
      </c>
      <c r="BW114" s="835">
        <f t="shared" si="35"/>
        <v>927.6</v>
      </c>
      <c r="BX114" s="439"/>
      <c r="BY114" s="439"/>
      <c r="BZ114" s="834">
        <f t="shared" si="38"/>
        <v>1364.1</v>
      </c>
      <c r="CA114" s="439"/>
      <c r="CB114" s="439"/>
      <c r="CC114" s="439"/>
      <c r="CD114" s="439"/>
      <c r="CE114" s="843">
        <f t="shared" si="43"/>
        <v>34.4</v>
      </c>
      <c r="CF114" s="837">
        <f t="shared" si="248"/>
        <v>9.9</v>
      </c>
      <c r="CG114" s="825">
        <f t="shared" si="249"/>
        <v>9.9</v>
      </c>
      <c r="CH114" s="838" t="s">
        <v>2336</v>
      </c>
      <c r="CI114" s="834">
        <f t="shared" ref="CI114:DF114" si="261">FLOOR($AV114/(CI$3/25),1)</f>
        <v>1019</v>
      </c>
      <c r="CJ114" s="834">
        <f t="shared" si="261"/>
        <v>1061</v>
      </c>
      <c r="CK114" s="834">
        <f t="shared" si="261"/>
        <v>1107</v>
      </c>
      <c r="CL114" s="834">
        <f t="shared" si="261"/>
        <v>1157</v>
      </c>
      <c r="CM114" s="834">
        <f t="shared" si="261"/>
        <v>1213</v>
      </c>
      <c r="CN114" s="834">
        <f t="shared" si="261"/>
        <v>1273</v>
      </c>
      <c r="CO114" s="834">
        <f t="shared" si="261"/>
        <v>1340</v>
      </c>
      <c r="CP114" s="834">
        <f t="shared" si="261"/>
        <v>1415</v>
      </c>
      <c r="CQ114" s="834">
        <f t="shared" si="261"/>
        <v>1498</v>
      </c>
      <c r="CR114" s="834">
        <f t="shared" si="261"/>
        <v>1592</v>
      </c>
      <c r="CS114" s="834">
        <f t="shared" si="261"/>
        <v>1698</v>
      </c>
      <c r="CT114" s="834">
        <f t="shared" si="261"/>
        <v>1819</v>
      </c>
      <c r="CU114" s="834">
        <f t="shared" si="261"/>
        <v>1959</v>
      </c>
      <c r="CV114" s="834">
        <f t="shared" si="261"/>
        <v>2122</v>
      </c>
      <c r="CW114" s="834">
        <f t="shared" si="261"/>
        <v>2315</v>
      </c>
      <c r="CX114" s="834">
        <f t="shared" si="261"/>
        <v>2547</v>
      </c>
      <c r="CY114" s="834">
        <f t="shared" si="261"/>
        <v>2830</v>
      </c>
      <c r="CZ114" s="834">
        <f t="shared" si="261"/>
        <v>3184</v>
      </c>
      <c r="DA114" s="834">
        <f t="shared" si="261"/>
        <v>3639</v>
      </c>
      <c r="DB114" s="834">
        <f t="shared" si="261"/>
        <v>4245</v>
      </c>
      <c r="DC114" s="834">
        <f t="shared" si="261"/>
        <v>5095</v>
      </c>
      <c r="DD114" s="834">
        <f t="shared" si="261"/>
        <v>6368</v>
      </c>
      <c r="DE114" s="834">
        <f t="shared" si="261"/>
        <v>8491</v>
      </c>
      <c r="DF114" s="839">
        <f t="shared" si="261"/>
        <v>12737</v>
      </c>
      <c r="DG114" s="826"/>
      <c r="DH114" s="826" t="str">
        <f t="shared" si="46"/>
        <v/>
      </c>
      <c r="DI114" s="439" t="str">
        <f t="shared" si="47"/>
        <v/>
      </c>
      <c r="DJ114" s="439" t="str">
        <f t="shared" si="48"/>
        <v/>
      </c>
      <c r="DK114" s="836" t="str">
        <f t="shared" si="49"/>
        <v/>
      </c>
      <c r="DL114" s="439"/>
      <c r="DM114" s="439"/>
      <c r="DN114" s="834">
        <f t="shared" si="257"/>
        <v>2.7</v>
      </c>
      <c r="DO114" s="826"/>
      <c r="DP114" s="840"/>
    </row>
    <row r="115">
      <c r="A115" s="809">
        <v>109.0</v>
      </c>
      <c r="B115" s="337">
        <v>261.0</v>
      </c>
      <c r="C115" s="338">
        <v>22.0</v>
      </c>
      <c r="D115" s="338">
        <v>56.0</v>
      </c>
      <c r="E115" s="347"/>
      <c r="F115" s="349" t="s">
        <v>1246</v>
      </c>
      <c r="G115" s="347"/>
      <c r="H115" s="347"/>
      <c r="I115" s="349">
        <f t="shared" si="7"/>
        <v>16</v>
      </c>
      <c r="J115" s="347"/>
      <c r="K115" s="347"/>
      <c r="L115" s="347"/>
      <c r="M115" s="810"/>
      <c r="N115" s="811" t="s">
        <v>2337</v>
      </c>
      <c r="O115" s="844"/>
      <c r="P115" s="813"/>
      <c r="Q115" s="813" t="s">
        <v>1676</v>
      </c>
      <c r="R115" s="813" t="s">
        <v>1314</v>
      </c>
      <c r="S115" s="814" t="s">
        <v>584</v>
      </c>
      <c r="T115" s="815" t="s">
        <v>762</v>
      </c>
      <c r="U115" s="338">
        <v>59.0</v>
      </c>
      <c r="V115" s="338">
        <v>44.0</v>
      </c>
      <c r="W115" s="679">
        <v>175.0</v>
      </c>
      <c r="X115" s="679">
        <v>100.0</v>
      </c>
      <c r="Y115" s="338">
        <v>3.0</v>
      </c>
      <c r="Z115" s="669">
        <v>-15.0</v>
      </c>
      <c r="AA115" s="338">
        <v>3.0</v>
      </c>
      <c r="AB115" s="338">
        <v>88.0</v>
      </c>
      <c r="AC115" s="338">
        <v>23789.0</v>
      </c>
      <c r="AD115" s="338">
        <v>4.0</v>
      </c>
      <c r="AE115" s="338">
        <v>110.0</v>
      </c>
      <c r="AF115" s="347"/>
      <c r="AG115" s="338">
        <v>28.0</v>
      </c>
      <c r="AH115" s="338">
        <v>70.0</v>
      </c>
      <c r="AI115" s="816">
        <f t="shared" si="12"/>
        <v>49</v>
      </c>
      <c r="AJ115" s="347"/>
      <c r="AK115" s="347"/>
      <c r="AL115" s="347"/>
      <c r="AM115" s="347"/>
      <c r="AN115" s="347"/>
      <c r="AO115" s="347"/>
      <c r="AP115" s="347"/>
      <c r="AQ115" s="347"/>
      <c r="AR115" s="347"/>
      <c r="AS115" s="810"/>
      <c r="AT115" s="349">
        <f t="shared" si="13"/>
        <v>748</v>
      </c>
      <c r="AU115" s="349">
        <f t="shared" si="14"/>
        <v>1506</v>
      </c>
      <c r="AV115" s="817">
        <f t="shared" si="15"/>
        <v>1127</v>
      </c>
      <c r="AW115" s="347"/>
      <c r="AX115" s="347"/>
      <c r="AY115" s="818">
        <f t="shared" si="18"/>
        <v>2167</v>
      </c>
      <c r="AZ115" s="347"/>
      <c r="BA115" s="347"/>
      <c r="BB115" s="347"/>
      <c r="BC115" s="347"/>
      <c r="BD115" s="347"/>
      <c r="BE115" s="347"/>
      <c r="BF115" s="818">
        <f t="shared" si="25"/>
        <v>1761</v>
      </c>
      <c r="BG115" s="818">
        <f t="shared" si="26"/>
        <v>2167</v>
      </c>
      <c r="BH115" s="347"/>
      <c r="BI115" s="347"/>
      <c r="BJ115" s="347"/>
      <c r="BK115" s="347"/>
      <c r="BL115" s="347"/>
      <c r="BM115" s="347"/>
      <c r="BN115" s="347"/>
      <c r="BO115" s="347"/>
      <c r="BP115" s="810" t="str">
        <f t="shared" si="33"/>
        <v/>
      </c>
      <c r="BQ115" s="338">
        <v>22.0</v>
      </c>
      <c r="BR115" s="338">
        <v>56.0</v>
      </c>
      <c r="BS115" s="338">
        <v>-15.0</v>
      </c>
      <c r="BT115" s="338">
        <v>100.0</v>
      </c>
      <c r="BU115" s="347"/>
      <c r="BV115" s="339">
        <f t="shared" si="34"/>
        <v>39</v>
      </c>
      <c r="BW115" s="819">
        <f t="shared" si="35"/>
        <v>1069.3</v>
      </c>
      <c r="BX115" s="347"/>
      <c r="BY115" s="347"/>
      <c r="BZ115" s="818">
        <f t="shared" si="38"/>
        <v>2056.3</v>
      </c>
      <c r="CA115" s="347"/>
      <c r="CB115" s="347"/>
      <c r="CC115" s="347"/>
      <c r="CD115" s="347"/>
      <c r="CE115" s="842">
        <f t="shared" si="43"/>
        <v>25.6</v>
      </c>
      <c r="CF115" s="821">
        <f t="shared" si="248"/>
        <v>5.4</v>
      </c>
      <c r="CG115" s="809">
        <f t="shared" si="249"/>
        <v>5.4</v>
      </c>
      <c r="CH115" s="822" t="s">
        <v>2337</v>
      </c>
      <c r="CI115" s="818">
        <f t="shared" ref="CI115:DF115" si="262">FLOOR($AV115/(CI$3/25),1)</f>
        <v>1127</v>
      </c>
      <c r="CJ115" s="818">
        <f t="shared" si="262"/>
        <v>1173</v>
      </c>
      <c r="CK115" s="818">
        <f t="shared" si="262"/>
        <v>1225</v>
      </c>
      <c r="CL115" s="818">
        <f t="shared" si="262"/>
        <v>1280</v>
      </c>
      <c r="CM115" s="818">
        <f t="shared" si="262"/>
        <v>1341</v>
      </c>
      <c r="CN115" s="818">
        <f t="shared" si="262"/>
        <v>1408</v>
      </c>
      <c r="CO115" s="818">
        <f t="shared" si="262"/>
        <v>1482</v>
      </c>
      <c r="CP115" s="818">
        <f t="shared" si="262"/>
        <v>1565</v>
      </c>
      <c r="CQ115" s="818">
        <f t="shared" si="262"/>
        <v>1657</v>
      </c>
      <c r="CR115" s="818">
        <f t="shared" si="262"/>
        <v>1760</v>
      </c>
      <c r="CS115" s="818">
        <f t="shared" si="262"/>
        <v>1878</v>
      </c>
      <c r="CT115" s="818">
        <f t="shared" si="262"/>
        <v>2012</v>
      </c>
      <c r="CU115" s="818">
        <f t="shared" si="262"/>
        <v>2167</v>
      </c>
      <c r="CV115" s="818">
        <f t="shared" si="262"/>
        <v>2347</v>
      </c>
      <c r="CW115" s="818">
        <f t="shared" si="262"/>
        <v>2561</v>
      </c>
      <c r="CX115" s="818">
        <f t="shared" si="262"/>
        <v>2817</v>
      </c>
      <c r="CY115" s="818">
        <f t="shared" si="262"/>
        <v>3130</v>
      </c>
      <c r="CZ115" s="818">
        <f t="shared" si="262"/>
        <v>3521</v>
      </c>
      <c r="DA115" s="818">
        <f t="shared" si="262"/>
        <v>4025</v>
      </c>
      <c r="DB115" s="818">
        <f t="shared" si="262"/>
        <v>4695</v>
      </c>
      <c r="DC115" s="818">
        <f t="shared" si="262"/>
        <v>5635</v>
      </c>
      <c r="DD115" s="818">
        <f t="shared" si="262"/>
        <v>7043</v>
      </c>
      <c r="DE115" s="818">
        <f t="shared" si="262"/>
        <v>9391</v>
      </c>
      <c r="DF115" s="823">
        <f t="shared" si="262"/>
        <v>14087</v>
      </c>
      <c r="DG115" s="810"/>
      <c r="DH115" s="810" t="str">
        <f t="shared" si="46"/>
        <v/>
      </c>
      <c r="DI115" s="347" t="str">
        <f t="shared" si="47"/>
        <v/>
      </c>
      <c r="DJ115" s="347" t="str">
        <f t="shared" si="48"/>
        <v/>
      </c>
      <c r="DK115" s="820" t="str">
        <f t="shared" si="49"/>
        <v/>
      </c>
      <c r="DL115" s="347"/>
      <c r="DM115" s="347"/>
      <c r="DN115" s="818">
        <f t="shared" si="257"/>
        <v>2</v>
      </c>
      <c r="DO115" s="810"/>
      <c r="DP115" s="824"/>
    </row>
    <row r="116">
      <c r="A116" s="809">
        <v>110.0</v>
      </c>
      <c r="B116" s="337">
        <v>263.0</v>
      </c>
      <c r="C116" s="338">
        <v>22.0</v>
      </c>
      <c r="D116" s="338">
        <v>62.0</v>
      </c>
      <c r="E116" s="347"/>
      <c r="F116" s="349" t="s">
        <v>1246</v>
      </c>
      <c r="G116" s="347"/>
      <c r="H116" s="347"/>
      <c r="I116" s="349">
        <f t="shared" si="7"/>
        <v>16</v>
      </c>
      <c r="J116" s="347"/>
      <c r="K116" s="347"/>
      <c r="L116" s="347"/>
      <c r="M116" s="810"/>
      <c r="N116" s="811" t="s">
        <v>2338</v>
      </c>
      <c r="O116" s="812" t="s">
        <v>2321</v>
      </c>
      <c r="P116" s="813"/>
      <c r="Q116" s="813" t="s">
        <v>1676</v>
      </c>
      <c r="R116" s="813" t="s">
        <v>1314</v>
      </c>
      <c r="S116" s="814" t="s">
        <v>584</v>
      </c>
      <c r="T116" s="815" t="s">
        <v>803</v>
      </c>
      <c r="U116" s="338">
        <v>66.0</v>
      </c>
      <c r="V116" s="338">
        <v>49.0</v>
      </c>
      <c r="W116" s="679">
        <v>171.0</v>
      </c>
      <c r="X116" s="679">
        <v>104.0</v>
      </c>
      <c r="Y116" s="338">
        <v>4.0</v>
      </c>
      <c r="Z116" s="669">
        <v>-5.0</v>
      </c>
      <c r="AA116" s="338">
        <v>3.0</v>
      </c>
      <c r="AB116" s="338">
        <v>100.0</v>
      </c>
      <c r="AC116" s="338">
        <v>14391.0</v>
      </c>
      <c r="AD116" s="338">
        <v>4.0</v>
      </c>
      <c r="AE116" s="338">
        <v>110.0</v>
      </c>
      <c r="AF116" s="347"/>
      <c r="AG116" s="338">
        <v>28.0</v>
      </c>
      <c r="AH116" s="338">
        <v>78.0</v>
      </c>
      <c r="AI116" s="816">
        <f t="shared" si="12"/>
        <v>53</v>
      </c>
      <c r="AJ116" s="347"/>
      <c r="AK116" s="347"/>
      <c r="AL116" s="347"/>
      <c r="AM116" s="347"/>
      <c r="AN116" s="347"/>
      <c r="AO116" s="347"/>
      <c r="AP116" s="347"/>
      <c r="AQ116" s="347"/>
      <c r="AR116" s="347"/>
      <c r="AS116" s="810"/>
      <c r="AT116" s="349">
        <f t="shared" si="13"/>
        <v>748</v>
      </c>
      <c r="AU116" s="349">
        <f t="shared" si="14"/>
        <v>1648</v>
      </c>
      <c r="AV116" s="817">
        <f t="shared" si="15"/>
        <v>1198</v>
      </c>
      <c r="AW116" s="347"/>
      <c r="AX116" s="347"/>
      <c r="AY116" s="818">
        <f t="shared" si="18"/>
        <v>1997</v>
      </c>
      <c r="AZ116" s="347"/>
      <c r="BA116" s="347"/>
      <c r="BB116" s="347"/>
      <c r="BC116" s="347"/>
      <c r="BD116" s="347"/>
      <c r="BE116" s="347"/>
      <c r="BF116" s="818">
        <f t="shared" si="25"/>
        <v>1498</v>
      </c>
      <c r="BG116" s="818">
        <f t="shared" si="26"/>
        <v>1762</v>
      </c>
      <c r="BH116" s="347"/>
      <c r="BI116" s="347"/>
      <c r="BJ116" s="347"/>
      <c r="BK116" s="347"/>
      <c r="BL116" s="347"/>
      <c r="BM116" s="347"/>
      <c r="BN116" s="347"/>
      <c r="BO116" s="347"/>
      <c r="BP116" s="810" t="str">
        <f t="shared" si="33"/>
        <v/>
      </c>
      <c r="BQ116" s="338">
        <v>22.0</v>
      </c>
      <c r="BR116" s="338">
        <v>62.0</v>
      </c>
      <c r="BS116" s="338">
        <v>-5.0</v>
      </c>
      <c r="BT116" s="338">
        <v>100.0</v>
      </c>
      <c r="BU116" s="347"/>
      <c r="BV116" s="339">
        <f t="shared" si="34"/>
        <v>42</v>
      </c>
      <c r="BW116" s="819">
        <f t="shared" si="35"/>
        <v>1130.1</v>
      </c>
      <c r="BX116" s="347"/>
      <c r="BY116" s="347"/>
      <c r="BZ116" s="818">
        <f t="shared" si="38"/>
        <v>1883.5</v>
      </c>
      <c r="CA116" s="347"/>
      <c r="CB116" s="347"/>
      <c r="CC116" s="347"/>
      <c r="CD116" s="347"/>
      <c r="CE116" s="842">
        <f t="shared" si="43"/>
        <v>26.2</v>
      </c>
      <c r="CF116" s="821">
        <f t="shared" si="248"/>
        <v>6</v>
      </c>
      <c r="CG116" s="809">
        <f t="shared" si="249"/>
        <v>6</v>
      </c>
      <c r="CH116" s="822" t="s">
        <v>2338</v>
      </c>
      <c r="CI116" s="818">
        <f t="shared" ref="CI116:DF116" si="263">FLOOR($AV116/(CI$3/25),1)</f>
        <v>1198</v>
      </c>
      <c r="CJ116" s="818">
        <f t="shared" si="263"/>
        <v>1247</v>
      </c>
      <c r="CK116" s="818">
        <f t="shared" si="263"/>
        <v>1302</v>
      </c>
      <c r="CL116" s="818">
        <f t="shared" si="263"/>
        <v>1361</v>
      </c>
      <c r="CM116" s="818">
        <f t="shared" si="263"/>
        <v>1426</v>
      </c>
      <c r="CN116" s="818">
        <f t="shared" si="263"/>
        <v>1497</v>
      </c>
      <c r="CO116" s="818">
        <f t="shared" si="263"/>
        <v>1576</v>
      </c>
      <c r="CP116" s="818">
        <f t="shared" si="263"/>
        <v>1663</v>
      </c>
      <c r="CQ116" s="818">
        <f t="shared" si="263"/>
        <v>1761</v>
      </c>
      <c r="CR116" s="818">
        <f t="shared" si="263"/>
        <v>1871</v>
      </c>
      <c r="CS116" s="818">
        <f t="shared" si="263"/>
        <v>1996</v>
      </c>
      <c r="CT116" s="818">
        <f t="shared" si="263"/>
        <v>2139</v>
      </c>
      <c r="CU116" s="818">
        <f t="shared" si="263"/>
        <v>2303</v>
      </c>
      <c r="CV116" s="818">
        <f t="shared" si="263"/>
        <v>2495</v>
      </c>
      <c r="CW116" s="818">
        <f t="shared" si="263"/>
        <v>2722</v>
      </c>
      <c r="CX116" s="818">
        <f t="shared" si="263"/>
        <v>2995</v>
      </c>
      <c r="CY116" s="818">
        <f t="shared" si="263"/>
        <v>3327</v>
      </c>
      <c r="CZ116" s="818">
        <f t="shared" si="263"/>
        <v>3743</v>
      </c>
      <c r="DA116" s="818">
        <f t="shared" si="263"/>
        <v>4278</v>
      </c>
      <c r="DB116" s="818">
        <f t="shared" si="263"/>
        <v>4991</v>
      </c>
      <c r="DC116" s="818">
        <f t="shared" si="263"/>
        <v>5990</v>
      </c>
      <c r="DD116" s="818">
        <f t="shared" si="263"/>
        <v>7487</v>
      </c>
      <c r="DE116" s="818">
        <f t="shared" si="263"/>
        <v>9983</v>
      </c>
      <c r="DF116" s="823">
        <f t="shared" si="263"/>
        <v>14975</v>
      </c>
      <c r="DG116" s="810"/>
      <c r="DH116" s="810" t="str">
        <f t="shared" si="46"/>
        <v/>
      </c>
      <c r="DI116" s="347" t="str">
        <f t="shared" si="47"/>
        <v/>
      </c>
      <c r="DJ116" s="347" t="str">
        <f t="shared" si="48"/>
        <v/>
      </c>
      <c r="DK116" s="842">
        <f t="shared" si="49"/>
        <v>-18.9</v>
      </c>
      <c r="DL116" s="685">
        <v>43.0</v>
      </c>
      <c r="DM116" s="347"/>
      <c r="DN116" s="818">
        <f t="shared" si="257"/>
        <v>1.4</v>
      </c>
      <c r="DO116" s="810"/>
      <c r="DP116" s="824"/>
    </row>
    <row r="117">
      <c r="A117" s="809">
        <v>111.0</v>
      </c>
      <c r="B117" s="337">
        <v>265.0</v>
      </c>
      <c r="C117" s="338">
        <v>15.0</v>
      </c>
      <c r="D117" s="338">
        <v>75.0</v>
      </c>
      <c r="E117" s="347"/>
      <c r="F117" s="349" t="s">
        <v>1246</v>
      </c>
      <c r="G117" s="347"/>
      <c r="H117" s="347"/>
      <c r="I117" s="349">
        <f t="shared" si="7"/>
        <v>16</v>
      </c>
      <c r="J117" s="347"/>
      <c r="K117" s="347"/>
      <c r="L117" s="347"/>
      <c r="M117" s="810"/>
      <c r="N117" s="811" t="s">
        <v>2339</v>
      </c>
      <c r="O117" s="812" t="s">
        <v>1979</v>
      </c>
      <c r="P117" s="813"/>
      <c r="Q117" s="813" t="s">
        <v>1676</v>
      </c>
      <c r="R117" s="813" t="s">
        <v>1314</v>
      </c>
      <c r="S117" s="814" t="s">
        <v>584</v>
      </c>
      <c r="T117" s="815" t="s">
        <v>844</v>
      </c>
      <c r="U117" s="338">
        <v>71.0</v>
      </c>
      <c r="V117" s="338">
        <v>53.0</v>
      </c>
      <c r="W117" s="679">
        <v>185.0</v>
      </c>
      <c r="X117" s="679">
        <v>87.0</v>
      </c>
      <c r="Y117" s="338">
        <v>4.0</v>
      </c>
      <c r="Z117" s="338">
        <v>0.0</v>
      </c>
      <c r="AA117" s="338">
        <v>3.0</v>
      </c>
      <c r="AB117" s="338">
        <v>100.0</v>
      </c>
      <c r="AC117" s="338">
        <v>16331.0</v>
      </c>
      <c r="AD117" s="338">
        <v>4.0</v>
      </c>
      <c r="AE117" s="338">
        <v>110.0</v>
      </c>
      <c r="AF117" s="347"/>
      <c r="AG117" s="338">
        <v>19.0</v>
      </c>
      <c r="AH117" s="338">
        <v>94.0</v>
      </c>
      <c r="AI117" s="816">
        <f t="shared" si="12"/>
        <v>56.5</v>
      </c>
      <c r="AJ117" s="347"/>
      <c r="AK117" s="347"/>
      <c r="AL117" s="347"/>
      <c r="AM117" s="347"/>
      <c r="AN117" s="347"/>
      <c r="AO117" s="347"/>
      <c r="AP117" s="347"/>
      <c r="AQ117" s="347"/>
      <c r="AR117" s="347"/>
      <c r="AS117" s="810"/>
      <c r="AT117" s="349">
        <f t="shared" si="13"/>
        <v>587</v>
      </c>
      <c r="AU117" s="349">
        <f t="shared" si="14"/>
        <v>1936</v>
      </c>
      <c r="AV117" s="817">
        <f t="shared" si="15"/>
        <v>1261.5</v>
      </c>
      <c r="AW117" s="347"/>
      <c r="AX117" s="347"/>
      <c r="AY117" s="818">
        <f t="shared" si="18"/>
        <v>2103</v>
      </c>
      <c r="AZ117" s="347"/>
      <c r="BA117" s="347"/>
      <c r="BB117" s="347"/>
      <c r="BC117" s="347"/>
      <c r="BD117" s="347"/>
      <c r="BE117" s="347"/>
      <c r="BF117" s="818">
        <f t="shared" si="25"/>
        <v>1371</v>
      </c>
      <c r="BG117" s="818">
        <f t="shared" si="26"/>
        <v>1660</v>
      </c>
      <c r="BH117" s="347"/>
      <c r="BI117" s="347"/>
      <c r="BJ117" s="347"/>
      <c r="BK117" s="347"/>
      <c r="BL117" s="347"/>
      <c r="BM117" s="347"/>
      <c r="BN117" s="347"/>
      <c r="BO117" s="347"/>
      <c r="BP117" s="810" t="str">
        <f t="shared" si="33"/>
        <v/>
      </c>
      <c r="BQ117" s="338">
        <v>15.0</v>
      </c>
      <c r="BR117" s="338">
        <v>75.0</v>
      </c>
      <c r="BS117" s="347"/>
      <c r="BT117" s="338">
        <v>100.0</v>
      </c>
      <c r="BU117" s="347"/>
      <c r="BV117" s="339">
        <f t="shared" si="34"/>
        <v>45</v>
      </c>
      <c r="BW117" s="819">
        <f t="shared" si="35"/>
        <v>1190.8</v>
      </c>
      <c r="BX117" s="347"/>
      <c r="BY117" s="347"/>
      <c r="BZ117" s="818">
        <f t="shared" si="38"/>
        <v>1984.7</v>
      </c>
      <c r="CA117" s="347"/>
      <c r="CB117" s="347"/>
      <c r="CC117" s="347"/>
      <c r="CD117" s="347"/>
      <c r="CE117" s="842">
        <f t="shared" si="43"/>
        <v>25.6</v>
      </c>
      <c r="CF117" s="821">
        <f t="shared" si="248"/>
        <v>5.9</v>
      </c>
      <c r="CG117" s="809">
        <f t="shared" si="249"/>
        <v>6</v>
      </c>
      <c r="CH117" s="822" t="s">
        <v>2339</v>
      </c>
      <c r="CI117" s="818">
        <f t="shared" ref="CI117:DF117" si="264">FLOOR($AV117/(CI$3/25),1)</f>
        <v>1261</v>
      </c>
      <c r="CJ117" s="818">
        <f t="shared" si="264"/>
        <v>1314</v>
      </c>
      <c r="CK117" s="818">
        <f t="shared" si="264"/>
        <v>1371</v>
      </c>
      <c r="CL117" s="818">
        <f t="shared" si="264"/>
        <v>1433</v>
      </c>
      <c r="CM117" s="818">
        <f t="shared" si="264"/>
        <v>1501</v>
      </c>
      <c r="CN117" s="818">
        <f t="shared" si="264"/>
        <v>1576</v>
      </c>
      <c r="CO117" s="818">
        <f t="shared" si="264"/>
        <v>1659</v>
      </c>
      <c r="CP117" s="818">
        <f t="shared" si="264"/>
        <v>1752</v>
      </c>
      <c r="CQ117" s="818">
        <f t="shared" si="264"/>
        <v>1855</v>
      </c>
      <c r="CR117" s="818">
        <f t="shared" si="264"/>
        <v>1971</v>
      </c>
      <c r="CS117" s="818">
        <f t="shared" si="264"/>
        <v>2102</v>
      </c>
      <c r="CT117" s="818">
        <f t="shared" si="264"/>
        <v>2252</v>
      </c>
      <c r="CU117" s="818">
        <f t="shared" si="264"/>
        <v>2425</v>
      </c>
      <c r="CV117" s="818">
        <f t="shared" si="264"/>
        <v>2628</v>
      </c>
      <c r="CW117" s="818">
        <f t="shared" si="264"/>
        <v>2867</v>
      </c>
      <c r="CX117" s="818">
        <f t="shared" si="264"/>
        <v>3153</v>
      </c>
      <c r="CY117" s="818">
        <f t="shared" si="264"/>
        <v>3504</v>
      </c>
      <c r="CZ117" s="818">
        <f t="shared" si="264"/>
        <v>3942</v>
      </c>
      <c r="DA117" s="818">
        <f t="shared" si="264"/>
        <v>4505</v>
      </c>
      <c r="DB117" s="818">
        <f t="shared" si="264"/>
        <v>5256</v>
      </c>
      <c r="DC117" s="818">
        <f t="shared" si="264"/>
        <v>6307</v>
      </c>
      <c r="DD117" s="818">
        <f t="shared" si="264"/>
        <v>7884</v>
      </c>
      <c r="DE117" s="818">
        <f t="shared" si="264"/>
        <v>10512</v>
      </c>
      <c r="DF117" s="823">
        <f t="shared" si="264"/>
        <v>15768</v>
      </c>
      <c r="DG117" s="810"/>
      <c r="DH117" s="810" t="str">
        <f t="shared" si="46"/>
        <v/>
      </c>
      <c r="DI117" s="347" t="str">
        <f t="shared" si="47"/>
        <v/>
      </c>
      <c r="DJ117" s="347" t="str">
        <f t="shared" si="48"/>
        <v/>
      </c>
      <c r="DK117" s="820" t="str">
        <f t="shared" si="49"/>
        <v/>
      </c>
      <c r="DL117" s="347"/>
      <c r="DM117" s="347"/>
      <c r="DN117" s="818">
        <f t="shared" si="257"/>
        <v>1.7</v>
      </c>
      <c r="DO117" s="810"/>
      <c r="DP117" s="824"/>
    </row>
    <row r="118">
      <c r="A118" s="809">
        <v>112.0</v>
      </c>
      <c r="B118" s="337">
        <v>267.0</v>
      </c>
      <c r="C118" s="338">
        <v>24.0</v>
      </c>
      <c r="D118" s="338">
        <v>54.0</v>
      </c>
      <c r="E118" s="347"/>
      <c r="F118" s="349" t="s">
        <v>1246</v>
      </c>
      <c r="G118" s="347"/>
      <c r="H118" s="347"/>
      <c r="I118" s="349">
        <f t="shared" si="7"/>
        <v>16</v>
      </c>
      <c r="J118" s="347"/>
      <c r="K118" s="347"/>
      <c r="L118" s="347"/>
      <c r="M118" s="810"/>
      <c r="N118" s="811" t="s">
        <v>2340</v>
      </c>
      <c r="O118" s="812" t="s">
        <v>1980</v>
      </c>
      <c r="P118" s="813"/>
      <c r="Q118" s="813" t="s">
        <v>1676</v>
      </c>
      <c r="R118" s="813" t="s">
        <v>1314</v>
      </c>
      <c r="S118" s="814" t="s">
        <v>584</v>
      </c>
      <c r="T118" s="815" t="s">
        <v>863</v>
      </c>
      <c r="U118" s="338">
        <v>77.0</v>
      </c>
      <c r="V118" s="338">
        <v>57.0</v>
      </c>
      <c r="W118" s="679">
        <v>163.0</v>
      </c>
      <c r="X118" s="679">
        <v>103.0</v>
      </c>
      <c r="Y118" s="338">
        <v>4.0</v>
      </c>
      <c r="Z118" s="669">
        <v>-10.0</v>
      </c>
      <c r="AA118" s="338">
        <v>3.0</v>
      </c>
      <c r="AB118" s="338">
        <v>80.0</v>
      </c>
      <c r="AC118" s="338">
        <v>19939.0</v>
      </c>
      <c r="AD118" s="338">
        <v>4.0</v>
      </c>
      <c r="AE118" s="338">
        <v>110.0</v>
      </c>
      <c r="AF118" s="347"/>
      <c r="AG118" s="338">
        <v>30.0</v>
      </c>
      <c r="AH118" s="338">
        <v>68.0</v>
      </c>
      <c r="AI118" s="816">
        <f t="shared" si="12"/>
        <v>49</v>
      </c>
      <c r="AJ118" s="347"/>
      <c r="AK118" s="347"/>
      <c r="AL118" s="347"/>
      <c r="AM118" s="347"/>
      <c r="AN118" s="347"/>
      <c r="AO118" s="347"/>
      <c r="AP118" s="347"/>
      <c r="AQ118" s="347"/>
      <c r="AR118" s="347"/>
      <c r="AS118" s="810"/>
      <c r="AT118" s="349">
        <f t="shared" si="13"/>
        <v>785</v>
      </c>
      <c r="AU118" s="349">
        <f t="shared" si="14"/>
        <v>1471</v>
      </c>
      <c r="AV118" s="817">
        <f t="shared" si="15"/>
        <v>1128</v>
      </c>
      <c r="AW118" s="347"/>
      <c r="AX118" s="347"/>
      <c r="AY118" s="818">
        <f t="shared" si="18"/>
        <v>2014</v>
      </c>
      <c r="AZ118" s="347"/>
      <c r="BA118" s="347"/>
      <c r="BB118" s="347"/>
      <c r="BC118" s="347"/>
      <c r="BD118" s="347"/>
      <c r="BE118" s="347"/>
      <c r="BF118" s="818">
        <f t="shared" si="25"/>
        <v>1567</v>
      </c>
      <c r="BG118" s="818">
        <f t="shared" si="26"/>
        <v>1880</v>
      </c>
      <c r="BH118" s="347"/>
      <c r="BI118" s="347"/>
      <c r="BJ118" s="347"/>
      <c r="BK118" s="347"/>
      <c r="BL118" s="347"/>
      <c r="BM118" s="347"/>
      <c r="BN118" s="347"/>
      <c r="BO118" s="347"/>
      <c r="BP118" s="810" t="str">
        <f t="shared" si="33"/>
        <v/>
      </c>
      <c r="BQ118" s="338">
        <v>24.0</v>
      </c>
      <c r="BR118" s="338">
        <v>54.0</v>
      </c>
      <c r="BS118" s="338">
        <v>-10.0</v>
      </c>
      <c r="BT118" s="338">
        <v>100.0</v>
      </c>
      <c r="BU118" s="347"/>
      <c r="BV118" s="339">
        <f t="shared" si="34"/>
        <v>39</v>
      </c>
      <c r="BW118" s="819">
        <f t="shared" si="35"/>
        <v>1069.3</v>
      </c>
      <c r="BX118" s="347"/>
      <c r="BY118" s="347"/>
      <c r="BZ118" s="818">
        <f t="shared" si="38"/>
        <v>1909.5</v>
      </c>
      <c r="CA118" s="347"/>
      <c r="CB118" s="347"/>
      <c r="CC118" s="347"/>
      <c r="CD118" s="347"/>
      <c r="CE118" s="842">
        <f t="shared" si="43"/>
        <v>25.6</v>
      </c>
      <c r="CF118" s="821">
        <f t="shared" si="248"/>
        <v>5.5</v>
      </c>
      <c r="CG118" s="809">
        <f t="shared" si="249"/>
        <v>5.5</v>
      </c>
      <c r="CH118" s="822" t="s">
        <v>2340</v>
      </c>
      <c r="CI118" s="818">
        <f t="shared" ref="CI118:DF118" si="265">FLOOR($AV118/(CI$3/25),1)</f>
        <v>1128</v>
      </c>
      <c r="CJ118" s="818">
        <f t="shared" si="265"/>
        <v>1175</v>
      </c>
      <c r="CK118" s="818">
        <f t="shared" si="265"/>
        <v>1226</v>
      </c>
      <c r="CL118" s="818">
        <f t="shared" si="265"/>
        <v>1281</v>
      </c>
      <c r="CM118" s="818">
        <f t="shared" si="265"/>
        <v>1342</v>
      </c>
      <c r="CN118" s="818">
        <f t="shared" si="265"/>
        <v>1410</v>
      </c>
      <c r="CO118" s="818">
        <f t="shared" si="265"/>
        <v>1484</v>
      </c>
      <c r="CP118" s="818">
        <f t="shared" si="265"/>
        <v>1566</v>
      </c>
      <c r="CQ118" s="818">
        <f t="shared" si="265"/>
        <v>1658</v>
      </c>
      <c r="CR118" s="818">
        <f t="shared" si="265"/>
        <v>1762</v>
      </c>
      <c r="CS118" s="818">
        <f t="shared" si="265"/>
        <v>1880</v>
      </c>
      <c r="CT118" s="818">
        <f t="shared" si="265"/>
        <v>2014</v>
      </c>
      <c r="CU118" s="818">
        <f t="shared" si="265"/>
        <v>2169</v>
      </c>
      <c r="CV118" s="818">
        <f t="shared" si="265"/>
        <v>2350</v>
      </c>
      <c r="CW118" s="818">
        <f t="shared" si="265"/>
        <v>2563</v>
      </c>
      <c r="CX118" s="818">
        <f t="shared" si="265"/>
        <v>2820</v>
      </c>
      <c r="CY118" s="818">
        <f t="shared" si="265"/>
        <v>3133</v>
      </c>
      <c r="CZ118" s="818">
        <f t="shared" si="265"/>
        <v>3525</v>
      </c>
      <c r="DA118" s="818">
        <f t="shared" si="265"/>
        <v>4028</v>
      </c>
      <c r="DB118" s="818">
        <f t="shared" si="265"/>
        <v>4700</v>
      </c>
      <c r="DC118" s="818">
        <f t="shared" si="265"/>
        <v>5640</v>
      </c>
      <c r="DD118" s="818">
        <f t="shared" si="265"/>
        <v>7050</v>
      </c>
      <c r="DE118" s="818">
        <f t="shared" si="265"/>
        <v>9400</v>
      </c>
      <c r="DF118" s="823">
        <f t="shared" si="265"/>
        <v>14100</v>
      </c>
      <c r="DG118" s="810"/>
      <c r="DH118" s="810" t="str">
        <f t="shared" si="46"/>
        <v/>
      </c>
      <c r="DI118" s="347" t="str">
        <f t="shared" si="47"/>
        <v/>
      </c>
      <c r="DJ118" s="347" t="str">
        <f t="shared" si="48"/>
        <v/>
      </c>
      <c r="DK118" s="842">
        <f t="shared" si="49"/>
        <v>-16.3</v>
      </c>
      <c r="DL118" s="685">
        <v>41.0</v>
      </c>
      <c r="DM118" s="347"/>
      <c r="DN118" s="818">
        <f t="shared" si="257"/>
        <v>1</v>
      </c>
      <c r="DO118" s="810"/>
      <c r="DP118" s="824"/>
    </row>
    <row r="119">
      <c r="A119" s="809">
        <v>113.0</v>
      </c>
      <c r="B119" s="337">
        <v>269.0</v>
      </c>
      <c r="C119" s="338">
        <v>26.0</v>
      </c>
      <c r="D119" s="338">
        <v>70.0</v>
      </c>
      <c r="E119" s="347"/>
      <c r="F119" s="349" t="s">
        <v>1246</v>
      </c>
      <c r="G119" s="347"/>
      <c r="H119" s="347"/>
      <c r="I119" s="349">
        <f t="shared" si="7"/>
        <v>16</v>
      </c>
      <c r="J119" s="347"/>
      <c r="K119" s="347"/>
      <c r="L119" s="347"/>
      <c r="M119" s="810"/>
      <c r="N119" s="811" t="s">
        <v>2341</v>
      </c>
      <c r="O119" s="812" t="s">
        <v>2323</v>
      </c>
      <c r="P119" s="845" t="s">
        <v>2208</v>
      </c>
      <c r="Q119" s="813" t="s">
        <v>1676</v>
      </c>
      <c r="R119" s="813" t="s">
        <v>1314</v>
      </c>
      <c r="S119" s="814" t="s">
        <v>584</v>
      </c>
      <c r="T119" s="815" t="s">
        <v>873</v>
      </c>
      <c r="U119" s="338">
        <v>80.0</v>
      </c>
      <c r="V119" s="338">
        <v>60.0</v>
      </c>
      <c r="W119" s="679">
        <v>182.0</v>
      </c>
      <c r="X119" s="679">
        <v>95.0</v>
      </c>
      <c r="Y119" s="338">
        <v>5.0</v>
      </c>
      <c r="Z119" s="573">
        <v>10.0</v>
      </c>
      <c r="AA119" s="338">
        <v>3.0</v>
      </c>
      <c r="AB119" s="338">
        <v>100.0</v>
      </c>
      <c r="AC119" s="338">
        <v>24800.0</v>
      </c>
      <c r="AD119" s="338">
        <v>4.0</v>
      </c>
      <c r="AE119" s="338">
        <v>110.0</v>
      </c>
      <c r="AF119" s="347"/>
      <c r="AG119" s="338">
        <v>33.0</v>
      </c>
      <c r="AH119" s="338">
        <v>88.0</v>
      </c>
      <c r="AI119" s="816">
        <f t="shared" si="12"/>
        <v>60.5</v>
      </c>
      <c r="AJ119" s="347"/>
      <c r="AK119" s="846"/>
      <c r="AL119" s="347"/>
      <c r="AM119" s="347"/>
      <c r="AN119" s="347"/>
      <c r="AO119" s="347"/>
      <c r="AP119" s="347"/>
      <c r="AQ119" s="347"/>
      <c r="AR119" s="347"/>
      <c r="AS119" s="810"/>
      <c r="AT119" s="349">
        <f t="shared" si="13"/>
        <v>840</v>
      </c>
      <c r="AU119" s="349">
        <f t="shared" si="14"/>
        <v>1830</v>
      </c>
      <c r="AV119" s="817">
        <f t="shared" si="15"/>
        <v>1335</v>
      </c>
      <c r="AW119" s="347"/>
      <c r="AX119" s="347"/>
      <c r="AY119" s="818">
        <f t="shared" si="18"/>
        <v>1963</v>
      </c>
      <c r="AZ119" s="347"/>
      <c r="BA119" s="347"/>
      <c r="BB119" s="347"/>
      <c r="BC119" s="347"/>
      <c r="BD119" s="347"/>
      <c r="BE119" s="347"/>
      <c r="BF119" s="818">
        <f t="shared" si="25"/>
        <v>1236</v>
      </c>
      <c r="BG119" s="818">
        <f t="shared" si="26"/>
        <v>1517</v>
      </c>
      <c r="BH119" s="347"/>
      <c r="BI119" s="347"/>
      <c r="BJ119" s="347"/>
      <c r="BK119" s="347"/>
      <c r="BL119" s="347"/>
      <c r="BM119" s="347"/>
      <c r="BN119" s="347"/>
      <c r="BO119" s="347"/>
      <c r="BP119" s="810" t="str">
        <f t="shared" si="33"/>
        <v/>
      </c>
      <c r="BQ119" s="338">
        <v>26.0</v>
      </c>
      <c r="BR119" s="338">
        <v>70.0</v>
      </c>
      <c r="BS119" s="338">
        <v>10.0</v>
      </c>
      <c r="BT119" s="338">
        <v>100.0</v>
      </c>
      <c r="BU119" s="347"/>
      <c r="BV119" s="339">
        <f t="shared" si="34"/>
        <v>48</v>
      </c>
      <c r="BW119" s="819">
        <f t="shared" si="35"/>
        <v>1251.5</v>
      </c>
      <c r="BX119" s="347"/>
      <c r="BY119" s="347"/>
      <c r="BZ119" s="818">
        <f t="shared" si="38"/>
        <v>1840.4</v>
      </c>
      <c r="CA119" s="347"/>
      <c r="CB119" s="347"/>
      <c r="CC119" s="347"/>
      <c r="CD119" s="347"/>
      <c r="CE119" s="842">
        <f t="shared" si="43"/>
        <v>26</v>
      </c>
      <c r="CF119" s="821">
        <f t="shared" si="248"/>
        <v>6.7</v>
      </c>
      <c r="CG119" s="809">
        <f t="shared" si="249"/>
        <v>6.7</v>
      </c>
      <c r="CH119" s="822" t="s">
        <v>2342</v>
      </c>
      <c r="CI119" s="818">
        <f t="shared" ref="CI119:DF119" si="266">FLOOR($AV119/(CI$3/25),1)</f>
        <v>1335</v>
      </c>
      <c r="CJ119" s="818">
        <f t="shared" si="266"/>
        <v>1390</v>
      </c>
      <c r="CK119" s="818">
        <f t="shared" si="266"/>
        <v>1451</v>
      </c>
      <c r="CL119" s="818">
        <f t="shared" si="266"/>
        <v>1517</v>
      </c>
      <c r="CM119" s="818">
        <f t="shared" si="266"/>
        <v>1589</v>
      </c>
      <c r="CN119" s="818">
        <f t="shared" si="266"/>
        <v>1668</v>
      </c>
      <c r="CO119" s="818">
        <f t="shared" si="266"/>
        <v>1756</v>
      </c>
      <c r="CP119" s="818">
        <f t="shared" si="266"/>
        <v>1854</v>
      </c>
      <c r="CQ119" s="818">
        <f t="shared" si="266"/>
        <v>1963</v>
      </c>
      <c r="CR119" s="818">
        <f t="shared" si="266"/>
        <v>2085</v>
      </c>
      <c r="CS119" s="818">
        <f t="shared" si="266"/>
        <v>2225</v>
      </c>
      <c r="CT119" s="818">
        <f t="shared" si="266"/>
        <v>2383</v>
      </c>
      <c r="CU119" s="818">
        <f t="shared" si="266"/>
        <v>2567</v>
      </c>
      <c r="CV119" s="818">
        <f t="shared" si="266"/>
        <v>2781</v>
      </c>
      <c r="CW119" s="818">
        <f t="shared" si="266"/>
        <v>3034</v>
      </c>
      <c r="CX119" s="818">
        <f t="shared" si="266"/>
        <v>3337</v>
      </c>
      <c r="CY119" s="818">
        <f t="shared" si="266"/>
        <v>3708</v>
      </c>
      <c r="CZ119" s="818">
        <f t="shared" si="266"/>
        <v>4171</v>
      </c>
      <c r="DA119" s="818">
        <f t="shared" si="266"/>
        <v>4767</v>
      </c>
      <c r="DB119" s="818">
        <f t="shared" si="266"/>
        <v>5562</v>
      </c>
      <c r="DC119" s="818">
        <f t="shared" si="266"/>
        <v>6675</v>
      </c>
      <c r="DD119" s="818">
        <f t="shared" si="266"/>
        <v>8343</v>
      </c>
      <c r="DE119" s="818">
        <f t="shared" si="266"/>
        <v>11125</v>
      </c>
      <c r="DF119" s="823">
        <f t="shared" si="266"/>
        <v>16687</v>
      </c>
      <c r="DG119" s="810"/>
      <c r="DH119" s="810" t="str">
        <f t="shared" si="46"/>
        <v/>
      </c>
      <c r="DI119" s="347" t="str">
        <f t="shared" si="47"/>
        <v/>
      </c>
      <c r="DJ119" s="347" t="str">
        <f t="shared" si="48"/>
        <v/>
      </c>
      <c r="DK119" s="820" t="str">
        <f t="shared" si="49"/>
        <v/>
      </c>
      <c r="DL119" s="347"/>
      <c r="DM119" s="347"/>
      <c r="DN119" s="818">
        <f t="shared" si="257"/>
        <v>1.5</v>
      </c>
      <c r="DO119" s="810"/>
      <c r="DP119" s="824"/>
    </row>
    <row r="120">
      <c r="A120" s="847">
        <v>114.0</v>
      </c>
      <c r="B120" s="848">
        <v>271.0</v>
      </c>
      <c r="C120" s="849">
        <v>25.0</v>
      </c>
      <c r="D120" s="849">
        <v>65.0</v>
      </c>
      <c r="E120" s="850"/>
      <c r="F120" s="851" t="s">
        <v>1246</v>
      </c>
      <c r="G120" s="850"/>
      <c r="H120" s="850"/>
      <c r="I120" s="851">
        <f t="shared" si="7"/>
        <v>16</v>
      </c>
      <c r="J120" s="850"/>
      <c r="K120" s="850"/>
      <c r="L120" s="850"/>
      <c r="M120" s="852"/>
      <c r="N120" s="853" t="s">
        <v>2343</v>
      </c>
      <c r="O120" s="854" t="s">
        <v>1981</v>
      </c>
      <c r="P120" s="855" t="s">
        <v>2207</v>
      </c>
      <c r="Q120" s="856" t="s">
        <v>1676</v>
      </c>
      <c r="R120" s="856" t="s">
        <v>1314</v>
      </c>
      <c r="S120" s="857" t="s">
        <v>584</v>
      </c>
      <c r="T120" s="858" t="s">
        <v>900</v>
      </c>
      <c r="U120" s="849">
        <v>85.0</v>
      </c>
      <c r="V120" s="849">
        <v>63.0</v>
      </c>
      <c r="W120" s="773">
        <v>189.0</v>
      </c>
      <c r="X120" s="773">
        <v>110.0</v>
      </c>
      <c r="Y120" s="849">
        <v>6.0</v>
      </c>
      <c r="Z120" s="774">
        <v>5.0</v>
      </c>
      <c r="AA120" s="849">
        <v>3.0</v>
      </c>
      <c r="AB120" s="849">
        <v>100.0</v>
      </c>
      <c r="AC120" s="849">
        <v>22259.0</v>
      </c>
      <c r="AD120" s="849">
        <v>4.0</v>
      </c>
      <c r="AE120" s="849">
        <v>110.0</v>
      </c>
      <c r="AF120" s="850"/>
      <c r="AG120" s="849">
        <v>31.0</v>
      </c>
      <c r="AH120" s="849">
        <v>81.0</v>
      </c>
      <c r="AI120" s="859">
        <f t="shared" si="12"/>
        <v>56</v>
      </c>
      <c r="AJ120" s="850"/>
      <c r="AK120" s="860"/>
      <c r="AL120" s="850"/>
      <c r="AM120" s="850"/>
      <c r="AN120" s="850"/>
      <c r="AO120" s="850"/>
      <c r="AP120" s="850"/>
      <c r="AQ120" s="850"/>
      <c r="AR120" s="850"/>
      <c r="AS120" s="852"/>
      <c r="AT120" s="851">
        <f t="shared" si="13"/>
        <v>803</v>
      </c>
      <c r="AU120" s="851">
        <f t="shared" si="14"/>
        <v>1703</v>
      </c>
      <c r="AV120" s="861">
        <f t="shared" si="15"/>
        <v>1253</v>
      </c>
      <c r="AW120" s="850"/>
      <c r="AX120" s="850"/>
      <c r="AY120" s="862">
        <f t="shared" si="18"/>
        <v>1958</v>
      </c>
      <c r="AZ120" s="850"/>
      <c r="BA120" s="850"/>
      <c r="BB120" s="850"/>
      <c r="BC120" s="850"/>
      <c r="BD120" s="850"/>
      <c r="BE120" s="850"/>
      <c r="BF120" s="862">
        <f t="shared" si="25"/>
        <v>1305</v>
      </c>
      <c r="BG120" s="862">
        <f t="shared" si="26"/>
        <v>1566</v>
      </c>
      <c r="BH120" s="850"/>
      <c r="BI120" s="850"/>
      <c r="BJ120" s="850"/>
      <c r="BK120" s="850"/>
      <c r="BL120" s="850"/>
      <c r="BM120" s="850"/>
      <c r="BN120" s="850"/>
      <c r="BO120" s="850"/>
      <c r="BP120" s="852" t="str">
        <f t="shared" si="33"/>
        <v/>
      </c>
      <c r="BQ120" s="849">
        <v>25.0</v>
      </c>
      <c r="BR120" s="849">
        <v>65.0</v>
      </c>
      <c r="BS120" s="849">
        <v>5.0</v>
      </c>
      <c r="BT120" s="849">
        <v>100.0</v>
      </c>
      <c r="BU120" s="850"/>
      <c r="BV120" s="863">
        <f t="shared" si="34"/>
        <v>45</v>
      </c>
      <c r="BW120" s="864">
        <f t="shared" si="35"/>
        <v>1190.8</v>
      </c>
      <c r="BX120" s="850"/>
      <c r="BY120" s="850"/>
      <c r="BZ120" s="862">
        <f t="shared" si="38"/>
        <v>1860.6</v>
      </c>
      <c r="CA120" s="850"/>
      <c r="CB120" s="850"/>
      <c r="CC120" s="850"/>
      <c r="CD120" s="850"/>
      <c r="CE120" s="865">
        <f t="shared" si="43"/>
        <v>24.4</v>
      </c>
      <c r="CF120" s="866">
        <f t="shared" si="248"/>
        <v>5.2</v>
      </c>
      <c r="CG120" s="847">
        <f t="shared" si="249"/>
        <v>5.2</v>
      </c>
      <c r="CH120" s="867" t="s">
        <v>2343</v>
      </c>
      <c r="CI120" s="862">
        <f t="shared" ref="CI120:DF120" si="267">FLOOR($AV120/(CI$3/25),1)</f>
        <v>1253</v>
      </c>
      <c r="CJ120" s="862">
        <f t="shared" si="267"/>
        <v>1305</v>
      </c>
      <c r="CK120" s="862">
        <f t="shared" si="267"/>
        <v>1361</v>
      </c>
      <c r="CL120" s="862">
        <f t="shared" si="267"/>
        <v>1423</v>
      </c>
      <c r="CM120" s="862">
        <f t="shared" si="267"/>
        <v>1491</v>
      </c>
      <c r="CN120" s="862">
        <f t="shared" si="267"/>
        <v>1566</v>
      </c>
      <c r="CO120" s="862">
        <f t="shared" si="267"/>
        <v>1648</v>
      </c>
      <c r="CP120" s="862">
        <f t="shared" si="267"/>
        <v>1740</v>
      </c>
      <c r="CQ120" s="862">
        <f t="shared" si="267"/>
        <v>1842</v>
      </c>
      <c r="CR120" s="862">
        <f t="shared" si="267"/>
        <v>1957</v>
      </c>
      <c r="CS120" s="862">
        <f t="shared" si="267"/>
        <v>2088</v>
      </c>
      <c r="CT120" s="862">
        <f t="shared" si="267"/>
        <v>2237</v>
      </c>
      <c r="CU120" s="862">
        <f t="shared" si="267"/>
        <v>2409</v>
      </c>
      <c r="CV120" s="862">
        <f t="shared" si="267"/>
        <v>2610</v>
      </c>
      <c r="CW120" s="862">
        <f t="shared" si="267"/>
        <v>2847</v>
      </c>
      <c r="CX120" s="862">
        <f t="shared" si="267"/>
        <v>3132</v>
      </c>
      <c r="CY120" s="862">
        <f t="shared" si="267"/>
        <v>3480</v>
      </c>
      <c r="CZ120" s="862">
        <f t="shared" si="267"/>
        <v>3915</v>
      </c>
      <c r="DA120" s="862">
        <f t="shared" si="267"/>
        <v>4475</v>
      </c>
      <c r="DB120" s="862">
        <f t="shared" si="267"/>
        <v>5220</v>
      </c>
      <c r="DC120" s="862">
        <f t="shared" si="267"/>
        <v>6265</v>
      </c>
      <c r="DD120" s="862">
        <f t="shared" si="267"/>
        <v>7831</v>
      </c>
      <c r="DE120" s="862">
        <f t="shared" si="267"/>
        <v>10441</v>
      </c>
      <c r="DF120" s="868">
        <f t="shared" si="267"/>
        <v>15662</v>
      </c>
      <c r="DG120" s="852"/>
      <c r="DH120" s="852" t="str">
        <f t="shared" si="46"/>
        <v/>
      </c>
      <c r="DI120" s="850" t="str">
        <f t="shared" si="47"/>
        <v/>
      </c>
      <c r="DJ120" s="850" t="str">
        <f t="shared" si="48"/>
        <v/>
      </c>
      <c r="DK120" s="865">
        <f t="shared" si="49"/>
        <v>-17.9</v>
      </c>
      <c r="DL120" s="789">
        <v>46.0</v>
      </c>
      <c r="DM120" s="850"/>
      <c r="DN120" s="862">
        <f t="shared" si="257"/>
        <v>1.1</v>
      </c>
      <c r="DO120" s="852"/>
      <c r="DP120" s="869"/>
    </row>
    <row r="121">
      <c r="A121" s="552">
        <v>115.0</v>
      </c>
      <c r="B121" s="86">
        <v>46.0</v>
      </c>
      <c r="C121" s="54">
        <v>1.0</v>
      </c>
      <c r="D121" s="54">
        <v>4.0</v>
      </c>
      <c r="E121" s="74"/>
      <c r="F121" s="68" t="s">
        <v>2344</v>
      </c>
      <c r="G121" s="68">
        <f t="shared" ref="G121:G273" si="269">IF($E121=1,16,IF($F121="1hs",16,IF($F121="1ht",15,IF($F121="2hs",20,IF($F121="2ht",18,IF($F121="bow",14,IF($F121="hth",13,IF($F121="stf",20,IF($F121="xbw",20,0)))))))))</f>
        <v>15</v>
      </c>
      <c r="H121" s="68">
        <f t="shared" ref="H121:H186" si="270">IF($E121=1,16,IF($F121="1hs",15,IF($F121="1ht",15,IF($F121="2hs",23,IF($F121="2ht",23,IF($F121="bow",16,IF($F121="hth",11.5,IF($F121="ht1",11.5,IF($F121="ht2",11.5,IF($F121="stf",19,IF($F121="xbw",21,0)))))))))))</f>
        <v>15</v>
      </c>
      <c r="I121" s="68">
        <f t="shared" si="7"/>
        <v>16</v>
      </c>
      <c r="J121" s="68">
        <f t="shared" ref="J121:J186" si="271">IF($E121=1,18,IF($F121="1hs",19,IF($F121="1ht",19,IF($F121="2hs",21,IF($F121="2ht",23,IF($F121="bow",16,IF($F121="hth",16,IF($F121="stf",17,IF($F121="xbw",20,0)))))))))</f>
        <v>19</v>
      </c>
      <c r="K121" s="68">
        <f t="shared" ref="K121:K186" si="272">IF($E121=1,20,IF($F121="1hs",19,IF($F121="1ht",19,IF($F121="2hs",23,IF($F121="2ht",24,IF($F121="bow",18,IF($F121="hth",15,IF($F121="stf",20,IF($F121="xbw",20,0)))))))))</f>
        <v>19</v>
      </c>
      <c r="L121" s="68">
        <f t="shared" ref="L121:L186" si="273">IF($E121=1,16,IF($F121="1hs",15,IF($F121="1ht",17,IF($F121="2hs",18.5,IF($F121="2ht",20,IF($F121="bow",16,IF($F121="hth",14,IF($F121="stf",18,IF($F121="xbw",20,0)))))))))</f>
        <v>17</v>
      </c>
      <c r="M121" s="569">
        <f t="shared" ref="M121:M186" si="274">IF($E121=1,20,IF($F121="1hs",20,IF($F121="1ht",19,IF($F121="2hs",24,IF($F121="2ht",23,IF($F121="bow",17,IF($F121="hth",16,IF($F121="stf",18,IF($F121="xbw",20,0)))))))))</f>
        <v>19</v>
      </c>
      <c r="N121" s="74" t="s">
        <v>370</v>
      </c>
      <c r="O121" s="570" t="s">
        <v>1984</v>
      </c>
      <c r="P121" s="639" t="s">
        <v>2172</v>
      </c>
      <c r="Q121" s="571" t="s">
        <v>1313</v>
      </c>
      <c r="R121" s="571" t="s">
        <v>1314</v>
      </c>
      <c r="S121" s="791" t="s">
        <v>964</v>
      </c>
      <c r="T121" s="572" t="s">
        <v>953</v>
      </c>
      <c r="U121" s="54">
        <v>3.0</v>
      </c>
      <c r="V121" s="54">
        <v>0.0</v>
      </c>
      <c r="W121" s="74"/>
      <c r="X121" s="74"/>
      <c r="Y121" s="573">
        <v>1.0</v>
      </c>
      <c r="Z121" s="54">
        <v>-20.0</v>
      </c>
      <c r="AA121" s="54">
        <v>1.0</v>
      </c>
      <c r="AB121" s="54">
        <v>32.0</v>
      </c>
      <c r="AC121" s="54">
        <v>60.0</v>
      </c>
      <c r="AD121" s="54">
        <v>2.0</v>
      </c>
      <c r="AE121" s="54">
        <v>75.0</v>
      </c>
      <c r="AF121" s="54">
        <v>75.0</v>
      </c>
      <c r="AG121" s="54">
        <v>1.0</v>
      </c>
      <c r="AH121" s="54">
        <v>4.0</v>
      </c>
      <c r="AI121" s="574">
        <f t="shared" si="12"/>
        <v>2.5</v>
      </c>
      <c r="AJ121" s="74"/>
      <c r="AK121" s="74"/>
      <c r="AL121" s="74"/>
      <c r="AM121" s="74"/>
      <c r="AN121" s="74"/>
      <c r="AO121" s="74"/>
      <c r="AP121" s="870" t="str">
        <f t="shared" ref="AP121:AP132" si="275">IF(AP$1=0,20,"")</f>
        <v/>
      </c>
      <c r="AQ121" s="74"/>
      <c r="AR121" s="74"/>
      <c r="AS121" s="575"/>
      <c r="AT121" s="68">
        <f t="shared" si="13"/>
        <v>291</v>
      </c>
      <c r="AU121" s="68">
        <f t="shared" si="14"/>
        <v>352</v>
      </c>
      <c r="AV121" s="581">
        <f t="shared" si="15"/>
        <v>321.5</v>
      </c>
      <c r="AW121" s="582">
        <f t="shared" ref="AW121:AW273" si="276">ROUND($AV121*25/(CEILING(($G121*256)/FLOOR(256*MIN(175,MAX(15,100+IF(AS121="",$AS$1,AS121)+FLOOR((120*IF(AQ121="",$AQ$1,AQ121))/(120+IF(AQ121="",$AQ$1,AQ121)),1)-$Z121))/100,1),1)-1),0)</f>
        <v>670</v>
      </c>
      <c r="AX121" s="582">
        <f t="shared" ref="AX121:AX186" si="277">ROUND($AV121*25/(CEILING(($H121*256)/FLOOR(IF($F121="ht1",208,IF($F121="ht2",208,256))*MIN(175,MAX(15,100+IF(AS121="",$AS$1,AS121)+FLOOR((120*IF(AQ121="",$AQ$1,AQ121))/(120+IF(AQ121="",$AQ$1,AQ121)),1)-$Z121))/100,1),1)-1),0)</f>
        <v>670</v>
      </c>
      <c r="AY121" s="582">
        <f t="shared" si="18"/>
        <v>618</v>
      </c>
      <c r="AZ121" s="582">
        <f t="shared" ref="AZ121:AZ186" si="278">ROUND($AV121*25/(CEILING(($L121*256)/FLOOR(256*MIN(175,MAX(15,100+IF(AS121="",$AS$1,AS121)+FLOOR((120*IF(AQ121="",$AQ$1,AQ121))/(120+IF(AQ121="",$AQ$1,AQ121)),1)-$Z121))/100,1),1)-1),0)</f>
        <v>574</v>
      </c>
      <c r="BA121" s="582">
        <f t="shared" ref="BA121:BA186" si="279">ROUND($AV121*25/(CEILING(($K121*256)/FLOOR(256*MIN(175,MAX(15,100+IF(AS121="",$AS$1,AS121)+FLOOR((120*IF(AQ121="",$AQ$1,AQ121))/(120+IF(AQ121="",$AQ$1,AQ121)),1)-$Z121))/100,1),1)-1),0)</f>
        <v>536</v>
      </c>
      <c r="BB121" s="582">
        <f t="shared" ref="BB121:BB186" si="280">ROUND($AV121*25/(CEILING(($M121*256)/FLOOR(256*MIN(175,MAX(15,100+IF(AS121="",$AS$1,AS121)+FLOOR((120*IF(AQ121="",$AQ$1,AQ121))/(120+IF(AQ121="",$AQ$1,AQ121)),1)-$Z121))/100,1),1)-1),0)</f>
        <v>536</v>
      </c>
      <c r="BC121" s="582">
        <f t="shared" ref="BC121:BC186" si="281">ROUND($AV121*25/(CEILING(($J121*256)/FLOOR(256*MIN(175,MAX(15,100+IF(AS121="",$AS$1,AS121)+FLOOR((120*IF(AQ121="",$AQ$1,AQ121))/(120+IF(AQ121="",$AQ$1,AQ121)),1)-$Z121))/100,1),1)-1),0)</f>
        <v>536</v>
      </c>
      <c r="BD121" s="582">
        <f t="shared" ref="BD121:BD186" si="282">ROUND($AV121*25/(CEILING((13*256)/FLOOR(FLOOR(256*9/FLOOR(256*IF($F121="2hs",19,J121)/FLOOR((100+IF($AR121="",$AR$1,$AR121)-$Z121)*256/100,1),1),1)*MIN(175,MAX(15,100+IF($AS121="",$AS$1,$AS121)+FLOOR((120*IF($AQ121="",$AQ$1,$AQ121))/(120+IF($AQ121="",$AQ$1,$AQ121)),1)-$Z121))/100,1),1)-1),0)</f>
        <v>447</v>
      </c>
      <c r="BE121" s="582">
        <f t="shared" ref="BE121:BE186" si="283">ROUND($AV121*25/(CEILING((12*256)/FLOOR(FLOOR(256*10/FLOOR(256*IF($F121="2hs",19,J121)/FLOOR((100+IF($AR121="",$AR$1,$AR121)-$Z121)*256/100,1),1),1)*MIN(175,MAX(15,100+IF($AS121="",$AS$1,$AS121)+FLOOR((120*IF($AQ121="",$AQ$1,$AQ121))/(120+IF($AQ121="",$AQ$1,$AQ121)),1)-$Z121))/100,1),1)-1),0)</f>
        <v>536</v>
      </c>
      <c r="BF121" s="582">
        <f t="shared" si="25"/>
        <v>536</v>
      </c>
      <c r="BG121" s="582">
        <f t="shared" si="26"/>
        <v>618</v>
      </c>
      <c r="BH121" s="582">
        <f t="shared" ref="BH121:BH273" si="284">ROUND($AV121*25/(CEILING((12*256)/FLOOR(FLOOR(256*10/FLOOR(256*IF($F121="2hs",16,G121)/FLOOR((100+IF($AR121="",$AR$1,$AR121)-$Z121)*256/100,1),1),1)*MIN(175,MAX(15,100+IF($AS121="",$AS$1,$AS121)+FLOOR((120*IF($AQ121="",$AQ$1,$AQ121))/(120+IF($AQ121="",$AQ$1,$AQ121)),1)-$Z121))/100,1),1)-1),0)</f>
        <v>670</v>
      </c>
      <c r="BI121" s="582">
        <f t="shared" ref="BI121:BI186" si="285">ROUND($AV121*25/(CEILING((12*256)/FLOOR(FLOOR(256*10/FLOOR(256*IF($F121="2hs",15,H121)/FLOOR((100+IF($AR121="",$AR$1,$AR121)-$Z121)*256/100,1),1),1)*MIN(175,MAX(15,100+IF($AS121="",$AS$1,$AS121)+FLOOR((120*IF($AQ121="",$AQ$1,$AQ121))/(120+IF($AQ121="",$AQ$1,$AQ121)),1)-$Z121))/100,1),1)-1),0)</f>
        <v>670</v>
      </c>
      <c r="BJ121" s="582">
        <f t="shared" ref="BJ121:BJ186" si="286">ROUND($AV121*25/(CEILING((12*256)/FLOOR(FLOOR(256*10/FLOOR(256*IF($F121="2hs",15,L121)/FLOOR((100+IF($AR121="",$AR$1,$AR121)-$Z121)*256/100,1),1),1)*MIN(175,MAX(15,100+IF($AS121="",$AS$1,$AS121)+FLOOR((120*IF($AQ121="",$AQ$1,$AQ121))/(120+IF($AQ121="",$AQ$1,$AQ121)),1)-$Z121))/100,1),1)-1),0)</f>
        <v>574</v>
      </c>
      <c r="BK121" s="582">
        <f t="shared" ref="BK121:BK186" si="287">ROUND($AV121*25/(CEILING((12*256)/FLOOR(FLOOR(256*10/FLOOR(256*IF($F121="2hs",19,K121)/FLOOR((100+IF($AR121="",$AR$1,$AR121)-$Z121)*256/100,1),1),1)*MIN(175,MAX(15,100+IF($AS121="",$AS$1,$AS121)+FLOOR((120*IF($AQ121="",$AQ$1,$AQ121))/(120+IF($AQ121="",$AQ$1,$AQ121)),1)-$Z121))/100,1),1)-1),0)</f>
        <v>536</v>
      </c>
      <c r="BL121" s="582">
        <f t="shared" ref="BL121:BL186" si="288">ROUND($AV121*25/(CEILING((12*256)/FLOOR(FLOOR(256*10/FLOOR(256*IF($F121="2hs",20,M121)/FLOOR((100+IF($AR121="",$AR$1,$AR121)-$Z121)*256/100,1),1),1)*MIN(175,MAX(15,100+IF($AS121="",$AS$1,$AS121)+FLOOR((120*IF($AQ121="",$AQ$1,$AQ121))/(120+IF($AQ121="",$AQ$1,$AQ121)),1)-$Z121))/100,1),1)-1),0)</f>
        <v>536</v>
      </c>
      <c r="BM121" s="74"/>
      <c r="BN121" s="74"/>
      <c r="BO121" s="74"/>
      <c r="BP121" s="575" t="str">
        <f t="shared" si="33"/>
        <v/>
      </c>
      <c r="BQ121" s="54">
        <v>1.0</v>
      </c>
      <c r="BR121" s="54">
        <v>4.0</v>
      </c>
      <c r="BS121" s="54">
        <v>-20.0</v>
      </c>
      <c r="BT121" s="54">
        <v>75.0</v>
      </c>
      <c r="BU121" s="54">
        <v>75.0</v>
      </c>
      <c r="BV121" s="83">
        <f t="shared" si="34"/>
        <v>2.5</v>
      </c>
      <c r="BW121" s="608">
        <f t="shared" si="35"/>
        <v>389.5</v>
      </c>
      <c r="BX121" s="582">
        <f t="shared" ref="BX121:BX273" si="289">ROUND($BW121*25/(CEILING(($G121*256)/FLOOR(256*MIN(175,MAX(15,100+$AS$1+FLOOR((120*$AQ$1)/(120+$AQ$1),1)-$BS121-30*$E121))/100,1),1)-1),1)</f>
        <v>811.5</v>
      </c>
      <c r="BY121" s="582">
        <f t="shared" ref="BY121:BY186" si="290">ROUND($BW121*25/(CEILING(($H121*256)/FLOOR(IF($F121="ht1",208,IF($F121="ht2",208,256))*MIN(175,MAX(15,100+$AS$1+FLOOR((120*$AQ$1)/(120+$AQ$1),1)-$BS121-30*$E121))/100,1),1)-1),1)</f>
        <v>811.5</v>
      </c>
      <c r="BZ121" s="582">
        <f t="shared" si="38"/>
        <v>749</v>
      </c>
      <c r="CA121" s="582">
        <f t="shared" ref="CA121:CA186" si="291">ROUND($BW121*25/(CEILING(($J121*256)/FLOOR(256*MIN(175,MAX(15,100+$AS$1+FLOOR((120*$AQ$1)/(120+$AQ$1),1)-$BS121-30*$E121))/100,1),1)-1),1)</f>
        <v>649.2</v>
      </c>
      <c r="CB121" s="582">
        <f t="shared" ref="CB121:CB186" si="292">ROUND($BW121*25/(CEILING(($K121*256)/FLOOR(256*MIN(175,MAX(15,100+$AS$1+FLOOR((120*$AQ$1)/(120+$AQ$1),1)-$BS121-30*$E121))/100,1),1)-1),1)</f>
        <v>649.2</v>
      </c>
      <c r="CC121" s="582">
        <f t="shared" ref="CC121:CC186" si="293">ROUND($BW121*25/(CEILING(($L121*256)/FLOOR(256*MIN(175,MAX(15,100+$AS$1+FLOOR((120*$AQ$1)/(120+$AQ$1),1)-$BS121-30*$E121))/100,1),1)-1),1)</f>
        <v>695.5</v>
      </c>
      <c r="CD121" s="582">
        <f t="shared" ref="CD121:CD186" si="294">ROUND($BW121*25/(CEILING(($M121*256)/FLOOR(256*MIN(175,MAX(15,100+$AS$1+FLOOR((120*$AQ$1)/(120+$AQ$1),1)-$BS121-30*$E121))/100,1),1)-1),1)</f>
        <v>649.2</v>
      </c>
      <c r="CE121" s="623" t="str">
        <f t="shared" si="43"/>
        <v/>
      </c>
      <c r="CF121" s="706">
        <f t="shared" si="248"/>
        <v>-17.5</v>
      </c>
      <c r="CG121" s="552">
        <f t="shared" ref="CG121:CG273" si="295">IF(ROUND(100*(AW121/BX121)-100,1)=0,"",ROUND(100*(AW121/BX121)-100,1))</f>
        <v>-17.4</v>
      </c>
      <c r="CH121" s="575" t="s">
        <v>370</v>
      </c>
      <c r="CI121" s="582">
        <f t="shared" ref="CI121:DF121" si="268">FLOOR($AV121/(CI$3/25),1)</f>
        <v>321</v>
      </c>
      <c r="CJ121" s="582">
        <f t="shared" si="268"/>
        <v>334</v>
      </c>
      <c r="CK121" s="582">
        <f t="shared" si="268"/>
        <v>349</v>
      </c>
      <c r="CL121" s="582">
        <f t="shared" si="268"/>
        <v>365</v>
      </c>
      <c r="CM121" s="582">
        <f t="shared" si="268"/>
        <v>382</v>
      </c>
      <c r="CN121" s="582">
        <f t="shared" si="268"/>
        <v>401</v>
      </c>
      <c r="CO121" s="582">
        <f t="shared" si="268"/>
        <v>423</v>
      </c>
      <c r="CP121" s="582">
        <f t="shared" si="268"/>
        <v>446</v>
      </c>
      <c r="CQ121" s="582">
        <f t="shared" si="268"/>
        <v>472</v>
      </c>
      <c r="CR121" s="582">
        <f t="shared" si="268"/>
        <v>502</v>
      </c>
      <c r="CS121" s="582">
        <f t="shared" si="268"/>
        <v>535</v>
      </c>
      <c r="CT121" s="582">
        <f t="shared" si="268"/>
        <v>574</v>
      </c>
      <c r="CU121" s="582">
        <f t="shared" si="268"/>
        <v>618</v>
      </c>
      <c r="CV121" s="582">
        <f t="shared" si="268"/>
        <v>669</v>
      </c>
      <c r="CW121" s="582">
        <f t="shared" si="268"/>
        <v>730</v>
      </c>
      <c r="CX121" s="582">
        <f t="shared" si="268"/>
        <v>803</v>
      </c>
      <c r="CY121" s="582">
        <f t="shared" si="268"/>
        <v>893</v>
      </c>
      <c r="CZ121" s="582">
        <f t="shared" si="268"/>
        <v>1004</v>
      </c>
      <c r="DA121" s="582">
        <f t="shared" si="268"/>
        <v>1148</v>
      </c>
      <c r="DB121" s="582">
        <f t="shared" si="268"/>
        <v>1339</v>
      </c>
      <c r="DC121" s="582">
        <f t="shared" si="268"/>
        <v>1607</v>
      </c>
      <c r="DD121" s="582">
        <f t="shared" si="268"/>
        <v>2009</v>
      </c>
      <c r="DE121" s="582">
        <f t="shared" si="268"/>
        <v>2679</v>
      </c>
      <c r="DF121" s="602">
        <f t="shared" si="268"/>
        <v>4018</v>
      </c>
      <c r="DG121" s="575"/>
      <c r="DH121" s="575" t="str">
        <f t="shared" si="46"/>
        <v/>
      </c>
      <c r="DI121" s="74" t="str">
        <f t="shared" si="47"/>
        <v/>
      </c>
      <c r="DJ121" s="74" t="str">
        <f t="shared" si="48"/>
        <v/>
      </c>
      <c r="DK121" s="792" t="str">
        <f t="shared" si="49"/>
        <v/>
      </c>
      <c r="DL121" s="793"/>
      <c r="DM121" s="793"/>
      <c r="DN121" s="793"/>
      <c r="DO121" s="575"/>
      <c r="DP121" s="61" t="s">
        <v>2345</v>
      </c>
    </row>
    <row r="122">
      <c r="A122" s="552">
        <v>116.0</v>
      </c>
      <c r="B122" s="86">
        <v>47.0</v>
      </c>
      <c r="C122" s="54">
        <v>3.0</v>
      </c>
      <c r="D122" s="54">
        <v>9.0</v>
      </c>
      <c r="E122" s="74"/>
      <c r="F122" s="68" t="s">
        <v>2344</v>
      </c>
      <c r="G122" s="68">
        <f t="shared" si="269"/>
        <v>15</v>
      </c>
      <c r="H122" s="68">
        <f t="shared" si="270"/>
        <v>15</v>
      </c>
      <c r="I122" s="68">
        <f t="shared" si="7"/>
        <v>16</v>
      </c>
      <c r="J122" s="68">
        <f t="shared" si="271"/>
        <v>19</v>
      </c>
      <c r="K122" s="68">
        <f t="shared" si="272"/>
        <v>19</v>
      </c>
      <c r="L122" s="68">
        <f t="shared" si="273"/>
        <v>17</v>
      </c>
      <c r="M122" s="569">
        <f t="shared" si="274"/>
        <v>19</v>
      </c>
      <c r="N122" s="74" t="s">
        <v>969</v>
      </c>
      <c r="O122" s="570" t="s">
        <v>1985</v>
      </c>
      <c r="P122" s="571"/>
      <c r="Q122" s="571" t="s">
        <v>1313</v>
      </c>
      <c r="R122" s="571" t="s">
        <v>1314</v>
      </c>
      <c r="S122" s="791" t="s">
        <v>964</v>
      </c>
      <c r="T122" s="572" t="s">
        <v>970</v>
      </c>
      <c r="U122" s="54">
        <v>9.0</v>
      </c>
      <c r="V122" s="54">
        <v>0.0</v>
      </c>
      <c r="W122" s="74"/>
      <c r="X122" s="54">
        <v>25.0</v>
      </c>
      <c r="Y122" s="573">
        <v>1.0</v>
      </c>
      <c r="Z122" s="54">
        <v>0.0</v>
      </c>
      <c r="AA122" s="54">
        <v>1.0</v>
      </c>
      <c r="AB122" s="54">
        <v>40.0</v>
      </c>
      <c r="AC122" s="54">
        <v>532.0</v>
      </c>
      <c r="AD122" s="54">
        <v>2.0</v>
      </c>
      <c r="AE122" s="54">
        <v>75.0</v>
      </c>
      <c r="AF122" s="54">
        <v>75.0</v>
      </c>
      <c r="AG122" s="54">
        <v>3.0</v>
      </c>
      <c r="AH122" s="54">
        <v>9.0</v>
      </c>
      <c r="AI122" s="574">
        <f t="shared" si="12"/>
        <v>6</v>
      </c>
      <c r="AJ122" s="74"/>
      <c r="AK122" s="74"/>
      <c r="AL122" s="74"/>
      <c r="AM122" s="74"/>
      <c r="AN122" s="74"/>
      <c r="AO122" s="74"/>
      <c r="AP122" s="870" t="str">
        <f t="shared" si="275"/>
        <v/>
      </c>
      <c r="AQ122" s="74"/>
      <c r="AR122" s="74"/>
      <c r="AS122" s="575"/>
      <c r="AT122" s="68">
        <f t="shared" si="13"/>
        <v>331</v>
      </c>
      <c r="AU122" s="68">
        <f t="shared" si="14"/>
        <v>452</v>
      </c>
      <c r="AV122" s="581">
        <f t="shared" si="15"/>
        <v>391.5</v>
      </c>
      <c r="AW122" s="582">
        <f t="shared" si="276"/>
        <v>699</v>
      </c>
      <c r="AX122" s="582">
        <f t="shared" si="277"/>
        <v>699</v>
      </c>
      <c r="AY122" s="582">
        <f t="shared" si="18"/>
        <v>653</v>
      </c>
      <c r="AZ122" s="582">
        <f t="shared" si="278"/>
        <v>612</v>
      </c>
      <c r="BA122" s="582">
        <f t="shared" si="279"/>
        <v>544</v>
      </c>
      <c r="BB122" s="582">
        <f t="shared" si="280"/>
        <v>544</v>
      </c>
      <c r="BC122" s="582">
        <f t="shared" si="281"/>
        <v>544</v>
      </c>
      <c r="BD122" s="582">
        <f t="shared" si="282"/>
        <v>363</v>
      </c>
      <c r="BE122" s="582">
        <f t="shared" si="283"/>
        <v>445</v>
      </c>
      <c r="BF122" s="582">
        <f t="shared" si="25"/>
        <v>426</v>
      </c>
      <c r="BG122" s="582">
        <f t="shared" si="26"/>
        <v>515</v>
      </c>
      <c r="BH122" s="582">
        <f t="shared" si="284"/>
        <v>544</v>
      </c>
      <c r="BI122" s="582">
        <f t="shared" si="285"/>
        <v>544</v>
      </c>
      <c r="BJ122" s="582">
        <f t="shared" si="286"/>
        <v>489</v>
      </c>
      <c r="BK122" s="582">
        <f t="shared" si="287"/>
        <v>445</v>
      </c>
      <c r="BL122" s="582">
        <f t="shared" si="288"/>
        <v>445</v>
      </c>
      <c r="BM122" s="74"/>
      <c r="BN122" s="74"/>
      <c r="BO122" s="74"/>
      <c r="BP122" s="575" t="str">
        <f t="shared" si="33"/>
        <v/>
      </c>
      <c r="BQ122" s="54">
        <v>3.0</v>
      </c>
      <c r="BR122" s="54">
        <v>9.0</v>
      </c>
      <c r="BS122" s="74"/>
      <c r="BT122" s="54">
        <v>75.0</v>
      </c>
      <c r="BU122" s="54">
        <v>75.0</v>
      </c>
      <c r="BV122" s="83">
        <f t="shared" si="34"/>
        <v>6</v>
      </c>
      <c r="BW122" s="608">
        <f t="shared" si="35"/>
        <v>473</v>
      </c>
      <c r="BX122" s="582">
        <f t="shared" si="289"/>
        <v>844.6</v>
      </c>
      <c r="BY122" s="582">
        <f t="shared" si="290"/>
        <v>844.6</v>
      </c>
      <c r="BZ122" s="582">
        <f t="shared" si="38"/>
        <v>788.3</v>
      </c>
      <c r="CA122" s="582">
        <f t="shared" si="291"/>
        <v>656.9</v>
      </c>
      <c r="CB122" s="582">
        <f t="shared" si="292"/>
        <v>656.9</v>
      </c>
      <c r="CC122" s="582">
        <f t="shared" si="293"/>
        <v>739.1</v>
      </c>
      <c r="CD122" s="582">
        <f t="shared" si="294"/>
        <v>656.9</v>
      </c>
      <c r="CE122" s="623" t="str">
        <f t="shared" si="43"/>
        <v/>
      </c>
      <c r="CF122" s="706">
        <f t="shared" si="248"/>
        <v>-17.2</v>
      </c>
      <c r="CG122" s="552">
        <f t="shared" si="295"/>
        <v>-17.2</v>
      </c>
      <c r="CH122" s="575" t="s">
        <v>969</v>
      </c>
      <c r="CI122" s="582">
        <f t="shared" ref="CI122:DF122" si="296">FLOOR($AV122/(CI$3/25),1)</f>
        <v>391</v>
      </c>
      <c r="CJ122" s="582">
        <f t="shared" si="296"/>
        <v>407</v>
      </c>
      <c r="CK122" s="582">
        <f t="shared" si="296"/>
        <v>425</v>
      </c>
      <c r="CL122" s="582">
        <f t="shared" si="296"/>
        <v>444</v>
      </c>
      <c r="CM122" s="582">
        <f t="shared" si="296"/>
        <v>466</v>
      </c>
      <c r="CN122" s="582">
        <f t="shared" si="296"/>
        <v>489</v>
      </c>
      <c r="CO122" s="582">
        <f t="shared" si="296"/>
        <v>515</v>
      </c>
      <c r="CP122" s="582">
        <f t="shared" si="296"/>
        <v>543</v>
      </c>
      <c r="CQ122" s="582">
        <f t="shared" si="296"/>
        <v>575</v>
      </c>
      <c r="CR122" s="582">
        <f t="shared" si="296"/>
        <v>611</v>
      </c>
      <c r="CS122" s="582">
        <f t="shared" si="296"/>
        <v>652</v>
      </c>
      <c r="CT122" s="582">
        <f t="shared" si="296"/>
        <v>699</v>
      </c>
      <c r="CU122" s="582">
        <f t="shared" si="296"/>
        <v>752</v>
      </c>
      <c r="CV122" s="582">
        <f t="shared" si="296"/>
        <v>815</v>
      </c>
      <c r="CW122" s="582">
        <f t="shared" si="296"/>
        <v>889</v>
      </c>
      <c r="CX122" s="582">
        <f t="shared" si="296"/>
        <v>978</v>
      </c>
      <c r="CY122" s="582">
        <f t="shared" si="296"/>
        <v>1087</v>
      </c>
      <c r="CZ122" s="582">
        <f t="shared" si="296"/>
        <v>1223</v>
      </c>
      <c r="DA122" s="582">
        <f t="shared" si="296"/>
        <v>1398</v>
      </c>
      <c r="DB122" s="582">
        <f t="shared" si="296"/>
        <v>1631</v>
      </c>
      <c r="DC122" s="582">
        <f t="shared" si="296"/>
        <v>1957</v>
      </c>
      <c r="DD122" s="582">
        <f t="shared" si="296"/>
        <v>2446</v>
      </c>
      <c r="DE122" s="582">
        <f t="shared" si="296"/>
        <v>3262</v>
      </c>
      <c r="DF122" s="602">
        <f t="shared" si="296"/>
        <v>4893</v>
      </c>
      <c r="DG122" s="575"/>
      <c r="DH122" s="575" t="str">
        <f t="shared" si="46"/>
        <v/>
      </c>
      <c r="DI122" s="74" t="str">
        <f t="shared" si="47"/>
        <v/>
      </c>
      <c r="DJ122" s="74" t="str">
        <f t="shared" si="48"/>
        <v/>
      </c>
      <c r="DK122" s="623" t="str">
        <f t="shared" si="49"/>
        <v/>
      </c>
      <c r="DL122" s="74"/>
      <c r="DM122" s="74"/>
      <c r="DN122" s="74"/>
      <c r="DO122" s="575"/>
      <c r="DP122" s="61" t="s">
        <v>2345</v>
      </c>
    </row>
    <row r="123">
      <c r="A123" s="552">
        <v>117.0</v>
      </c>
      <c r="B123" s="86">
        <v>48.0</v>
      </c>
      <c r="C123" s="54">
        <v>2.0</v>
      </c>
      <c r="D123" s="54">
        <v>11.0</v>
      </c>
      <c r="E123" s="74"/>
      <c r="F123" s="68" t="s">
        <v>2344</v>
      </c>
      <c r="G123" s="68">
        <f t="shared" si="269"/>
        <v>15</v>
      </c>
      <c r="H123" s="68">
        <f t="shared" si="270"/>
        <v>15</v>
      </c>
      <c r="I123" s="68">
        <f t="shared" si="7"/>
        <v>16</v>
      </c>
      <c r="J123" s="68">
        <f t="shared" si="271"/>
        <v>19</v>
      </c>
      <c r="K123" s="68">
        <f t="shared" si="272"/>
        <v>19</v>
      </c>
      <c r="L123" s="68">
        <f t="shared" si="273"/>
        <v>17</v>
      </c>
      <c r="M123" s="569">
        <f t="shared" si="274"/>
        <v>19</v>
      </c>
      <c r="N123" s="74" t="s">
        <v>986</v>
      </c>
      <c r="O123" s="570" t="s">
        <v>1986</v>
      </c>
      <c r="P123" s="571"/>
      <c r="Q123" s="571" t="s">
        <v>1313</v>
      </c>
      <c r="R123" s="571" t="s">
        <v>1314</v>
      </c>
      <c r="S123" s="791" t="s">
        <v>964</v>
      </c>
      <c r="T123" s="572" t="s">
        <v>987</v>
      </c>
      <c r="U123" s="54">
        <v>17.0</v>
      </c>
      <c r="V123" s="54">
        <v>0.0</v>
      </c>
      <c r="W123" s="74"/>
      <c r="X123" s="54">
        <v>45.0</v>
      </c>
      <c r="Y123" s="54">
        <v>3.0</v>
      </c>
      <c r="Z123" s="54">
        <v>-20.0</v>
      </c>
      <c r="AA123" s="54">
        <v>1.0</v>
      </c>
      <c r="AB123" s="54">
        <v>48.0</v>
      </c>
      <c r="AC123" s="54">
        <v>1227.0</v>
      </c>
      <c r="AD123" s="54">
        <v>2.0</v>
      </c>
      <c r="AE123" s="54">
        <v>75.0</v>
      </c>
      <c r="AF123" s="54">
        <v>75.0</v>
      </c>
      <c r="AG123" s="54">
        <v>2.0</v>
      </c>
      <c r="AH123" s="54">
        <v>11.0</v>
      </c>
      <c r="AI123" s="574">
        <f t="shared" si="12"/>
        <v>6.5</v>
      </c>
      <c r="AJ123" s="74"/>
      <c r="AK123" s="74"/>
      <c r="AL123" s="74"/>
      <c r="AM123" s="74"/>
      <c r="AN123" s="74"/>
      <c r="AO123" s="74"/>
      <c r="AP123" s="870" t="str">
        <f t="shared" si="275"/>
        <v/>
      </c>
      <c r="AQ123" s="74"/>
      <c r="AR123" s="74"/>
      <c r="AS123" s="575"/>
      <c r="AT123" s="68">
        <f t="shared" si="13"/>
        <v>313</v>
      </c>
      <c r="AU123" s="68">
        <f t="shared" si="14"/>
        <v>492</v>
      </c>
      <c r="AV123" s="581">
        <f t="shared" si="15"/>
        <v>402.5</v>
      </c>
      <c r="AW123" s="582">
        <f t="shared" si="276"/>
        <v>839</v>
      </c>
      <c r="AX123" s="582">
        <f t="shared" si="277"/>
        <v>839</v>
      </c>
      <c r="AY123" s="582">
        <f t="shared" si="18"/>
        <v>774</v>
      </c>
      <c r="AZ123" s="582">
        <f t="shared" si="278"/>
        <v>719</v>
      </c>
      <c r="BA123" s="582">
        <f t="shared" si="279"/>
        <v>671</v>
      </c>
      <c r="BB123" s="582">
        <f t="shared" si="280"/>
        <v>671</v>
      </c>
      <c r="BC123" s="582">
        <f t="shared" si="281"/>
        <v>671</v>
      </c>
      <c r="BD123" s="582">
        <f t="shared" si="282"/>
        <v>559</v>
      </c>
      <c r="BE123" s="582">
        <f t="shared" si="283"/>
        <v>671</v>
      </c>
      <c r="BF123" s="582">
        <f t="shared" si="25"/>
        <v>671</v>
      </c>
      <c r="BG123" s="582">
        <f t="shared" si="26"/>
        <v>774</v>
      </c>
      <c r="BH123" s="582">
        <f t="shared" si="284"/>
        <v>839</v>
      </c>
      <c r="BI123" s="582">
        <f t="shared" si="285"/>
        <v>839</v>
      </c>
      <c r="BJ123" s="582">
        <f t="shared" si="286"/>
        <v>719</v>
      </c>
      <c r="BK123" s="582">
        <f t="shared" si="287"/>
        <v>671</v>
      </c>
      <c r="BL123" s="582">
        <f t="shared" si="288"/>
        <v>671</v>
      </c>
      <c r="BM123" s="74"/>
      <c r="BN123" s="74"/>
      <c r="BO123" s="74"/>
      <c r="BP123" s="575" t="str">
        <f t="shared" si="33"/>
        <v/>
      </c>
      <c r="BQ123" s="54">
        <v>2.0</v>
      </c>
      <c r="BR123" s="54">
        <v>11.0</v>
      </c>
      <c r="BS123" s="54">
        <v>-20.0</v>
      </c>
      <c r="BT123" s="54">
        <v>75.0</v>
      </c>
      <c r="BU123" s="54">
        <v>75.0</v>
      </c>
      <c r="BV123" s="83">
        <f t="shared" si="34"/>
        <v>6.5</v>
      </c>
      <c r="BW123" s="608">
        <f t="shared" si="35"/>
        <v>485</v>
      </c>
      <c r="BX123" s="582">
        <f t="shared" si="289"/>
        <v>1010.4</v>
      </c>
      <c r="BY123" s="582">
        <f t="shared" si="290"/>
        <v>1010.4</v>
      </c>
      <c r="BZ123" s="582">
        <f t="shared" si="38"/>
        <v>932.7</v>
      </c>
      <c r="CA123" s="582">
        <f t="shared" si="291"/>
        <v>808.3</v>
      </c>
      <c r="CB123" s="582">
        <f t="shared" si="292"/>
        <v>808.3</v>
      </c>
      <c r="CC123" s="582">
        <f t="shared" si="293"/>
        <v>866.1</v>
      </c>
      <c r="CD123" s="582">
        <f t="shared" si="294"/>
        <v>808.3</v>
      </c>
      <c r="CE123" s="623" t="str">
        <f t="shared" si="43"/>
        <v/>
      </c>
      <c r="CF123" s="706">
        <f t="shared" si="248"/>
        <v>-17</v>
      </c>
      <c r="CG123" s="552">
        <f t="shared" si="295"/>
        <v>-17</v>
      </c>
      <c r="CH123" s="575" t="s">
        <v>986</v>
      </c>
      <c r="CI123" s="582">
        <f t="shared" ref="CI123:DF123" si="297">FLOOR($AV123/(CI$3/25),1)</f>
        <v>402</v>
      </c>
      <c r="CJ123" s="582">
        <f t="shared" si="297"/>
        <v>419</v>
      </c>
      <c r="CK123" s="582">
        <f t="shared" si="297"/>
        <v>437</v>
      </c>
      <c r="CL123" s="582">
        <f t="shared" si="297"/>
        <v>457</v>
      </c>
      <c r="CM123" s="582">
        <f t="shared" si="297"/>
        <v>479</v>
      </c>
      <c r="CN123" s="582">
        <f t="shared" si="297"/>
        <v>503</v>
      </c>
      <c r="CO123" s="582">
        <f t="shared" si="297"/>
        <v>529</v>
      </c>
      <c r="CP123" s="582">
        <f t="shared" si="297"/>
        <v>559</v>
      </c>
      <c r="CQ123" s="582">
        <f t="shared" si="297"/>
        <v>591</v>
      </c>
      <c r="CR123" s="582">
        <f t="shared" si="297"/>
        <v>628</v>
      </c>
      <c r="CS123" s="582">
        <f t="shared" si="297"/>
        <v>670</v>
      </c>
      <c r="CT123" s="582">
        <f t="shared" si="297"/>
        <v>718</v>
      </c>
      <c r="CU123" s="582">
        <f t="shared" si="297"/>
        <v>774</v>
      </c>
      <c r="CV123" s="582">
        <f t="shared" si="297"/>
        <v>838</v>
      </c>
      <c r="CW123" s="582">
        <f t="shared" si="297"/>
        <v>914</v>
      </c>
      <c r="CX123" s="582">
        <f t="shared" si="297"/>
        <v>1006</v>
      </c>
      <c r="CY123" s="582">
        <f t="shared" si="297"/>
        <v>1118</v>
      </c>
      <c r="CZ123" s="582">
        <f t="shared" si="297"/>
        <v>1257</v>
      </c>
      <c r="DA123" s="582">
        <f t="shared" si="297"/>
        <v>1437</v>
      </c>
      <c r="DB123" s="582">
        <f t="shared" si="297"/>
        <v>1677</v>
      </c>
      <c r="DC123" s="582">
        <f t="shared" si="297"/>
        <v>2012</v>
      </c>
      <c r="DD123" s="582">
        <f t="shared" si="297"/>
        <v>2515</v>
      </c>
      <c r="DE123" s="582">
        <f t="shared" si="297"/>
        <v>3354</v>
      </c>
      <c r="DF123" s="602">
        <f t="shared" si="297"/>
        <v>5031</v>
      </c>
      <c r="DG123" s="575"/>
      <c r="DH123" s="575" t="str">
        <f t="shared" si="46"/>
        <v/>
      </c>
      <c r="DI123" s="74" t="str">
        <f t="shared" si="47"/>
        <v/>
      </c>
      <c r="DJ123" s="74" t="str">
        <f t="shared" si="48"/>
        <v/>
      </c>
      <c r="DK123" s="664">
        <f t="shared" si="49"/>
        <v>7.7</v>
      </c>
      <c r="DL123" s="685">
        <v>7.0</v>
      </c>
      <c r="DM123" s="74"/>
      <c r="DN123" s="74"/>
      <c r="DO123" s="575"/>
      <c r="DP123" s="61" t="s">
        <v>2345</v>
      </c>
    </row>
    <row r="124">
      <c r="A124" s="647">
        <v>118.0</v>
      </c>
      <c r="B124" s="141">
        <v>49.0</v>
      </c>
      <c r="C124" s="129">
        <v>4.0</v>
      </c>
      <c r="D124" s="129">
        <v>15.0</v>
      </c>
      <c r="E124" s="134"/>
      <c r="F124" s="154" t="s">
        <v>2344</v>
      </c>
      <c r="G124" s="154">
        <f t="shared" si="269"/>
        <v>15</v>
      </c>
      <c r="H124" s="154">
        <f t="shared" si="270"/>
        <v>15</v>
      </c>
      <c r="I124" s="154">
        <f t="shared" si="7"/>
        <v>16</v>
      </c>
      <c r="J124" s="154">
        <f t="shared" si="271"/>
        <v>19</v>
      </c>
      <c r="K124" s="154">
        <f t="shared" si="272"/>
        <v>19</v>
      </c>
      <c r="L124" s="154">
        <f t="shared" si="273"/>
        <v>17</v>
      </c>
      <c r="M124" s="648">
        <f t="shared" si="274"/>
        <v>19</v>
      </c>
      <c r="N124" s="134" t="s">
        <v>1003</v>
      </c>
      <c r="O124" s="649" t="s">
        <v>1987</v>
      </c>
      <c r="P124" s="650"/>
      <c r="Q124" s="650" t="s">
        <v>1313</v>
      </c>
      <c r="R124" s="650" t="s">
        <v>1314</v>
      </c>
      <c r="S124" s="796" t="s">
        <v>964</v>
      </c>
      <c r="T124" s="651" t="s">
        <v>1004</v>
      </c>
      <c r="U124" s="129">
        <v>23.0</v>
      </c>
      <c r="V124" s="129">
        <v>0.0</v>
      </c>
      <c r="W124" s="129">
        <v>35.0</v>
      </c>
      <c r="X124" s="129">
        <v>51.0</v>
      </c>
      <c r="Y124" s="129">
        <v>2.0</v>
      </c>
      <c r="Z124" s="129">
        <v>-10.0</v>
      </c>
      <c r="AA124" s="129">
        <v>1.0</v>
      </c>
      <c r="AB124" s="129">
        <v>48.0</v>
      </c>
      <c r="AC124" s="129">
        <v>1764.0</v>
      </c>
      <c r="AD124" s="129">
        <v>3.0</v>
      </c>
      <c r="AE124" s="129">
        <v>75.0</v>
      </c>
      <c r="AF124" s="129">
        <v>75.0</v>
      </c>
      <c r="AG124" s="129">
        <v>4.0</v>
      </c>
      <c r="AH124" s="129">
        <v>15.0</v>
      </c>
      <c r="AI124" s="652">
        <f t="shared" si="12"/>
        <v>9.5</v>
      </c>
      <c r="AJ124" s="134"/>
      <c r="AK124" s="134"/>
      <c r="AL124" s="134"/>
      <c r="AM124" s="134"/>
      <c r="AN124" s="134"/>
      <c r="AO124" s="134"/>
      <c r="AP124" s="871" t="str">
        <f t="shared" si="275"/>
        <v/>
      </c>
      <c r="AQ124" s="134"/>
      <c r="AR124" s="134"/>
      <c r="AS124" s="653"/>
      <c r="AT124" s="154">
        <f t="shared" si="13"/>
        <v>352</v>
      </c>
      <c r="AU124" s="154">
        <f t="shared" si="14"/>
        <v>571</v>
      </c>
      <c r="AV124" s="654">
        <f t="shared" si="15"/>
        <v>461.5</v>
      </c>
      <c r="AW124" s="655">
        <f t="shared" si="276"/>
        <v>888</v>
      </c>
      <c r="AX124" s="655">
        <f t="shared" si="277"/>
        <v>888</v>
      </c>
      <c r="AY124" s="655">
        <f t="shared" si="18"/>
        <v>824</v>
      </c>
      <c r="AZ124" s="655">
        <f t="shared" si="278"/>
        <v>769</v>
      </c>
      <c r="BA124" s="655">
        <f t="shared" si="279"/>
        <v>679</v>
      </c>
      <c r="BB124" s="655">
        <f t="shared" si="280"/>
        <v>679</v>
      </c>
      <c r="BC124" s="655">
        <f t="shared" si="281"/>
        <v>679</v>
      </c>
      <c r="BD124" s="655">
        <f t="shared" si="282"/>
        <v>524</v>
      </c>
      <c r="BE124" s="655">
        <f t="shared" si="283"/>
        <v>641</v>
      </c>
      <c r="BF124" s="655">
        <f t="shared" si="25"/>
        <v>641</v>
      </c>
      <c r="BG124" s="655">
        <f t="shared" si="26"/>
        <v>769</v>
      </c>
      <c r="BH124" s="655">
        <f t="shared" si="284"/>
        <v>824</v>
      </c>
      <c r="BI124" s="655">
        <f t="shared" si="285"/>
        <v>824</v>
      </c>
      <c r="BJ124" s="655">
        <f t="shared" si="286"/>
        <v>721</v>
      </c>
      <c r="BK124" s="655">
        <f t="shared" si="287"/>
        <v>641</v>
      </c>
      <c r="BL124" s="655">
        <f t="shared" si="288"/>
        <v>641</v>
      </c>
      <c r="BM124" s="134"/>
      <c r="BN124" s="134"/>
      <c r="BO124" s="134"/>
      <c r="BP124" s="653" t="str">
        <f t="shared" si="33"/>
        <v/>
      </c>
      <c r="BQ124" s="129">
        <v>4.0</v>
      </c>
      <c r="BR124" s="129">
        <v>15.0</v>
      </c>
      <c r="BS124" s="129">
        <v>-10.0</v>
      </c>
      <c r="BT124" s="129">
        <v>75.0</v>
      </c>
      <c r="BU124" s="129">
        <v>75.0</v>
      </c>
      <c r="BV124" s="135">
        <f t="shared" si="34"/>
        <v>9.5</v>
      </c>
      <c r="BW124" s="657">
        <f t="shared" si="35"/>
        <v>556.6</v>
      </c>
      <c r="BX124" s="655">
        <f t="shared" si="289"/>
        <v>1070.4</v>
      </c>
      <c r="BY124" s="655">
        <f t="shared" si="290"/>
        <v>1070.4</v>
      </c>
      <c r="BZ124" s="655">
        <f t="shared" si="38"/>
        <v>993.9</v>
      </c>
      <c r="CA124" s="655">
        <f t="shared" si="291"/>
        <v>818.5</v>
      </c>
      <c r="CB124" s="655">
        <f t="shared" si="292"/>
        <v>818.5</v>
      </c>
      <c r="CC124" s="655">
        <f t="shared" si="293"/>
        <v>927.7</v>
      </c>
      <c r="CD124" s="655">
        <f t="shared" si="294"/>
        <v>818.5</v>
      </c>
      <c r="CE124" s="662" t="str">
        <f t="shared" si="43"/>
        <v/>
      </c>
      <c r="CF124" s="712">
        <f t="shared" si="248"/>
        <v>-17.1</v>
      </c>
      <c r="CG124" s="647">
        <f t="shared" si="295"/>
        <v>-17</v>
      </c>
      <c r="CH124" s="653" t="s">
        <v>1003</v>
      </c>
      <c r="CI124" s="655">
        <f t="shared" ref="CI124:DF124" si="298">FLOOR($AV124/(CI$3/25),1)</f>
        <v>461</v>
      </c>
      <c r="CJ124" s="655">
        <f t="shared" si="298"/>
        <v>480</v>
      </c>
      <c r="CK124" s="655">
        <f t="shared" si="298"/>
        <v>501</v>
      </c>
      <c r="CL124" s="655">
        <f t="shared" si="298"/>
        <v>524</v>
      </c>
      <c r="CM124" s="655">
        <f t="shared" si="298"/>
        <v>549</v>
      </c>
      <c r="CN124" s="655">
        <f t="shared" si="298"/>
        <v>576</v>
      </c>
      <c r="CO124" s="655">
        <f t="shared" si="298"/>
        <v>607</v>
      </c>
      <c r="CP124" s="655">
        <f t="shared" si="298"/>
        <v>640</v>
      </c>
      <c r="CQ124" s="655">
        <f t="shared" si="298"/>
        <v>678</v>
      </c>
      <c r="CR124" s="655">
        <f t="shared" si="298"/>
        <v>721</v>
      </c>
      <c r="CS124" s="655">
        <f t="shared" si="298"/>
        <v>769</v>
      </c>
      <c r="CT124" s="655">
        <f t="shared" si="298"/>
        <v>824</v>
      </c>
      <c r="CU124" s="655">
        <f t="shared" si="298"/>
        <v>887</v>
      </c>
      <c r="CV124" s="655">
        <f t="shared" si="298"/>
        <v>961</v>
      </c>
      <c r="CW124" s="655">
        <f t="shared" si="298"/>
        <v>1048</v>
      </c>
      <c r="CX124" s="655">
        <f t="shared" si="298"/>
        <v>1153</v>
      </c>
      <c r="CY124" s="655">
        <f t="shared" si="298"/>
        <v>1281</v>
      </c>
      <c r="CZ124" s="655">
        <f t="shared" si="298"/>
        <v>1442</v>
      </c>
      <c r="DA124" s="655">
        <f t="shared" si="298"/>
        <v>1648</v>
      </c>
      <c r="DB124" s="655">
        <f t="shared" si="298"/>
        <v>1922</v>
      </c>
      <c r="DC124" s="655">
        <f t="shared" si="298"/>
        <v>2307</v>
      </c>
      <c r="DD124" s="655">
        <f t="shared" si="298"/>
        <v>2884</v>
      </c>
      <c r="DE124" s="655">
        <f t="shared" si="298"/>
        <v>3845</v>
      </c>
      <c r="DF124" s="656">
        <f t="shared" si="298"/>
        <v>5768</v>
      </c>
      <c r="DG124" s="653"/>
      <c r="DH124" s="653" t="str">
        <f t="shared" si="46"/>
        <v/>
      </c>
      <c r="DI124" s="134" t="str">
        <f t="shared" si="47"/>
        <v/>
      </c>
      <c r="DJ124" s="134" t="str">
        <f t="shared" si="48"/>
        <v/>
      </c>
      <c r="DK124" s="662" t="str">
        <f t="shared" si="49"/>
        <v/>
      </c>
      <c r="DL124" s="134"/>
      <c r="DM124" s="134"/>
      <c r="DN124" s="134"/>
      <c r="DO124" s="653"/>
      <c r="DP124" s="872" t="s">
        <v>2345</v>
      </c>
    </row>
    <row r="125">
      <c r="A125" s="552">
        <v>119.0</v>
      </c>
      <c r="B125" s="86">
        <v>154.0</v>
      </c>
      <c r="C125" s="54">
        <v>8.0</v>
      </c>
      <c r="D125" s="54">
        <v>23.0</v>
      </c>
      <c r="E125" s="74"/>
      <c r="F125" s="68" t="s">
        <v>2344</v>
      </c>
      <c r="G125" s="68">
        <f t="shared" si="269"/>
        <v>15</v>
      </c>
      <c r="H125" s="68">
        <f t="shared" si="270"/>
        <v>15</v>
      </c>
      <c r="I125" s="68">
        <f t="shared" si="7"/>
        <v>16</v>
      </c>
      <c r="J125" s="68">
        <f t="shared" si="271"/>
        <v>19</v>
      </c>
      <c r="K125" s="68">
        <f t="shared" si="272"/>
        <v>19</v>
      </c>
      <c r="L125" s="68">
        <f t="shared" si="273"/>
        <v>17</v>
      </c>
      <c r="M125" s="569">
        <f t="shared" si="274"/>
        <v>19</v>
      </c>
      <c r="N125" s="74" t="s">
        <v>956</v>
      </c>
      <c r="O125" s="570" t="s">
        <v>1988</v>
      </c>
      <c r="P125" s="571"/>
      <c r="Q125" s="571" t="s">
        <v>1670</v>
      </c>
      <c r="R125" s="571" t="s">
        <v>1314</v>
      </c>
      <c r="S125" s="791" t="s">
        <v>964</v>
      </c>
      <c r="T125" s="572" t="s">
        <v>957</v>
      </c>
      <c r="U125" s="54">
        <v>31.0</v>
      </c>
      <c r="V125" s="54">
        <v>19.0</v>
      </c>
      <c r="W125" s="54">
        <v>25.0</v>
      </c>
      <c r="X125" s="74"/>
      <c r="Y125" s="54">
        <v>2.0</v>
      </c>
      <c r="Z125" s="54">
        <v>-20.0</v>
      </c>
      <c r="AA125" s="54">
        <v>1.0</v>
      </c>
      <c r="AB125" s="54">
        <v>32.0</v>
      </c>
      <c r="AC125" s="54">
        <v>480.0</v>
      </c>
      <c r="AD125" s="54">
        <v>2.0</v>
      </c>
      <c r="AE125" s="54">
        <v>75.0</v>
      </c>
      <c r="AF125" s="54">
        <v>75.0</v>
      </c>
      <c r="AG125" s="54">
        <v>9.0</v>
      </c>
      <c r="AH125" s="54">
        <v>26.0</v>
      </c>
      <c r="AI125" s="574">
        <f t="shared" si="12"/>
        <v>17.5</v>
      </c>
      <c r="AJ125" s="74"/>
      <c r="AK125" s="74"/>
      <c r="AL125" s="74"/>
      <c r="AM125" s="74"/>
      <c r="AN125" s="74"/>
      <c r="AO125" s="74"/>
      <c r="AP125" s="870" t="str">
        <f t="shared" si="275"/>
        <v/>
      </c>
      <c r="AQ125" s="74"/>
      <c r="AR125" s="74"/>
      <c r="AS125" s="575"/>
      <c r="AT125" s="68">
        <f t="shared" si="13"/>
        <v>452</v>
      </c>
      <c r="AU125" s="68">
        <f t="shared" si="14"/>
        <v>788</v>
      </c>
      <c r="AV125" s="581">
        <f t="shared" si="15"/>
        <v>620</v>
      </c>
      <c r="AW125" s="582">
        <f t="shared" si="276"/>
        <v>1292</v>
      </c>
      <c r="AX125" s="582">
        <f t="shared" si="277"/>
        <v>1292</v>
      </c>
      <c r="AY125" s="582">
        <f t="shared" si="18"/>
        <v>1192</v>
      </c>
      <c r="AZ125" s="582">
        <f t="shared" si="278"/>
        <v>1107</v>
      </c>
      <c r="BA125" s="582">
        <f t="shared" si="279"/>
        <v>1033</v>
      </c>
      <c r="BB125" s="582">
        <f t="shared" si="280"/>
        <v>1033</v>
      </c>
      <c r="BC125" s="582">
        <f t="shared" si="281"/>
        <v>1033</v>
      </c>
      <c r="BD125" s="582">
        <f t="shared" si="282"/>
        <v>861</v>
      </c>
      <c r="BE125" s="582">
        <f t="shared" si="283"/>
        <v>1033</v>
      </c>
      <c r="BF125" s="582">
        <f t="shared" si="25"/>
        <v>1033</v>
      </c>
      <c r="BG125" s="582">
        <f t="shared" si="26"/>
        <v>1192</v>
      </c>
      <c r="BH125" s="582">
        <f t="shared" si="284"/>
        <v>1292</v>
      </c>
      <c r="BI125" s="582">
        <f t="shared" si="285"/>
        <v>1292</v>
      </c>
      <c r="BJ125" s="582">
        <f t="shared" si="286"/>
        <v>1107</v>
      </c>
      <c r="BK125" s="582">
        <f t="shared" si="287"/>
        <v>1033</v>
      </c>
      <c r="BL125" s="582">
        <f t="shared" si="288"/>
        <v>1033</v>
      </c>
      <c r="BM125" s="74"/>
      <c r="BN125" s="74"/>
      <c r="BO125" s="74"/>
      <c r="BP125" s="575" t="str">
        <f t="shared" si="33"/>
        <v/>
      </c>
      <c r="BQ125" s="54">
        <v>6.0</v>
      </c>
      <c r="BR125" s="54">
        <v>18.0</v>
      </c>
      <c r="BS125" s="54">
        <v>-20.0</v>
      </c>
      <c r="BT125" s="54">
        <v>75.0</v>
      </c>
      <c r="BU125" s="54">
        <v>75.0</v>
      </c>
      <c r="BV125" s="83">
        <f t="shared" si="34"/>
        <v>12</v>
      </c>
      <c r="BW125" s="608">
        <f t="shared" si="35"/>
        <v>616.3</v>
      </c>
      <c r="BX125" s="582">
        <f t="shared" si="289"/>
        <v>1284</v>
      </c>
      <c r="BY125" s="582">
        <f t="shared" si="290"/>
        <v>1284</v>
      </c>
      <c r="BZ125" s="582">
        <f t="shared" si="38"/>
        <v>1185.2</v>
      </c>
      <c r="CA125" s="582">
        <f t="shared" si="291"/>
        <v>1027.2</v>
      </c>
      <c r="CB125" s="582">
        <f t="shared" si="292"/>
        <v>1027.2</v>
      </c>
      <c r="CC125" s="582">
        <f t="shared" si="293"/>
        <v>1100.5</v>
      </c>
      <c r="CD125" s="582">
        <f t="shared" si="294"/>
        <v>1027.2</v>
      </c>
      <c r="CE125" s="664">
        <f t="shared" si="43"/>
        <v>45.8</v>
      </c>
      <c r="CF125" s="706">
        <f t="shared" si="248"/>
        <v>0.6</v>
      </c>
      <c r="CG125" s="552">
        <f t="shared" si="295"/>
        <v>0.6</v>
      </c>
      <c r="CH125" s="575" t="s">
        <v>956</v>
      </c>
      <c r="CI125" s="582">
        <f t="shared" ref="CI125:DF125" si="299">FLOOR($AV125/(CI$3/25),1)</f>
        <v>620</v>
      </c>
      <c r="CJ125" s="582">
        <f t="shared" si="299"/>
        <v>645</v>
      </c>
      <c r="CK125" s="582">
        <f t="shared" si="299"/>
        <v>673</v>
      </c>
      <c r="CL125" s="582">
        <f t="shared" si="299"/>
        <v>704</v>
      </c>
      <c r="CM125" s="582">
        <f t="shared" si="299"/>
        <v>738</v>
      </c>
      <c r="CN125" s="582">
        <f t="shared" si="299"/>
        <v>775</v>
      </c>
      <c r="CO125" s="582">
        <f t="shared" si="299"/>
        <v>815</v>
      </c>
      <c r="CP125" s="582">
        <f t="shared" si="299"/>
        <v>861</v>
      </c>
      <c r="CQ125" s="582">
        <f t="shared" si="299"/>
        <v>911</v>
      </c>
      <c r="CR125" s="582">
        <f t="shared" si="299"/>
        <v>968</v>
      </c>
      <c r="CS125" s="582">
        <f t="shared" si="299"/>
        <v>1033</v>
      </c>
      <c r="CT125" s="582">
        <f t="shared" si="299"/>
        <v>1107</v>
      </c>
      <c r="CU125" s="582">
        <f t="shared" si="299"/>
        <v>1192</v>
      </c>
      <c r="CV125" s="582">
        <f t="shared" si="299"/>
        <v>1291</v>
      </c>
      <c r="CW125" s="582">
        <f t="shared" si="299"/>
        <v>1409</v>
      </c>
      <c r="CX125" s="582">
        <f t="shared" si="299"/>
        <v>1550</v>
      </c>
      <c r="CY125" s="582">
        <f t="shared" si="299"/>
        <v>1722</v>
      </c>
      <c r="CZ125" s="582">
        <f t="shared" si="299"/>
        <v>1937</v>
      </c>
      <c r="DA125" s="582">
        <f t="shared" si="299"/>
        <v>2214</v>
      </c>
      <c r="DB125" s="582">
        <f t="shared" si="299"/>
        <v>2583</v>
      </c>
      <c r="DC125" s="582">
        <f t="shared" si="299"/>
        <v>3100</v>
      </c>
      <c r="DD125" s="582">
        <f t="shared" si="299"/>
        <v>3875</v>
      </c>
      <c r="DE125" s="582">
        <f t="shared" si="299"/>
        <v>5166</v>
      </c>
      <c r="DF125" s="602">
        <f t="shared" si="299"/>
        <v>7750</v>
      </c>
      <c r="DG125" s="575"/>
      <c r="DH125" s="575" t="str">
        <f t="shared" si="46"/>
        <v/>
      </c>
      <c r="DI125" s="74" t="str">
        <f t="shared" si="47"/>
        <v/>
      </c>
      <c r="DJ125" s="74" t="str">
        <f t="shared" si="48"/>
        <v/>
      </c>
      <c r="DK125" s="623" t="str">
        <f t="shared" si="49"/>
        <v/>
      </c>
      <c r="DL125" s="74"/>
      <c r="DM125" s="74"/>
      <c r="DN125" s="582">
        <f t="shared" ref="DN125:DN132" si="301">IF(ISBLANK(DL125),ROUND(AI125/IF(ISBLANK(DL121),AI121,DL121),1),ROUND(DL125/IF(ISBLANK(DL121),AI121,DL121),1))</f>
        <v>7</v>
      </c>
      <c r="DO125" s="575"/>
      <c r="DP125" s="61" t="s">
        <v>2345</v>
      </c>
    </row>
    <row r="126">
      <c r="A126" s="552">
        <v>120.0</v>
      </c>
      <c r="B126" s="86">
        <v>155.0</v>
      </c>
      <c r="C126" s="54">
        <v>12.0</v>
      </c>
      <c r="D126" s="54">
        <v>33.0</v>
      </c>
      <c r="E126" s="74"/>
      <c r="F126" s="68" t="s">
        <v>2344</v>
      </c>
      <c r="G126" s="68">
        <f t="shared" si="269"/>
        <v>15</v>
      </c>
      <c r="H126" s="68">
        <f t="shared" si="270"/>
        <v>15</v>
      </c>
      <c r="I126" s="68">
        <f t="shared" si="7"/>
        <v>16</v>
      </c>
      <c r="J126" s="68">
        <f t="shared" si="271"/>
        <v>19</v>
      </c>
      <c r="K126" s="68">
        <f t="shared" si="272"/>
        <v>19</v>
      </c>
      <c r="L126" s="68">
        <f t="shared" si="273"/>
        <v>17</v>
      </c>
      <c r="M126" s="569">
        <f t="shared" si="274"/>
        <v>19</v>
      </c>
      <c r="N126" s="74" t="s">
        <v>976</v>
      </c>
      <c r="O126" s="570" t="s">
        <v>1989</v>
      </c>
      <c r="P126" s="571"/>
      <c r="Q126" s="571" t="s">
        <v>1670</v>
      </c>
      <c r="R126" s="571" t="s">
        <v>1314</v>
      </c>
      <c r="S126" s="791" t="s">
        <v>964</v>
      </c>
      <c r="T126" s="572" t="s">
        <v>978</v>
      </c>
      <c r="U126" s="54">
        <v>36.0</v>
      </c>
      <c r="V126" s="54">
        <v>24.0</v>
      </c>
      <c r="W126" s="54">
        <v>25.0</v>
      </c>
      <c r="X126" s="54">
        <v>58.0</v>
      </c>
      <c r="Y126" s="54">
        <v>2.0</v>
      </c>
      <c r="Z126" s="54">
        <v>0.0</v>
      </c>
      <c r="AA126" s="54">
        <v>1.0</v>
      </c>
      <c r="AB126" s="54">
        <v>40.0</v>
      </c>
      <c r="AC126" s="54">
        <v>1896.0</v>
      </c>
      <c r="AD126" s="54">
        <v>2.0</v>
      </c>
      <c r="AE126" s="54">
        <v>75.0</v>
      </c>
      <c r="AF126" s="54">
        <v>75.0</v>
      </c>
      <c r="AG126" s="54">
        <v>14.0</v>
      </c>
      <c r="AH126" s="54">
        <v>38.0</v>
      </c>
      <c r="AI126" s="574">
        <f t="shared" si="12"/>
        <v>26</v>
      </c>
      <c r="AJ126" s="74"/>
      <c r="AK126" s="74"/>
      <c r="AL126" s="74"/>
      <c r="AM126" s="74"/>
      <c r="AN126" s="74"/>
      <c r="AO126" s="74"/>
      <c r="AP126" s="870" t="str">
        <f t="shared" si="275"/>
        <v/>
      </c>
      <c r="AQ126" s="74"/>
      <c r="AR126" s="74"/>
      <c r="AS126" s="575"/>
      <c r="AT126" s="68">
        <f t="shared" si="13"/>
        <v>548</v>
      </c>
      <c r="AU126" s="68">
        <f t="shared" si="14"/>
        <v>1028</v>
      </c>
      <c r="AV126" s="581">
        <f t="shared" si="15"/>
        <v>788</v>
      </c>
      <c r="AW126" s="582">
        <f t="shared" si="276"/>
        <v>1407</v>
      </c>
      <c r="AX126" s="582">
        <f t="shared" si="277"/>
        <v>1407</v>
      </c>
      <c r="AY126" s="582">
        <f t="shared" si="18"/>
        <v>1313</v>
      </c>
      <c r="AZ126" s="582">
        <f t="shared" si="278"/>
        <v>1231</v>
      </c>
      <c r="BA126" s="582">
        <f t="shared" si="279"/>
        <v>1094</v>
      </c>
      <c r="BB126" s="582">
        <f t="shared" si="280"/>
        <v>1094</v>
      </c>
      <c r="BC126" s="582">
        <f t="shared" si="281"/>
        <v>1094</v>
      </c>
      <c r="BD126" s="582">
        <f t="shared" si="282"/>
        <v>730</v>
      </c>
      <c r="BE126" s="582">
        <f t="shared" si="283"/>
        <v>895</v>
      </c>
      <c r="BF126" s="582">
        <f t="shared" si="25"/>
        <v>857</v>
      </c>
      <c r="BG126" s="582">
        <f t="shared" si="26"/>
        <v>1037</v>
      </c>
      <c r="BH126" s="582">
        <f t="shared" si="284"/>
        <v>1094</v>
      </c>
      <c r="BI126" s="582">
        <f t="shared" si="285"/>
        <v>1094</v>
      </c>
      <c r="BJ126" s="582">
        <f t="shared" si="286"/>
        <v>985</v>
      </c>
      <c r="BK126" s="582">
        <f t="shared" si="287"/>
        <v>895</v>
      </c>
      <c r="BL126" s="582">
        <f t="shared" si="288"/>
        <v>895</v>
      </c>
      <c r="BM126" s="74"/>
      <c r="BN126" s="74"/>
      <c r="BO126" s="74"/>
      <c r="BP126" s="575" t="str">
        <f t="shared" si="33"/>
        <v/>
      </c>
      <c r="BQ126" s="54">
        <v>10.0</v>
      </c>
      <c r="BR126" s="54">
        <v>26.0</v>
      </c>
      <c r="BS126" s="74"/>
      <c r="BT126" s="54">
        <v>75.0</v>
      </c>
      <c r="BU126" s="54">
        <v>75.0</v>
      </c>
      <c r="BV126" s="83">
        <f t="shared" si="34"/>
        <v>18</v>
      </c>
      <c r="BW126" s="608">
        <f t="shared" si="35"/>
        <v>759.5</v>
      </c>
      <c r="BX126" s="582">
        <f t="shared" si="289"/>
        <v>1356.3</v>
      </c>
      <c r="BY126" s="582">
        <f t="shared" si="290"/>
        <v>1356.3</v>
      </c>
      <c r="BZ126" s="582">
        <f t="shared" si="38"/>
        <v>1265.8</v>
      </c>
      <c r="CA126" s="582">
        <f t="shared" si="291"/>
        <v>1054.9</v>
      </c>
      <c r="CB126" s="582">
        <f t="shared" si="292"/>
        <v>1054.9</v>
      </c>
      <c r="CC126" s="582">
        <f t="shared" si="293"/>
        <v>1186.7</v>
      </c>
      <c r="CD126" s="582">
        <f t="shared" si="294"/>
        <v>1054.9</v>
      </c>
      <c r="CE126" s="664">
        <f t="shared" si="43"/>
        <v>44.4</v>
      </c>
      <c r="CF126" s="706">
        <f t="shared" si="248"/>
        <v>3.8</v>
      </c>
      <c r="CG126" s="552">
        <f t="shared" si="295"/>
        <v>3.7</v>
      </c>
      <c r="CH126" s="575" t="s">
        <v>976</v>
      </c>
      <c r="CI126" s="582">
        <f t="shared" ref="CI126:DF126" si="300">FLOOR($AV126/(CI$3/25),1)</f>
        <v>788</v>
      </c>
      <c r="CJ126" s="582">
        <f t="shared" si="300"/>
        <v>820</v>
      </c>
      <c r="CK126" s="582">
        <f t="shared" si="300"/>
        <v>856</v>
      </c>
      <c r="CL126" s="582">
        <f t="shared" si="300"/>
        <v>895</v>
      </c>
      <c r="CM126" s="582">
        <f t="shared" si="300"/>
        <v>938</v>
      </c>
      <c r="CN126" s="582">
        <f t="shared" si="300"/>
        <v>985</v>
      </c>
      <c r="CO126" s="582">
        <f t="shared" si="300"/>
        <v>1036</v>
      </c>
      <c r="CP126" s="582">
        <f t="shared" si="300"/>
        <v>1094</v>
      </c>
      <c r="CQ126" s="582">
        <f t="shared" si="300"/>
        <v>1158</v>
      </c>
      <c r="CR126" s="582">
        <f t="shared" si="300"/>
        <v>1231</v>
      </c>
      <c r="CS126" s="582">
        <f t="shared" si="300"/>
        <v>1313</v>
      </c>
      <c r="CT126" s="582">
        <f t="shared" si="300"/>
        <v>1407</v>
      </c>
      <c r="CU126" s="582">
        <f t="shared" si="300"/>
        <v>1515</v>
      </c>
      <c r="CV126" s="582">
        <f t="shared" si="300"/>
        <v>1641</v>
      </c>
      <c r="CW126" s="582">
        <f t="shared" si="300"/>
        <v>1790</v>
      </c>
      <c r="CX126" s="582">
        <f t="shared" si="300"/>
        <v>1970</v>
      </c>
      <c r="CY126" s="582">
        <f t="shared" si="300"/>
        <v>2188</v>
      </c>
      <c r="CZ126" s="582">
        <f t="shared" si="300"/>
        <v>2462</v>
      </c>
      <c r="DA126" s="582">
        <f t="shared" si="300"/>
        <v>2814</v>
      </c>
      <c r="DB126" s="582">
        <f t="shared" si="300"/>
        <v>3283</v>
      </c>
      <c r="DC126" s="582">
        <f t="shared" si="300"/>
        <v>3940</v>
      </c>
      <c r="DD126" s="582">
        <f t="shared" si="300"/>
        <v>4925</v>
      </c>
      <c r="DE126" s="582">
        <f t="shared" si="300"/>
        <v>6566</v>
      </c>
      <c r="DF126" s="602">
        <f t="shared" si="300"/>
        <v>9850</v>
      </c>
      <c r="DG126" s="575"/>
      <c r="DH126" s="575" t="str">
        <f t="shared" si="46"/>
        <v/>
      </c>
      <c r="DI126" s="74" t="str">
        <f t="shared" si="47"/>
        <v/>
      </c>
      <c r="DJ126" s="74" t="str">
        <f t="shared" si="48"/>
        <v/>
      </c>
      <c r="DK126" s="664">
        <f t="shared" si="49"/>
        <v>-9.6</v>
      </c>
      <c r="DL126" s="685">
        <v>23.5</v>
      </c>
      <c r="DM126" s="74"/>
      <c r="DN126" s="582">
        <f t="shared" si="301"/>
        <v>3.9</v>
      </c>
      <c r="DO126" s="575"/>
      <c r="DP126" s="61" t="s">
        <v>2345</v>
      </c>
    </row>
    <row r="127">
      <c r="A127" s="552">
        <v>121.0</v>
      </c>
      <c r="B127" s="86">
        <v>156.0</v>
      </c>
      <c r="C127" s="54">
        <v>15.0</v>
      </c>
      <c r="D127" s="54">
        <v>39.0</v>
      </c>
      <c r="E127" s="74"/>
      <c r="F127" s="68" t="s">
        <v>2344</v>
      </c>
      <c r="G127" s="68">
        <f t="shared" si="269"/>
        <v>15</v>
      </c>
      <c r="H127" s="68">
        <f t="shared" si="270"/>
        <v>15</v>
      </c>
      <c r="I127" s="68">
        <f t="shared" si="7"/>
        <v>16</v>
      </c>
      <c r="J127" s="68">
        <f t="shared" si="271"/>
        <v>19</v>
      </c>
      <c r="K127" s="68">
        <f t="shared" si="272"/>
        <v>19</v>
      </c>
      <c r="L127" s="68">
        <f t="shared" si="273"/>
        <v>17</v>
      </c>
      <c r="M127" s="569">
        <f t="shared" si="274"/>
        <v>19</v>
      </c>
      <c r="N127" s="74" t="s">
        <v>989</v>
      </c>
      <c r="O127" s="570" t="s">
        <v>2346</v>
      </c>
      <c r="P127" s="571"/>
      <c r="Q127" s="571" t="s">
        <v>1670</v>
      </c>
      <c r="R127" s="571" t="s">
        <v>1314</v>
      </c>
      <c r="S127" s="791" t="s">
        <v>964</v>
      </c>
      <c r="T127" s="572" t="s">
        <v>990</v>
      </c>
      <c r="U127" s="54">
        <v>42.0</v>
      </c>
      <c r="V127" s="54">
        <v>25.0</v>
      </c>
      <c r="W127" s="54">
        <v>25.0</v>
      </c>
      <c r="X127" s="679">
        <v>88.0</v>
      </c>
      <c r="Y127" s="54">
        <v>3.0</v>
      </c>
      <c r="Z127" s="54">
        <v>-20.0</v>
      </c>
      <c r="AA127" s="54">
        <v>1.0</v>
      </c>
      <c r="AB127" s="54">
        <v>48.0</v>
      </c>
      <c r="AC127" s="54">
        <v>3981.0</v>
      </c>
      <c r="AD127" s="54">
        <v>2.0</v>
      </c>
      <c r="AE127" s="54">
        <v>75.0</v>
      </c>
      <c r="AF127" s="54">
        <v>75.0</v>
      </c>
      <c r="AG127" s="54">
        <v>17.0</v>
      </c>
      <c r="AH127" s="54">
        <v>45.0</v>
      </c>
      <c r="AI127" s="574">
        <f t="shared" si="12"/>
        <v>31</v>
      </c>
      <c r="AJ127" s="74"/>
      <c r="AK127" s="74"/>
      <c r="AL127" s="74"/>
      <c r="AM127" s="74"/>
      <c r="AN127" s="74"/>
      <c r="AO127" s="74"/>
      <c r="AP127" s="870" t="str">
        <f t="shared" si="275"/>
        <v/>
      </c>
      <c r="AQ127" s="74"/>
      <c r="AR127" s="74"/>
      <c r="AS127" s="575"/>
      <c r="AT127" s="68">
        <f t="shared" si="13"/>
        <v>610</v>
      </c>
      <c r="AU127" s="68">
        <f t="shared" si="14"/>
        <v>1168</v>
      </c>
      <c r="AV127" s="581">
        <f t="shared" si="15"/>
        <v>889</v>
      </c>
      <c r="AW127" s="582">
        <f t="shared" si="276"/>
        <v>1852</v>
      </c>
      <c r="AX127" s="582">
        <f t="shared" si="277"/>
        <v>1852</v>
      </c>
      <c r="AY127" s="582">
        <f t="shared" si="18"/>
        <v>1710</v>
      </c>
      <c r="AZ127" s="582">
        <f t="shared" si="278"/>
        <v>1588</v>
      </c>
      <c r="BA127" s="582">
        <f t="shared" si="279"/>
        <v>1482</v>
      </c>
      <c r="BB127" s="582">
        <f t="shared" si="280"/>
        <v>1482</v>
      </c>
      <c r="BC127" s="582">
        <f t="shared" si="281"/>
        <v>1482</v>
      </c>
      <c r="BD127" s="582">
        <f t="shared" si="282"/>
        <v>1235</v>
      </c>
      <c r="BE127" s="582">
        <f t="shared" si="283"/>
        <v>1482</v>
      </c>
      <c r="BF127" s="582">
        <f t="shared" si="25"/>
        <v>1482</v>
      </c>
      <c r="BG127" s="582">
        <f t="shared" si="26"/>
        <v>1710</v>
      </c>
      <c r="BH127" s="582">
        <f t="shared" si="284"/>
        <v>1852</v>
      </c>
      <c r="BI127" s="582">
        <f t="shared" si="285"/>
        <v>1852</v>
      </c>
      <c r="BJ127" s="582">
        <f t="shared" si="286"/>
        <v>1588</v>
      </c>
      <c r="BK127" s="582">
        <f t="shared" si="287"/>
        <v>1482</v>
      </c>
      <c r="BL127" s="582">
        <f t="shared" si="288"/>
        <v>1482</v>
      </c>
      <c r="BM127" s="74"/>
      <c r="BN127" s="74"/>
      <c r="BO127" s="74"/>
      <c r="BP127" s="575" t="str">
        <f t="shared" si="33"/>
        <v/>
      </c>
      <c r="BQ127" s="54">
        <v>15.0</v>
      </c>
      <c r="BR127" s="54">
        <v>31.0</v>
      </c>
      <c r="BS127" s="54">
        <v>-20.0</v>
      </c>
      <c r="BT127" s="54">
        <v>75.0</v>
      </c>
      <c r="BU127" s="54">
        <v>75.0</v>
      </c>
      <c r="BV127" s="83">
        <f t="shared" si="34"/>
        <v>23</v>
      </c>
      <c r="BW127" s="608">
        <f t="shared" si="35"/>
        <v>878.9</v>
      </c>
      <c r="BX127" s="582">
        <f t="shared" si="289"/>
        <v>1831</v>
      </c>
      <c r="BY127" s="582">
        <f t="shared" si="290"/>
        <v>1831</v>
      </c>
      <c r="BZ127" s="582">
        <f t="shared" si="38"/>
        <v>1690.2</v>
      </c>
      <c r="CA127" s="582">
        <f t="shared" si="291"/>
        <v>1464.8</v>
      </c>
      <c r="CB127" s="582">
        <f t="shared" si="292"/>
        <v>1464.8</v>
      </c>
      <c r="CC127" s="582">
        <f t="shared" si="293"/>
        <v>1569.5</v>
      </c>
      <c r="CD127" s="582">
        <f t="shared" si="294"/>
        <v>1464.8</v>
      </c>
      <c r="CE127" s="664">
        <f t="shared" si="43"/>
        <v>34.8</v>
      </c>
      <c r="CF127" s="706">
        <f t="shared" si="248"/>
        <v>1.1</v>
      </c>
      <c r="CG127" s="552">
        <f t="shared" si="295"/>
        <v>1.1</v>
      </c>
      <c r="CH127" s="575" t="s">
        <v>989</v>
      </c>
      <c r="CI127" s="582">
        <f t="shared" ref="CI127:DF127" si="302">FLOOR($AV127/(CI$3/25),1)</f>
        <v>889</v>
      </c>
      <c r="CJ127" s="582">
        <f t="shared" si="302"/>
        <v>926</v>
      </c>
      <c r="CK127" s="582">
        <f t="shared" si="302"/>
        <v>966</v>
      </c>
      <c r="CL127" s="582">
        <f t="shared" si="302"/>
        <v>1010</v>
      </c>
      <c r="CM127" s="582">
        <f t="shared" si="302"/>
        <v>1058</v>
      </c>
      <c r="CN127" s="582">
        <f t="shared" si="302"/>
        <v>1111</v>
      </c>
      <c r="CO127" s="582">
        <f t="shared" si="302"/>
        <v>1169</v>
      </c>
      <c r="CP127" s="582">
        <f t="shared" si="302"/>
        <v>1234</v>
      </c>
      <c r="CQ127" s="582">
        <f t="shared" si="302"/>
        <v>1307</v>
      </c>
      <c r="CR127" s="582">
        <f t="shared" si="302"/>
        <v>1389</v>
      </c>
      <c r="CS127" s="582">
        <f t="shared" si="302"/>
        <v>1481</v>
      </c>
      <c r="CT127" s="582">
        <f t="shared" si="302"/>
        <v>1587</v>
      </c>
      <c r="CU127" s="582">
        <f t="shared" si="302"/>
        <v>1709</v>
      </c>
      <c r="CV127" s="582">
        <f t="shared" si="302"/>
        <v>1852</v>
      </c>
      <c r="CW127" s="582">
        <f t="shared" si="302"/>
        <v>2020</v>
      </c>
      <c r="CX127" s="582">
        <f t="shared" si="302"/>
        <v>2222</v>
      </c>
      <c r="CY127" s="582">
        <f t="shared" si="302"/>
        <v>2469</v>
      </c>
      <c r="CZ127" s="582">
        <f t="shared" si="302"/>
        <v>2778</v>
      </c>
      <c r="DA127" s="582">
        <f t="shared" si="302"/>
        <v>3175</v>
      </c>
      <c r="DB127" s="582">
        <f t="shared" si="302"/>
        <v>3704</v>
      </c>
      <c r="DC127" s="582">
        <f t="shared" si="302"/>
        <v>4445</v>
      </c>
      <c r="DD127" s="582">
        <f t="shared" si="302"/>
        <v>5556</v>
      </c>
      <c r="DE127" s="582">
        <f t="shared" si="302"/>
        <v>7408</v>
      </c>
      <c r="DF127" s="602">
        <f t="shared" si="302"/>
        <v>11112</v>
      </c>
      <c r="DG127" s="575"/>
      <c r="DH127" s="575" t="str">
        <f t="shared" si="46"/>
        <v/>
      </c>
      <c r="DI127" s="74" t="str">
        <f t="shared" si="47"/>
        <v/>
      </c>
      <c r="DJ127" s="74" t="str">
        <f t="shared" si="48"/>
        <v/>
      </c>
      <c r="DK127" s="623" t="str">
        <f t="shared" si="49"/>
        <v/>
      </c>
      <c r="DL127" s="74"/>
      <c r="DM127" s="74"/>
      <c r="DN127" s="582">
        <f t="shared" si="301"/>
        <v>4.4</v>
      </c>
      <c r="DO127" s="575"/>
      <c r="DP127" s="61" t="s">
        <v>2345</v>
      </c>
    </row>
    <row r="128">
      <c r="A128" s="647">
        <v>122.0</v>
      </c>
      <c r="B128" s="141">
        <v>157.0</v>
      </c>
      <c r="C128" s="129">
        <v>24.0</v>
      </c>
      <c r="D128" s="129">
        <v>45.0</v>
      </c>
      <c r="E128" s="134"/>
      <c r="F128" s="154" t="s">
        <v>2344</v>
      </c>
      <c r="G128" s="154">
        <f t="shared" si="269"/>
        <v>15</v>
      </c>
      <c r="H128" s="154">
        <f t="shared" si="270"/>
        <v>15</v>
      </c>
      <c r="I128" s="154">
        <f t="shared" si="7"/>
        <v>16</v>
      </c>
      <c r="J128" s="154">
        <f t="shared" si="271"/>
        <v>19</v>
      </c>
      <c r="K128" s="154">
        <f t="shared" si="272"/>
        <v>19</v>
      </c>
      <c r="L128" s="154">
        <f t="shared" si="273"/>
        <v>17</v>
      </c>
      <c r="M128" s="648">
        <f t="shared" si="274"/>
        <v>19</v>
      </c>
      <c r="N128" s="127" t="s">
        <v>1016</v>
      </c>
      <c r="O128" s="649" t="s">
        <v>1992</v>
      </c>
      <c r="P128" s="650"/>
      <c r="Q128" s="650" t="s">
        <v>1670</v>
      </c>
      <c r="R128" s="650" t="s">
        <v>1314</v>
      </c>
      <c r="S128" s="796" t="s">
        <v>964</v>
      </c>
      <c r="T128" s="651" t="s">
        <v>1020</v>
      </c>
      <c r="U128" s="129">
        <v>46.0</v>
      </c>
      <c r="V128" s="129">
        <v>25.0</v>
      </c>
      <c r="W128" s="129">
        <v>47.0</v>
      </c>
      <c r="X128" s="799">
        <v>97.0</v>
      </c>
      <c r="Y128" s="129">
        <v>2.0</v>
      </c>
      <c r="Z128" s="129">
        <v>-10.0</v>
      </c>
      <c r="AA128" s="129">
        <v>1.0</v>
      </c>
      <c r="AB128" s="129">
        <v>48.0</v>
      </c>
      <c r="AC128" s="129">
        <v>5592.0</v>
      </c>
      <c r="AD128" s="129">
        <v>3.0</v>
      </c>
      <c r="AE128" s="129">
        <v>75.0</v>
      </c>
      <c r="AF128" s="129">
        <v>75.0</v>
      </c>
      <c r="AG128" s="129">
        <v>28.0</v>
      </c>
      <c r="AH128" s="129">
        <v>52.0</v>
      </c>
      <c r="AI128" s="652">
        <f t="shared" si="12"/>
        <v>40</v>
      </c>
      <c r="AJ128" s="134"/>
      <c r="AK128" s="134"/>
      <c r="AL128" s="134"/>
      <c r="AM128" s="134"/>
      <c r="AN128" s="134"/>
      <c r="AO128" s="134"/>
      <c r="AP128" s="871" t="str">
        <f t="shared" si="275"/>
        <v/>
      </c>
      <c r="AQ128" s="134"/>
      <c r="AR128" s="134"/>
      <c r="AS128" s="653"/>
      <c r="AT128" s="154">
        <f t="shared" si="13"/>
        <v>828</v>
      </c>
      <c r="AU128" s="154">
        <f t="shared" si="14"/>
        <v>1308</v>
      </c>
      <c r="AV128" s="654">
        <f t="shared" si="15"/>
        <v>1068</v>
      </c>
      <c r="AW128" s="655">
        <f t="shared" si="276"/>
        <v>2054</v>
      </c>
      <c r="AX128" s="655">
        <f t="shared" si="277"/>
        <v>2054</v>
      </c>
      <c r="AY128" s="655">
        <f t="shared" si="18"/>
        <v>1907</v>
      </c>
      <c r="AZ128" s="655">
        <f t="shared" si="278"/>
        <v>1780</v>
      </c>
      <c r="BA128" s="655">
        <f t="shared" si="279"/>
        <v>1571</v>
      </c>
      <c r="BB128" s="655">
        <f t="shared" si="280"/>
        <v>1571</v>
      </c>
      <c r="BC128" s="655">
        <f t="shared" si="281"/>
        <v>1571</v>
      </c>
      <c r="BD128" s="655">
        <f t="shared" si="282"/>
        <v>1214</v>
      </c>
      <c r="BE128" s="655">
        <f t="shared" si="283"/>
        <v>1483</v>
      </c>
      <c r="BF128" s="655">
        <f t="shared" si="25"/>
        <v>1483</v>
      </c>
      <c r="BG128" s="655">
        <f t="shared" si="26"/>
        <v>1780</v>
      </c>
      <c r="BH128" s="655">
        <f t="shared" si="284"/>
        <v>1907</v>
      </c>
      <c r="BI128" s="655">
        <f t="shared" si="285"/>
        <v>1907</v>
      </c>
      <c r="BJ128" s="655">
        <f t="shared" si="286"/>
        <v>1669</v>
      </c>
      <c r="BK128" s="655">
        <f t="shared" si="287"/>
        <v>1483</v>
      </c>
      <c r="BL128" s="655">
        <f t="shared" si="288"/>
        <v>1483</v>
      </c>
      <c r="BM128" s="134"/>
      <c r="BN128" s="134"/>
      <c r="BO128" s="134"/>
      <c r="BP128" s="653" t="str">
        <f t="shared" si="33"/>
        <v/>
      </c>
      <c r="BQ128" s="129">
        <v>19.0</v>
      </c>
      <c r="BR128" s="129">
        <v>36.0</v>
      </c>
      <c r="BS128" s="129">
        <v>-10.0</v>
      </c>
      <c r="BT128" s="129">
        <v>75.0</v>
      </c>
      <c r="BU128" s="129">
        <v>75.0</v>
      </c>
      <c r="BV128" s="135">
        <f t="shared" si="34"/>
        <v>27.5</v>
      </c>
      <c r="BW128" s="657">
        <f t="shared" si="35"/>
        <v>986.3</v>
      </c>
      <c r="BX128" s="655">
        <f t="shared" si="289"/>
        <v>1896.7</v>
      </c>
      <c r="BY128" s="655">
        <f t="shared" si="290"/>
        <v>1896.7</v>
      </c>
      <c r="BZ128" s="655">
        <f t="shared" si="38"/>
        <v>1761.3</v>
      </c>
      <c r="CA128" s="655">
        <f t="shared" si="291"/>
        <v>1450.4</v>
      </c>
      <c r="CB128" s="655">
        <f t="shared" si="292"/>
        <v>1450.4</v>
      </c>
      <c r="CC128" s="655">
        <f t="shared" si="293"/>
        <v>1643.8</v>
      </c>
      <c r="CD128" s="655">
        <f t="shared" si="294"/>
        <v>1450.4</v>
      </c>
      <c r="CE128" s="659">
        <f t="shared" si="43"/>
        <v>45.5</v>
      </c>
      <c r="CF128" s="712">
        <f t="shared" si="248"/>
        <v>8.3</v>
      </c>
      <c r="CG128" s="647">
        <f t="shared" si="295"/>
        <v>8.3</v>
      </c>
      <c r="CH128" s="653" t="s">
        <v>1991</v>
      </c>
      <c r="CI128" s="655">
        <f t="shared" ref="CI128:DF128" si="303">FLOOR($AV128/(CI$3/25),1)</f>
        <v>1068</v>
      </c>
      <c r="CJ128" s="655">
        <f t="shared" si="303"/>
        <v>1112</v>
      </c>
      <c r="CK128" s="655">
        <f t="shared" si="303"/>
        <v>1160</v>
      </c>
      <c r="CL128" s="655">
        <f t="shared" si="303"/>
        <v>1213</v>
      </c>
      <c r="CM128" s="655">
        <f t="shared" si="303"/>
        <v>1271</v>
      </c>
      <c r="CN128" s="655">
        <f t="shared" si="303"/>
        <v>1335</v>
      </c>
      <c r="CO128" s="655">
        <f t="shared" si="303"/>
        <v>1405</v>
      </c>
      <c r="CP128" s="655">
        <f t="shared" si="303"/>
        <v>1483</v>
      </c>
      <c r="CQ128" s="655">
        <f t="shared" si="303"/>
        <v>1570</v>
      </c>
      <c r="CR128" s="655">
        <f t="shared" si="303"/>
        <v>1668</v>
      </c>
      <c r="CS128" s="655">
        <f t="shared" si="303"/>
        <v>1780</v>
      </c>
      <c r="CT128" s="655">
        <f t="shared" si="303"/>
        <v>1907</v>
      </c>
      <c r="CU128" s="655">
        <f t="shared" si="303"/>
        <v>2053</v>
      </c>
      <c r="CV128" s="655">
        <f t="shared" si="303"/>
        <v>2225</v>
      </c>
      <c r="CW128" s="655">
        <f t="shared" si="303"/>
        <v>2427</v>
      </c>
      <c r="CX128" s="655">
        <f t="shared" si="303"/>
        <v>2670</v>
      </c>
      <c r="CY128" s="655">
        <f t="shared" si="303"/>
        <v>2966</v>
      </c>
      <c r="CZ128" s="655">
        <f t="shared" si="303"/>
        <v>3337</v>
      </c>
      <c r="DA128" s="655">
        <f t="shared" si="303"/>
        <v>3814</v>
      </c>
      <c r="DB128" s="655">
        <f t="shared" si="303"/>
        <v>4450</v>
      </c>
      <c r="DC128" s="655">
        <f t="shared" si="303"/>
        <v>5340</v>
      </c>
      <c r="DD128" s="655">
        <f t="shared" si="303"/>
        <v>6675</v>
      </c>
      <c r="DE128" s="655">
        <f t="shared" si="303"/>
        <v>8900</v>
      </c>
      <c r="DF128" s="656">
        <f t="shared" si="303"/>
        <v>13350</v>
      </c>
      <c r="DG128" s="653"/>
      <c r="DH128" s="653" t="str">
        <f t="shared" si="46"/>
        <v/>
      </c>
      <c r="DI128" s="134" t="str">
        <f t="shared" si="47"/>
        <v/>
      </c>
      <c r="DJ128" s="134" t="str">
        <f t="shared" si="48"/>
        <v/>
      </c>
      <c r="DK128" s="662" t="str">
        <f t="shared" si="49"/>
        <v/>
      </c>
      <c r="DL128" s="134"/>
      <c r="DM128" s="134"/>
      <c r="DN128" s="655">
        <f t="shared" si="301"/>
        <v>4.2</v>
      </c>
      <c r="DO128" s="653"/>
      <c r="DP128" s="872" t="s">
        <v>2345</v>
      </c>
    </row>
    <row r="129">
      <c r="A129" s="552">
        <v>123.0</v>
      </c>
      <c r="B129" s="86">
        <v>273.0</v>
      </c>
      <c r="C129" s="54">
        <v>25.0</v>
      </c>
      <c r="D129" s="54">
        <v>51.0</v>
      </c>
      <c r="E129" s="74"/>
      <c r="F129" s="68" t="s">
        <v>2344</v>
      </c>
      <c r="G129" s="68">
        <f t="shared" si="269"/>
        <v>15</v>
      </c>
      <c r="H129" s="68">
        <f t="shared" si="270"/>
        <v>15</v>
      </c>
      <c r="I129" s="68">
        <f t="shared" si="7"/>
        <v>16</v>
      </c>
      <c r="J129" s="68">
        <f t="shared" si="271"/>
        <v>19</v>
      </c>
      <c r="K129" s="68">
        <f t="shared" si="272"/>
        <v>19</v>
      </c>
      <c r="L129" s="68">
        <f t="shared" si="273"/>
        <v>17</v>
      </c>
      <c r="M129" s="569">
        <f t="shared" si="274"/>
        <v>19</v>
      </c>
      <c r="N129" s="74" t="s">
        <v>958</v>
      </c>
      <c r="O129" s="570" t="s">
        <v>1993</v>
      </c>
      <c r="P129" s="571"/>
      <c r="Q129" s="571" t="s">
        <v>1676</v>
      </c>
      <c r="R129" s="571" t="s">
        <v>1314</v>
      </c>
      <c r="S129" s="791" t="s">
        <v>964</v>
      </c>
      <c r="T129" s="572" t="s">
        <v>959</v>
      </c>
      <c r="U129" s="54">
        <v>58.0</v>
      </c>
      <c r="V129" s="54">
        <v>43.0</v>
      </c>
      <c r="W129" s="54">
        <v>38.0</v>
      </c>
      <c r="X129" s="54">
        <v>75.0</v>
      </c>
      <c r="Y129" s="54">
        <v>2.0</v>
      </c>
      <c r="Z129" s="54">
        <v>-20.0</v>
      </c>
      <c r="AA129" s="54">
        <v>1.0</v>
      </c>
      <c r="AB129" s="669">
        <v>72.0</v>
      </c>
      <c r="AC129" s="54">
        <v>12429.0</v>
      </c>
      <c r="AD129" s="54">
        <v>2.0</v>
      </c>
      <c r="AE129" s="54">
        <v>75.0</v>
      </c>
      <c r="AF129" s="54">
        <v>75.0</v>
      </c>
      <c r="AG129" s="54">
        <v>28.0</v>
      </c>
      <c r="AH129" s="54">
        <v>56.0</v>
      </c>
      <c r="AI129" s="574">
        <f t="shared" si="12"/>
        <v>42</v>
      </c>
      <c r="AJ129" s="74"/>
      <c r="AK129" s="74"/>
      <c r="AL129" s="74"/>
      <c r="AM129" s="74"/>
      <c r="AN129" s="74"/>
      <c r="AO129" s="74"/>
      <c r="AP129" s="870" t="str">
        <f t="shared" si="275"/>
        <v/>
      </c>
      <c r="AQ129" s="74"/>
      <c r="AR129" s="74"/>
      <c r="AS129" s="575"/>
      <c r="AT129" s="68">
        <f t="shared" si="13"/>
        <v>828</v>
      </c>
      <c r="AU129" s="68">
        <f t="shared" si="14"/>
        <v>1386</v>
      </c>
      <c r="AV129" s="581">
        <f t="shared" si="15"/>
        <v>1107</v>
      </c>
      <c r="AW129" s="582">
        <f t="shared" si="276"/>
        <v>2306</v>
      </c>
      <c r="AX129" s="582">
        <f t="shared" si="277"/>
        <v>2306</v>
      </c>
      <c r="AY129" s="582">
        <f t="shared" si="18"/>
        <v>2129</v>
      </c>
      <c r="AZ129" s="582">
        <f t="shared" si="278"/>
        <v>1977</v>
      </c>
      <c r="BA129" s="582">
        <f t="shared" si="279"/>
        <v>1845</v>
      </c>
      <c r="BB129" s="582">
        <f t="shared" si="280"/>
        <v>1845</v>
      </c>
      <c r="BC129" s="582">
        <f t="shared" si="281"/>
        <v>1845</v>
      </c>
      <c r="BD129" s="582">
        <f t="shared" si="282"/>
        <v>1538</v>
      </c>
      <c r="BE129" s="582">
        <f t="shared" si="283"/>
        <v>1845</v>
      </c>
      <c r="BF129" s="582">
        <f t="shared" si="25"/>
        <v>1845</v>
      </c>
      <c r="BG129" s="582">
        <f t="shared" si="26"/>
        <v>2129</v>
      </c>
      <c r="BH129" s="582">
        <f t="shared" si="284"/>
        <v>2306</v>
      </c>
      <c r="BI129" s="582">
        <f t="shared" si="285"/>
        <v>2306</v>
      </c>
      <c r="BJ129" s="582">
        <f t="shared" si="286"/>
        <v>1977</v>
      </c>
      <c r="BK129" s="582">
        <f t="shared" si="287"/>
        <v>1845</v>
      </c>
      <c r="BL129" s="582">
        <f t="shared" si="288"/>
        <v>1845</v>
      </c>
      <c r="BM129" s="74"/>
      <c r="BN129" s="74"/>
      <c r="BO129" s="74"/>
      <c r="BP129" s="575" t="str">
        <f t="shared" si="33"/>
        <v/>
      </c>
      <c r="BQ129" s="670">
        <v>23.0</v>
      </c>
      <c r="BR129" s="670">
        <v>49.0</v>
      </c>
      <c r="BS129" s="670">
        <v>-20.0</v>
      </c>
      <c r="BT129" s="670">
        <v>75.0</v>
      </c>
      <c r="BU129" s="670">
        <v>75.0</v>
      </c>
      <c r="BV129" s="671">
        <f t="shared" si="34"/>
        <v>36</v>
      </c>
      <c r="BW129" s="672">
        <f t="shared" si="35"/>
        <v>1189.2</v>
      </c>
      <c r="BX129" s="673">
        <f t="shared" si="289"/>
        <v>2477.5</v>
      </c>
      <c r="BY129" s="673">
        <f t="shared" si="290"/>
        <v>2477.5</v>
      </c>
      <c r="BZ129" s="673">
        <f t="shared" si="38"/>
        <v>2286.9</v>
      </c>
      <c r="CA129" s="673">
        <f t="shared" si="291"/>
        <v>1982</v>
      </c>
      <c r="CB129" s="673">
        <f t="shared" si="292"/>
        <v>1982</v>
      </c>
      <c r="CC129" s="673">
        <f t="shared" si="293"/>
        <v>2123.6</v>
      </c>
      <c r="CD129" s="673">
        <f t="shared" si="294"/>
        <v>1982</v>
      </c>
      <c r="CE129" s="674">
        <f t="shared" si="43"/>
        <v>16.7</v>
      </c>
      <c r="CF129" s="763">
        <f t="shared" si="248"/>
        <v>-6.9</v>
      </c>
      <c r="CG129" s="676">
        <f t="shared" si="295"/>
        <v>-6.9</v>
      </c>
      <c r="CH129" s="575" t="s">
        <v>958</v>
      </c>
      <c r="CI129" s="582">
        <f t="shared" ref="CI129:DF129" si="304">FLOOR($AV129/(CI$3/25),1)</f>
        <v>1107</v>
      </c>
      <c r="CJ129" s="582">
        <f t="shared" si="304"/>
        <v>1153</v>
      </c>
      <c r="CK129" s="582">
        <f t="shared" si="304"/>
        <v>1203</v>
      </c>
      <c r="CL129" s="582">
        <f t="shared" si="304"/>
        <v>1257</v>
      </c>
      <c r="CM129" s="582">
        <f t="shared" si="304"/>
        <v>1317</v>
      </c>
      <c r="CN129" s="582">
        <f t="shared" si="304"/>
        <v>1383</v>
      </c>
      <c r="CO129" s="582">
        <f t="shared" si="304"/>
        <v>1456</v>
      </c>
      <c r="CP129" s="582">
        <f t="shared" si="304"/>
        <v>1537</v>
      </c>
      <c r="CQ129" s="582">
        <f t="shared" si="304"/>
        <v>1627</v>
      </c>
      <c r="CR129" s="582">
        <f t="shared" si="304"/>
        <v>1729</v>
      </c>
      <c r="CS129" s="582">
        <f t="shared" si="304"/>
        <v>1845</v>
      </c>
      <c r="CT129" s="582">
        <f t="shared" si="304"/>
        <v>1976</v>
      </c>
      <c r="CU129" s="582">
        <f t="shared" si="304"/>
        <v>2128</v>
      </c>
      <c r="CV129" s="582">
        <f t="shared" si="304"/>
        <v>2306</v>
      </c>
      <c r="CW129" s="582">
        <f t="shared" si="304"/>
        <v>2515</v>
      </c>
      <c r="CX129" s="582">
        <f t="shared" si="304"/>
        <v>2767</v>
      </c>
      <c r="CY129" s="582">
        <f t="shared" si="304"/>
        <v>3075</v>
      </c>
      <c r="CZ129" s="582">
        <f t="shared" si="304"/>
        <v>3459</v>
      </c>
      <c r="DA129" s="582">
        <f t="shared" si="304"/>
        <v>3953</v>
      </c>
      <c r="DB129" s="582">
        <f t="shared" si="304"/>
        <v>4612</v>
      </c>
      <c r="DC129" s="582">
        <f t="shared" si="304"/>
        <v>5535</v>
      </c>
      <c r="DD129" s="582">
        <f t="shared" si="304"/>
        <v>6918</v>
      </c>
      <c r="DE129" s="582">
        <f t="shared" si="304"/>
        <v>9225</v>
      </c>
      <c r="DF129" s="602">
        <f t="shared" si="304"/>
        <v>13837</v>
      </c>
      <c r="DG129" s="575"/>
      <c r="DH129" s="575" t="str">
        <f t="shared" si="46"/>
        <v/>
      </c>
      <c r="DI129" s="74" t="str">
        <f t="shared" si="47"/>
        <v/>
      </c>
      <c r="DJ129" s="74" t="str">
        <f t="shared" si="48"/>
        <v/>
      </c>
      <c r="DK129" s="623" t="str">
        <f t="shared" si="49"/>
        <v/>
      </c>
      <c r="DL129" s="74"/>
      <c r="DM129" s="74"/>
      <c r="DN129" s="582">
        <f t="shared" si="301"/>
        <v>2.4</v>
      </c>
      <c r="DO129" s="575"/>
      <c r="DP129" s="61" t="s">
        <v>2345</v>
      </c>
    </row>
    <row r="130">
      <c r="A130" s="552">
        <v>124.0</v>
      </c>
      <c r="B130" s="86">
        <v>274.0</v>
      </c>
      <c r="C130" s="54">
        <v>39.0</v>
      </c>
      <c r="D130" s="54">
        <v>55.0</v>
      </c>
      <c r="E130" s="74"/>
      <c r="F130" s="68" t="s">
        <v>2344</v>
      </c>
      <c r="G130" s="68">
        <f t="shared" si="269"/>
        <v>15</v>
      </c>
      <c r="H130" s="68">
        <f t="shared" si="270"/>
        <v>15</v>
      </c>
      <c r="I130" s="68">
        <f t="shared" si="7"/>
        <v>16</v>
      </c>
      <c r="J130" s="68">
        <f t="shared" si="271"/>
        <v>19</v>
      </c>
      <c r="K130" s="68">
        <f t="shared" si="272"/>
        <v>19</v>
      </c>
      <c r="L130" s="68">
        <f t="shared" si="273"/>
        <v>17</v>
      </c>
      <c r="M130" s="569">
        <f t="shared" si="274"/>
        <v>19</v>
      </c>
      <c r="N130" s="74" t="s">
        <v>981</v>
      </c>
      <c r="O130" s="678"/>
      <c r="P130" s="571"/>
      <c r="Q130" s="571" t="s">
        <v>1676</v>
      </c>
      <c r="R130" s="571" t="s">
        <v>1314</v>
      </c>
      <c r="S130" s="791" t="s">
        <v>964</v>
      </c>
      <c r="T130" s="572" t="s">
        <v>983</v>
      </c>
      <c r="U130" s="54">
        <v>70.0</v>
      </c>
      <c r="V130" s="54">
        <v>52.0</v>
      </c>
      <c r="W130" s="54">
        <v>55.0</v>
      </c>
      <c r="X130" s="679">
        <v>98.0</v>
      </c>
      <c r="Y130" s="54">
        <v>2.0</v>
      </c>
      <c r="Z130" s="54">
        <v>0.0</v>
      </c>
      <c r="AA130" s="54">
        <v>1.0</v>
      </c>
      <c r="AB130" s="669">
        <v>110.0</v>
      </c>
      <c r="AC130" s="54">
        <v>17988.0</v>
      </c>
      <c r="AD130" s="54">
        <v>2.0</v>
      </c>
      <c r="AE130" s="54">
        <v>75.0</v>
      </c>
      <c r="AF130" s="54">
        <v>75.0</v>
      </c>
      <c r="AG130" s="54">
        <v>43.0</v>
      </c>
      <c r="AH130" s="54">
        <v>61.0</v>
      </c>
      <c r="AI130" s="574">
        <f t="shared" si="12"/>
        <v>52</v>
      </c>
      <c r="AJ130" s="74"/>
      <c r="AK130" s="74"/>
      <c r="AL130" s="74"/>
      <c r="AM130" s="74"/>
      <c r="AN130" s="74"/>
      <c r="AO130" s="74"/>
      <c r="AP130" s="870" t="str">
        <f t="shared" si="275"/>
        <v/>
      </c>
      <c r="AQ130" s="74"/>
      <c r="AR130" s="74"/>
      <c r="AS130" s="575"/>
      <c r="AT130" s="68">
        <f t="shared" si="13"/>
        <v>1128</v>
      </c>
      <c r="AU130" s="68">
        <f t="shared" si="14"/>
        <v>1487</v>
      </c>
      <c r="AV130" s="581">
        <f t="shared" si="15"/>
        <v>1307.5</v>
      </c>
      <c r="AW130" s="582">
        <f t="shared" si="276"/>
        <v>2335</v>
      </c>
      <c r="AX130" s="582">
        <f t="shared" si="277"/>
        <v>2335</v>
      </c>
      <c r="AY130" s="582">
        <f t="shared" si="18"/>
        <v>2179</v>
      </c>
      <c r="AZ130" s="582">
        <f t="shared" si="278"/>
        <v>2043</v>
      </c>
      <c r="BA130" s="582">
        <f t="shared" si="279"/>
        <v>1816</v>
      </c>
      <c r="BB130" s="582">
        <f t="shared" si="280"/>
        <v>1816</v>
      </c>
      <c r="BC130" s="582">
        <f t="shared" si="281"/>
        <v>1816</v>
      </c>
      <c r="BD130" s="582">
        <f t="shared" si="282"/>
        <v>1211</v>
      </c>
      <c r="BE130" s="582">
        <f t="shared" si="283"/>
        <v>1486</v>
      </c>
      <c r="BF130" s="582">
        <f t="shared" si="25"/>
        <v>1421</v>
      </c>
      <c r="BG130" s="582">
        <f t="shared" si="26"/>
        <v>1720</v>
      </c>
      <c r="BH130" s="582">
        <f t="shared" si="284"/>
        <v>1816</v>
      </c>
      <c r="BI130" s="582">
        <f t="shared" si="285"/>
        <v>1816</v>
      </c>
      <c r="BJ130" s="582">
        <f t="shared" si="286"/>
        <v>1634</v>
      </c>
      <c r="BK130" s="582">
        <f t="shared" si="287"/>
        <v>1486</v>
      </c>
      <c r="BL130" s="582">
        <f t="shared" si="288"/>
        <v>1486</v>
      </c>
      <c r="BM130" s="74"/>
      <c r="BN130" s="74"/>
      <c r="BO130" s="74"/>
      <c r="BP130" s="575" t="str">
        <f t="shared" si="33"/>
        <v/>
      </c>
      <c r="BQ130" s="670">
        <v>37.0</v>
      </c>
      <c r="BR130" s="670">
        <v>53.0</v>
      </c>
      <c r="BS130" s="365"/>
      <c r="BT130" s="670">
        <v>75.0</v>
      </c>
      <c r="BU130" s="670">
        <v>75.0</v>
      </c>
      <c r="BV130" s="671">
        <f t="shared" si="34"/>
        <v>45</v>
      </c>
      <c r="BW130" s="672">
        <f t="shared" si="35"/>
        <v>1404</v>
      </c>
      <c r="BX130" s="673">
        <f t="shared" si="289"/>
        <v>2507.1</v>
      </c>
      <c r="BY130" s="673">
        <f t="shared" si="290"/>
        <v>2507.1</v>
      </c>
      <c r="BZ130" s="673">
        <f t="shared" si="38"/>
        <v>2340</v>
      </c>
      <c r="CA130" s="673">
        <f t="shared" si="291"/>
        <v>1950</v>
      </c>
      <c r="CB130" s="673">
        <f t="shared" si="292"/>
        <v>1950</v>
      </c>
      <c r="CC130" s="673">
        <f t="shared" si="293"/>
        <v>2193.8</v>
      </c>
      <c r="CD130" s="673">
        <f t="shared" si="294"/>
        <v>1950</v>
      </c>
      <c r="CE130" s="674">
        <f t="shared" si="43"/>
        <v>15.6</v>
      </c>
      <c r="CF130" s="763">
        <f t="shared" si="248"/>
        <v>-6.9</v>
      </c>
      <c r="CG130" s="676">
        <f t="shared" si="295"/>
        <v>-6.9</v>
      </c>
      <c r="CH130" s="575" t="s">
        <v>981</v>
      </c>
      <c r="CI130" s="582">
        <f t="shared" ref="CI130:DF130" si="305">FLOOR($AV130/(CI$3/25),1)</f>
        <v>1307</v>
      </c>
      <c r="CJ130" s="582">
        <f t="shared" si="305"/>
        <v>1361</v>
      </c>
      <c r="CK130" s="582">
        <f t="shared" si="305"/>
        <v>1421</v>
      </c>
      <c r="CL130" s="582">
        <f t="shared" si="305"/>
        <v>1485</v>
      </c>
      <c r="CM130" s="582">
        <f t="shared" si="305"/>
        <v>1556</v>
      </c>
      <c r="CN130" s="582">
        <f t="shared" si="305"/>
        <v>1634</v>
      </c>
      <c r="CO130" s="582">
        <f t="shared" si="305"/>
        <v>1720</v>
      </c>
      <c r="CP130" s="582">
        <f t="shared" si="305"/>
        <v>1815</v>
      </c>
      <c r="CQ130" s="582">
        <f t="shared" si="305"/>
        <v>1922</v>
      </c>
      <c r="CR130" s="582">
        <f t="shared" si="305"/>
        <v>2042</v>
      </c>
      <c r="CS130" s="582">
        <f t="shared" si="305"/>
        <v>2179</v>
      </c>
      <c r="CT130" s="582">
        <f t="shared" si="305"/>
        <v>2334</v>
      </c>
      <c r="CU130" s="582">
        <f t="shared" si="305"/>
        <v>2514</v>
      </c>
      <c r="CV130" s="582">
        <f t="shared" si="305"/>
        <v>2723</v>
      </c>
      <c r="CW130" s="582">
        <f t="shared" si="305"/>
        <v>2971</v>
      </c>
      <c r="CX130" s="582">
        <f t="shared" si="305"/>
        <v>3268</v>
      </c>
      <c r="CY130" s="582">
        <f t="shared" si="305"/>
        <v>3631</v>
      </c>
      <c r="CZ130" s="582">
        <f t="shared" si="305"/>
        <v>4085</v>
      </c>
      <c r="DA130" s="582">
        <f t="shared" si="305"/>
        <v>4669</v>
      </c>
      <c r="DB130" s="582">
        <f t="shared" si="305"/>
        <v>5447</v>
      </c>
      <c r="DC130" s="582">
        <f t="shared" si="305"/>
        <v>6537</v>
      </c>
      <c r="DD130" s="582">
        <f t="shared" si="305"/>
        <v>8171</v>
      </c>
      <c r="DE130" s="582">
        <f t="shared" si="305"/>
        <v>10895</v>
      </c>
      <c r="DF130" s="602">
        <f t="shared" si="305"/>
        <v>16343</v>
      </c>
      <c r="DG130" s="575"/>
      <c r="DH130" s="575" t="str">
        <f t="shared" si="46"/>
        <v/>
      </c>
      <c r="DI130" s="74" t="str">
        <f t="shared" si="47"/>
        <v/>
      </c>
      <c r="DJ130" s="74" t="str">
        <f t="shared" si="48"/>
        <v/>
      </c>
      <c r="DK130" s="623" t="str">
        <f t="shared" si="49"/>
        <v/>
      </c>
      <c r="DL130" s="74"/>
      <c r="DM130" s="74"/>
      <c r="DN130" s="582">
        <f t="shared" si="301"/>
        <v>2.2</v>
      </c>
      <c r="DO130" s="575"/>
      <c r="DP130" s="61" t="s">
        <v>2345</v>
      </c>
    </row>
    <row r="131">
      <c r="A131" s="552">
        <v>125.0</v>
      </c>
      <c r="B131" s="86">
        <v>275.0</v>
      </c>
      <c r="C131" s="54">
        <v>17.0</v>
      </c>
      <c r="D131" s="54">
        <v>59.0</v>
      </c>
      <c r="E131" s="74"/>
      <c r="F131" s="68" t="s">
        <v>2344</v>
      </c>
      <c r="G131" s="68">
        <f t="shared" si="269"/>
        <v>15</v>
      </c>
      <c r="H131" s="68">
        <f t="shared" si="270"/>
        <v>15</v>
      </c>
      <c r="I131" s="68">
        <f t="shared" si="7"/>
        <v>16</v>
      </c>
      <c r="J131" s="68">
        <f t="shared" si="271"/>
        <v>19</v>
      </c>
      <c r="K131" s="68">
        <f t="shared" si="272"/>
        <v>19</v>
      </c>
      <c r="L131" s="68">
        <f t="shared" si="273"/>
        <v>17</v>
      </c>
      <c r="M131" s="569">
        <f t="shared" si="274"/>
        <v>19</v>
      </c>
      <c r="N131" s="74" t="s">
        <v>994</v>
      </c>
      <c r="O131" s="570" t="s">
        <v>1994</v>
      </c>
      <c r="P131" s="571"/>
      <c r="Q131" s="571" t="s">
        <v>1676</v>
      </c>
      <c r="R131" s="571" t="s">
        <v>1314</v>
      </c>
      <c r="S131" s="791" t="s">
        <v>964</v>
      </c>
      <c r="T131" s="572" t="s">
        <v>995</v>
      </c>
      <c r="U131" s="54">
        <v>83.0</v>
      </c>
      <c r="V131" s="54">
        <v>62.0</v>
      </c>
      <c r="W131" s="54">
        <v>42.0</v>
      </c>
      <c r="X131" s="679">
        <v>86.0</v>
      </c>
      <c r="Y131" s="54">
        <v>3.0</v>
      </c>
      <c r="Z131" s="54">
        <v>-20.0</v>
      </c>
      <c r="AA131" s="54">
        <v>1.0</v>
      </c>
      <c r="AB131" s="669">
        <v>72.0</v>
      </c>
      <c r="AC131" s="54">
        <v>13729.0</v>
      </c>
      <c r="AD131" s="54">
        <v>2.0</v>
      </c>
      <c r="AE131" s="54">
        <v>75.0</v>
      </c>
      <c r="AF131" s="54">
        <v>75.0</v>
      </c>
      <c r="AG131" s="54">
        <v>19.0</v>
      </c>
      <c r="AH131" s="54">
        <v>65.0</v>
      </c>
      <c r="AI131" s="574">
        <f t="shared" si="12"/>
        <v>42</v>
      </c>
      <c r="AJ131" s="74"/>
      <c r="AK131" s="74"/>
      <c r="AL131" s="74"/>
      <c r="AM131" s="74"/>
      <c r="AN131" s="74"/>
      <c r="AO131" s="74"/>
      <c r="AP131" s="870" t="str">
        <f t="shared" si="275"/>
        <v/>
      </c>
      <c r="AQ131" s="74"/>
      <c r="AR131" s="74"/>
      <c r="AS131" s="575"/>
      <c r="AT131" s="68">
        <f t="shared" si="13"/>
        <v>650</v>
      </c>
      <c r="AU131" s="68">
        <f t="shared" si="14"/>
        <v>1565</v>
      </c>
      <c r="AV131" s="581">
        <f t="shared" si="15"/>
        <v>1107.5</v>
      </c>
      <c r="AW131" s="582">
        <f t="shared" si="276"/>
        <v>2307</v>
      </c>
      <c r="AX131" s="582">
        <f t="shared" si="277"/>
        <v>2307</v>
      </c>
      <c r="AY131" s="582">
        <f t="shared" si="18"/>
        <v>2130</v>
      </c>
      <c r="AZ131" s="582">
        <f t="shared" si="278"/>
        <v>1978</v>
      </c>
      <c r="BA131" s="582">
        <f t="shared" si="279"/>
        <v>1846</v>
      </c>
      <c r="BB131" s="582">
        <f t="shared" si="280"/>
        <v>1846</v>
      </c>
      <c r="BC131" s="582">
        <f t="shared" si="281"/>
        <v>1846</v>
      </c>
      <c r="BD131" s="582">
        <f t="shared" si="282"/>
        <v>1538</v>
      </c>
      <c r="BE131" s="582">
        <f t="shared" si="283"/>
        <v>1846</v>
      </c>
      <c r="BF131" s="582">
        <f t="shared" si="25"/>
        <v>1846</v>
      </c>
      <c r="BG131" s="582">
        <f t="shared" si="26"/>
        <v>2130</v>
      </c>
      <c r="BH131" s="582">
        <f t="shared" si="284"/>
        <v>2307</v>
      </c>
      <c r="BI131" s="582">
        <f t="shared" si="285"/>
        <v>2307</v>
      </c>
      <c r="BJ131" s="582">
        <f t="shared" si="286"/>
        <v>1978</v>
      </c>
      <c r="BK131" s="582">
        <f t="shared" si="287"/>
        <v>1846</v>
      </c>
      <c r="BL131" s="582">
        <f t="shared" si="288"/>
        <v>1846</v>
      </c>
      <c r="BM131" s="74"/>
      <c r="BN131" s="74"/>
      <c r="BO131" s="74"/>
      <c r="BP131" s="575" t="str">
        <f t="shared" si="33"/>
        <v/>
      </c>
      <c r="BQ131" s="670">
        <v>15.0</v>
      </c>
      <c r="BR131" s="670">
        <v>57.0</v>
      </c>
      <c r="BS131" s="670">
        <v>-20.0</v>
      </c>
      <c r="BT131" s="670">
        <v>75.0</v>
      </c>
      <c r="BU131" s="670">
        <v>75.0</v>
      </c>
      <c r="BV131" s="671">
        <f t="shared" si="34"/>
        <v>36</v>
      </c>
      <c r="BW131" s="672">
        <f t="shared" si="35"/>
        <v>1189.2</v>
      </c>
      <c r="BX131" s="673">
        <f t="shared" si="289"/>
        <v>2477.5</v>
      </c>
      <c r="BY131" s="673">
        <f t="shared" si="290"/>
        <v>2477.5</v>
      </c>
      <c r="BZ131" s="673">
        <f t="shared" si="38"/>
        <v>2286.9</v>
      </c>
      <c r="CA131" s="673">
        <f t="shared" si="291"/>
        <v>1982</v>
      </c>
      <c r="CB131" s="673">
        <f t="shared" si="292"/>
        <v>1982</v>
      </c>
      <c r="CC131" s="673">
        <f t="shared" si="293"/>
        <v>2123.6</v>
      </c>
      <c r="CD131" s="673">
        <f t="shared" si="294"/>
        <v>1982</v>
      </c>
      <c r="CE131" s="674">
        <f t="shared" si="43"/>
        <v>16.7</v>
      </c>
      <c r="CF131" s="763">
        <f t="shared" si="248"/>
        <v>-6.9</v>
      </c>
      <c r="CG131" s="676">
        <f t="shared" si="295"/>
        <v>-6.9</v>
      </c>
      <c r="CH131" s="575" t="s">
        <v>994</v>
      </c>
      <c r="CI131" s="582">
        <f t="shared" ref="CI131:DF131" si="306">FLOOR($AV131/(CI$3/25),1)</f>
        <v>1107</v>
      </c>
      <c r="CJ131" s="582">
        <f t="shared" si="306"/>
        <v>1153</v>
      </c>
      <c r="CK131" s="582">
        <f t="shared" si="306"/>
        <v>1203</v>
      </c>
      <c r="CL131" s="582">
        <f t="shared" si="306"/>
        <v>1258</v>
      </c>
      <c r="CM131" s="582">
        <f t="shared" si="306"/>
        <v>1318</v>
      </c>
      <c r="CN131" s="582">
        <f t="shared" si="306"/>
        <v>1384</v>
      </c>
      <c r="CO131" s="582">
        <f t="shared" si="306"/>
        <v>1457</v>
      </c>
      <c r="CP131" s="582">
        <f t="shared" si="306"/>
        <v>1538</v>
      </c>
      <c r="CQ131" s="582">
        <f t="shared" si="306"/>
        <v>1628</v>
      </c>
      <c r="CR131" s="582">
        <f t="shared" si="306"/>
        <v>1730</v>
      </c>
      <c r="CS131" s="582">
        <f t="shared" si="306"/>
        <v>1845</v>
      </c>
      <c r="CT131" s="582">
        <f t="shared" si="306"/>
        <v>1977</v>
      </c>
      <c r="CU131" s="582">
        <f t="shared" si="306"/>
        <v>2129</v>
      </c>
      <c r="CV131" s="582">
        <f t="shared" si="306"/>
        <v>2307</v>
      </c>
      <c r="CW131" s="582">
        <f t="shared" si="306"/>
        <v>2517</v>
      </c>
      <c r="CX131" s="582">
        <f t="shared" si="306"/>
        <v>2768</v>
      </c>
      <c r="CY131" s="582">
        <f t="shared" si="306"/>
        <v>3076</v>
      </c>
      <c r="CZ131" s="582">
        <f t="shared" si="306"/>
        <v>3460</v>
      </c>
      <c r="DA131" s="582">
        <f t="shared" si="306"/>
        <v>3955</v>
      </c>
      <c r="DB131" s="582">
        <f t="shared" si="306"/>
        <v>4614</v>
      </c>
      <c r="DC131" s="582">
        <f t="shared" si="306"/>
        <v>5537</v>
      </c>
      <c r="DD131" s="582">
        <f t="shared" si="306"/>
        <v>6921</v>
      </c>
      <c r="DE131" s="582">
        <f t="shared" si="306"/>
        <v>9229</v>
      </c>
      <c r="DF131" s="602">
        <f t="shared" si="306"/>
        <v>13843</v>
      </c>
      <c r="DG131" s="575"/>
      <c r="DH131" s="575" t="str">
        <f t="shared" si="46"/>
        <v/>
      </c>
      <c r="DI131" s="74" t="str">
        <f t="shared" si="47"/>
        <v/>
      </c>
      <c r="DJ131" s="74" t="str">
        <f t="shared" si="48"/>
        <v/>
      </c>
      <c r="DK131" s="623" t="str">
        <f t="shared" si="49"/>
        <v/>
      </c>
      <c r="DL131" s="74"/>
      <c r="DM131" s="74"/>
      <c r="DN131" s="582">
        <f t="shared" si="301"/>
        <v>1.4</v>
      </c>
      <c r="DO131" s="575"/>
      <c r="DP131" s="61" t="s">
        <v>2345</v>
      </c>
    </row>
    <row r="132">
      <c r="A132" s="764">
        <v>126.0</v>
      </c>
      <c r="B132" s="765">
        <v>276.0</v>
      </c>
      <c r="C132" s="766">
        <v>33.0</v>
      </c>
      <c r="D132" s="766">
        <v>49.0</v>
      </c>
      <c r="E132" s="767"/>
      <c r="F132" s="768" t="s">
        <v>2344</v>
      </c>
      <c r="G132" s="768">
        <f t="shared" si="269"/>
        <v>15</v>
      </c>
      <c r="H132" s="768">
        <f t="shared" si="270"/>
        <v>15</v>
      </c>
      <c r="I132" s="768">
        <f t="shared" si="7"/>
        <v>16</v>
      </c>
      <c r="J132" s="768">
        <f t="shared" si="271"/>
        <v>19</v>
      </c>
      <c r="K132" s="768">
        <f t="shared" si="272"/>
        <v>19</v>
      </c>
      <c r="L132" s="768">
        <f t="shared" si="273"/>
        <v>17</v>
      </c>
      <c r="M132" s="769">
        <f t="shared" si="274"/>
        <v>19</v>
      </c>
      <c r="N132" s="767" t="s">
        <v>1030</v>
      </c>
      <c r="O132" s="770" t="s">
        <v>1995</v>
      </c>
      <c r="P132" s="771"/>
      <c r="Q132" s="771" t="s">
        <v>1676</v>
      </c>
      <c r="R132" s="771" t="s">
        <v>1314</v>
      </c>
      <c r="S132" s="800" t="s">
        <v>964</v>
      </c>
      <c r="T132" s="772" t="s">
        <v>1032</v>
      </c>
      <c r="U132" s="766">
        <v>85.0</v>
      </c>
      <c r="V132" s="766">
        <v>66.0</v>
      </c>
      <c r="W132" s="766">
        <v>65.0</v>
      </c>
      <c r="X132" s="766">
        <v>67.0</v>
      </c>
      <c r="Y132" s="766">
        <v>2.0</v>
      </c>
      <c r="Z132" s="766">
        <v>-10.0</v>
      </c>
      <c r="AA132" s="766">
        <v>1.0</v>
      </c>
      <c r="AB132" s="774">
        <v>94.0</v>
      </c>
      <c r="AC132" s="766">
        <v>16076.0</v>
      </c>
      <c r="AD132" s="766">
        <v>3.0</v>
      </c>
      <c r="AE132" s="766">
        <v>75.0</v>
      </c>
      <c r="AF132" s="766">
        <v>75.0</v>
      </c>
      <c r="AG132" s="766">
        <v>36.0</v>
      </c>
      <c r="AH132" s="766">
        <v>64.0</v>
      </c>
      <c r="AI132" s="775">
        <f t="shared" si="12"/>
        <v>50</v>
      </c>
      <c r="AJ132" s="767"/>
      <c r="AK132" s="767"/>
      <c r="AL132" s="767"/>
      <c r="AM132" s="767"/>
      <c r="AN132" s="767"/>
      <c r="AO132" s="767"/>
      <c r="AP132" s="873" t="str">
        <f t="shared" si="275"/>
        <v/>
      </c>
      <c r="AQ132" s="767"/>
      <c r="AR132" s="767"/>
      <c r="AS132" s="776"/>
      <c r="AT132" s="768">
        <f t="shared" si="13"/>
        <v>990</v>
      </c>
      <c r="AU132" s="768">
        <f t="shared" si="14"/>
        <v>1543</v>
      </c>
      <c r="AV132" s="777">
        <f t="shared" si="15"/>
        <v>1266.5</v>
      </c>
      <c r="AW132" s="778">
        <f t="shared" si="276"/>
        <v>2436</v>
      </c>
      <c r="AX132" s="778">
        <f t="shared" si="277"/>
        <v>2436</v>
      </c>
      <c r="AY132" s="778">
        <f t="shared" si="18"/>
        <v>2262</v>
      </c>
      <c r="AZ132" s="778">
        <f t="shared" si="278"/>
        <v>2111</v>
      </c>
      <c r="BA132" s="778">
        <f t="shared" si="279"/>
        <v>1863</v>
      </c>
      <c r="BB132" s="778">
        <f t="shared" si="280"/>
        <v>1863</v>
      </c>
      <c r="BC132" s="778">
        <f t="shared" si="281"/>
        <v>1863</v>
      </c>
      <c r="BD132" s="778">
        <f t="shared" si="282"/>
        <v>1439</v>
      </c>
      <c r="BE132" s="778">
        <f t="shared" si="283"/>
        <v>1759</v>
      </c>
      <c r="BF132" s="778">
        <f t="shared" si="25"/>
        <v>1759</v>
      </c>
      <c r="BG132" s="778">
        <f t="shared" si="26"/>
        <v>2111</v>
      </c>
      <c r="BH132" s="778">
        <f t="shared" si="284"/>
        <v>2262</v>
      </c>
      <c r="BI132" s="778">
        <f t="shared" si="285"/>
        <v>2262</v>
      </c>
      <c r="BJ132" s="778">
        <f t="shared" si="286"/>
        <v>1979</v>
      </c>
      <c r="BK132" s="778">
        <f t="shared" si="287"/>
        <v>1759</v>
      </c>
      <c r="BL132" s="778">
        <f t="shared" si="288"/>
        <v>1759</v>
      </c>
      <c r="BM132" s="767"/>
      <c r="BN132" s="767"/>
      <c r="BO132" s="767"/>
      <c r="BP132" s="776" t="str">
        <f t="shared" si="33"/>
        <v/>
      </c>
      <c r="BQ132" s="780">
        <v>31.0</v>
      </c>
      <c r="BR132" s="780">
        <v>47.0</v>
      </c>
      <c r="BS132" s="780">
        <v>-10.0</v>
      </c>
      <c r="BT132" s="780">
        <v>75.0</v>
      </c>
      <c r="BU132" s="780">
        <v>75.0</v>
      </c>
      <c r="BV132" s="782">
        <f t="shared" si="34"/>
        <v>39</v>
      </c>
      <c r="BW132" s="783">
        <f t="shared" si="35"/>
        <v>1260.8</v>
      </c>
      <c r="BX132" s="784">
        <f t="shared" si="289"/>
        <v>2424.6</v>
      </c>
      <c r="BY132" s="784">
        <f t="shared" si="290"/>
        <v>2424.6</v>
      </c>
      <c r="BZ132" s="784">
        <f t="shared" si="38"/>
        <v>2251.4</v>
      </c>
      <c r="CA132" s="784">
        <f t="shared" si="291"/>
        <v>1854.1</v>
      </c>
      <c r="CB132" s="784">
        <f t="shared" si="292"/>
        <v>1854.1</v>
      </c>
      <c r="CC132" s="784">
        <f t="shared" si="293"/>
        <v>2101.3</v>
      </c>
      <c r="CD132" s="784">
        <f t="shared" si="294"/>
        <v>1854.1</v>
      </c>
      <c r="CE132" s="785">
        <f t="shared" si="43"/>
        <v>28.2</v>
      </c>
      <c r="CF132" s="786">
        <f t="shared" si="248"/>
        <v>0.5</v>
      </c>
      <c r="CG132" s="787">
        <f t="shared" si="295"/>
        <v>0.5</v>
      </c>
      <c r="CH132" s="776" t="s">
        <v>1030</v>
      </c>
      <c r="CI132" s="778">
        <f t="shared" ref="CI132:DF132" si="307">FLOOR($AV132/(CI$3/25),1)</f>
        <v>1266</v>
      </c>
      <c r="CJ132" s="778">
        <f t="shared" si="307"/>
        <v>1319</v>
      </c>
      <c r="CK132" s="778">
        <f t="shared" si="307"/>
        <v>1376</v>
      </c>
      <c r="CL132" s="778">
        <f t="shared" si="307"/>
        <v>1439</v>
      </c>
      <c r="CM132" s="778">
        <f t="shared" si="307"/>
        <v>1507</v>
      </c>
      <c r="CN132" s="778">
        <f t="shared" si="307"/>
        <v>1583</v>
      </c>
      <c r="CO132" s="778">
        <f t="shared" si="307"/>
        <v>1666</v>
      </c>
      <c r="CP132" s="778">
        <f t="shared" si="307"/>
        <v>1759</v>
      </c>
      <c r="CQ132" s="778">
        <f t="shared" si="307"/>
        <v>1862</v>
      </c>
      <c r="CR132" s="778">
        <f t="shared" si="307"/>
        <v>1978</v>
      </c>
      <c r="CS132" s="778">
        <f t="shared" si="307"/>
        <v>2110</v>
      </c>
      <c r="CT132" s="778">
        <f t="shared" si="307"/>
        <v>2261</v>
      </c>
      <c r="CU132" s="778">
        <f t="shared" si="307"/>
        <v>2435</v>
      </c>
      <c r="CV132" s="778">
        <f t="shared" si="307"/>
        <v>2638</v>
      </c>
      <c r="CW132" s="778">
        <f t="shared" si="307"/>
        <v>2878</v>
      </c>
      <c r="CX132" s="778">
        <f t="shared" si="307"/>
        <v>3166</v>
      </c>
      <c r="CY132" s="778">
        <f t="shared" si="307"/>
        <v>3518</v>
      </c>
      <c r="CZ132" s="778">
        <f t="shared" si="307"/>
        <v>3957</v>
      </c>
      <c r="DA132" s="778">
        <f t="shared" si="307"/>
        <v>4523</v>
      </c>
      <c r="DB132" s="778">
        <f t="shared" si="307"/>
        <v>5277</v>
      </c>
      <c r="DC132" s="778">
        <f t="shared" si="307"/>
        <v>6332</v>
      </c>
      <c r="DD132" s="778">
        <f t="shared" si="307"/>
        <v>7915</v>
      </c>
      <c r="DE132" s="778">
        <f t="shared" si="307"/>
        <v>10554</v>
      </c>
      <c r="DF132" s="779">
        <f t="shared" si="307"/>
        <v>15831</v>
      </c>
      <c r="DG132" s="776"/>
      <c r="DH132" s="776" t="str">
        <f t="shared" si="46"/>
        <v/>
      </c>
      <c r="DI132" s="767" t="str">
        <f t="shared" si="47"/>
        <v/>
      </c>
      <c r="DJ132" s="767" t="str">
        <f t="shared" si="48"/>
        <v/>
      </c>
      <c r="DK132" s="803" t="str">
        <f t="shared" si="49"/>
        <v/>
      </c>
      <c r="DL132" s="767"/>
      <c r="DM132" s="767"/>
      <c r="DN132" s="778">
        <f t="shared" si="301"/>
        <v>1.3</v>
      </c>
      <c r="DO132" s="776"/>
      <c r="DP132" s="874" t="s">
        <v>2345</v>
      </c>
    </row>
    <row r="133">
      <c r="A133" s="552">
        <v>127.0</v>
      </c>
      <c r="B133" s="86">
        <v>50.0</v>
      </c>
      <c r="C133" s="54">
        <v>4.0</v>
      </c>
      <c r="D133" s="54">
        <v>5.0</v>
      </c>
      <c r="E133" s="54">
        <v>1.0</v>
      </c>
      <c r="F133" s="68" t="s">
        <v>2344</v>
      </c>
      <c r="G133" s="68">
        <f t="shared" si="269"/>
        <v>16</v>
      </c>
      <c r="H133" s="68">
        <f t="shared" si="270"/>
        <v>16</v>
      </c>
      <c r="I133" s="68">
        <f t="shared" si="7"/>
        <v>16</v>
      </c>
      <c r="J133" s="68">
        <f t="shared" si="271"/>
        <v>18</v>
      </c>
      <c r="K133" s="68">
        <f t="shared" si="272"/>
        <v>20</v>
      </c>
      <c r="L133" s="68">
        <f t="shared" si="273"/>
        <v>16</v>
      </c>
      <c r="M133" s="569">
        <f t="shared" si="274"/>
        <v>20</v>
      </c>
      <c r="N133" s="74" t="s">
        <v>1033</v>
      </c>
      <c r="O133" s="678"/>
      <c r="P133" s="571"/>
      <c r="Q133" s="571" t="s">
        <v>1313</v>
      </c>
      <c r="R133" s="571" t="s">
        <v>1052</v>
      </c>
      <c r="S133" s="791" t="s">
        <v>1051</v>
      </c>
      <c r="T133" s="572" t="s">
        <v>1034</v>
      </c>
      <c r="U133" s="54">
        <v>2.0</v>
      </c>
      <c r="V133" s="54">
        <v>0.0</v>
      </c>
      <c r="W133" s="74"/>
      <c r="X133" s="54">
        <v>21.0</v>
      </c>
      <c r="Y133" s="679">
        <v>1.0</v>
      </c>
      <c r="Z133" s="54">
        <v>0.0</v>
      </c>
      <c r="AA133" s="86">
        <v>1.0</v>
      </c>
      <c r="AB133" s="74"/>
      <c r="AC133" s="54">
        <v>6.0</v>
      </c>
      <c r="AD133" s="54">
        <v>2.0</v>
      </c>
      <c r="AE133" s="54">
        <v>75.0</v>
      </c>
      <c r="AF133" s="54">
        <v>75.0</v>
      </c>
      <c r="AG133" s="54">
        <v>4.0</v>
      </c>
      <c r="AH133" s="54">
        <v>5.0</v>
      </c>
      <c r="AI133" s="574">
        <f t="shared" si="12"/>
        <v>4.5</v>
      </c>
      <c r="AJ133" s="74"/>
      <c r="AK133" s="74"/>
      <c r="AL133" s="74"/>
      <c r="AM133" s="74"/>
      <c r="AN133" s="74"/>
      <c r="AO133" s="74"/>
      <c r="AP133" s="74"/>
      <c r="AQ133" s="74"/>
      <c r="AR133" s="74"/>
      <c r="AS133" s="575"/>
      <c r="AT133" s="68">
        <f t="shared" si="13"/>
        <v>352</v>
      </c>
      <c r="AU133" s="68">
        <f t="shared" si="14"/>
        <v>370</v>
      </c>
      <c r="AV133" s="581">
        <f t="shared" si="15"/>
        <v>361</v>
      </c>
      <c r="AW133" s="582">
        <f t="shared" si="276"/>
        <v>602</v>
      </c>
      <c r="AX133" s="582">
        <f t="shared" si="277"/>
        <v>602</v>
      </c>
      <c r="AY133" s="582">
        <f t="shared" si="18"/>
        <v>602</v>
      </c>
      <c r="AZ133" s="582">
        <f t="shared" si="278"/>
        <v>602</v>
      </c>
      <c r="BA133" s="582">
        <f t="shared" si="279"/>
        <v>475</v>
      </c>
      <c r="BB133" s="582">
        <f t="shared" si="280"/>
        <v>475</v>
      </c>
      <c r="BC133" s="582">
        <f t="shared" si="281"/>
        <v>531</v>
      </c>
      <c r="BD133" s="582">
        <f t="shared" si="282"/>
        <v>361</v>
      </c>
      <c r="BE133" s="582">
        <f t="shared" si="283"/>
        <v>430</v>
      </c>
      <c r="BF133" s="582">
        <f t="shared" si="25"/>
        <v>392</v>
      </c>
      <c r="BG133" s="582">
        <f t="shared" si="26"/>
        <v>475</v>
      </c>
      <c r="BH133" s="582">
        <f t="shared" si="284"/>
        <v>475</v>
      </c>
      <c r="BI133" s="582">
        <f t="shared" si="285"/>
        <v>475</v>
      </c>
      <c r="BJ133" s="582">
        <f t="shared" si="286"/>
        <v>475</v>
      </c>
      <c r="BK133" s="582">
        <f t="shared" si="287"/>
        <v>392</v>
      </c>
      <c r="BL133" s="582">
        <f t="shared" si="288"/>
        <v>392</v>
      </c>
      <c r="BM133" s="74"/>
      <c r="BN133" s="74"/>
      <c r="BO133" s="74"/>
      <c r="BP133" s="575" t="str">
        <f t="shared" si="33"/>
        <v/>
      </c>
      <c r="BQ133" s="54">
        <v>4.0</v>
      </c>
      <c r="BR133" s="54">
        <v>9.0</v>
      </c>
      <c r="BS133" s="74"/>
      <c r="BT133" s="54">
        <v>75.0</v>
      </c>
      <c r="BU133" s="54">
        <v>75.0</v>
      </c>
      <c r="BV133" s="83">
        <f t="shared" si="34"/>
        <v>6.5</v>
      </c>
      <c r="BW133" s="608">
        <f t="shared" si="35"/>
        <v>485</v>
      </c>
      <c r="BX133" s="582">
        <f t="shared" si="289"/>
        <v>551.1</v>
      </c>
      <c r="BY133" s="582">
        <f t="shared" si="290"/>
        <v>551.1</v>
      </c>
      <c r="BZ133" s="582">
        <f t="shared" si="38"/>
        <v>551.1</v>
      </c>
      <c r="CA133" s="582">
        <f t="shared" si="291"/>
        <v>485</v>
      </c>
      <c r="CB133" s="582">
        <f t="shared" si="292"/>
        <v>433</v>
      </c>
      <c r="CC133" s="582">
        <f t="shared" si="293"/>
        <v>551.1</v>
      </c>
      <c r="CD133" s="582">
        <f t="shared" si="294"/>
        <v>433</v>
      </c>
      <c r="CE133" s="664">
        <f t="shared" si="43"/>
        <v>-30.8</v>
      </c>
      <c r="CF133" s="86">
        <f t="shared" si="248"/>
        <v>-25.6</v>
      </c>
      <c r="CG133" s="602">
        <f t="shared" si="295"/>
        <v>9.2</v>
      </c>
      <c r="CH133" s="575" t="s">
        <v>1033</v>
      </c>
      <c r="CI133" s="582">
        <f t="shared" ref="CI133:DF133" si="308">FLOOR($AV133/(CI$3/25),1)</f>
        <v>361</v>
      </c>
      <c r="CJ133" s="582">
        <f t="shared" si="308"/>
        <v>376</v>
      </c>
      <c r="CK133" s="582">
        <f t="shared" si="308"/>
        <v>392</v>
      </c>
      <c r="CL133" s="582">
        <f t="shared" si="308"/>
        <v>410</v>
      </c>
      <c r="CM133" s="582">
        <f t="shared" si="308"/>
        <v>429</v>
      </c>
      <c r="CN133" s="582">
        <f t="shared" si="308"/>
        <v>451</v>
      </c>
      <c r="CO133" s="582">
        <f t="shared" si="308"/>
        <v>475</v>
      </c>
      <c r="CP133" s="582">
        <f t="shared" si="308"/>
        <v>501</v>
      </c>
      <c r="CQ133" s="582">
        <f t="shared" si="308"/>
        <v>530</v>
      </c>
      <c r="CR133" s="582">
        <f t="shared" si="308"/>
        <v>564</v>
      </c>
      <c r="CS133" s="582">
        <f t="shared" si="308"/>
        <v>601</v>
      </c>
      <c r="CT133" s="582">
        <f t="shared" si="308"/>
        <v>644</v>
      </c>
      <c r="CU133" s="582">
        <f t="shared" si="308"/>
        <v>694</v>
      </c>
      <c r="CV133" s="582">
        <f t="shared" si="308"/>
        <v>752</v>
      </c>
      <c r="CW133" s="582">
        <f t="shared" si="308"/>
        <v>820</v>
      </c>
      <c r="CX133" s="582">
        <f t="shared" si="308"/>
        <v>902</v>
      </c>
      <c r="CY133" s="582">
        <f t="shared" si="308"/>
        <v>1002</v>
      </c>
      <c r="CZ133" s="582">
        <f t="shared" si="308"/>
        <v>1128</v>
      </c>
      <c r="DA133" s="582">
        <f t="shared" si="308"/>
        <v>1289</v>
      </c>
      <c r="DB133" s="582">
        <f t="shared" si="308"/>
        <v>1504</v>
      </c>
      <c r="DC133" s="582">
        <f t="shared" si="308"/>
        <v>1805</v>
      </c>
      <c r="DD133" s="582">
        <f t="shared" si="308"/>
        <v>2256</v>
      </c>
      <c r="DE133" s="582">
        <f t="shared" si="308"/>
        <v>3008</v>
      </c>
      <c r="DF133" s="602">
        <f t="shared" si="308"/>
        <v>4512</v>
      </c>
      <c r="DG133" s="575"/>
      <c r="DH133" s="575" t="str">
        <f t="shared" si="46"/>
        <v/>
      </c>
      <c r="DI133" s="74" t="str">
        <f t="shared" si="47"/>
        <v/>
      </c>
      <c r="DJ133" s="74" t="str">
        <f t="shared" si="48"/>
        <v/>
      </c>
      <c r="DK133" s="792" t="str">
        <f t="shared" si="49"/>
        <v/>
      </c>
      <c r="DL133" s="793"/>
      <c r="DM133" s="793"/>
      <c r="DN133" s="793"/>
      <c r="DO133" s="575"/>
      <c r="DP133" s="61" t="s">
        <v>2242</v>
      </c>
    </row>
    <row r="134">
      <c r="A134" s="552">
        <v>128.0</v>
      </c>
      <c r="B134" s="86">
        <v>52.0</v>
      </c>
      <c r="C134" s="54">
        <v>7.0</v>
      </c>
      <c r="D134" s="54">
        <v>8.0</v>
      </c>
      <c r="E134" s="54">
        <v>1.0</v>
      </c>
      <c r="F134" s="68" t="s">
        <v>1246</v>
      </c>
      <c r="G134" s="68">
        <f t="shared" si="269"/>
        <v>16</v>
      </c>
      <c r="H134" s="68">
        <f t="shared" si="270"/>
        <v>16</v>
      </c>
      <c r="I134" s="68">
        <f t="shared" si="7"/>
        <v>16</v>
      </c>
      <c r="J134" s="68">
        <f t="shared" si="271"/>
        <v>18</v>
      </c>
      <c r="K134" s="68">
        <f t="shared" si="272"/>
        <v>20</v>
      </c>
      <c r="L134" s="68">
        <f t="shared" si="273"/>
        <v>16</v>
      </c>
      <c r="M134" s="569">
        <f t="shared" si="274"/>
        <v>20</v>
      </c>
      <c r="N134" s="74" t="s">
        <v>1081</v>
      </c>
      <c r="O134" s="678"/>
      <c r="P134" s="571"/>
      <c r="Q134" s="571" t="s">
        <v>1313</v>
      </c>
      <c r="R134" s="571" t="s">
        <v>1052</v>
      </c>
      <c r="S134" s="791" t="s">
        <v>1092</v>
      </c>
      <c r="T134" s="572" t="s">
        <v>1083</v>
      </c>
      <c r="U134" s="54">
        <v>7.0</v>
      </c>
      <c r="V134" s="54">
        <v>0.0</v>
      </c>
      <c r="W134" s="74"/>
      <c r="X134" s="54">
        <v>40.0</v>
      </c>
      <c r="Y134" s="875">
        <v>1.0</v>
      </c>
      <c r="Z134" s="54">
        <v>10.0</v>
      </c>
      <c r="AA134" s="86">
        <v>1.0</v>
      </c>
      <c r="AB134" s="74"/>
      <c r="AC134" s="54">
        <v>11.0</v>
      </c>
      <c r="AD134" s="54">
        <v>2.0</v>
      </c>
      <c r="AE134" s="54">
        <v>75.0</v>
      </c>
      <c r="AF134" s="54">
        <v>75.0</v>
      </c>
      <c r="AG134" s="54">
        <v>7.0</v>
      </c>
      <c r="AH134" s="54">
        <v>8.0</v>
      </c>
      <c r="AI134" s="574">
        <f t="shared" si="12"/>
        <v>7.5</v>
      </c>
      <c r="AJ134" s="74"/>
      <c r="AK134" s="74"/>
      <c r="AL134" s="74"/>
      <c r="AM134" s="74"/>
      <c r="AN134" s="74"/>
      <c r="AO134" s="74"/>
      <c r="AP134" s="74"/>
      <c r="AQ134" s="74"/>
      <c r="AR134" s="74"/>
      <c r="AS134" s="575"/>
      <c r="AT134" s="68">
        <f t="shared" si="13"/>
        <v>410</v>
      </c>
      <c r="AU134" s="68">
        <f t="shared" si="14"/>
        <v>431</v>
      </c>
      <c r="AV134" s="581">
        <f t="shared" si="15"/>
        <v>420.5</v>
      </c>
      <c r="AW134" s="582">
        <f t="shared" si="276"/>
        <v>618</v>
      </c>
      <c r="AX134" s="582">
        <f t="shared" si="277"/>
        <v>618</v>
      </c>
      <c r="AY134" s="582">
        <f t="shared" si="18"/>
        <v>618</v>
      </c>
      <c r="AZ134" s="582">
        <f t="shared" si="278"/>
        <v>618</v>
      </c>
      <c r="BA134" s="582">
        <f t="shared" si="279"/>
        <v>478</v>
      </c>
      <c r="BB134" s="582">
        <f t="shared" si="280"/>
        <v>478</v>
      </c>
      <c r="BC134" s="582">
        <f t="shared" si="281"/>
        <v>526</v>
      </c>
      <c r="BD134" s="582">
        <f t="shared" si="282"/>
        <v>329</v>
      </c>
      <c r="BE134" s="582">
        <f t="shared" si="283"/>
        <v>404</v>
      </c>
      <c r="BF134" s="582">
        <f t="shared" si="25"/>
        <v>389</v>
      </c>
      <c r="BG134" s="582">
        <f t="shared" si="26"/>
        <v>478</v>
      </c>
      <c r="BH134" s="582">
        <f t="shared" si="284"/>
        <v>478</v>
      </c>
      <c r="BI134" s="582">
        <f t="shared" si="285"/>
        <v>478</v>
      </c>
      <c r="BJ134" s="582">
        <f t="shared" si="286"/>
        <v>478</v>
      </c>
      <c r="BK134" s="582">
        <f t="shared" si="287"/>
        <v>363</v>
      </c>
      <c r="BL134" s="582">
        <f t="shared" si="288"/>
        <v>363</v>
      </c>
      <c r="BM134" s="74"/>
      <c r="BN134" s="74"/>
      <c r="BO134" s="74"/>
      <c r="BP134" s="575" t="str">
        <f t="shared" si="33"/>
        <v/>
      </c>
      <c r="BQ134" s="54">
        <v>8.0</v>
      </c>
      <c r="BR134" s="54">
        <v>12.0</v>
      </c>
      <c r="BS134" s="54">
        <v>10.0</v>
      </c>
      <c r="BT134" s="54">
        <v>75.0</v>
      </c>
      <c r="BU134" s="54">
        <v>75.0</v>
      </c>
      <c r="BV134" s="83">
        <f t="shared" si="34"/>
        <v>10</v>
      </c>
      <c r="BW134" s="608">
        <f t="shared" si="35"/>
        <v>568.5</v>
      </c>
      <c r="BX134" s="582">
        <f t="shared" si="289"/>
        <v>546.6</v>
      </c>
      <c r="BY134" s="582">
        <f t="shared" si="290"/>
        <v>546.6</v>
      </c>
      <c r="BZ134" s="582">
        <f t="shared" si="38"/>
        <v>546.6</v>
      </c>
      <c r="CA134" s="582">
        <f t="shared" si="291"/>
        <v>473.8</v>
      </c>
      <c r="CB134" s="582">
        <f t="shared" si="292"/>
        <v>430.7</v>
      </c>
      <c r="CC134" s="582">
        <f t="shared" si="293"/>
        <v>546.6</v>
      </c>
      <c r="CD134" s="582">
        <f t="shared" si="294"/>
        <v>430.7</v>
      </c>
      <c r="CE134" s="664">
        <f t="shared" si="43"/>
        <v>-25</v>
      </c>
      <c r="CF134" s="86">
        <f t="shared" si="248"/>
        <v>-26</v>
      </c>
      <c r="CG134" s="602">
        <f t="shared" si="295"/>
        <v>13.1</v>
      </c>
      <c r="CH134" s="575" t="s">
        <v>1081</v>
      </c>
      <c r="CI134" s="582">
        <f t="shared" ref="CI134:DF134" si="309">FLOOR($AV134/(CI$3/25),1)</f>
        <v>420</v>
      </c>
      <c r="CJ134" s="582">
        <f t="shared" si="309"/>
        <v>438</v>
      </c>
      <c r="CK134" s="582">
        <f t="shared" si="309"/>
        <v>457</v>
      </c>
      <c r="CL134" s="582">
        <f t="shared" si="309"/>
        <v>477</v>
      </c>
      <c r="CM134" s="582">
        <f t="shared" si="309"/>
        <v>500</v>
      </c>
      <c r="CN134" s="582">
        <f t="shared" si="309"/>
        <v>525</v>
      </c>
      <c r="CO134" s="582">
        <f t="shared" si="309"/>
        <v>553</v>
      </c>
      <c r="CP134" s="582">
        <f t="shared" si="309"/>
        <v>584</v>
      </c>
      <c r="CQ134" s="582">
        <f t="shared" si="309"/>
        <v>618</v>
      </c>
      <c r="CR134" s="582">
        <f t="shared" si="309"/>
        <v>657</v>
      </c>
      <c r="CS134" s="582">
        <f t="shared" si="309"/>
        <v>700</v>
      </c>
      <c r="CT134" s="582">
        <f t="shared" si="309"/>
        <v>750</v>
      </c>
      <c r="CU134" s="582">
        <f t="shared" si="309"/>
        <v>808</v>
      </c>
      <c r="CV134" s="582">
        <f t="shared" si="309"/>
        <v>876</v>
      </c>
      <c r="CW134" s="582">
        <f t="shared" si="309"/>
        <v>955</v>
      </c>
      <c r="CX134" s="582">
        <f t="shared" si="309"/>
        <v>1051</v>
      </c>
      <c r="CY134" s="582">
        <f t="shared" si="309"/>
        <v>1168</v>
      </c>
      <c r="CZ134" s="582">
        <f t="shared" si="309"/>
        <v>1314</v>
      </c>
      <c r="DA134" s="582">
        <f t="shared" si="309"/>
        <v>1501</v>
      </c>
      <c r="DB134" s="582">
        <f t="shared" si="309"/>
        <v>1752</v>
      </c>
      <c r="DC134" s="582">
        <f t="shared" si="309"/>
        <v>2102</v>
      </c>
      <c r="DD134" s="582">
        <f t="shared" si="309"/>
        <v>2628</v>
      </c>
      <c r="DE134" s="582">
        <f t="shared" si="309"/>
        <v>3504</v>
      </c>
      <c r="DF134" s="602">
        <f t="shared" si="309"/>
        <v>5256</v>
      </c>
      <c r="DG134" s="575"/>
      <c r="DH134" s="575" t="str">
        <f t="shared" si="46"/>
        <v/>
      </c>
      <c r="DI134" s="74" t="str">
        <f t="shared" si="47"/>
        <v/>
      </c>
      <c r="DJ134" s="74" t="str">
        <f t="shared" si="48"/>
        <v/>
      </c>
      <c r="DK134" s="623" t="str">
        <f t="shared" si="49"/>
        <v/>
      </c>
      <c r="DL134" s="74"/>
      <c r="DM134" s="74"/>
      <c r="DN134" s="74"/>
      <c r="DO134" s="575"/>
      <c r="DP134" s="61" t="s">
        <v>2242</v>
      </c>
    </row>
    <row r="135">
      <c r="A135" s="552">
        <v>129.0</v>
      </c>
      <c r="B135" s="86">
        <v>54.0</v>
      </c>
      <c r="C135" s="54">
        <v>6.0</v>
      </c>
      <c r="D135" s="54">
        <v>11.0</v>
      </c>
      <c r="E135" s="54">
        <v>1.0</v>
      </c>
      <c r="F135" s="68" t="s">
        <v>2344</v>
      </c>
      <c r="G135" s="68">
        <f t="shared" si="269"/>
        <v>16</v>
      </c>
      <c r="H135" s="68">
        <f t="shared" si="270"/>
        <v>16</v>
      </c>
      <c r="I135" s="68">
        <f t="shared" si="7"/>
        <v>16</v>
      </c>
      <c r="J135" s="68">
        <f t="shared" si="271"/>
        <v>18</v>
      </c>
      <c r="K135" s="68">
        <f t="shared" si="272"/>
        <v>20</v>
      </c>
      <c r="L135" s="68">
        <f t="shared" si="273"/>
        <v>16</v>
      </c>
      <c r="M135" s="569">
        <f t="shared" si="274"/>
        <v>20</v>
      </c>
      <c r="N135" s="74" t="s">
        <v>1053</v>
      </c>
      <c r="O135" s="678"/>
      <c r="P135" s="571"/>
      <c r="Q135" s="571" t="s">
        <v>1313</v>
      </c>
      <c r="R135" s="571" t="s">
        <v>1052</v>
      </c>
      <c r="S135" s="791" t="s">
        <v>1051</v>
      </c>
      <c r="T135" s="572" t="s">
        <v>1054</v>
      </c>
      <c r="U135" s="54">
        <v>13.0</v>
      </c>
      <c r="V135" s="54">
        <v>0.0</v>
      </c>
      <c r="W135" s="74"/>
      <c r="X135" s="54">
        <v>51.0</v>
      </c>
      <c r="Y135" s="39">
        <v>2.0</v>
      </c>
      <c r="Z135" s="54">
        <v>-20.0</v>
      </c>
      <c r="AA135" s="86">
        <v>1.0</v>
      </c>
      <c r="AB135" s="74"/>
      <c r="AC135" s="54">
        <v>15.0</v>
      </c>
      <c r="AD135" s="54">
        <v>2.0</v>
      </c>
      <c r="AE135" s="54">
        <v>75.0</v>
      </c>
      <c r="AF135" s="54">
        <v>75.0</v>
      </c>
      <c r="AG135" s="54">
        <v>6.0</v>
      </c>
      <c r="AH135" s="54">
        <v>11.0</v>
      </c>
      <c r="AI135" s="574">
        <f t="shared" si="12"/>
        <v>8.5</v>
      </c>
      <c r="AJ135" s="74"/>
      <c r="AK135" s="74"/>
      <c r="AL135" s="74"/>
      <c r="AM135" s="74"/>
      <c r="AN135" s="74"/>
      <c r="AO135" s="74"/>
      <c r="AP135" s="74"/>
      <c r="AQ135" s="74"/>
      <c r="AR135" s="74"/>
      <c r="AS135" s="575"/>
      <c r="AT135" s="68">
        <f t="shared" si="13"/>
        <v>392</v>
      </c>
      <c r="AU135" s="68">
        <f t="shared" si="14"/>
        <v>492</v>
      </c>
      <c r="AV135" s="581">
        <f t="shared" si="15"/>
        <v>442</v>
      </c>
      <c r="AW135" s="582">
        <f t="shared" si="276"/>
        <v>850</v>
      </c>
      <c r="AX135" s="582">
        <f t="shared" si="277"/>
        <v>850</v>
      </c>
      <c r="AY135" s="582">
        <f t="shared" si="18"/>
        <v>850</v>
      </c>
      <c r="AZ135" s="582">
        <f t="shared" si="278"/>
        <v>850</v>
      </c>
      <c r="BA135" s="582">
        <f t="shared" si="279"/>
        <v>691</v>
      </c>
      <c r="BB135" s="582">
        <f t="shared" si="280"/>
        <v>691</v>
      </c>
      <c r="BC135" s="582">
        <f t="shared" si="281"/>
        <v>737</v>
      </c>
      <c r="BD135" s="582">
        <f t="shared" si="282"/>
        <v>614</v>
      </c>
      <c r="BE135" s="582">
        <f t="shared" si="283"/>
        <v>737</v>
      </c>
      <c r="BF135" s="582">
        <f t="shared" si="25"/>
        <v>737</v>
      </c>
      <c r="BG135" s="582">
        <f t="shared" si="26"/>
        <v>850</v>
      </c>
      <c r="BH135" s="582">
        <f t="shared" si="284"/>
        <v>850</v>
      </c>
      <c r="BI135" s="582">
        <f t="shared" si="285"/>
        <v>850</v>
      </c>
      <c r="BJ135" s="582">
        <f t="shared" si="286"/>
        <v>850</v>
      </c>
      <c r="BK135" s="582">
        <f t="shared" si="287"/>
        <v>737</v>
      </c>
      <c r="BL135" s="582">
        <f t="shared" si="288"/>
        <v>737</v>
      </c>
      <c r="BM135" s="74"/>
      <c r="BN135" s="74"/>
      <c r="BO135" s="74"/>
      <c r="BP135" s="575" t="str">
        <f t="shared" si="33"/>
        <v/>
      </c>
      <c r="BQ135" s="54">
        <v>6.0</v>
      </c>
      <c r="BR135" s="54">
        <v>11.0</v>
      </c>
      <c r="BS135" s="54">
        <v>-20.0</v>
      </c>
      <c r="BT135" s="54">
        <v>75.0</v>
      </c>
      <c r="BU135" s="54">
        <v>75.0</v>
      </c>
      <c r="BV135" s="83">
        <f t="shared" si="34"/>
        <v>8.5</v>
      </c>
      <c r="BW135" s="608">
        <f t="shared" si="35"/>
        <v>532.7</v>
      </c>
      <c r="BX135" s="582">
        <f t="shared" si="289"/>
        <v>783.4</v>
      </c>
      <c r="BY135" s="582">
        <f t="shared" si="290"/>
        <v>783.4</v>
      </c>
      <c r="BZ135" s="582">
        <f t="shared" si="38"/>
        <v>783.4</v>
      </c>
      <c r="CA135" s="582">
        <f t="shared" si="291"/>
        <v>665.9</v>
      </c>
      <c r="CB135" s="582">
        <f t="shared" si="292"/>
        <v>605.3</v>
      </c>
      <c r="CC135" s="582">
        <f t="shared" si="293"/>
        <v>783.4</v>
      </c>
      <c r="CD135" s="582">
        <f t="shared" si="294"/>
        <v>605.3</v>
      </c>
      <c r="CE135" s="623" t="str">
        <f t="shared" si="43"/>
        <v/>
      </c>
      <c r="CF135" s="74">
        <f t="shared" si="248"/>
        <v>-17</v>
      </c>
      <c r="CG135" s="602">
        <f t="shared" si="295"/>
        <v>8.5</v>
      </c>
      <c r="CH135" s="575" t="s">
        <v>1053</v>
      </c>
      <c r="CI135" s="582">
        <f t="shared" ref="CI135:DF135" si="310">FLOOR($AV135/(CI$3/25),1)</f>
        <v>442</v>
      </c>
      <c r="CJ135" s="582">
        <f t="shared" si="310"/>
        <v>460</v>
      </c>
      <c r="CK135" s="582">
        <f t="shared" si="310"/>
        <v>480</v>
      </c>
      <c r="CL135" s="582">
        <f t="shared" si="310"/>
        <v>502</v>
      </c>
      <c r="CM135" s="582">
        <f t="shared" si="310"/>
        <v>526</v>
      </c>
      <c r="CN135" s="582">
        <f t="shared" si="310"/>
        <v>552</v>
      </c>
      <c r="CO135" s="582">
        <f t="shared" si="310"/>
        <v>581</v>
      </c>
      <c r="CP135" s="582">
        <f t="shared" si="310"/>
        <v>613</v>
      </c>
      <c r="CQ135" s="582">
        <f t="shared" si="310"/>
        <v>650</v>
      </c>
      <c r="CR135" s="582">
        <f t="shared" si="310"/>
        <v>690</v>
      </c>
      <c r="CS135" s="582">
        <f t="shared" si="310"/>
        <v>736</v>
      </c>
      <c r="CT135" s="582">
        <f t="shared" si="310"/>
        <v>789</v>
      </c>
      <c r="CU135" s="582">
        <f t="shared" si="310"/>
        <v>850</v>
      </c>
      <c r="CV135" s="582">
        <f t="shared" si="310"/>
        <v>920</v>
      </c>
      <c r="CW135" s="582">
        <f t="shared" si="310"/>
        <v>1004</v>
      </c>
      <c r="CX135" s="582">
        <f t="shared" si="310"/>
        <v>1105</v>
      </c>
      <c r="CY135" s="582">
        <f t="shared" si="310"/>
        <v>1227</v>
      </c>
      <c r="CZ135" s="582">
        <f t="shared" si="310"/>
        <v>1381</v>
      </c>
      <c r="DA135" s="582">
        <f t="shared" si="310"/>
        <v>1578</v>
      </c>
      <c r="DB135" s="582">
        <f t="shared" si="310"/>
        <v>1841</v>
      </c>
      <c r="DC135" s="582">
        <f t="shared" si="310"/>
        <v>2210</v>
      </c>
      <c r="DD135" s="582">
        <f t="shared" si="310"/>
        <v>2762</v>
      </c>
      <c r="DE135" s="582">
        <f t="shared" si="310"/>
        <v>3683</v>
      </c>
      <c r="DF135" s="602">
        <f t="shared" si="310"/>
        <v>5525</v>
      </c>
      <c r="DG135" s="575"/>
      <c r="DH135" s="575" t="str">
        <f t="shared" si="46"/>
        <v/>
      </c>
      <c r="DI135" s="74" t="str">
        <f t="shared" si="47"/>
        <v/>
      </c>
      <c r="DJ135" s="74" t="str">
        <f t="shared" si="48"/>
        <v/>
      </c>
      <c r="DK135" s="623" t="str">
        <f t="shared" si="49"/>
        <v/>
      </c>
      <c r="DL135" s="74"/>
      <c r="DM135" s="74"/>
      <c r="DN135" s="74"/>
      <c r="DO135" s="575"/>
      <c r="DP135" s="61" t="s">
        <v>2242</v>
      </c>
    </row>
    <row r="136">
      <c r="A136" s="647">
        <v>130.0</v>
      </c>
      <c r="B136" s="141">
        <v>56.0</v>
      </c>
      <c r="C136" s="129">
        <v>12.0</v>
      </c>
      <c r="D136" s="129">
        <v>15.0</v>
      </c>
      <c r="E136" s="129">
        <v>1.0</v>
      </c>
      <c r="F136" s="154" t="s">
        <v>1246</v>
      </c>
      <c r="G136" s="154">
        <f t="shared" si="269"/>
        <v>16</v>
      </c>
      <c r="H136" s="154">
        <f t="shared" si="270"/>
        <v>16</v>
      </c>
      <c r="I136" s="154">
        <f t="shared" si="7"/>
        <v>16</v>
      </c>
      <c r="J136" s="154">
        <f t="shared" si="271"/>
        <v>18</v>
      </c>
      <c r="K136" s="154">
        <f t="shared" si="272"/>
        <v>20</v>
      </c>
      <c r="L136" s="154">
        <f t="shared" si="273"/>
        <v>16</v>
      </c>
      <c r="M136" s="648">
        <f t="shared" si="274"/>
        <v>20</v>
      </c>
      <c r="N136" s="134" t="s">
        <v>1094</v>
      </c>
      <c r="O136" s="876"/>
      <c r="P136" s="650"/>
      <c r="Q136" s="650" t="s">
        <v>1313</v>
      </c>
      <c r="R136" s="650" t="s">
        <v>1052</v>
      </c>
      <c r="S136" s="796" t="s">
        <v>1092</v>
      </c>
      <c r="T136" s="651" t="s">
        <v>1095</v>
      </c>
      <c r="U136" s="129">
        <v>16.0</v>
      </c>
      <c r="V136" s="129">
        <v>0.0</v>
      </c>
      <c r="W136" s="134"/>
      <c r="X136" s="129">
        <v>57.0</v>
      </c>
      <c r="Y136" s="129">
        <v>3.0</v>
      </c>
      <c r="Z136" s="129">
        <v>-10.0</v>
      </c>
      <c r="AA136" s="141">
        <v>1.0</v>
      </c>
      <c r="AB136" s="134"/>
      <c r="AC136" s="129">
        <v>35.0</v>
      </c>
      <c r="AD136" s="129">
        <v>2.0</v>
      </c>
      <c r="AE136" s="129">
        <v>75.0</v>
      </c>
      <c r="AF136" s="129">
        <v>75.0</v>
      </c>
      <c r="AG136" s="129">
        <v>12.0</v>
      </c>
      <c r="AH136" s="129">
        <v>15.0</v>
      </c>
      <c r="AI136" s="652">
        <f t="shared" si="12"/>
        <v>13.5</v>
      </c>
      <c r="AJ136" s="134"/>
      <c r="AK136" s="134"/>
      <c r="AL136" s="134"/>
      <c r="AM136" s="134"/>
      <c r="AN136" s="134"/>
      <c r="AO136" s="134"/>
      <c r="AP136" s="134"/>
      <c r="AQ136" s="134"/>
      <c r="AR136" s="134"/>
      <c r="AS136" s="653"/>
      <c r="AT136" s="154">
        <f t="shared" si="13"/>
        <v>510</v>
      </c>
      <c r="AU136" s="154">
        <f t="shared" si="14"/>
        <v>571</v>
      </c>
      <c r="AV136" s="654">
        <f t="shared" si="15"/>
        <v>540.5</v>
      </c>
      <c r="AW136" s="655">
        <f t="shared" si="276"/>
        <v>965</v>
      </c>
      <c r="AX136" s="655">
        <f t="shared" si="277"/>
        <v>965</v>
      </c>
      <c r="AY136" s="655">
        <f t="shared" si="18"/>
        <v>965</v>
      </c>
      <c r="AZ136" s="655">
        <f t="shared" si="278"/>
        <v>965</v>
      </c>
      <c r="BA136" s="655">
        <f t="shared" si="279"/>
        <v>751</v>
      </c>
      <c r="BB136" s="655">
        <f t="shared" si="280"/>
        <v>751</v>
      </c>
      <c r="BC136" s="655">
        <f t="shared" si="281"/>
        <v>845</v>
      </c>
      <c r="BD136" s="655">
        <f t="shared" si="282"/>
        <v>643</v>
      </c>
      <c r="BE136" s="655">
        <f t="shared" si="283"/>
        <v>795</v>
      </c>
      <c r="BF136" s="655">
        <f t="shared" si="25"/>
        <v>751</v>
      </c>
      <c r="BG136" s="655">
        <f t="shared" si="26"/>
        <v>901</v>
      </c>
      <c r="BH136" s="655">
        <f t="shared" si="284"/>
        <v>901</v>
      </c>
      <c r="BI136" s="655">
        <f t="shared" si="285"/>
        <v>901</v>
      </c>
      <c r="BJ136" s="655">
        <f t="shared" si="286"/>
        <v>901</v>
      </c>
      <c r="BK136" s="655">
        <f t="shared" si="287"/>
        <v>711</v>
      </c>
      <c r="BL136" s="655">
        <f t="shared" si="288"/>
        <v>711</v>
      </c>
      <c r="BM136" s="134"/>
      <c r="BN136" s="134"/>
      <c r="BO136" s="134"/>
      <c r="BP136" s="653" t="str">
        <f t="shared" si="33"/>
        <v/>
      </c>
      <c r="BQ136" s="129">
        <v>12.0</v>
      </c>
      <c r="BR136" s="129">
        <v>15.0</v>
      </c>
      <c r="BS136" s="129">
        <v>-10.0</v>
      </c>
      <c r="BT136" s="129">
        <v>75.0</v>
      </c>
      <c r="BU136" s="129">
        <v>75.0</v>
      </c>
      <c r="BV136" s="135">
        <f t="shared" si="34"/>
        <v>13.5</v>
      </c>
      <c r="BW136" s="657">
        <f t="shared" si="35"/>
        <v>652.1</v>
      </c>
      <c r="BX136" s="655">
        <f t="shared" si="289"/>
        <v>815.1</v>
      </c>
      <c r="BY136" s="655">
        <f t="shared" si="290"/>
        <v>815.1</v>
      </c>
      <c r="BZ136" s="655">
        <f t="shared" si="38"/>
        <v>815.1</v>
      </c>
      <c r="CA136" s="655">
        <f t="shared" si="291"/>
        <v>741</v>
      </c>
      <c r="CB136" s="655">
        <f t="shared" si="292"/>
        <v>652.1</v>
      </c>
      <c r="CC136" s="655">
        <f t="shared" si="293"/>
        <v>815.1</v>
      </c>
      <c r="CD136" s="655">
        <f t="shared" si="294"/>
        <v>652.1</v>
      </c>
      <c r="CE136" s="662" t="str">
        <f t="shared" si="43"/>
        <v/>
      </c>
      <c r="CF136" s="134">
        <f t="shared" si="248"/>
        <v>-17.1</v>
      </c>
      <c r="CG136" s="656">
        <f t="shared" si="295"/>
        <v>18.4</v>
      </c>
      <c r="CH136" s="653" t="s">
        <v>1094</v>
      </c>
      <c r="CI136" s="655">
        <f t="shared" ref="CI136:DF136" si="311">FLOOR($AV136/(CI$3/25),1)</f>
        <v>540</v>
      </c>
      <c r="CJ136" s="655">
        <f t="shared" si="311"/>
        <v>563</v>
      </c>
      <c r="CK136" s="655">
        <f t="shared" si="311"/>
        <v>587</v>
      </c>
      <c r="CL136" s="655">
        <f t="shared" si="311"/>
        <v>614</v>
      </c>
      <c r="CM136" s="655">
        <f t="shared" si="311"/>
        <v>643</v>
      </c>
      <c r="CN136" s="655">
        <f t="shared" si="311"/>
        <v>675</v>
      </c>
      <c r="CO136" s="655">
        <f t="shared" si="311"/>
        <v>711</v>
      </c>
      <c r="CP136" s="655">
        <f t="shared" si="311"/>
        <v>750</v>
      </c>
      <c r="CQ136" s="655">
        <f t="shared" si="311"/>
        <v>794</v>
      </c>
      <c r="CR136" s="655">
        <f t="shared" si="311"/>
        <v>844</v>
      </c>
      <c r="CS136" s="655">
        <f t="shared" si="311"/>
        <v>900</v>
      </c>
      <c r="CT136" s="655">
        <f t="shared" si="311"/>
        <v>965</v>
      </c>
      <c r="CU136" s="655">
        <f t="shared" si="311"/>
        <v>1039</v>
      </c>
      <c r="CV136" s="655">
        <f t="shared" si="311"/>
        <v>1126</v>
      </c>
      <c r="CW136" s="655">
        <f t="shared" si="311"/>
        <v>1228</v>
      </c>
      <c r="CX136" s="655">
        <f t="shared" si="311"/>
        <v>1351</v>
      </c>
      <c r="CY136" s="655">
        <f t="shared" si="311"/>
        <v>1501</v>
      </c>
      <c r="CZ136" s="655">
        <f t="shared" si="311"/>
        <v>1689</v>
      </c>
      <c r="DA136" s="655">
        <f t="shared" si="311"/>
        <v>1930</v>
      </c>
      <c r="DB136" s="655">
        <f t="shared" si="311"/>
        <v>2252</v>
      </c>
      <c r="DC136" s="655">
        <f t="shared" si="311"/>
        <v>2702</v>
      </c>
      <c r="DD136" s="655">
        <f t="shared" si="311"/>
        <v>3378</v>
      </c>
      <c r="DE136" s="655">
        <f t="shared" si="311"/>
        <v>4504</v>
      </c>
      <c r="DF136" s="656">
        <f t="shared" si="311"/>
        <v>6756</v>
      </c>
      <c r="DG136" s="653"/>
      <c r="DH136" s="653" t="str">
        <f t="shared" si="46"/>
        <v/>
      </c>
      <c r="DI136" s="134" t="str">
        <f t="shared" si="47"/>
        <v/>
      </c>
      <c r="DJ136" s="134" t="str">
        <f t="shared" si="48"/>
        <v/>
      </c>
      <c r="DK136" s="662" t="str">
        <f t="shared" si="49"/>
        <v/>
      </c>
      <c r="DL136" s="134"/>
      <c r="DM136" s="134"/>
      <c r="DN136" s="134"/>
      <c r="DO136" s="653"/>
      <c r="DP136" s="872" t="s">
        <v>2242</v>
      </c>
    </row>
    <row r="137">
      <c r="A137" s="552">
        <v>131.0</v>
      </c>
      <c r="B137" s="86">
        <v>158.0</v>
      </c>
      <c r="C137" s="54">
        <v>14.0</v>
      </c>
      <c r="D137" s="54">
        <v>30.0</v>
      </c>
      <c r="E137" s="54">
        <v>1.0</v>
      </c>
      <c r="F137" s="68" t="s">
        <v>2344</v>
      </c>
      <c r="G137" s="68">
        <f t="shared" si="269"/>
        <v>16</v>
      </c>
      <c r="H137" s="68">
        <f t="shared" si="270"/>
        <v>16</v>
      </c>
      <c r="I137" s="68">
        <f t="shared" si="7"/>
        <v>16</v>
      </c>
      <c r="J137" s="68">
        <f t="shared" si="271"/>
        <v>18</v>
      </c>
      <c r="K137" s="68">
        <f t="shared" si="272"/>
        <v>20</v>
      </c>
      <c r="L137" s="68">
        <f t="shared" si="273"/>
        <v>16</v>
      </c>
      <c r="M137" s="569">
        <f t="shared" si="274"/>
        <v>20</v>
      </c>
      <c r="N137" s="74" t="s">
        <v>1044</v>
      </c>
      <c r="O137" s="570" t="s">
        <v>2037</v>
      </c>
      <c r="P137" s="571"/>
      <c r="Q137" s="571" t="s">
        <v>1670</v>
      </c>
      <c r="R137" s="571" t="s">
        <v>1052</v>
      </c>
      <c r="S137" s="791" t="s">
        <v>1051</v>
      </c>
      <c r="T137" s="572" t="s">
        <v>1045</v>
      </c>
      <c r="U137" s="54">
        <v>31.0</v>
      </c>
      <c r="V137" s="54">
        <v>19.0</v>
      </c>
      <c r="W137" s="54">
        <v>25.0</v>
      </c>
      <c r="X137" s="54">
        <v>52.0</v>
      </c>
      <c r="Y137" s="54">
        <v>2.0</v>
      </c>
      <c r="Z137" s="54">
        <v>0.0</v>
      </c>
      <c r="AA137" s="86">
        <v>1.0</v>
      </c>
      <c r="AB137" s="74"/>
      <c r="AC137" s="54">
        <v>80.0</v>
      </c>
      <c r="AD137" s="54">
        <v>2.0</v>
      </c>
      <c r="AE137" s="54">
        <v>75.0</v>
      </c>
      <c r="AF137" s="54">
        <v>75.0</v>
      </c>
      <c r="AG137" s="54">
        <v>14.0</v>
      </c>
      <c r="AH137" s="54">
        <v>30.0</v>
      </c>
      <c r="AI137" s="574">
        <f t="shared" si="12"/>
        <v>22</v>
      </c>
      <c r="AJ137" s="74"/>
      <c r="AK137" s="74"/>
      <c r="AL137" s="74"/>
      <c r="AM137" s="74"/>
      <c r="AN137" s="74"/>
      <c r="AO137" s="74"/>
      <c r="AP137" s="74"/>
      <c r="AQ137" s="74"/>
      <c r="AR137" s="74"/>
      <c r="AS137" s="575"/>
      <c r="AT137" s="68">
        <f t="shared" si="13"/>
        <v>548</v>
      </c>
      <c r="AU137" s="68">
        <f t="shared" si="14"/>
        <v>867</v>
      </c>
      <c r="AV137" s="581">
        <f t="shared" si="15"/>
        <v>707.5</v>
      </c>
      <c r="AW137" s="582">
        <f t="shared" si="276"/>
        <v>1179</v>
      </c>
      <c r="AX137" s="582">
        <f t="shared" si="277"/>
        <v>1179</v>
      </c>
      <c r="AY137" s="582">
        <f t="shared" si="18"/>
        <v>1179</v>
      </c>
      <c r="AZ137" s="582">
        <f t="shared" si="278"/>
        <v>1179</v>
      </c>
      <c r="BA137" s="582">
        <f t="shared" si="279"/>
        <v>931</v>
      </c>
      <c r="BB137" s="582">
        <f t="shared" si="280"/>
        <v>931</v>
      </c>
      <c r="BC137" s="582">
        <f t="shared" si="281"/>
        <v>1040</v>
      </c>
      <c r="BD137" s="582">
        <f t="shared" si="282"/>
        <v>708</v>
      </c>
      <c r="BE137" s="582">
        <f t="shared" si="283"/>
        <v>842</v>
      </c>
      <c r="BF137" s="582">
        <f t="shared" si="25"/>
        <v>769</v>
      </c>
      <c r="BG137" s="582">
        <f t="shared" si="26"/>
        <v>931</v>
      </c>
      <c r="BH137" s="582">
        <f t="shared" si="284"/>
        <v>931</v>
      </c>
      <c r="BI137" s="582">
        <f t="shared" si="285"/>
        <v>931</v>
      </c>
      <c r="BJ137" s="582">
        <f t="shared" si="286"/>
        <v>931</v>
      </c>
      <c r="BK137" s="582">
        <f t="shared" si="287"/>
        <v>769</v>
      </c>
      <c r="BL137" s="582">
        <f t="shared" si="288"/>
        <v>769</v>
      </c>
      <c r="BM137" s="74"/>
      <c r="BN137" s="74"/>
      <c r="BO137" s="74"/>
      <c r="BP137" s="575" t="str">
        <f t="shared" si="33"/>
        <v/>
      </c>
      <c r="BQ137" s="54">
        <v>11.0</v>
      </c>
      <c r="BR137" s="54">
        <v>24.0</v>
      </c>
      <c r="BS137" s="74"/>
      <c r="BT137" s="54">
        <v>75.0</v>
      </c>
      <c r="BU137" s="54">
        <v>75.0</v>
      </c>
      <c r="BV137" s="83">
        <f t="shared" si="34"/>
        <v>17.5</v>
      </c>
      <c r="BW137" s="608">
        <f t="shared" si="35"/>
        <v>747.6</v>
      </c>
      <c r="BX137" s="582">
        <f t="shared" si="289"/>
        <v>849.5</v>
      </c>
      <c r="BY137" s="582">
        <f t="shared" si="290"/>
        <v>849.5</v>
      </c>
      <c r="BZ137" s="582">
        <f t="shared" si="38"/>
        <v>849.5</v>
      </c>
      <c r="CA137" s="582">
        <f t="shared" si="291"/>
        <v>747.6</v>
      </c>
      <c r="CB137" s="582">
        <f t="shared" si="292"/>
        <v>667.5</v>
      </c>
      <c r="CC137" s="582">
        <f t="shared" si="293"/>
        <v>849.5</v>
      </c>
      <c r="CD137" s="582">
        <f t="shared" si="294"/>
        <v>667.5</v>
      </c>
      <c r="CE137" s="664">
        <f t="shared" si="43"/>
        <v>25.7</v>
      </c>
      <c r="CF137" s="86">
        <f t="shared" si="248"/>
        <v>-5.4</v>
      </c>
      <c r="CG137" s="602">
        <f t="shared" si="295"/>
        <v>38.8</v>
      </c>
      <c r="CH137" s="575" t="s">
        <v>1044</v>
      </c>
      <c r="CI137" s="582">
        <f t="shared" ref="CI137:DF137" si="312">FLOOR($AV137/(CI$3/25),1)</f>
        <v>707</v>
      </c>
      <c r="CJ137" s="582">
        <f t="shared" si="312"/>
        <v>736</v>
      </c>
      <c r="CK137" s="582">
        <f t="shared" si="312"/>
        <v>769</v>
      </c>
      <c r="CL137" s="582">
        <f t="shared" si="312"/>
        <v>803</v>
      </c>
      <c r="CM137" s="582">
        <f t="shared" si="312"/>
        <v>842</v>
      </c>
      <c r="CN137" s="582">
        <f t="shared" si="312"/>
        <v>884</v>
      </c>
      <c r="CO137" s="582">
        <f t="shared" si="312"/>
        <v>930</v>
      </c>
      <c r="CP137" s="582">
        <f t="shared" si="312"/>
        <v>982</v>
      </c>
      <c r="CQ137" s="582">
        <f t="shared" si="312"/>
        <v>1040</v>
      </c>
      <c r="CR137" s="582">
        <f t="shared" si="312"/>
        <v>1105</v>
      </c>
      <c r="CS137" s="582">
        <f t="shared" si="312"/>
        <v>1179</v>
      </c>
      <c r="CT137" s="582">
        <f t="shared" si="312"/>
        <v>1263</v>
      </c>
      <c r="CU137" s="582">
        <f t="shared" si="312"/>
        <v>1360</v>
      </c>
      <c r="CV137" s="582">
        <f t="shared" si="312"/>
        <v>1473</v>
      </c>
      <c r="CW137" s="582">
        <f t="shared" si="312"/>
        <v>1607</v>
      </c>
      <c r="CX137" s="582">
        <f t="shared" si="312"/>
        <v>1768</v>
      </c>
      <c r="CY137" s="582">
        <f t="shared" si="312"/>
        <v>1965</v>
      </c>
      <c r="CZ137" s="582">
        <f t="shared" si="312"/>
        <v>2210</v>
      </c>
      <c r="DA137" s="582">
        <f t="shared" si="312"/>
        <v>2526</v>
      </c>
      <c r="DB137" s="582">
        <f t="shared" si="312"/>
        <v>2947</v>
      </c>
      <c r="DC137" s="582">
        <f t="shared" si="312"/>
        <v>3537</v>
      </c>
      <c r="DD137" s="582">
        <f t="shared" si="312"/>
        <v>4421</v>
      </c>
      <c r="DE137" s="582">
        <f t="shared" si="312"/>
        <v>5895</v>
      </c>
      <c r="DF137" s="602">
        <f t="shared" si="312"/>
        <v>8843</v>
      </c>
      <c r="DG137" s="575"/>
      <c r="DH137" s="575" t="str">
        <f t="shared" si="46"/>
        <v/>
      </c>
      <c r="DI137" s="74" t="str">
        <f t="shared" si="47"/>
        <v/>
      </c>
      <c r="DJ137" s="74" t="str">
        <f t="shared" si="48"/>
        <v/>
      </c>
      <c r="DK137" s="623" t="str">
        <f t="shared" si="49"/>
        <v/>
      </c>
      <c r="DL137" s="74"/>
      <c r="DM137" s="74"/>
      <c r="DN137" s="582">
        <f t="shared" ref="DN137:DN144" si="314">IF(ISBLANK(DL137),ROUND(AI137/IF(ISBLANK(DL133),AI133,DL133),1),ROUND(DL137/IF(ISBLANK(DL133),AI133,DL133),1))</f>
        <v>4.9</v>
      </c>
      <c r="DO137" s="575"/>
      <c r="DP137" s="61" t="s">
        <v>2242</v>
      </c>
    </row>
    <row r="138">
      <c r="A138" s="552">
        <v>132.0</v>
      </c>
      <c r="B138" s="86">
        <v>160.0</v>
      </c>
      <c r="C138" s="54">
        <v>22.0</v>
      </c>
      <c r="D138" s="54">
        <v>41.0</v>
      </c>
      <c r="E138" s="54">
        <v>1.0</v>
      </c>
      <c r="F138" s="68" t="s">
        <v>1246</v>
      </c>
      <c r="G138" s="68">
        <f t="shared" si="269"/>
        <v>16</v>
      </c>
      <c r="H138" s="68">
        <f t="shared" si="270"/>
        <v>16</v>
      </c>
      <c r="I138" s="68">
        <f t="shared" si="7"/>
        <v>16</v>
      </c>
      <c r="J138" s="68">
        <f t="shared" si="271"/>
        <v>18</v>
      </c>
      <c r="K138" s="68">
        <f t="shared" si="272"/>
        <v>20</v>
      </c>
      <c r="L138" s="68">
        <f t="shared" si="273"/>
        <v>16</v>
      </c>
      <c r="M138" s="569">
        <f t="shared" si="274"/>
        <v>20</v>
      </c>
      <c r="N138" s="74" t="s">
        <v>1085</v>
      </c>
      <c r="O138" s="570" t="s">
        <v>2036</v>
      </c>
      <c r="P138" s="571"/>
      <c r="Q138" s="571" t="s">
        <v>1670</v>
      </c>
      <c r="R138" s="571" t="s">
        <v>1052</v>
      </c>
      <c r="S138" s="791" t="s">
        <v>1092</v>
      </c>
      <c r="T138" s="572" t="s">
        <v>1086</v>
      </c>
      <c r="U138" s="54">
        <v>34.0</v>
      </c>
      <c r="V138" s="54">
        <v>22.0</v>
      </c>
      <c r="W138" s="54">
        <v>25.0</v>
      </c>
      <c r="X138" s="54">
        <v>80.0</v>
      </c>
      <c r="Y138" s="54">
        <v>2.0</v>
      </c>
      <c r="Z138" s="54">
        <v>10.0</v>
      </c>
      <c r="AA138" s="86">
        <v>1.0</v>
      </c>
      <c r="AB138" s="74"/>
      <c r="AC138" s="54">
        <v>90.0</v>
      </c>
      <c r="AD138" s="54">
        <v>2.0</v>
      </c>
      <c r="AE138" s="54">
        <v>75.0</v>
      </c>
      <c r="AF138" s="54">
        <v>75.0</v>
      </c>
      <c r="AG138" s="54">
        <v>22.0</v>
      </c>
      <c r="AH138" s="54">
        <v>41.0</v>
      </c>
      <c r="AI138" s="574">
        <f t="shared" si="12"/>
        <v>31.5</v>
      </c>
      <c r="AJ138" s="74"/>
      <c r="AK138" s="74"/>
      <c r="AL138" s="74"/>
      <c r="AM138" s="74"/>
      <c r="AN138" s="74"/>
      <c r="AO138" s="74"/>
      <c r="AP138" s="74"/>
      <c r="AQ138" s="74"/>
      <c r="AR138" s="74"/>
      <c r="AS138" s="575"/>
      <c r="AT138" s="68">
        <f t="shared" si="13"/>
        <v>710</v>
      </c>
      <c r="AU138" s="68">
        <f t="shared" si="14"/>
        <v>1086</v>
      </c>
      <c r="AV138" s="581">
        <f t="shared" si="15"/>
        <v>898</v>
      </c>
      <c r="AW138" s="582">
        <f t="shared" si="276"/>
        <v>1321</v>
      </c>
      <c r="AX138" s="582">
        <f t="shared" si="277"/>
        <v>1321</v>
      </c>
      <c r="AY138" s="582">
        <f t="shared" si="18"/>
        <v>1321</v>
      </c>
      <c r="AZ138" s="582">
        <f t="shared" si="278"/>
        <v>1321</v>
      </c>
      <c r="BA138" s="582">
        <f t="shared" si="279"/>
        <v>1020</v>
      </c>
      <c r="BB138" s="582">
        <f t="shared" si="280"/>
        <v>1020</v>
      </c>
      <c r="BC138" s="582">
        <f t="shared" si="281"/>
        <v>1123</v>
      </c>
      <c r="BD138" s="582">
        <f t="shared" si="282"/>
        <v>702</v>
      </c>
      <c r="BE138" s="582">
        <f t="shared" si="283"/>
        <v>863</v>
      </c>
      <c r="BF138" s="582">
        <f t="shared" si="25"/>
        <v>831</v>
      </c>
      <c r="BG138" s="582">
        <f t="shared" si="26"/>
        <v>1020</v>
      </c>
      <c r="BH138" s="582">
        <f t="shared" si="284"/>
        <v>1020</v>
      </c>
      <c r="BI138" s="582">
        <f t="shared" si="285"/>
        <v>1020</v>
      </c>
      <c r="BJ138" s="582">
        <f t="shared" si="286"/>
        <v>1020</v>
      </c>
      <c r="BK138" s="582">
        <f t="shared" si="287"/>
        <v>774</v>
      </c>
      <c r="BL138" s="582">
        <f t="shared" si="288"/>
        <v>774</v>
      </c>
      <c r="BM138" s="74"/>
      <c r="BN138" s="74"/>
      <c r="BO138" s="74"/>
      <c r="BP138" s="575" t="str">
        <f t="shared" si="33"/>
        <v/>
      </c>
      <c r="BQ138" s="54">
        <v>18.0</v>
      </c>
      <c r="BR138" s="54">
        <v>33.0</v>
      </c>
      <c r="BS138" s="54">
        <v>10.0</v>
      </c>
      <c r="BT138" s="54">
        <v>75.0</v>
      </c>
      <c r="BU138" s="54">
        <v>75.0</v>
      </c>
      <c r="BV138" s="83">
        <f t="shared" si="34"/>
        <v>25.5</v>
      </c>
      <c r="BW138" s="608">
        <f t="shared" si="35"/>
        <v>938.5</v>
      </c>
      <c r="BX138" s="582">
        <f t="shared" si="289"/>
        <v>902.4</v>
      </c>
      <c r="BY138" s="582">
        <f t="shared" si="290"/>
        <v>902.4</v>
      </c>
      <c r="BZ138" s="582">
        <f t="shared" si="38"/>
        <v>902.4</v>
      </c>
      <c r="CA138" s="582">
        <f t="shared" si="291"/>
        <v>782.1</v>
      </c>
      <c r="CB138" s="582">
        <f t="shared" si="292"/>
        <v>711</v>
      </c>
      <c r="CC138" s="582">
        <f t="shared" si="293"/>
        <v>902.4</v>
      </c>
      <c r="CD138" s="582">
        <f t="shared" si="294"/>
        <v>711</v>
      </c>
      <c r="CE138" s="664">
        <f t="shared" si="43"/>
        <v>23.5</v>
      </c>
      <c r="CF138" s="86">
        <f t="shared" si="248"/>
        <v>-4.3</v>
      </c>
      <c r="CG138" s="602">
        <f t="shared" si="295"/>
        <v>46.4</v>
      </c>
      <c r="CH138" s="575" t="s">
        <v>1085</v>
      </c>
      <c r="CI138" s="582">
        <f t="shared" ref="CI138:DF138" si="313">FLOOR($AV138/(CI$3/25),1)</f>
        <v>898</v>
      </c>
      <c r="CJ138" s="582">
        <f t="shared" si="313"/>
        <v>935</v>
      </c>
      <c r="CK138" s="582">
        <f t="shared" si="313"/>
        <v>976</v>
      </c>
      <c r="CL138" s="582">
        <f t="shared" si="313"/>
        <v>1020</v>
      </c>
      <c r="CM138" s="582">
        <f t="shared" si="313"/>
        <v>1069</v>
      </c>
      <c r="CN138" s="582">
        <f t="shared" si="313"/>
        <v>1122</v>
      </c>
      <c r="CO138" s="582">
        <f t="shared" si="313"/>
        <v>1181</v>
      </c>
      <c r="CP138" s="582">
        <f t="shared" si="313"/>
        <v>1247</v>
      </c>
      <c r="CQ138" s="582">
        <f t="shared" si="313"/>
        <v>1320</v>
      </c>
      <c r="CR138" s="582">
        <f t="shared" si="313"/>
        <v>1403</v>
      </c>
      <c r="CS138" s="582">
        <f t="shared" si="313"/>
        <v>1496</v>
      </c>
      <c r="CT138" s="582">
        <f t="shared" si="313"/>
        <v>1603</v>
      </c>
      <c r="CU138" s="582">
        <f t="shared" si="313"/>
        <v>1726</v>
      </c>
      <c r="CV138" s="582">
        <f t="shared" si="313"/>
        <v>1870</v>
      </c>
      <c r="CW138" s="582">
        <f t="shared" si="313"/>
        <v>2040</v>
      </c>
      <c r="CX138" s="582">
        <f t="shared" si="313"/>
        <v>2245</v>
      </c>
      <c r="CY138" s="582">
        <f t="shared" si="313"/>
        <v>2494</v>
      </c>
      <c r="CZ138" s="582">
        <f t="shared" si="313"/>
        <v>2806</v>
      </c>
      <c r="DA138" s="582">
        <f t="shared" si="313"/>
        <v>3207</v>
      </c>
      <c r="DB138" s="582">
        <f t="shared" si="313"/>
        <v>3741</v>
      </c>
      <c r="DC138" s="582">
        <f t="shared" si="313"/>
        <v>4490</v>
      </c>
      <c r="DD138" s="582">
        <f t="shared" si="313"/>
        <v>5612</v>
      </c>
      <c r="DE138" s="582">
        <f t="shared" si="313"/>
        <v>7483</v>
      </c>
      <c r="DF138" s="602">
        <f t="shared" si="313"/>
        <v>11225</v>
      </c>
      <c r="DG138" s="575"/>
      <c r="DH138" s="575" t="str">
        <f t="shared" si="46"/>
        <v/>
      </c>
      <c r="DI138" s="74" t="str">
        <f t="shared" si="47"/>
        <v/>
      </c>
      <c r="DJ138" s="74" t="str">
        <f t="shared" si="48"/>
        <v/>
      </c>
      <c r="DK138" s="623" t="str">
        <f t="shared" si="49"/>
        <v/>
      </c>
      <c r="DL138" s="74"/>
      <c r="DM138" s="74"/>
      <c r="DN138" s="582">
        <f t="shared" si="314"/>
        <v>4.2</v>
      </c>
      <c r="DO138" s="575"/>
      <c r="DP138" s="61" t="s">
        <v>2242</v>
      </c>
    </row>
    <row r="139">
      <c r="A139" s="552">
        <v>133.0</v>
      </c>
      <c r="B139" s="86">
        <v>162.0</v>
      </c>
      <c r="C139" s="54">
        <v>17.0</v>
      </c>
      <c r="D139" s="54">
        <v>34.0</v>
      </c>
      <c r="E139" s="54">
        <v>1.0</v>
      </c>
      <c r="F139" s="68" t="s">
        <v>2344</v>
      </c>
      <c r="G139" s="68">
        <f t="shared" si="269"/>
        <v>16</v>
      </c>
      <c r="H139" s="68">
        <f t="shared" si="270"/>
        <v>16</v>
      </c>
      <c r="I139" s="68">
        <f t="shared" si="7"/>
        <v>16</v>
      </c>
      <c r="J139" s="68">
        <f t="shared" si="271"/>
        <v>18</v>
      </c>
      <c r="K139" s="68">
        <f t="shared" si="272"/>
        <v>20</v>
      </c>
      <c r="L139" s="68">
        <f t="shared" si="273"/>
        <v>16</v>
      </c>
      <c r="M139" s="569">
        <f t="shared" si="274"/>
        <v>20</v>
      </c>
      <c r="N139" s="74" t="s">
        <v>1057</v>
      </c>
      <c r="O139" s="678"/>
      <c r="P139" s="571"/>
      <c r="Q139" s="571" t="s">
        <v>1670</v>
      </c>
      <c r="R139" s="571" t="s">
        <v>1052</v>
      </c>
      <c r="S139" s="791" t="s">
        <v>1051</v>
      </c>
      <c r="T139" s="572" t="s">
        <v>1059</v>
      </c>
      <c r="U139" s="54">
        <v>39.0</v>
      </c>
      <c r="V139" s="54">
        <v>25.0</v>
      </c>
      <c r="W139" s="54">
        <v>25.0</v>
      </c>
      <c r="X139" s="679">
        <v>97.0</v>
      </c>
      <c r="Y139" s="54">
        <v>2.0</v>
      </c>
      <c r="Z139" s="54">
        <v>-20.0</v>
      </c>
      <c r="AA139" s="86">
        <v>1.0</v>
      </c>
      <c r="AB139" s="74"/>
      <c r="AC139" s="54">
        <v>100.0</v>
      </c>
      <c r="AD139" s="54">
        <v>2.0</v>
      </c>
      <c r="AE139" s="54">
        <v>75.0</v>
      </c>
      <c r="AF139" s="54">
        <v>75.0</v>
      </c>
      <c r="AG139" s="54">
        <v>17.0</v>
      </c>
      <c r="AH139" s="54">
        <v>34.0</v>
      </c>
      <c r="AI139" s="574">
        <f t="shared" si="12"/>
        <v>25.5</v>
      </c>
      <c r="AJ139" s="74"/>
      <c r="AK139" s="74"/>
      <c r="AL139" s="74"/>
      <c r="AM139" s="74"/>
      <c r="AN139" s="74"/>
      <c r="AO139" s="74"/>
      <c r="AP139" s="74"/>
      <c r="AQ139" s="74"/>
      <c r="AR139" s="74"/>
      <c r="AS139" s="575"/>
      <c r="AT139" s="68">
        <f t="shared" si="13"/>
        <v>610</v>
      </c>
      <c r="AU139" s="68">
        <f t="shared" si="14"/>
        <v>950</v>
      </c>
      <c r="AV139" s="581">
        <f t="shared" si="15"/>
        <v>780</v>
      </c>
      <c r="AW139" s="582">
        <f t="shared" si="276"/>
        <v>1500</v>
      </c>
      <c r="AX139" s="582">
        <f t="shared" si="277"/>
        <v>1500</v>
      </c>
      <c r="AY139" s="582">
        <f t="shared" si="18"/>
        <v>1500</v>
      </c>
      <c r="AZ139" s="582">
        <f t="shared" si="278"/>
        <v>1500</v>
      </c>
      <c r="BA139" s="582">
        <f t="shared" si="279"/>
        <v>1219</v>
      </c>
      <c r="BB139" s="582">
        <f t="shared" si="280"/>
        <v>1219</v>
      </c>
      <c r="BC139" s="582">
        <f t="shared" si="281"/>
        <v>1300</v>
      </c>
      <c r="BD139" s="582">
        <f t="shared" si="282"/>
        <v>1083</v>
      </c>
      <c r="BE139" s="582">
        <f t="shared" si="283"/>
        <v>1300</v>
      </c>
      <c r="BF139" s="582">
        <f t="shared" si="25"/>
        <v>1300</v>
      </c>
      <c r="BG139" s="582">
        <f t="shared" si="26"/>
        <v>1500</v>
      </c>
      <c r="BH139" s="582">
        <f t="shared" si="284"/>
        <v>1500</v>
      </c>
      <c r="BI139" s="582">
        <f t="shared" si="285"/>
        <v>1500</v>
      </c>
      <c r="BJ139" s="582">
        <f t="shared" si="286"/>
        <v>1500</v>
      </c>
      <c r="BK139" s="582">
        <f t="shared" si="287"/>
        <v>1300</v>
      </c>
      <c r="BL139" s="582">
        <f t="shared" si="288"/>
        <v>1300</v>
      </c>
      <c r="BM139" s="74"/>
      <c r="BN139" s="74"/>
      <c r="BO139" s="74"/>
      <c r="BP139" s="575" t="str">
        <f t="shared" si="33"/>
        <v/>
      </c>
      <c r="BQ139" s="54">
        <v>14.0</v>
      </c>
      <c r="BR139" s="54">
        <v>27.0</v>
      </c>
      <c r="BS139" s="54">
        <v>-20.0</v>
      </c>
      <c r="BT139" s="54">
        <v>75.0</v>
      </c>
      <c r="BU139" s="54">
        <v>75.0</v>
      </c>
      <c r="BV139" s="83">
        <f t="shared" si="34"/>
        <v>20.5</v>
      </c>
      <c r="BW139" s="608">
        <f t="shared" si="35"/>
        <v>819.2</v>
      </c>
      <c r="BX139" s="582">
        <f t="shared" si="289"/>
        <v>1204.7</v>
      </c>
      <c r="BY139" s="582">
        <f t="shared" si="290"/>
        <v>1204.7</v>
      </c>
      <c r="BZ139" s="582">
        <f t="shared" si="38"/>
        <v>1204.7</v>
      </c>
      <c r="CA139" s="582">
        <f t="shared" si="291"/>
        <v>1024</v>
      </c>
      <c r="CB139" s="582">
        <f t="shared" si="292"/>
        <v>930.9</v>
      </c>
      <c r="CC139" s="582">
        <f t="shared" si="293"/>
        <v>1204.7</v>
      </c>
      <c r="CD139" s="582">
        <f t="shared" si="294"/>
        <v>930.9</v>
      </c>
      <c r="CE139" s="664">
        <f t="shared" si="43"/>
        <v>24.4</v>
      </c>
      <c r="CF139" s="86">
        <f t="shared" si="248"/>
        <v>-4.8</v>
      </c>
      <c r="CG139" s="602">
        <f t="shared" si="295"/>
        <v>24.5</v>
      </c>
      <c r="CH139" s="575" t="s">
        <v>1057</v>
      </c>
      <c r="CI139" s="582">
        <f t="shared" ref="CI139:DF139" si="315">FLOOR($AV139/(CI$3/25),1)</f>
        <v>780</v>
      </c>
      <c r="CJ139" s="582">
        <f t="shared" si="315"/>
        <v>812</v>
      </c>
      <c r="CK139" s="582">
        <f t="shared" si="315"/>
        <v>847</v>
      </c>
      <c r="CL139" s="582">
        <f t="shared" si="315"/>
        <v>886</v>
      </c>
      <c r="CM139" s="582">
        <f t="shared" si="315"/>
        <v>928</v>
      </c>
      <c r="CN139" s="582">
        <f t="shared" si="315"/>
        <v>975</v>
      </c>
      <c r="CO139" s="582">
        <f t="shared" si="315"/>
        <v>1026</v>
      </c>
      <c r="CP139" s="582">
        <f t="shared" si="315"/>
        <v>1083</v>
      </c>
      <c r="CQ139" s="582">
        <f t="shared" si="315"/>
        <v>1147</v>
      </c>
      <c r="CR139" s="582">
        <f t="shared" si="315"/>
        <v>1218</v>
      </c>
      <c r="CS139" s="582">
        <f t="shared" si="315"/>
        <v>1300</v>
      </c>
      <c r="CT139" s="582">
        <f t="shared" si="315"/>
        <v>1392</v>
      </c>
      <c r="CU139" s="582">
        <f t="shared" si="315"/>
        <v>1500</v>
      </c>
      <c r="CV139" s="582">
        <f t="shared" si="315"/>
        <v>1625</v>
      </c>
      <c r="CW139" s="582">
        <f t="shared" si="315"/>
        <v>1772</v>
      </c>
      <c r="CX139" s="582">
        <f t="shared" si="315"/>
        <v>1950</v>
      </c>
      <c r="CY139" s="582">
        <f t="shared" si="315"/>
        <v>2166</v>
      </c>
      <c r="CZ139" s="582">
        <f t="shared" si="315"/>
        <v>2437</v>
      </c>
      <c r="DA139" s="582">
        <f t="shared" si="315"/>
        <v>2785</v>
      </c>
      <c r="DB139" s="582">
        <f t="shared" si="315"/>
        <v>3250</v>
      </c>
      <c r="DC139" s="582">
        <f t="shared" si="315"/>
        <v>3900</v>
      </c>
      <c r="DD139" s="582">
        <f t="shared" si="315"/>
        <v>4875</v>
      </c>
      <c r="DE139" s="582">
        <f t="shared" si="315"/>
        <v>6500</v>
      </c>
      <c r="DF139" s="602">
        <f t="shared" si="315"/>
        <v>9750</v>
      </c>
      <c r="DG139" s="575"/>
      <c r="DH139" s="575" t="str">
        <f t="shared" si="46"/>
        <v/>
      </c>
      <c r="DI139" s="74" t="str">
        <f t="shared" si="47"/>
        <v/>
      </c>
      <c r="DJ139" s="74" t="str">
        <f t="shared" si="48"/>
        <v/>
      </c>
      <c r="DK139" s="623" t="str">
        <f t="shared" si="49"/>
        <v/>
      </c>
      <c r="DL139" s="74"/>
      <c r="DM139" s="74"/>
      <c r="DN139" s="582">
        <f t="shared" si="314"/>
        <v>3</v>
      </c>
      <c r="DO139" s="575"/>
      <c r="DP139" s="61" t="s">
        <v>2242</v>
      </c>
    </row>
    <row r="140">
      <c r="A140" s="647">
        <v>134.0</v>
      </c>
      <c r="B140" s="141">
        <v>164.0</v>
      </c>
      <c r="C140" s="129">
        <v>24.0</v>
      </c>
      <c r="D140" s="129">
        <v>34.0</v>
      </c>
      <c r="E140" s="129">
        <v>1.0</v>
      </c>
      <c r="F140" s="154" t="s">
        <v>1246</v>
      </c>
      <c r="G140" s="154">
        <f t="shared" si="269"/>
        <v>16</v>
      </c>
      <c r="H140" s="154">
        <f t="shared" si="270"/>
        <v>16</v>
      </c>
      <c r="I140" s="154">
        <f t="shared" si="7"/>
        <v>16</v>
      </c>
      <c r="J140" s="154">
        <f t="shared" si="271"/>
        <v>18</v>
      </c>
      <c r="K140" s="154">
        <f t="shared" si="272"/>
        <v>20</v>
      </c>
      <c r="L140" s="154">
        <f t="shared" si="273"/>
        <v>16</v>
      </c>
      <c r="M140" s="648">
        <f t="shared" si="274"/>
        <v>20</v>
      </c>
      <c r="N140" s="134" t="s">
        <v>1098</v>
      </c>
      <c r="O140" s="876"/>
      <c r="P140" s="650"/>
      <c r="Q140" s="650" t="s">
        <v>1670</v>
      </c>
      <c r="R140" s="650" t="s">
        <v>1052</v>
      </c>
      <c r="S140" s="796" t="s">
        <v>1092</v>
      </c>
      <c r="T140" s="651" t="s">
        <v>1099</v>
      </c>
      <c r="U140" s="129">
        <v>41.0</v>
      </c>
      <c r="V140" s="129">
        <v>25.0</v>
      </c>
      <c r="W140" s="129">
        <v>25.0</v>
      </c>
      <c r="X140" s="799">
        <v>106.0</v>
      </c>
      <c r="Y140" s="129">
        <v>3.0</v>
      </c>
      <c r="Z140" s="129">
        <v>-10.0</v>
      </c>
      <c r="AA140" s="141">
        <v>1.0</v>
      </c>
      <c r="AB140" s="134"/>
      <c r="AC140" s="129">
        <v>110.0</v>
      </c>
      <c r="AD140" s="129">
        <v>2.0</v>
      </c>
      <c r="AE140" s="129">
        <v>75.0</v>
      </c>
      <c r="AF140" s="129">
        <v>75.0</v>
      </c>
      <c r="AG140" s="129">
        <v>24.0</v>
      </c>
      <c r="AH140" s="129">
        <v>34.0</v>
      </c>
      <c r="AI140" s="652">
        <f t="shared" si="12"/>
        <v>29</v>
      </c>
      <c r="AJ140" s="134"/>
      <c r="AK140" s="134"/>
      <c r="AL140" s="134"/>
      <c r="AM140" s="134"/>
      <c r="AN140" s="134"/>
      <c r="AO140" s="134"/>
      <c r="AP140" s="134"/>
      <c r="AQ140" s="134"/>
      <c r="AR140" s="134"/>
      <c r="AS140" s="653"/>
      <c r="AT140" s="154">
        <f t="shared" si="13"/>
        <v>750</v>
      </c>
      <c r="AU140" s="154">
        <f t="shared" si="14"/>
        <v>950</v>
      </c>
      <c r="AV140" s="654">
        <f t="shared" si="15"/>
        <v>850</v>
      </c>
      <c r="AW140" s="655">
        <f t="shared" si="276"/>
        <v>1518</v>
      </c>
      <c r="AX140" s="655">
        <f t="shared" si="277"/>
        <v>1518</v>
      </c>
      <c r="AY140" s="655">
        <f t="shared" si="18"/>
        <v>1518</v>
      </c>
      <c r="AZ140" s="655">
        <f t="shared" si="278"/>
        <v>1518</v>
      </c>
      <c r="BA140" s="655">
        <f t="shared" si="279"/>
        <v>1181</v>
      </c>
      <c r="BB140" s="655">
        <f t="shared" si="280"/>
        <v>1181</v>
      </c>
      <c r="BC140" s="655">
        <f t="shared" si="281"/>
        <v>1328</v>
      </c>
      <c r="BD140" s="655">
        <f t="shared" si="282"/>
        <v>1012</v>
      </c>
      <c r="BE140" s="655">
        <f t="shared" si="283"/>
        <v>1250</v>
      </c>
      <c r="BF140" s="655">
        <f t="shared" si="25"/>
        <v>1181</v>
      </c>
      <c r="BG140" s="655">
        <f t="shared" si="26"/>
        <v>1417</v>
      </c>
      <c r="BH140" s="655">
        <f t="shared" si="284"/>
        <v>1417</v>
      </c>
      <c r="BI140" s="655">
        <f t="shared" si="285"/>
        <v>1417</v>
      </c>
      <c r="BJ140" s="655">
        <f t="shared" si="286"/>
        <v>1417</v>
      </c>
      <c r="BK140" s="655">
        <f t="shared" si="287"/>
        <v>1118</v>
      </c>
      <c r="BL140" s="655">
        <f t="shared" si="288"/>
        <v>1118</v>
      </c>
      <c r="BM140" s="134"/>
      <c r="BN140" s="134"/>
      <c r="BO140" s="134"/>
      <c r="BP140" s="653" t="str">
        <f t="shared" si="33"/>
        <v/>
      </c>
      <c r="BQ140" s="129">
        <v>24.0</v>
      </c>
      <c r="BR140" s="129">
        <v>34.0</v>
      </c>
      <c r="BS140" s="129">
        <v>-10.0</v>
      </c>
      <c r="BT140" s="129">
        <v>75.0</v>
      </c>
      <c r="BU140" s="129">
        <v>75.0</v>
      </c>
      <c r="BV140" s="135">
        <f t="shared" si="34"/>
        <v>29</v>
      </c>
      <c r="BW140" s="657">
        <f t="shared" si="35"/>
        <v>1022.1</v>
      </c>
      <c r="BX140" s="655">
        <f t="shared" si="289"/>
        <v>1277.6</v>
      </c>
      <c r="BY140" s="655">
        <f t="shared" si="290"/>
        <v>1277.6</v>
      </c>
      <c r="BZ140" s="655">
        <f t="shared" si="38"/>
        <v>1277.6</v>
      </c>
      <c r="CA140" s="655">
        <f t="shared" si="291"/>
        <v>1161.5</v>
      </c>
      <c r="CB140" s="655">
        <f t="shared" si="292"/>
        <v>1022.1</v>
      </c>
      <c r="CC140" s="655">
        <f t="shared" si="293"/>
        <v>1277.6</v>
      </c>
      <c r="CD140" s="655">
        <f t="shared" si="294"/>
        <v>1022.1</v>
      </c>
      <c r="CE140" s="662" t="str">
        <f t="shared" si="43"/>
        <v/>
      </c>
      <c r="CF140" s="134">
        <f t="shared" si="248"/>
        <v>-16.8</v>
      </c>
      <c r="CG140" s="656">
        <f t="shared" si="295"/>
        <v>18.8</v>
      </c>
      <c r="CH140" s="653" t="s">
        <v>1098</v>
      </c>
      <c r="CI140" s="655">
        <f t="shared" ref="CI140:DF140" si="316">FLOOR($AV140/(CI$3/25),1)</f>
        <v>850</v>
      </c>
      <c r="CJ140" s="655">
        <f t="shared" si="316"/>
        <v>885</v>
      </c>
      <c r="CK140" s="655">
        <f t="shared" si="316"/>
        <v>923</v>
      </c>
      <c r="CL140" s="655">
        <f t="shared" si="316"/>
        <v>965</v>
      </c>
      <c r="CM140" s="655">
        <f t="shared" si="316"/>
        <v>1011</v>
      </c>
      <c r="CN140" s="655">
        <f t="shared" si="316"/>
        <v>1062</v>
      </c>
      <c r="CO140" s="655">
        <f t="shared" si="316"/>
        <v>1118</v>
      </c>
      <c r="CP140" s="655">
        <f t="shared" si="316"/>
        <v>1180</v>
      </c>
      <c r="CQ140" s="655">
        <f t="shared" si="316"/>
        <v>1250</v>
      </c>
      <c r="CR140" s="655">
        <f t="shared" si="316"/>
        <v>1328</v>
      </c>
      <c r="CS140" s="655">
        <f t="shared" si="316"/>
        <v>1416</v>
      </c>
      <c r="CT140" s="655">
        <f t="shared" si="316"/>
        <v>1517</v>
      </c>
      <c r="CU140" s="655">
        <f t="shared" si="316"/>
        <v>1634</v>
      </c>
      <c r="CV140" s="655">
        <f t="shared" si="316"/>
        <v>1770</v>
      </c>
      <c r="CW140" s="655">
        <f t="shared" si="316"/>
        <v>1931</v>
      </c>
      <c r="CX140" s="655">
        <f t="shared" si="316"/>
        <v>2125</v>
      </c>
      <c r="CY140" s="655">
        <f t="shared" si="316"/>
        <v>2361</v>
      </c>
      <c r="CZ140" s="655">
        <f t="shared" si="316"/>
        <v>2656</v>
      </c>
      <c r="DA140" s="655">
        <f t="shared" si="316"/>
        <v>3035</v>
      </c>
      <c r="DB140" s="655">
        <f t="shared" si="316"/>
        <v>3541</v>
      </c>
      <c r="DC140" s="655">
        <f t="shared" si="316"/>
        <v>4250</v>
      </c>
      <c r="DD140" s="655">
        <f t="shared" si="316"/>
        <v>5312</v>
      </c>
      <c r="DE140" s="655">
        <f t="shared" si="316"/>
        <v>7083</v>
      </c>
      <c r="DF140" s="656">
        <f t="shared" si="316"/>
        <v>10625</v>
      </c>
      <c r="DG140" s="653"/>
      <c r="DH140" s="653" t="str">
        <f t="shared" si="46"/>
        <v/>
      </c>
      <c r="DI140" s="134" t="str">
        <f t="shared" si="47"/>
        <v/>
      </c>
      <c r="DJ140" s="134" t="str">
        <f t="shared" si="48"/>
        <v/>
      </c>
      <c r="DK140" s="662" t="str">
        <f t="shared" si="49"/>
        <v/>
      </c>
      <c r="DL140" s="134"/>
      <c r="DM140" s="134"/>
      <c r="DN140" s="655">
        <f t="shared" si="314"/>
        <v>2.1</v>
      </c>
      <c r="DO140" s="653"/>
      <c r="DP140" s="872" t="s">
        <v>2242</v>
      </c>
    </row>
    <row r="141">
      <c r="A141" s="552">
        <v>135.0</v>
      </c>
      <c r="B141" s="86">
        <v>277.0</v>
      </c>
      <c r="C141" s="54">
        <v>23.0</v>
      </c>
      <c r="D141" s="54">
        <v>54.0</v>
      </c>
      <c r="E141" s="54">
        <v>1.0</v>
      </c>
      <c r="F141" s="68" t="s">
        <v>2344</v>
      </c>
      <c r="G141" s="68">
        <f t="shared" si="269"/>
        <v>16</v>
      </c>
      <c r="H141" s="68">
        <f t="shared" si="270"/>
        <v>16</v>
      </c>
      <c r="I141" s="68">
        <f t="shared" si="7"/>
        <v>16</v>
      </c>
      <c r="J141" s="68">
        <f t="shared" si="271"/>
        <v>18</v>
      </c>
      <c r="K141" s="68">
        <f t="shared" si="272"/>
        <v>20</v>
      </c>
      <c r="L141" s="68">
        <f t="shared" si="273"/>
        <v>16</v>
      </c>
      <c r="M141" s="569">
        <f t="shared" si="274"/>
        <v>20</v>
      </c>
      <c r="N141" s="74" t="s">
        <v>1048</v>
      </c>
      <c r="O141" s="678"/>
      <c r="P141" s="571"/>
      <c r="Q141" s="571" t="s">
        <v>1676</v>
      </c>
      <c r="R141" s="571" t="s">
        <v>1052</v>
      </c>
      <c r="S141" s="791" t="s">
        <v>1051</v>
      </c>
      <c r="T141" s="572" t="s">
        <v>1049</v>
      </c>
      <c r="U141" s="54">
        <v>64.0</v>
      </c>
      <c r="V141" s="54">
        <v>48.0</v>
      </c>
      <c r="W141" s="54">
        <v>48.0</v>
      </c>
      <c r="X141" s="679">
        <v>141.0</v>
      </c>
      <c r="Y141" s="54">
        <v>2.0</v>
      </c>
      <c r="Z141" s="54">
        <v>0.0</v>
      </c>
      <c r="AA141" s="86">
        <v>1.0</v>
      </c>
      <c r="AB141" s="74"/>
      <c r="AC141" s="54">
        <v>215.0</v>
      </c>
      <c r="AD141" s="54">
        <v>2.0</v>
      </c>
      <c r="AE141" s="54">
        <v>75.0</v>
      </c>
      <c r="AF141" s="54">
        <v>75.0</v>
      </c>
      <c r="AG141" s="54">
        <v>23.0</v>
      </c>
      <c r="AH141" s="54">
        <v>54.0</v>
      </c>
      <c r="AI141" s="574">
        <f t="shared" si="12"/>
        <v>38.5</v>
      </c>
      <c r="AJ141" s="74"/>
      <c r="AK141" s="74"/>
      <c r="AL141" s="74"/>
      <c r="AM141" s="74"/>
      <c r="AN141" s="74"/>
      <c r="AO141" s="74"/>
      <c r="AP141" s="74"/>
      <c r="AQ141" s="74"/>
      <c r="AR141" s="74"/>
      <c r="AS141" s="575"/>
      <c r="AT141" s="68">
        <f t="shared" si="13"/>
        <v>727</v>
      </c>
      <c r="AU141" s="68">
        <f t="shared" si="14"/>
        <v>1347</v>
      </c>
      <c r="AV141" s="581">
        <f t="shared" si="15"/>
        <v>1037</v>
      </c>
      <c r="AW141" s="582">
        <f t="shared" si="276"/>
        <v>1728</v>
      </c>
      <c r="AX141" s="582">
        <f t="shared" si="277"/>
        <v>1728</v>
      </c>
      <c r="AY141" s="582">
        <f t="shared" si="18"/>
        <v>1728</v>
      </c>
      <c r="AZ141" s="582">
        <f t="shared" si="278"/>
        <v>1728</v>
      </c>
      <c r="BA141" s="582">
        <f t="shared" si="279"/>
        <v>1364</v>
      </c>
      <c r="BB141" s="582">
        <f t="shared" si="280"/>
        <v>1364</v>
      </c>
      <c r="BC141" s="582">
        <f t="shared" si="281"/>
        <v>1525</v>
      </c>
      <c r="BD141" s="582">
        <f t="shared" si="282"/>
        <v>1037</v>
      </c>
      <c r="BE141" s="582">
        <f t="shared" si="283"/>
        <v>1235</v>
      </c>
      <c r="BF141" s="582">
        <f t="shared" si="25"/>
        <v>1127</v>
      </c>
      <c r="BG141" s="582">
        <f t="shared" si="26"/>
        <v>1364</v>
      </c>
      <c r="BH141" s="582">
        <f t="shared" si="284"/>
        <v>1364</v>
      </c>
      <c r="BI141" s="582">
        <f t="shared" si="285"/>
        <v>1364</v>
      </c>
      <c r="BJ141" s="582">
        <f t="shared" si="286"/>
        <v>1364</v>
      </c>
      <c r="BK141" s="582">
        <f t="shared" si="287"/>
        <v>1127</v>
      </c>
      <c r="BL141" s="582">
        <f t="shared" si="288"/>
        <v>1127</v>
      </c>
      <c r="BM141" s="74"/>
      <c r="BN141" s="74"/>
      <c r="BO141" s="74"/>
      <c r="BP141" s="575" t="str">
        <f t="shared" si="33"/>
        <v/>
      </c>
      <c r="BQ141" s="670">
        <v>23.0</v>
      </c>
      <c r="BR141" s="670">
        <v>54.0</v>
      </c>
      <c r="BS141" s="365"/>
      <c r="BT141" s="670">
        <v>75.0</v>
      </c>
      <c r="BU141" s="670">
        <v>75.0</v>
      </c>
      <c r="BV141" s="671">
        <f t="shared" si="34"/>
        <v>38.5</v>
      </c>
      <c r="BW141" s="672">
        <f t="shared" si="35"/>
        <v>1248.9</v>
      </c>
      <c r="BX141" s="673">
        <f t="shared" si="289"/>
        <v>1419.2</v>
      </c>
      <c r="BY141" s="673">
        <f t="shared" si="290"/>
        <v>1419.2</v>
      </c>
      <c r="BZ141" s="673">
        <f t="shared" si="38"/>
        <v>1419.2</v>
      </c>
      <c r="CA141" s="673">
        <f t="shared" si="291"/>
        <v>1248.9</v>
      </c>
      <c r="CB141" s="673">
        <f t="shared" si="292"/>
        <v>1115.1</v>
      </c>
      <c r="CC141" s="673">
        <f t="shared" si="293"/>
        <v>1419.2</v>
      </c>
      <c r="CD141" s="673">
        <f t="shared" si="294"/>
        <v>1115.1</v>
      </c>
      <c r="CE141" s="877" t="str">
        <f t="shared" si="43"/>
        <v/>
      </c>
      <c r="CF141" s="365">
        <f t="shared" si="248"/>
        <v>-17</v>
      </c>
      <c r="CG141" s="878">
        <f t="shared" si="295"/>
        <v>21.8</v>
      </c>
      <c r="CH141" s="575" t="s">
        <v>1048</v>
      </c>
      <c r="CI141" s="582">
        <f t="shared" ref="CI141:DF141" si="317">FLOOR($AV141/(CI$3/25),1)</f>
        <v>1037</v>
      </c>
      <c r="CJ141" s="582">
        <f t="shared" si="317"/>
        <v>1080</v>
      </c>
      <c r="CK141" s="582">
        <f t="shared" si="317"/>
        <v>1127</v>
      </c>
      <c r="CL141" s="582">
        <f t="shared" si="317"/>
        <v>1178</v>
      </c>
      <c r="CM141" s="582">
        <f t="shared" si="317"/>
        <v>1234</v>
      </c>
      <c r="CN141" s="582">
        <f t="shared" si="317"/>
        <v>1296</v>
      </c>
      <c r="CO141" s="582">
        <f t="shared" si="317"/>
        <v>1364</v>
      </c>
      <c r="CP141" s="582">
        <f t="shared" si="317"/>
        <v>1440</v>
      </c>
      <c r="CQ141" s="582">
        <f t="shared" si="317"/>
        <v>1525</v>
      </c>
      <c r="CR141" s="582">
        <f t="shared" si="317"/>
        <v>1620</v>
      </c>
      <c r="CS141" s="582">
        <f t="shared" si="317"/>
        <v>1728</v>
      </c>
      <c r="CT141" s="582">
        <f t="shared" si="317"/>
        <v>1851</v>
      </c>
      <c r="CU141" s="582">
        <f t="shared" si="317"/>
        <v>1994</v>
      </c>
      <c r="CV141" s="582">
        <f t="shared" si="317"/>
        <v>2160</v>
      </c>
      <c r="CW141" s="582">
        <f t="shared" si="317"/>
        <v>2356</v>
      </c>
      <c r="CX141" s="582">
        <f t="shared" si="317"/>
        <v>2592</v>
      </c>
      <c r="CY141" s="582">
        <f t="shared" si="317"/>
        <v>2880</v>
      </c>
      <c r="CZ141" s="582">
        <f t="shared" si="317"/>
        <v>3240</v>
      </c>
      <c r="DA141" s="582">
        <f t="shared" si="317"/>
        <v>3703</v>
      </c>
      <c r="DB141" s="582">
        <f t="shared" si="317"/>
        <v>4320</v>
      </c>
      <c r="DC141" s="582">
        <f t="shared" si="317"/>
        <v>5185</v>
      </c>
      <c r="DD141" s="582">
        <f t="shared" si="317"/>
        <v>6481</v>
      </c>
      <c r="DE141" s="582">
        <f t="shared" si="317"/>
        <v>8641</v>
      </c>
      <c r="DF141" s="602">
        <f t="shared" si="317"/>
        <v>12962</v>
      </c>
      <c r="DG141" s="575"/>
      <c r="DH141" s="575" t="str">
        <f t="shared" si="46"/>
        <v/>
      </c>
      <c r="DI141" s="74" t="str">
        <f t="shared" si="47"/>
        <v/>
      </c>
      <c r="DJ141" s="74" t="str">
        <f t="shared" si="48"/>
        <v/>
      </c>
      <c r="DK141" s="664">
        <f t="shared" si="49"/>
        <v>19.5</v>
      </c>
      <c r="DL141" s="685">
        <v>46.0</v>
      </c>
      <c r="DM141" s="74"/>
      <c r="DN141" s="582">
        <f t="shared" si="314"/>
        <v>2.1</v>
      </c>
      <c r="DO141" s="575"/>
      <c r="DP141" s="61" t="s">
        <v>2242</v>
      </c>
    </row>
    <row r="142">
      <c r="A142" s="552">
        <v>136.0</v>
      </c>
      <c r="B142" s="86">
        <v>279.0</v>
      </c>
      <c r="C142" s="54">
        <v>15.0</v>
      </c>
      <c r="D142" s="54">
        <v>66.0</v>
      </c>
      <c r="E142" s="54">
        <v>1.0</v>
      </c>
      <c r="F142" s="68" t="s">
        <v>1246</v>
      </c>
      <c r="G142" s="68">
        <f t="shared" si="269"/>
        <v>16</v>
      </c>
      <c r="H142" s="68">
        <f t="shared" si="270"/>
        <v>16</v>
      </c>
      <c r="I142" s="68">
        <f t="shared" si="7"/>
        <v>16</v>
      </c>
      <c r="J142" s="68">
        <f t="shared" si="271"/>
        <v>18</v>
      </c>
      <c r="K142" s="68">
        <f t="shared" si="272"/>
        <v>20</v>
      </c>
      <c r="L142" s="68">
        <f t="shared" si="273"/>
        <v>16</v>
      </c>
      <c r="M142" s="569">
        <f t="shared" si="274"/>
        <v>20</v>
      </c>
      <c r="N142" s="74" t="s">
        <v>1088</v>
      </c>
      <c r="O142" s="570" t="s">
        <v>2038</v>
      </c>
      <c r="P142" s="571"/>
      <c r="Q142" s="571" t="s">
        <v>1676</v>
      </c>
      <c r="R142" s="571" t="s">
        <v>1052</v>
      </c>
      <c r="S142" s="791" t="s">
        <v>1092</v>
      </c>
      <c r="T142" s="572" t="s">
        <v>1089</v>
      </c>
      <c r="U142" s="54">
        <v>56.0</v>
      </c>
      <c r="V142" s="54">
        <v>42.0</v>
      </c>
      <c r="W142" s="54">
        <v>88.0</v>
      </c>
      <c r="X142" s="679">
        <v>108.0</v>
      </c>
      <c r="Y142" s="54">
        <v>2.0</v>
      </c>
      <c r="Z142" s="54">
        <v>10.0</v>
      </c>
      <c r="AA142" s="86">
        <v>1.0</v>
      </c>
      <c r="AB142" s="74"/>
      <c r="AC142" s="54">
        <v>230.0</v>
      </c>
      <c r="AD142" s="54">
        <v>2.0</v>
      </c>
      <c r="AE142" s="54">
        <v>75.0</v>
      </c>
      <c r="AF142" s="54">
        <v>75.0</v>
      </c>
      <c r="AG142" s="54">
        <v>15.0</v>
      </c>
      <c r="AH142" s="54">
        <v>66.0</v>
      </c>
      <c r="AI142" s="574">
        <f t="shared" si="12"/>
        <v>40.5</v>
      </c>
      <c r="AJ142" s="74"/>
      <c r="AK142" s="74"/>
      <c r="AL142" s="74"/>
      <c r="AM142" s="74"/>
      <c r="AN142" s="74"/>
      <c r="AO142" s="74"/>
      <c r="AP142" s="74"/>
      <c r="AQ142" s="74"/>
      <c r="AR142" s="74"/>
      <c r="AS142" s="575"/>
      <c r="AT142" s="68">
        <f t="shared" si="13"/>
        <v>571</v>
      </c>
      <c r="AU142" s="68">
        <f t="shared" si="14"/>
        <v>1582</v>
      </c>
      <c r="AV142" s="581">
        <f t="shared" si="15"/>
        <v>1076.5</v>
      </c>
      <c r="AW142" s="582">
        <f t="shared" si="276"/>
        <v>1583</v>
      </c>
      <c r="AX142" s="582">
        <f t="shared" si="277"/>
        <v>1583</v>
      </c>
      <c r="AY142" s="582">
        <f t="shared" si="18"/>
        <v>1583</v>
      </c>
      <c r="AZ142" s="582">
        <f t="shared" si="278"/>
        <v>1583</v>
      </c>
      <c r="BA142" s="582">
        <f t="shared" si="279"/>
        <v>1223</v>
      </c>
      <c r="BB142" s="582">
        <f t="shared" si="280"/>
        <v>1223</v>
      </c>
      <c r="BC142" s="582">
        <f t="shared" si="281"/>
        <v>1346</v>
      </c>
      <c r="BD142" s="582">
        <f t="shared" si="282"/>
        <v>841</v>
      </c>
      <c r="BE142" s="582">
        <f t="shared" si="283"/>
        <v>1035</v>
      </c>
      <c r="BF142" s="582">
        <f t="shared" si="25"/>
        <v>997</v>
      </c>
      <c r="BG142" s="582">
        <f t="shared" si="26"/>
        <v>1223</v>
      </c>
      <c r="BH142" s="582">
        <f t="shared" si="284"/>
        <v>1223</v>
      </c>
      <c r="BI142" s="582">
        <f t="shared" si="285"/>
        <v>1223</v>
      </c>
      <c r="BJ142" s="582">
        <f t="shared" si="286"/>
        <v>1223</v>
      </c>
      <c r="BK142" s="582">
        <f t="shared" si="287"/>
        <v>928</v>
      </c>
      <c r="BL142" s="582">
        <f t="shared" si="288"/>
        <v>928</v>
      </c>
      <c r="BM142" s="74"/>
      <c r="BN142" s="74"/>
      <c r="BO142" s="74"/>
      <c r="BP142" s="575" t="str">
        <f t="shared" si="33"/>
        <v/>
      </c>
      <c r="BQ142" s="670">
        <v>15.0</v>
      </c>
      <c r="BR142" s="670">
        <v>66.0</v>
      </c>
      <c r="BS142" s="670">
        <v>10.0</v>
      </c>
      <c r="BT142" s="670">
        <v>75.0</v>
      </c>
      <c r="BU142" s="670">
        <v>75.0</v>
      </c>
      <c r="BV142" s="671">
        <f t="shared" si="34"/>
        <v>40.5</v>
      </c>
      <c r="BW142" s="672">
        <f t="shared" si="35"/>
        <v>1296.6</v>
      </c>
      <c r="BX142" s="673">
        <f t="shared" si="289"/>
        <v>1246.7</v>
      </c>
      <c r="BY142" s="673">
        <f t="shared" si="290"/>
        <v>1246.7</v>
      </c>
      <c r="BZ142" s="673">
        <f t="shared" si="38"/>
        <v>1246.7</v>
      </c>
      <c r="CA142" s="673">
        <f t="shared" si="291"/>
        <v>1080.5</v>
      </c>
      <c r="CB142" s="673">
        <f t="shared" si="292"/>
        <v>982.3</v>
      </c>
      <c r="CC142" s="673">
        <f t="shared" si="293"/>
        <v>1246.7</v>
      </c>
      <c r="CD142" s="673">
        <f t="shared" si="294"/>
        <v>982.3</v>
      </c>
      <c r="CE142" s="877" t="str">
        <f t="shared" si="43"/>
        <v/>
      </c>
      <c r="CF142" s="365">
        <f t="shared" si="248"/>
        <v>-17</v>
      </c>
      <c r="CG142" s="878">
        <f t="shared" si="295"/>
        <v>27</v>
      </c>
      <c r="CH142" s="575" t="s">
        <v>1088</v>
      </c>
      <c r="CI142" s="582">
        <f t="shared" ref="CI142:DF142" si="318">FLOOR($AV142/(CI$3/25),1)</f>
        <v>1076</v>
      </c>
      <c r="CJ142" s="582">
        <f t="shared" si="318"/>
        <v>1121</v>
      </c>
      <c r="CK142" s="582">
        <f t="shared" si="318"/>
        <v>1170</v>
      </c>
      <c r="CL142" s="582">
        <f t="shared" si="318"/>
        <v>1223</v>
      </c>
      <c r="CM142" s="582">
        <f t="shared" si="318"/>
        <v>1281</v>
      </c>
      <c r="CN142" s="582">
        <f t="shared" si="318"/>
        <v>1345</v>
      </c>
      <c r="CO142" s="582">
        <f t="shared" si="318"/>
        <v>1416</v>
      </c>
      <c r="CP142" s="582">
        <f t="shared" si="318"/>
        <v>1495</v>
      </c>
      <c r="CQ142" s="582">
        <f t="shared" si="318"/>
        <v>1583</v>
      </c>
      <c r="CR142" s="582">
        <f t="shared" si="318"/>
        <v>1682</v>
      </c>
      <c r="CS142" s="582">
        <f t="shared" si="318"/>
        <v>1794</v>
      </c>
      <c r="CT142" s="582">
        <f t="shared" si="318"/>
        <v>1922</v>
      </c>
      <c r="CU142" s="582">
        <f t="shared" si="318"/>
        <v>2070</v>
      </c>
      <c r="CV142" s="582">
        <f t="shared" si="318"/>
        <v>2242</v>
      </c>
      <c r="CW142" s="582">
        <f t="shared" si="318"/>
        <v>2446</v>
      </c>
      <c r="CX142" s="582">
        <f t="shared" si="318"/>
        <v>2691</v>
      </c>
      <c r="CY142" s="582">
        <f t="shared" si="318"/>
        <v>2990</v>
      </c>
      <c r="CZ142" s="582">
        <f t="shared" si="318"/>
        <v>3364</v>
      </c>
      <c r="DA142" s="582">
        <f t="shared" si="318"/>
        <v>3844</v>
      </c>
      <c r="DB142" s="582">
        <f t="shared" si="318"/>
        <v>4485</v>
      </c>
      <c r="DC142" s="582">
        <f t="shared" si="318"/>
        <v>5382</v>
      </c>
      <c r="DD142" s="582">
        <f t="shared" si="318"/>
        <v>6728</v>
      </c>
      <c r="DE142" s="582">
        <f t="shared" si="318"/>
        <v>8970</v>
      </c>
      <c r="DF142" s="602">
        <f t="shared" si="318"/>
        <v>13456</v>
      </c>
      <c r="DG142" s="575"/>
      <c r="DH142" s="575" t="str">
        <f t="shared" si="46"/>
        <v/>
      </c>
      <c r="DI142" s="74" t="str">
        <f t="shared" si="47"/>
        <v/>
      </c>
      <c r="DJ142" s="74" t="str">
        <f t="shared" si="48"/>
        <v/>
      </c>
      <c r="DK142" s="664">
        <f t="shared" si="49"/>
        <v>21</v>
      </c>
      <c r="DL142" s="685">
        <v>49.0</v>
      </c>
      <c r="DM142" s="74"/>
      <c r="DN142" s="582">
        <f t="shared" si="314"/>
        <v>1.6</v>
      </c>
      <c r="DO142" s="575"/>
      <c r="DP142" s="61" t="s">
        <v>2242</v>
      </c>
    </row>
    <row r="143">
      <c r="A143" s="552">
        <v>137.0</v>
      </c>
      <c r="B143" s="86">
        <v>281.0</v>
      </c>
      <c r="C143" s="54">
        <v>23.0</v>
      </c>
      <c r="D143" s="54">
        <v>39.0</v>
      </c>
      <c r="E143" s="54">
        <v>1.0</v>
      </c>
      <c r="F143" s="68" t="s">
        <v>2344</v>
      </c>
      <c r="G143" s="68">
        <f t="shared" si="269"/>
        <v>16</v>
      </c>
      <c r="H143" s="68">
        <f t="shared" si="270"/>
        <v>16</v>
      </c>
      <c r="I143" s="68">
        <f t="shared" si="7"/>
        <v>16</v>
      </c>
      <c r="J143" s="68">
        <f t="shared" si="271"/>
        <v>18</v>
      </c>
      <c r="K143" s="68">
        <f t="shared" si="272"/>
        <v>20</v>
      </c>
      <c r="L143" s="68">
        <f t="shared" si="273"/>
        <v>16</v>
      </c>
      <c r="M143" s="569">
        <f t="shared" si="274"/>
        <v>20</v>
      </c>
      <c r="N143" s="74" t="s">
        <v>1060</v>
      </c>
      <c r="O143" s="570" t="s">
        <v>2039</v>
      </c>
      <c r="P143" s="571"/>
      <c r="Q143" s="571" t="s">
        <v>1676</v>
      </c>
      <c r="R143" s="571" t="s">
        <v>1052</v>
      </c>
      <c r="S143" s="791" t="s">
        <v>1051</v>
      </c>
      <c r="T143" s="572" t="s">
        <v>1061</v>
      </c>
      <c r="U143" s="54">
        <v>77.0</v>
      </c>
      <c r="V143" s="54">
        <v>57.0</v>
      </c>
      <c r="W143" s="54">
        <v>45.0</v>
      </c>
      <c r="X143" s="679">
        <v>142.0</v>
      </c>
      <c r="Y143" s="54">
        <v>2.0</v>
      </c>
      <c r="Z143" s="54">
        <v>-20.0</v>
      </c>
      <c r="AA143" s="86">
        <v>1.0</v>
      </c>
      <c r="AB143" s="74"/>
      <c r="AC143" s="54">
        <v>248.0</v>
      </c>
      <c r="AD143" s="54">
        <v>2.0</v>
      </c>
      <c r="AE143" s="54">
        <v>75.0</v>
      </c>
      <c r="AF143" s="54">
        <v>75.0</v>
      </c>
      <c r="AG143" s="54">
        <v>23.0</v>
      </c>
      <c r="AH143" s="54">
        <v>39.0</v>
      </c>
      <c r="AI143" s="574">
        <f t="shared" si="12"/>
        <v>31</v>
      </c>
      <c r="AJ143" s="74"/>
      <c r="AK143" s="74"/>
      <c r="AL143" s="74"/>
      <c r="AM143" s="74"/>
      <c r="AN143" s="74"/>
      <c r="AO143" s="74"/>
      <c r="AP143" s="74"/>
      <c r="AQ143" s="74"/>
      <c r="AR143" s="74"/>
      <c r="AS143" s="575"/>
      <c r="AT143" s="68">
        <f t="shared" si="13"/>
        <v>727</v>
      </c>
      <c r="AU143" s="68">
        <f t="shared" si="14"/>
        <v>1046</v>
      </c>
      <c r="AV143" s="581">
        <f t="shared" si="15"/>
        <v>886.5</v>
      </c>
      <c r="AW143" s="582">
        <f t="shared" si="276"/>
        <v>1705</v>
      </c>
      <c r="AX143" s="582">
        <f t="shared" si="277"/>
        <v>1705</v>
      </c>
      <c r="AY143" s="582">
        <f t="shared" si="18"/>
        <v>1705</v>
      </c>
      <c r="AZ143" s="582">
        <f t="shared" si="278"/>
        <v>1705</v>
      </c>
      <c r="BA143" s="582">
        <f t="shared" si="279"/>
        <v>1385</v>
      </c>
      <c r="BB143" s="582">
        <f t="shared" si="280"/>
        <v>1385</v>
      </c>
      <c r="BC143" s="582">
        <f t="shared" si="281"/>
        <v>1478</v>
      </c>
      <c r="BD143" s="582">
        <f t="shared" si="282"/>
        <v>1231</v>
      </c>
      <c r="BE143" s="582">
        <f t="shared" si="283"/>
        <v>1478</v>
      </c>
      <c r="BF143" s="582">
        <f t="shared" si="25"/>
        <v>1478</v>
      </c>
      <c r="BG143" s="582">
        <f t="shared" si="26"/>
        <v>1705</v>
      </c>
      <c r="BH143" s="582">
        <f t="shared" si="284"/>
        <v>1705</v>
      </c>
      <c r="BI143" s="582">
        <f t="shared" si="285"/>
        <v>1705</v>
      </c>
      <c r="BJ143" s="582">
        <f t="shared" si="286"/>
        <v>1705</v>
      </c>
      <c r="BK143" s="582">
        <f t="shared" si="287"/>
        <v>1478</v>
      </c>
      <c r="BL143" s="582">
        <f t="shared" si="288"/>
        <v>1478</v>
      </c>
      <c r="BM143" s="74"/>
      <c r="BN143" s="74"/>
      <c r="BO143" s="74"/>
      <c r="BP143" s="575" t="str">
        <f t="shared" si="33"/>
        <v/>
      </c>
      <c r="BQ143" s="670">
        <v>23.0</v>
      </c>
      <c r="BR143" s="670">
        <v>39.0</v>
      </c>
      <c r="BS143" s="670">
        <v>-20.0</v>
      </c>
      <c r="BT143" s="670">
        <v>75.0</v>
      </c>
      <c r="BU143" s="670">
        <v>75.0</v>
      </c>
      <c r="BV143" s="671">
        <f t="shared" si="34"/>
        <v>31</v>
      </c>
      <c r="BW143" s="672">
        <f t="shared" si="35"/>
        <v>1069.8</v>
      </c>
      <c r="BX143" s="673">
        <f t="shared" si="289"/>
        <v>1573.2</v>
      </c>
      <c r="BY143" s="673">
        <f t="shared" si="290"/>
        <v>1573.2</v>
      </c>
      <c r="BZ143" s="673">
        <f t="shared" si="38"/>
        <v>1573.2</v>
      </c>
      <c r="CA143" s="673">
        <f t="shared" si="291"/>
        <v>1337.3</v>
      </c>
      <c r="CB143" s="673">
        <f t="shared" si="292"/>
        <v>1215.7</v>
      </c>
      <c r="CC143" s="673">
        <f t="shared" si="293"/>
        <v>1573.2</v>
      </c>
      <c r="CD143" s="673">
        <f t="shared" si="294"/>
        <v>1215.7</v>
      </c>
      <c r="CE143" s="877" t="str">
        <f t="shared" si="43"/>
        <v/>
      </c>
      <c r="CF143" s="365">
        <f t="shared" si="248"/>
        <v>-17.1</v>
      </c>
      <c r="CG143" s="878">
        <f t="shared" si="295"/>
        <v>8.4</v>
      </c>
      <c r="CH143" s="575" t="s">
        <v>1060</v>
      </c>
      <c r="CI143" s="582">
        <f t="shared" ref="CI143:DF143" si="319">FLOOR($AV143/(CI$3/25),1)</f>
        <v>886</v>
      </c>
      <c r="CJ143" s="582">
        <f t="shared" si="319"/>
        <v>923</v>
      </c>
      <c r="CK143" s="582">
        <f t="shared" si="319"/>
        <v>963</v>
      </c>
      <c r="CL143" s="582">
        <f t="shared" si="319"/>
        <v>1007</v>
      </c>
      <c r="CM143" s="582">
        <f t="shared" si="319"/>
        <v>1055</v>
      </c>
      <c r="CN143" s="582">
        <f t="shared" si="319"/>
        <v>1108</v>
      </c>
      <c r="CO143" s="582">
        <f t="shared" si="319"/>
        <v>1166</v>
      </c>
      <c r="CP143" s="582">
        <f t="shared" si="319"/>
        <v>1231</v>
      </c>
      <c r="CQ143" s="582">
        <f t="shared" si="319"/>
        <v>1303</v>
      </c>
      <c r="CR143" s="582">
        <f t="shared" si="319"/>
        <v>1385</v>
      </c>
      <c r="CS143" s="582">
        <f t="shared" si="319"/>
        <v>1477</v>
      </c>
      <c r="CT143" s="582">
        <f t="shared" si="319"/>
        <v>1583</v>
      </c>
      <c r="CU143" s="582">
        <f t="shared" si="319"/>
        <v>1704</v>
      </c>
      <c r="CV143" s="582">
        <f t="shared" si="319"/>
        <v>1846</v>
      </c>
      <c r="CW143" s="582">
        <f t="shared" si="319"/>
        <v>2014</v>
      </c>
      <c r="CX143" s="582">
        <f t="shared" si="319"/>
        <v>2216</v>
      </c>
      <c r="CY143" s="582">
        <f t="shared" si="319"/>
        <v>2462</v>
      </c>
      <c r="CZ143" s="582">
        <f t="shared" si="319"/>
        <v>2770</v>
      </c>
      <c r="DA143" s="582">
        <f t="shared" si="319"/>
        <v>3166</v>
      </c>
      <c r="DB143" s="582">
        <f t="shared" si="319"/>
        <v>3693</v>
      </c>
      <c r="DC143" s="582">
        <f t="shared" si="319"/>
        <v>4432</v>
      </c>
      <c r="DD143" s="582">
        <f t="shared" si="319"/>
        <v>5540</v>
      </c>
      <c r="DE143" s="582">
        <f t="shared" si="319"/>
        <v>7387</v>
      </c>
      <c r="DF143" s="602">
        <f t="shared" si="319"/>
        <v>11081</v>
      </c>
      <c r="DG143" s="575"/>
      <c r="DH143" s="575" t="str">
        <f t="shared" si="46"/>
        <v/>
      </c>
      <c r="DI143" s="74" t="str">
        <f t="shared" si="47"/>
        <v/>
      </c>
      <c r="DJ143" s="74" t="str">
        <f t="shared" si="48"/>
        <v/>
      </c>
      <c r="DK143" s="664">
        <f t="shared" si="49"/>
        <v>22.6</v>
      </c>
      <c r="DL143" s="685">
        <v>38.0</v>
      </c>
      <c r="DM143" s="74"/>
      <c r="DN143" s="582">
        <f t="shared" si="314"/>
        <v>1.5</v>
      </c>
      <c r="DO143" s="575"/>
      <c r="DP143" s="61" t="s">
        <v>2242</v>
      </c>
    </row>
    <row r="144">
      <c r="A144" s="686">
        <v>138.0</v>
      </c>
      <c r="B144" s="196">
        <v>283.0</v>
      </c>
      <c r="C144" s="186">
        <v>7.0</v>
      </c>
      <c r="D144" s="186">
        <v>60.0</v>
      </c>
      <c r="E144" s="186">
        <v>1.0</v>
      </c>
      <c r="F144" s="221" t="s">
        <v>1246</v>
      </c>
      <c r="G144" s="221">
        <f t="shared" si="269"/>
        <v>16</v>
      </c>
      <c r="H144" s="221">
        <f t="shared" si="270"/>
        <v>16</v>
      </c>
      <c r="I144" s="221">
        <f t="shared" si="7"/>
        <v>16</v>
      </c>
      <c r="J144" s="221">
        <f t="shared" si="271"/>
        <v>18</v>
      </c>
      <c r="K144" s="221">
        <f t="shared" si="272"/>
        <v>20</v>
      </c>
      <c r="L144" s="221">
        <f t="shared" si="273"/>
        <v>16</v>
      </c>
      <c r="M144" s="687">
        <f t="shared" si="274"/>
        <v>20</v>
      </c>
      <c r="N144" s="190" t="s">
        <v>1101</v>
      </c>
      <c r="O144" s="688" t="s">
        <v>2040</v>
      </c>
      <c r="P144" s="689"/>
      <c r="Q144" s="689" t="s">
        <v>1676</v>
      </c>
      <c r="R144" s="689" t="s">
        <v>1052</v>
      </c>
      <c r="S144" s="797" t="s">
        <v>1092</v>
      </c>
      <c r="T144" s="690" t="s">
        <v>1102</v>
      </c>
      <c r="U144" s="186">
        <v>80.0</v>
      </c>
      <c r="V144" s="186">
        <v>60.0</v>
      </c>
      <c r="W144" s="186">
        <v>96.0</v>
      </c>
      <c r="X144" s="798">
        <v>122.0</v>
      </c>
      <c r="Y144" s="186">
        <v>3.0</v>
      </c>
      <c r="Z144" s="186">
        <v>-10.0</v>
      </c>
      <c r="AA144" s="196">
        <v>1.0</v>
      </c>
      <c r="AB144" s="190"/>
      <c r="AC144" s="186">
        <v>251.0</v>
      </c>
      <c r="AD144" s="186">
        <v>2.0</v>
      </c>
      <c r="AE144" s="186">
        <v>75.0</v>
      </c>
      <c r="AF144" s="186">
        <v>75.0</v>
      </c>
      <c r="AG144" s="186">
        <v>7.0</v>
      </c>
      <c r="AH144" s="186">
        <v>60.0</v>
      </c>
      <c r="AI144" s="692">
        <f t="shared" si="12"/>
        <v>33.5</v>
      </c>
      <c r="AJ144" s="183"/>
      <c r="AK144" s="183"/>
      <c r="AL144" s="190"/>
      <c r="AM144" s="190"/>
      <c r="AN144" s="190"/>
      <c r="AO144" s="190"/>
      <c r="AP144" s="190"/>
      <c r="AQ144" s="190"/>
      <c r="AR144" s="190"/>
      <c r="AS144" s="377"/>
      <c r="AT144" s="221">
        <f t="shared" si="13"/>
        <v>410</v>
      </c>
      <c r="AU144" s="221">
        <f t="shared" si="14"/>
        <v>1465</v>
      </c>
      <c r="AV144" s="693">
        <f t="shared" si="15"/>
        <v>937.5</v>
      </c>
      <c r="AW144" s="694">
        <f t="shared" si="276"/>
        <v>1674</v>
      </c>
      <c r="AX144" s="694">
        <f t="shared" si="277"/>
        <v>1674</v>
      </c>
      <c r="AY144" s="694">
        <f t="shared" si="18"/>
        <v>1674</v>
      </c>
      <c r="AZ144" s="694">
        <f t="shared" si="278"/>
        <v>1674</v>
      </c>
      <c r="BA144" s="694">
        <f t="shared" si="279"/>
        <v>1302</v>
      </c>
      <c r="BB144" s="694">
        <f t="shared" si="280"/>
        <v>1302</v>
      </c>
      <c r="BC144" s="694">
        <f t="shared" si="281"/>
        <v>1465</v>
      </c>
      <c r="BD144" s="694">
        <f t="shared" si="282"/>
        <v>1116</v>
      </c>
      <c r="BE144" s="694">
        <f t="shared" si="283"/>
        <v>1379</v>
      </c>
      <c r="BF144" s="694">
        <f t="shared" si="25"/>
        <v>1302</v>
      </c>
      <c r="BG144" s="694">
        <f t="shared" si="26"/>
        <v>1563</v>
      </c>
      <c r="BH144" s="694">
        <f t="shared" si="284"/>
        <v>1563</v>
      </c>
      <c r="BI144" s="694">
        <f t="shared" si="285"/>
        <v>1563</v>
      </c>
      <c r="BJ144" s="694">
        <f t="shared" si="286"/>
        <v>1563</v>
      </c>
      <c r="BK144" s="694">
        <f t="shared" si="287"/>
        <v>1234</v>
      </c>
      <c r="BL144" s="694">
        <f t="shared" si="288"/>
        <v>1234</v>
      </c>
      <c r="BM144" s="190"/>
      <c r="BN144" s="190"/>
      <c r="BO144" s="190"/>
      <c r="BP144" s="377" t="str">
        <f t="shared" si="33"/>
        <v/>
      </c>
      <c r="BQ144" s="696">
        <v>7.0</v>
      </c>
      <c r="BR144" s="696">
        <v>60.0</v>
      </c>
      <c r="BS144" s="696">
        <v>-10.0</v>
      </c>
      <c r="BT144" s="696">
        <v>75.0</v>
      </c>
      <c r="BU144" s="696">
        <v>75.0</v>
      </c>
      <c r="BV144" s="698">
        <f t="shared" si="34"/>
        <v>33.5</v>
      </c>
      <c r="BW144" s="699">
        <f t="shared" si="35"/>
        <v>1129.5</v>
      </c>
      <c r="BX144" s="700">
        <f t="shared" si="289"/>
        <v>1411.9</v>
      </c>
      <c r="BY144" s="700">
        <f t="shared" si="290"/>
        <v>1411.9</v>
      </c>
      <c r="BZ144" s="700">
        <f t="shared" si="38"/>
        <v>1411.9</v>
      </c>
      <c r="CA144" s="700">
        <f t="shared" si="291"/>
        <v>1283.5</v>
      </c>
      <c r="CB144" s="700">
        <f t="shared" si="292"/>
        <v>1129.5</v>
      </c>
      <c r="CC144" s="700">
        <f t="shared" si="293"/>
        <v>1411.9</v>
      </c>
      <c r="CD144" s="700">
        <f t="shared" si="294"/>
        <v>1129.5</v>
      </c>
      <c r="CE144" s="879" t="str">
        <f t="shared" si="43"/>
        <v/>
      </c>
      <c r="CF144" s="697">
        <f t="shared" si="248"/>
        <v>-17</v>
      </c>
      <c r="CG144" s="880">
        <f t="shared" si="295"/>
        <v>18.6</v>
      </c>
      <c r="CH144" s="377" t="s">
        <v>1101</v>
      </c>
      <c r="CI144" s="694">
        <f t="shared" ref="CI144:DF144" si="320">FLOOR($AV144/(CI$3/25),1)</f>
        <v>937</v>
      </c>
      <c r="CJ144" s="694">
        <f t="shared" si="320"/>
        <v>976</v>
      </c>
      <c r="CK144" s="694">
        <f t="shared" si="320"/>
        <v>1019</v>
      </c>
      <c r="CL144" s="694">
        <f t="shared" si="320"/>
        <v>1065</v>
      </c>
      <c r="CM144" s="694">
        <f t="shared" si="320"/>
        <v>1116</v>
      </c>
      <c r="CN144" s="694">
        <f t="shared" si="320"/>
        <v>1171</v>
      </c>
      <c r="CO144" s="694">
        <f t="shared" si="320"/>
        <v>1233</v>
      </c>
      <c r="CP144" s="694">
        <f t="shared" si="320"/>
        <v>1302</v>
      </c>
      <c r="CQ144" s="694">
        <f t="shared" si="320"/>
        <v>1378</v>
      </c>
      <c r="CR144" s="694">
        <f t="shared" si="320"/>
        <v>1464</v>
      </c>
      <c r="CS144" s="694">
        <f t="shared" si="320"/>
        <v>1562</v>
      </c>
      <c r="CT144" s="694">
        <f t="shared" si="320"/>
        <v>1674</v>
      </c>
      <c r="CU144" s="694">
        <f t="shared" si="320"/>
        <v>1802</v>
      </c>
      <c r="CV144" s="694">
        <f t="shared" si="320"/>
        <v>1953</v>
      </c>
      <c r="CW144" s="694">
        <f t="shared" si="320"/>
        <v>2130</v>
      </c>
      <c r="CX144" s="694">
        <f t="shared" si="320"/>
        <v>2343</v>
      </c>
      <c r="CY144" s="694">
        <f t="shared" si="320"/>
        <v>2604</v>
      </c>
      <c r="CZ144" s="694">
        <f t="shared" si="320"/>
        <v>2929</v>
      </c>
      <c r="DA144" s="694">
        <f t="shared" si="320"/>
        <v>3348</v>
      </c>
      <c r="DB144" s="694">
        <f t="shared" si="320"/>
        <v>3906</v>
      </c>
      <c r="DC144" s="694">
        <f t="shared" si="320"/>
        <v>4687</v>
      </c>
      <c r="DD144" s="694">
        <f t="shared" si="320"/>
        <v>5859</v>
      </c>
      <c r="DE144" s="694">
        <f t="shared" si="320"/>
        <v>7812</v>
      </c>
      <c r="DF144" s="695">
        <f t="shared" si="320"/>
        <v>11718</v>
      </c>
      <c r="DG144" s="377"/>
      <c r="DH144" s="377" t="str">
        <f t="shared" si="46"/>
        <v/>
      </c>
      <c r="DI144" s="190" t="str">
        <f t="shared" si="47"/>
        <v/>
      </c>
      <c r="DJ144" s="190" t="str">
        <f t="shared" si="48"/>
        <v/>
      </c>
      <c r="DK144" s="881">
        <f t="shared" si="49"/>
        <v>25.4</v>
      </c>
      <c r="DL144" s="882">
        <v>42.0</v>
      </c>
      <c r="DM144" s="190"/>
      <c r="DN144" s="694">
        <f t="shared" si="314"/>
        <v>1.4</v>
      </c>
      <c r="DO144" s="377"/>
      <c r="DP144" s="883" t="s">
        <v>2242</v>
      </c>
    </row>
    <row r="145">
      <c r="A145" s="809">
        <v>139.0</v>
      </c>
      <c r="B145" s="337">
        <v>51.0</v>
      </c>
      <c r="C145" s="338">
        <v>2.0</v>
      </c>
      <c r="D145" s="338">
        <v>3.0</v>
      </c>
      <c r="E145" s="347"/>
      <c r="F145" s="349" t="s">
        <v>2344</v>
      </c>
      <c r="G145" s="349">
        <f t="shared" si="269"/>
        <v>15</v>
      </c>
      <c r="H145" s="349">
        <f t="shared" si="270"/>
        <v>15</v>
      </c>
      <c r="I145" s="349">
        <f t="shared" si="7"/>
        <v>16</v>
      </c>
      <c r="J145" s="349">
        <f t="shared" si="271"/>
        <v>19</v>
      </c>
      <c r="K145" s="349">
        <f t="shared" si="272"/>
        <v>19</v>
      </c>
      <c r="L145" s="349">
        <f t="shared" si="273"/>
        <v>17</v>
      </c>
      <c r="M145" s="884">
        <f t="shared" si="274"/>
        <v>19</v>
      </c>
      <c r="N145" s="811" t="s">
        <v>1063</v>
      </c>
      <c r="O145" s="844"/>
      <c r="P145" s="813"/>
      <c r="Q145" s="813" t="s">
        <v>1313</v>
      </c>
      <c r="R145" s="813" t="s">
        <v>1314</v>
      </c>
      <c r="S145" s="814" t="s">
        <v>1051</v>
      </c>
      <c r="T145" s="815" t="s">
        <v>1034</v>
      </c>
      <c r="U145" s="338">
        <v>2.0</v>
      </c>
      <c r="V145" s="338">
        <v>0.0</v>
      </c>
      <c r="W145" s="347"/>
      <c r="X145" s="338">
        <v>21.0</v>
      </c>
      <c r="Y145" s="679">
        <v>1.0</v>
      </c>
      <c r="Z145" s="338">
        <v>0.0</v>
      </c>
      <c r="AA145" s="338">
        <v>1.0</v>
      </c>
      <c r="AB145" s="347"/>
      <c r="AC145" s="338">
        <v>6.0</v>
      </c>
      <c r="AD145" s="338">
        <v>2.0</v>
      </c>
      <c r="AE145" s="338">
        <v>75.0</v>
      </c>
      <c r="AF145" s="338">
        <v>75.0</v>
      </c>
      <c r="AG145" s="338">
        <v>2.0</v>
      </c>
      <c r="AH145" s="338">
        <v>3.0</v>
      </c>
      <c r="AI145" s="816">
        <f t="shared" si="12"/>
        <v>2.5</v>
      </c>
      <c r="AJ145" s="347"/>
      <c r="AK145" s="347"/>
      <c r="AL145" s="347"/>
      <c r="AM145" s="347"/>
      <c r="AN145" s="347"/>
      <c r="AO145" s="347"/>
      <c r="AP145" s="347"/>
      <c r="AQ145" s="347"/>
      <c r="AR145" s="347"/>
      <c r="AS145" s="810"/>
      <c r="AT145" s="349">
        <f t="shared" si="13"/>
        <v>313</v>
      </c>
      <c r="AU145" s="349">
        <f t="shared" si="14"/>
        <v>331</v>
      </c>
      <c r="AV145" s="817">
        <f t="shared" si="15"/>
        <v>322</v>
      </c>
      <c r="AW145" s="818">
        <f t="shared" si="276"/>
        <v>575</v>
      </c>
      <c r="AX145" s="818">
        <f t="shared" si="277"/>
        <v>575</v>
      </c>
      <c r="AY145" s="818">
        <f t="shared" si="18"/>
        <v>537</v>
      </c>
      <c r="AZ145" s="818">
        <f t="shared" si="278"/>
        <v>503</v>
      </c>
      <c r="BA145" s="818">
        <f t="shared" si="279"/>
        <v>447</v>
      </c>
      <c r="BB145" s="818">
        <f t="shared" si="280"/>
        <v>447</v>
      </c>
      <c r="BC145" s="818">
        <f t="shared" si="281"/>
        <v>447</v>
      </c>
      <c r="BD145" s="818">
        <f t="shared" si="282"/>
        <v>298</v>
      </c>
      <c r="BE145" s="818">
        <f t="shared" si="283"/>
        <v>366</v>
      </c>
      <c r="BF145" s="818">
        <f t="shared" si="25"/>
        <v>350</v>
      </c>
      <c r="BG145" s="818">
        <f t="shared" si="26"/>
        <v>424</v>
      </c>
      <c r="BH145" s="818">
        <f t="shared" si="284"/>
        <v>447</v>
      </c>
      <c r="BI145" s="818">
        <f t="shared" si="285"/>
        <v>447</v>
      </c>
      <c r="BJ145" s="818">
        <f t="shared" si="286"/>
        <v>403</v>
      </c>
      <c r="BK145" s="818">
        <f t="shared" si="287"/>
        <v>366</v>
      </c>
      <c r="BL145" s="818">
        <f t="shared" si="288"/>
        <v>366</v>
      </c>
      <c r="BM145" s="347"/>
      <c r="BN145" s="347"/>
      <c r="BO145" s="347"/>
      <c r="BP145" s="810" t="str">
        <f t="shared" si="33"/>
        <v/>
      </c>
      <c r="BQ145" s="338">
        <v>2.0</v>
      </c>
      <c r="BR145" s="338">
        <v>3.0</v>
      </c>
      <c r="BS145" s="347"/>
      <c r="BT145" s="338">
        <v>75.0</v>
      </c>
      <c r="BU145" s="338">
        <v>75.0</v>
      </c>
      <c r="BV145" s="339">
        <f t="shared" si="34"/>
        <v>2.5</v>
      </c>
      <c r="BW145" s="819">
        <f t="shared" si="35"/>
        <v>389.5</v>
      </c>
      <c r="BX145" s="818">
        <f t="shared" si="289"/>
        <v>695.5</v>
      </c>
      <c r="BY145" s="818">
        <f t="shared" si="290"/>
        <v>695.5</v>
      </c>
      <c r="BZ145" s="818">
        <f t="shared" si="38"/>
        <v>649.2</v>
      </c>
      <c r="CA145" s="818">
        <f t="shared" si="291"/>
        <v>541</v>
      </c>
      <c r="CB145" s="818">
        <f t="shared" si="292"/>
        <v>541</v>
      </c>
      <c r="CC145" s="818">
        <f t="shared" si="293"/>
        <v>608.6</v>
      </c>
      <c r="CD145" s="818">
        <f t="shared" si="294"/>
        <v>541</v>
      </c>
      <c r="CE145" s="820" t="str">
        <f t="shared" si="43"/>
        <v/>
      </c>
      <c r="CF145" s="347">
        <f t="shared" si="248"/>
        <v>-17.3</v>
      </c>
      <c r="CG145" s="823">
        <f t="shared" si="295"/>
        <v>-17.3</v>
      </c>
      <c r="CH145" s="822" t="s">
        <v>1063</v>
      </c>
      <c r="CI145" s="818">
        <f t="shared" ref="CI145:DF145" si="321">FLOOR($AV145/(CI$3/25),1)</f>
        <v>322</v>
      </c>
      <c r="CJ145" s="818">
        <f t="shared" si="321"/>
        <v>335</v>
      </c>
      <c r="CK145" s="818">
        <f t="shared" si="321"/>
        <v>350</v>
      </c>
      <c r="CL145" s="818">
        <f t="shared" si="321"/>
        <v>365</v>
      </c>
      <c r="CM145" s="818">
        <f t="shared" si="321"/>
        <v>383</v>
      </c>
      <c r="CN145" s="818">
        <f t="shared" si="321"/>
        <v>402</v>
      </c>
      <c r="CO145" s="818">
        <f t="shared" si="321"/>
        <v>423</v>
      </c>
      <c r="CP145" s="818">
        <f t="shared" si="321"/>
        <v>447</v>
      </c>
      <c r="CQ145" s="818">
        <f t="shared" si="321"/>
        <v>473</v>
      </c>
      <c r="CR145" s="818">
        <f t="shared" si="321"/>
        <v>503</v>
      </c>
      <c r="CS145" s="818">
        <f t="shared" si="321"/>
        <v>536</v>
      </c>
      <c r="CT145" s="818">
        <f t="shared" si="321"/>
        <v>575</v>
      </c>
      <c r="CU145" s="818">
        <f t="shared" si="321"/>
        <v>619</v>
      </c>
      <c r="CV145" s="818">
        <f t="shared" si="321"/>
        <v>670</v>
      </c>
      <c r="CW145" s="818">
        <f t="shared" si="321"/>
        <v>731</v>
      </c>
      <c r="CX145" s="818">
        <f t="shared" si="321"/>
        <v>805</v>
      </c>
      <c r="CY145" s="818">
        <f t="shared" si="321"/>
        <v>894</v>
      </c>
      <c r="CZ145" s="818">
        <f t="shared" si="321"/>
        <v>1006</v>
      </c>
      <c r="DA145" s="818">
        <f t="shared" si="321"/>
        <v>1150</v>
      </c>
      <c r="DB145" s="818">
        <f t="shared" si="321"/>
        <v>1341</v>
      </c>
      <c r="DC145" s="818">
        <f t="shared" si="321"/>
        <v>1610</v>
      </c>
      <c r="DD145" s="818">
        <f t="shared" si="321"/>
        <v>2012</v>
      </c>
      <c r="DE145" s="818">
        <f t="shared" si="321"/>
        <v>2683</v>
      </c>
      <c r="DF145" s="823">
        <f t="shared" si="321"/>
        <v>4025</v>
      </c>
      <c r="DG145" s="810"/>
      <c r="DH145" s="810" t="str">
        <f t="shared" si="46"/>
        <v/>
      </c>
      <c r="DI145" s="347" t="str">
        <f t="shared" si="47"/>
        <v/>
      </c>
      <c r="DJ145" s="347" t="str">
        <f t="shared" si="48"/>
        <v/>
      </c>
      <c r="DK145" s="820" t="str">
        <f t="shared" si="49"/>
        <v/>
      </c>
      <c r="DL145" s="347"/>
      <c r="DM145" s="347"/>
      <c r="DN145" s="347"/>
      <c r="DO145" s="810"/>
      <c r="DP145" s="885" t="s">
        <v>2242</v>
      </c>
    </row>
    <row r="146">
      <c r="A146" s="809">
        <v>140.0</v>
      </c>
      <c r="B146" s="337">
        <v>53.0</v>
      </c>
      <c r="C146" s="338">
        <v>4.0</v>
      </c>
      <c r="D146" s="338">
        <v>7.0</v>
      </c>
      <c r="E146" s="347"/>
      <c r="F146" s="349" t="s">
        <v>1246</v>
      </c>
      <c r="G146" s="349">
        <f t="shared" si="269"/>
        <v>16</v>
      </c>
      <c r="H146" s="349">
        <f t="shared" si="270"/>
        <v>15</v>
      </c>
      <c r="I146" s="349">
        <f t="shared" si="7"/>
        <v>16</v>
      </c>
      <c r="J146" s="349">
        <f t="shared" si="271"/>
        <v>19</v>
      </c>
      <c r="K146" s="349">
        <f t="shared" si="272"/>
        <v>19</v>
      </c>
      <c r="L146" s="349">
        <f t="shared" si="273"/>
        <v>15</v>
      </c>
      <c r="M146" s="884">
        <f t="shared" si="274"/>
        <v>20</v>
      </c>
      <c r="N146" s="811" t="s">
        <v>1103</v>
      </c>
      <c r="O146" s="844"/>
      <c r="P146" s="813"/>
      <c r="Q146" s="813" t="s">
        <v>1313</v>
      </c>
      <c r="R146" s="813" t="s">
        <v>1314</v>
      </c>
      <c r="S146" s="814" t="s">
        <v>1092</v>
      </c>
      <c r="T146" s="815" t="s">
        <v>1083</v>
      </c>
      <c r="U146" s="338">
        <v>7.0</v>
      </c>
      <c r="V146" s="338">
        <v>0.0</v>
      </c>
      <c r="W146" s="347"/>
      <c r="X146" s="338">
        <v>40.0</v>
      </c>
      <c r="Y146" s="875">
        <v>1.0</v>
      </c>
      <c r="Z146" s="338">
        <v>10.0</v>
      </c>
      <c r="AA146" s="338">
        <v>1.0</v>
      </c>
      <c r="AB146" s="347"/>
      <c r="AC146" s="338">
        <v>11.0</v>
      </c>
      <c r="AD146" s="338">
        <v>2.0</v>
      </c>
      <c r="AE146" s="338">
        <v>75.0</v>
      </c>
      <c r="AF146" s="338">
        <v>75.0</v>
      </c>
      <c r="AG146" s="338">
        <v>4.0</v>
      </c>
      <c r="AH146" s="338">
        <v>7.0</v>
      </c>
      <c r="AI146" s="816">
        <f t="shared" si="12"/>
        <v>5.5</v>
      </c>
      <c r="AJ146" s="347"/>
      <c r="AK146" s="347"/>
      <c r="AL146" s="347"/>
      <c r="AM146" s="347"/>
      <c r="AN146" s="347"/>
      <c r="AO146" s="347"/>
      <c r="AP146" s="347"/>
      <c r="AQ146" s="347"/>
      <c r="AR146" s="347"/>
      <c r="AS146" s="810"/>
      <c r="AT146" s="349">
        <f t="shared" si="13"/>
        <v>352</v>
      </c>
      <c r="AU146" s="349">
        <f t="shared" si="14"/>
        <v>410</v>
      </c>
      <c r="AV146" s="817">
        <f t="shared" si="15"/>
        <v>381</v>
      </c>
      <c r="AW146" s="818">
        <f t="shared" si="276"/>
        <v>560</v>
      </c>
      <c r="AX146" s="818">
        <f t="shared" si="277"/>
        <v>595</v>
      </c>
      <c r="AY146" s="818">
        <f t="shared" si="18"/>
        <v>560</v>
      </c>
      <c r="AZ146" s="818">
        <f t="shared" si="278"/>
        <v>595</v>
      </c>
      <c r="BA146" s="818">
        <f t="shared" si="279"/>
        <v>454</v>
      </c>
      <c r="BB146" s="818">
        <f t="shared" si="280"/>
        <v>433</v>
      </c>
      <c r="BC146" s="818">
        <f t="shared" si="281"/>
        <v>454</v>
      </c>
      <c r="BD146" s="818">
        <f t="shared" si="282"/>
        <v>289</v>
      </c>
      <c r="BE146" s="818">
        <f t="shared" si="283"/>
        <v>340</v>
      </c>
      <c r="BF146" s="818">
        <f t="shared" si="25"/>
        <v>353</v>
      </c>
      <c r="BG146" s="818">
        <f t="shared" si="26"/>
        <v>433</v>
      </c>
      <c r="BH146" s="818">
        <f t="shared" si="284"/>
        <v>433</v>
      </c>
      <c r="BI146" s="818">
        <f t="shared" si="285"/>
        <v>454</v>
      </c>
      <c r="BJ146" s="818">
        <f t="shared" si="286"/>
        <v>454</v>
      </c>
      <c r="BK146" s="818">
        <f t="shared" si="287"/>
        <v>340</v>
      </c>
      <c r="BL146" s="818">
        <f t="shared" si="288"/>
        <v>328</v>
      </c>
      <c r="BM146" s="347"/>
      <c r="BN146" s="347"/>
      <c r="BO146" s="347"/>
      <c r="BP146" s="810" t="str">
        <f t="shared" si="33"/>
        <v/>
      </c>
      <c r="BQ146" s="338">
        <v>4.0</v>
      </c>
      <c r="BR146" s="338">
        <v>7.0</v>
      </c>
      <c r="BS146" s="338">
        <v>10.0</v>
      </c>
      <c r="BT146" s="338">
        <v>75.0</v>
      </c>
      <c r="BU146" s="338">
        <v>75.0</v>
      </c>
      <c r="BV146" s="339">
        <f t="shared" si="34"/>
        <v>5.5</v>
      </c>
      <c r="BW146" s="819">
        <f t="shared" si="35"/>
        <v>461.1</v>
      </c>
      <c r="BX146" s="818">
        <f t="shared" si="289"/>
        <v>678.1</v>
      </c>
      <c r="BY146" s="818">
        <f t="shared" si="290"/>
        <v>720.5</v>
      </c>
      <c r="BZ146" s="818">
        <f t="shared" si="38"/>
        <v>678.1</v>
      </c>
      <c r="CA146" s="818">
        <f t="shared" si="291"/>
        <v>548.9</v>
      </c>
      <c r="CB146" s="818">
        <f t="shared" si="292"/>
        <v>548.9</v>
      </c>
      <c r="CC146" s="818">
        <f t="shared" si="293"/>
        <v>720.5</v>
      </c>
      <c r="CD146" s="818">
        <f t="shared" si="294"/>
        <v>524</v>
      </c>
      <c r="CE146" s="820" t="str">
        <f t="shared" si="43"/>
        <v/>
      </c>
      <c r="CF146" s="347">
        <f t="shared" si="248"/>
        <v>-17.4</v>
      </c>
      <c r="CG146" s="823">
        <f t="shared" si="295"/>
        <v>-17.4</v>
      </c>
      <c r="CH146" s="822" t="s">
        <v>1103</v>
      </c>
      <c r="CI146" s="818">
        <f t="shared" ref="CI146:DF146" si="322">FLOOR($AV146/(CI$3/25),1)</f>
        <v>381</v>
      </c>
      <c r="CJ146" s="818">
        <f t="shared" si="322"/>
        <v>396</v>
      </c>
      <c r="CK146" s="818">
        <f t="shared" si="322"/>
        <v>414</v>
      </c>
      <c r="CL146" s="818">
        <f t="shared" si="322"/>
        <v>432</v>
      </c>
      <c r="CM146" s="818">
        <f t="shared" si="322"/>
        <v>453</v>
      </c>
      <c r="CN146" s="818">
        <f t="shared" si="322"/>
        <v>476</v>
      </c>
      <c r="CO146" s="818">
        <f t="shared" si="322"/>
        <v>501</v>
      </c>
      <c r="CP146" s="818">
        <f t="shared" si="322"/>
        <v>529</v>
      </c>
      <c r="CQ146" s="818">
        <f t="shared" si="322"/>
        <v>560</v>
      </c>
      <c r="CR146" s="818">
        <f t="shared" si="322"/>
        <v>595</v>
      </c>
      <c r="CS146" s="818">
        <f t="shared" si="322"/>
        <v>635</v>
      </c>
      <c r="CT146" s="818">
        <f t="shared" si="322"/>
        <v>680</v>
      </c>
      <c r="CU146" s="818">
        <f t="shared" si="322"/>
        <v>732</v>
      </c>
      <c r="CV146" s="818">
        <f t="shared" si="322"/>
        <v>793</v>
      </c>
      <c r="CW146" s="818">
        <f t="shared" si="322"/>
        <v>865</v>
      </c>
      <c r="CX146" s="818">
        <f t="shared" si="322"/>
        <v>952</v>
      </c>
      <c r="CY146" s="818">
        <f t="shared" si="322"/>
        <v>1058</v>
      </c>
      <c r="CZ146" s="818">
        <f t="shared" si="322"/>
        <v>1190</v>
      </c>
      <c r="DA146" s="818">
        <f t="shared" si="322"/>
        <v>1360</v>
      </c>
      <c r="DB146" s="818">
        <f t="shared" si="322"/>
        <v>1587</v>
      </c>
      <c r="DC146" s="818">
        <f t="shared" si="322"/>
        <v>1905</v>
      </c>
      <c r="DD146" s="818">
        <f t="shared" si="322"/>
        <v>2381</v>
      </c>
      <c r="DE146" s="818">
        <f t="shared" si="322"/>
        <v>3175</v>
      </c>
      <c r="DF146" s="823">
        <f t="shared" si="322"/>
        <v>4762</v>
      </c>
      <c r="DG146" s="810"/>
      <c r="DH146" s="810" t="str">
        <f t="shared" si="46"/>
        <v/>
      </c>
      <c r="DI146" s="347" t="str">
        <f t="shared" si="47"/>
        <v/>
      </c>
      <c r="DJ146" s="347" t="str">
        <f t="shared" si="48"/>
        <v/>
      </c>
      <c r="DK146" s="820" t="str">
        <f t="shared" si="49"/>
        <v/>
      </c>
      <c r="DL146" s="347"/>
      <c r="DM146" s="347"/>
      <c r="DN146" s="347"/>
      <c r="DO146" s="810"/>
      <c r="DP146" s="885" t="s">
        <v>2242</v>
      </c>
    </row>
    <row r="147">
      <c r="A147" s="809">
        <v>141.0</v>
      </c>
      <c r="B147" s="337">
        <v>55.0</v>
      </c>
      <c r="C147" s="338">
        <v>1.0</v>
      </c>
      <c r="D147" s="338">
        <v>8.0</v>
      </c>
      <c r="E147" s="347"/>
      <c r="F147" s="349" t="s">
        <v>2344</v>
      </c>
      <c r="G147" s="349">
        <f t="shared" si="269"/>
        <v>15</v>
      </c>
      <c r="H147" s="349">
        <f t="shared" si="270"/>
        <v>15</v>
      </c>
      <c r="I147" s="349">
        <f t="shared" si="7"/>
        <v>16</v>
      </c>
      <c r="J147" s="349">
        <f t="shared" si="271"/>
        <v>19</v>
      </c>
      <c r="K147" s="349">
        <f t="shared" si="272"/>
        <v>19</v>
      </c>
      <c r="L147" s="349">
        <f t="shared" si="273"/>
        <v>17</v>
      </c>
      <c r="M147" s="884">
        <f t="shared" si="274"/>
        <v>19</v>
      </c>
      <c r="N147" s="811" t="s">
        <v>1073</v>
      </c>
      <c r="O147" s="844"/>
      <c r="P147" s="813"/>
      <c r="Q147" s="813" t="s">
        <v>1313</v>
      </c>
      <c r="R147" s="813" t="s">
        <v>1314</v>
      </c>
      <c r="S147" s="814" t="s">
        <v>1051</v>
      </c>
      <c r="T147" s="815" t="s">
        <v>1054</v>
      </c>
      <c r="U147" s="338">
        <v>13.0</v>
      </c>
      <c r="V147" s="338">
        <v>0.0</v>
      </c>
      <c r="W147" s="347"/>
      <c r="X147" s="338">
        <v>51.0</v>
      </c>
      <c r="Y147" s="886">
        <v>2.0</v>
      </c>
      <c r="Z147" s="338">
        <v>-20.0</v>
      </c>
      <c r="AA147" s="338">
        <v>1.0</v>
      </c>
      <c r="AB147" s="347"/>
      <c r="AC147" s="338">
        <v>15.0</v>
      </c>
      <c r="AD147" s="338">
        <v>2.0</v>
      </c>
      <c r="AE147" s="338">
        <v>75.0</v>
      </c>
      <c r="AF147" s="338">
        <v>75.0</v>
      </c>
      <c r="AG147" s="338">
        <v>1.0</v>
      </c>
      <c r="AH147" s="338">
        <v>8.0</v>
      </c>
      <c r="AI147" s="816">
        <f t="shared" si="12"/>
        <v>4.5</v>
      </c>
      <c r="AJ147" s="347"/>
      <c r="AK147" s="347"/>
      <c r="AL147" s="347"/>
      <c r="AM147" s="347"/>
      <c r="AN147" s="347"/>
      <c r="AO147" s="347"/>
      <c r="AP147" s="347"/>
      <c r="AQ147" s="347"/>
      <c r="AR147" s="347"/>
      <c r="AS147" s="810"/>
      <c r="AT147" s="349">
        <f t="shared" si="13"/>
        <v>291</v>
      </c>
      <c r="AU147" s="349">
        <f t="shared" si="14"/>
        <v>431</v>
      </c>
      <c r="AV147" s="817">
        <f t="shared" si="15"/>
        <v>361</v>
      </c>
      <c r="AW147" s="818">
        <f t="shared" si="276"/>
        <v>752</v>
      </c>
      <c r="AX147" s="818">
        <f t="shared" si="277"/>
        <v>752</v>
      </c>
      <c r="AY147" s="818">
        <f t="shared" si="18"/>
        <v>694</v>
      </c>
      <c r="AZ147" s="818">
        <f t="shared" si="278"/>
        <v>645</v>
      </c>
      <c r="BA147" s="818">
        <f t="shared" si="279"/>
        <v>602</v>
      </c>
      <c r="BB147" s="818">
        <f t="shared" si="280"/>
        <v>602</v>
      </c>
      <c r="BC147" s="818">
        <f t="shared" si="281"/>
        <v>602</v>
      </c>
      <c r="BD147" s="818">
        <f t="shared" si="282"/>
        <v>501</v>
      </c>
      <c r="BE147" s="818">
        <f t="shared" si="283"/>
        <v>602</v>
      </c>
      <c r="BF147" s="818">
        <f t="shared" si="25"/>
        <v>602</v>
      </c>
      <c r="BG147" s="818">
        <f t="shared" si="26"/>
        <v>694</v>
      </c>
      <c r="BH147" s="818">
        <f t="shared" si="284"/>
        <v>752</v>
      </c>
      <c r="BI147" s="818">
        <f t="shared" si="285"/>
        <v>752</v>
      </c>
      <c r="BJ147" s="818">
        <f t="shared" si="286"/>
        <v>645</v>
      </c>
      <c r="BK147" s="818">
        <f t="shared" si="287"/>
        <v>602</v>
      </c>
      <c r="BL147" s="818">
        <f t="shared" si="288"/>
        <v>602</v>
      </c>
      <c r="BM147" s="347"/>
      <c r="BN147" s="347"/>
      <c r="BO147" s="347"/>
      <c r="BP147" s="810" t="str">
        <f t="shared" si="33"/>
        <v/>
      </c>
      <c r="BQ147" s="338">
        <v>1.0</v>
      </c>
      <c r="BR147" s="338">
        <v>8.0</v>
      </c>
      <c r="BS147" s="338">
        <v>-20.0</v>
      </c>
      <c r="BT147" s="338">
        <v>75.0</v>
      </c>
      <c r="BU147" s="338">
        <v>75.0</v>
      </c>
      <c r="BV147" s="339">
        <f t="shared" si="34"/>
        <v>4.5</v>
      </c>
      <c r="BW147" s="819">
        <f t="shared" si="35"/>
        <v>437.2</v>
      </c>
      <c r="BX147" s="818">
        <f t="shared" si="289"/>
        <v>910.8</v>
      </c>
      <c r="BY147" s="818">
        <f t="shared" si="290"/>
        <v>910.8</v>
      </c>
      <c r="BZ147" s="818">
        <f t="shared" si="38"/>
        <v>840.8</v>
      </c>
      <c r="CA147" s="818">
        <f t="shared" si="291"/>
        <v>728.7</v>
      </c>
      <c r="CB147" s="818">
        <f t="shared" si="292"/>
        <v>728.7</v>
      </c>
      <c r="CC147" s="818">
        <f t="shared" si="293"/>
        <v>780.7</v>
      </c>
      <c r="CD147" s="818">
        <f t="shared" si="294"/>
        <v>728.7</v>
      </c>
      <c r="CE147" s="820" t="str">
        <f t="shared" si="43"/>
        <v/>
      </c>
      <c r="CF147" s="347">
        <f t="shared" si="248"/>
        <v>-17.4</v>
      </c>
      <c r="CG147" s="810">
        <f t="shared" si="295"/>
        <v>-17.4</v>
      </c>
      <c r="CH147" s="822" t="s">
        <v>1073</v>
      </c>
      <c r="CI147" s="818">
        <f t="shared" ref="CI147:DF147" si="323">FLOOR($AV147/(CI$3/25),1)</f>
        <v>361</v>
      </c>
      <c r="CJ147" s="818">
        <f t="shared" si="323"/>
        <v>376</v>
      </c>
      <c r="CK147" s="818">
        <f t="shared" si="323"/>
        <v>392</v>
      </c>
      <c r="CL147" s="818">
        <f t="shared" si="323"/>
        <v>410</v>
      </c>
      <c r="CM147" s="818">
        <f t="shared" si="323"/>
        <v>429</v>
      </c>
      <c r="CN147" s="818">
        <f t="shared" si="323"/>
        <v>451</v>
      </c>
      <c r="CO147" s="818">
        <f t="shared" si="323"/>
        <v>475</v>
      </c>
      <c r="CP147" s="818">
        <f t="shared" si="323"/>
        <v>501</v>
      </c>
      <c r="CQ147" s="818">
        <f t="shared" si="323"/>
        <v>530</v>
      </c>
      <c r="CR147" s="818">
        <f t="shared" si="323"/>
        <v>564</v>
      </c>
      <c r="CS147" s="818">
        <f t="shared" si="323"/>
        <v>601</v>
      </c>
      <c r="CT147" s="818">
        <f t="shared" si="323"/>
        <v>644</v>
      </c>
      <c r="CU147" s="818">
        <f t="shared" si="323"/>
        <v>694</v>
      </c>
      <c r="CV147" s="818">
        <f t="shared" si="323"/>
        <v>752</v>
      </c>
      <c r="CW147" s="818">
        <f t="shared" si="323"/>
        <v>820</v>
      </c>
      <c r="CX147" s="818">
        <f t="shared" si="323"/>
        <v>902</v>
      </c>
      <c r="CY147" s="818">
        <f t="shared" si="323"/>
        <v>1002</v>
      </c>
      <c r="CZ147" s="818">
        <f t="shared" si="323"/>
        <v>1128</v>
      </c>
      <c r="DA147" s="818">
        <f t="shared" si="323"/>
        <v>1289</v>
      </c>
      <c r="DB147" s="818">
        <f t="shared" si="323"/>
        <v>1504</v>
      </c>
      <c r="DC147" s="818">
        <f t="shared" si="323"/>
        <v>1805</v>
      </c>
      <c r="DD147" s="818">
        <f t="shared" si="323"/>
        <v>2256</v>
      </c>
      <c r="DE147" s="818">
        <f t="shared" si="323"/>
        <v>3008</v>
      </c>
      <c r="DF147" s="823">
        <f t="shared" si="323"/>
        <v>4512</v>
      </c>
      <c r="DG147" s="810"/>
      <c r="DH147" s="810" t="str">
        <f t="shared" si="46"/>
        <v/>
      </c>
      <c r="DI147" s="347" t="str">
        <f t="shared" si="47"/>
        <v/>
      </c>
      <c r="DJ147" s="347" t="str">
        <f t="shared" si="48"/>
        <v/>
      </c>
      <c r="DK147" s="842">
        <f t="shared" si="49"/>
        <v>11.1</v>
      </c>
      <c r="DL147" s="685">
        <v>5.0</v>
      </c>
      <c r="DM147" s="347"/>
      <c r="DN147" s="347"/>
      <c r="DO147" s="810"/>
      <c r="DP147" s="885" t="s">
        <v>2242</v>
      </c>
    </row>
    <row r="148">
      <c r="A148" s="825">
        <v>142.0</v>
      </c>
      <c r="B148" s="438">
        <v>57.0</v>
      </c>
      <c r="C148" s="440">
        <v>5.0</v>
      </c>
      <c r="D148" s="440">
        <v>10.0</v>
      </c>
      <c r="E148" s="439"/>
      <c r="F148" s="459" t="s">
        <v>1246</v>
      </c>
      <c r="G148" s="459">
        <f t="shared" si="269"/>
        <v>16</v>
      </c>
      <c r="H148" s="459">
        <f t="shared" si="270"/>
        <v>15</v>
      </c>
      <c r="I148" s="459">
        <f t="shared" si="7"/>
        <v>16</v>
      </c>
      <c r="J148" s="459">
        <f t="shared" si="271"/>
        <v>19</v>
      </c>
      <c r="K148" s="459">
        <f t="shared" si="272"/>
        <v>19</v>
      </c>
      <c r="L148" s="459">
        <f t="shared" si="273"/>
        <v>15</v>
      </c>
      <c r="M148" s="887">
        <f t="shared" si="274"/>
        <v>20</v>
      </c>
      <c r="N148" s="827" t="s">
        <v>1107</v>
      </c>
      <c r="O148" s="888"/>
      <c r="P148" s="829"/>
      <c r="Q148" s="829" t="s">
        <v>1313</v>
      </c>
      <c r="R148" s="829" t="s">
        <v>1314</v>
      </c>
      <c r="S148" s="830" t="s">
        <v>1092</v>
      </c>
      <c r="T148" s="831" t="s">
        <v>1095</v>
      </c>
      <c r="U148" s="440">
        <v>16.0</v>
      </c>
      <c r="V148" s="440">
        <v>0.0</v>
      </c>
      <c r="W148" s="439"/>
      <c r="X148" s="440">
        <v>57.0</v>
      </c>
      <c r="Y148" s="440">
        <v>3.0</v>
      </c>
      <c r="Z148" s="440">
        <v>-10.0</v>
      </c>
      <c r="AA148" s="440">
        <v>1.0</v>
      </c>
      <c r="AB148" s="439"/>
      <c r="AC148" s="440">
        <v>35.0</v>
      </c>
      <c r="AD148" s="440">
        <v>2.0</v>
      </c>
      <c r="AE148" s="440">
        <v>75.0</v>
      </c>
      <c r="AF148" s="440">
        <v>75.0</v>
      </c>
      <c r="AG148" s="440">
        <v>5.0</v>
      </c>
      <c r="AH148" s="440">
        <v>10.0</v>
      </c>
      <c r="AI148" s="832">
        <f t="shared" si="12"/>
        <v>7.5</v>
      </c>
      <c r="AJ148" s="439"/>
      <c r="AK148" s="439"/>
      <c r="AL148" s="439"/>
      <c r="AM148" s="439"/>
      <c r="AN148" s="439"/>
      <c r="AO148" s="439"/>
      <c r="AP148" s="439"/>
      <c r="AQ148" s="439"/>
      <c r="AR148" s="439"/>
      <c r="AS148" s="826"/>
      <c r="AT148" s="459">
        <f t="shared" si="13"/>
        <v>370</v>
      </c>
      <c r="AU148" s="459">
        <f t="shared" si="14"/>
        <v>470</v>
      </c>
      <c r="AV148" s="833">
        <f t="shared" si="15"/>
        <v>420</v>
      </c>
      <c r="AW148" s="834">
        <f t="shared" si="276"/>
        <v>750</v>
      </c>
      <c r="AX148" s="834">
        <f t="shared" si="277"/>
        <v>808</v>
      </c>
      <c r="AY148" s="834">
        <f t="shared" si="18"/>
        <v>750</v>
      </c>
      <c r="AZ148" s="834">
        <f t="shared" si="278"/>
        <v>808</v>
      </c>
      <c r="BA148" s="834">
        <f t="shared" si="279"/>
        <v>618</v>
      </c>
      <c r="BB148" s="834">
        <f t="shared" si="280"/>
        <v>583</v>
      </c>
      <c r="BC148" s="834">
        <f t="shared" si="281"/>
        <v>618</v>
      </c>
      <c r="BD148" s="834">
        <f t="shared" si="282"/>
        <v>477</v>
      </c>
      <c r="BE148" s="834">
        <f t="shared" si="283"/>
        <v>583</v>
      </c>
      <c r="BF148" s="834">
        <f t="shared" si="25"/>
        <v>583</v>
      </c>
      <c r="BG148" s="834">
        <f t="shared" si="26"/>
        <v>700</v>
      </c>
      <c r="BH148" s="834">
        <f t="shared" si="284"/>
        <v>700</v>
      </c>
      <c r="BI148" s="834">
        <f t="shared" si="285"/>
        <v>750</v>
      </c>
      <c r="BJ148" s="834">
        <f t="shared" si="286"/>
        <v>750</v>
      </c>
      <c r="BK148" s="834">
        <f t="shared" si="287"/>
        <v>583</v>
      </c>
      <c r="BL148" s="834">
        <f t="shared" si="288"/>
        <v>553</v>
      </c>
      <c r="BM148" s="439"/>
      <c r="BN148" s="439"/>
      <c r="BO148" s="439"/>
      <c r="BP148" s="826" t="str">
        <f t="shared" si="33"/>
        <v/>
      </c>
      <c r="BQ148" s="440">
        <v>5.0</v>
      </c>
      <c r="BR148" s="440">
        <v>10.0</v>
      </c>
      <c r="BS148" s="440">
        <v>-10.0</v>
      </c>
      <c r="BT148" s="440">
        <v>75.0</v>
      </c>
      <c r="BU148" s="440">
        <v>75.0</v>
      </c>
      <c r="BV148" s="442">
        <f t="shared" si="34"/>
        <v>7.5</v>
      </c>
      <c r="BW148" s="835">
        <f t="shared" si="35"/>
        <v>508.8</v>
      </c>
      <c r="BX148" s="834">
        <f t="shared" si="289"/>
        <v>908.6</v>
      </c>
      <c r="BY148" s="834">
        <f t="shared" si="290"/>
        <v>978.5</v>
      </c>
      <c r="BZ148" s="834">
        <f t="shared" si="38"/>
        <v>908.6</v>
      </c>
      <c r="CA148" s="834">
        <f t="shared" si="291"/>
        <v>748.2</v>
      </c>
      <c r="CB148" s="834">
        <f t="shared" si="292"/>
        <v>748.2</v>
      </c>
      <c r="CC148" s="834">
        <f t="shared" si="293"/>
        <v>978.5</v>
      </c>
      <c r="CD148" s="834">
        <f t="shared" si="294"/>
        <v>706.7</v>
      </c>
      <c r="CE148" s="836" t="str">
        <f t="shared" si="43"/>
        <v/>
      </c>
      <c r="CF148" s="439">
        <f t="shared" si="248"/>
        <v>-17.5</v>
      </c>
      <c r="CG148" s="826">
        <f t="shared" si="295"/>
        <v>-17.5</v>
      </c>
      <c r="CH148" s="838" t="s">
        <v>1107</v>
      </c>
      <c r="CI148" s="834">
        <f t="shared" ref="CI148:DF148" si="324">FLOOR($AV148/(CI$3/25),1)</f>
        <v>420</v>
      </c>
      <c r="CJ148" s="834">
        <f t="shared" si="324"/>
        <v>437</v>
      </c>
      <c r="CK148" s="834">
        <f t="shared" si="324"/>
        <v>456</v>
      </c>
      <c r="CL148" s="834">
        <f t="shared" si="324"/>
        <v>477</v>
      </c>
      <c r="CM148" s="834">
        <f t="shared" si="324"/>
        <v>500</v>
      </c>
      <c r="CN148" s="834">
        <f t="shared" si="324"/>
        <v>525</v>
      </c>
      <c r="CO148" s="834">
        <f t="shared" si="324"/>
        <v>552</v>
      </c>
      <c r="CP148" s="834">
        <f t="shared" si="324"/>
        <v>583</v>
      </c>
      <c r="CQ148" s="834">
        <f t="shared" si="324"/>
        <v>617</v>
      </c>
      <c r="CR148" s="834">
        <f t="shared" si="324"/>
        <v>656</v>
      </c>
      <c r="CS148" s="834">
        <f t="shared" si="324"/>
        <v>700</v>
      </c>
      <c r="CT148" s="834">
        <f t="shared" si="324"/>
        <v>750</v>
      </c>
      <c r="CU148" s="834">
        <f t="shared" si="324"/>
        <v>807</v>
      </c>
      <c r="CV148" s="834">
        <f t="shared" si="324"/>
        <v>875</v>
      </c>
      <c r="CW148" s="834">
        <f t="shared" si="324"/>
        <v>954</v>
      </c>
      <c r="CX148" s="834">
        <f t="shared" si="324"/>
        <v>1050</v>
      </c>
      <c r="CY148" s="834">
        <f t="shared" si="324"/>
        <v>1166</v>
      </c>
      <c r="CZ148" s="834">
        <f t="shared" si="324"/>
        <v>1312</v>
      </c>
      <c r="DA148" s="834">
        <f t="shared" si="324"/>
        <v>1500</v>
      </c>
      <c r="DB148" s="834">
        <f t="shared" si="324"/>
        <v>1750</v>
      </c>
      <c r="DC148" s="834">
        <f t="shared" si="324"/>
        <v>2100</v>
      </c>
      <c r="DD148" s="834">
        <f t="shared" si="324"/>
        <v>2625</v>
      </c>
      <c r="DE148" s="834">
        <f t="shared" si="324"/>
        <v>3500</v>
      </c>
      <c r="DF148" s="839">
        <f t="shared" si="324"/>
        <v>5250</v>
      </c>
      <c r="DG148" s="826"/>
      <c r="DH148" s="826" t="str">
        <f t="shared" si="46"/>
        <v/>
      </c>
      <c r="DI148" s="439" t="str">
        <f t="shared" si="47"/>
        <v/>
      </c>
      <c r="DJ148" s="439" t="str">
        <f t="shared" si="48"/>
        <v/>
      </c>
      <c r="DK148" s="836" t="str">
        <f t="shared" si="49"/>
        <v/>
      </c>
      <c r="DL148" s="439"/>
      <c r="DM148" s="439"/>
      <c r="DN148" s="439"/>
      <c r="DO148" s="826"/>
      <c r="DP148" s="889" t="s">
        <v>2242</v>
      </c>
    </row>
    <row r="149">
      <c r="A149" s="809">
        <v>143.0</v>
      </c>
      <c r="B149" s="337">
        <v>159.0</v>
      </c>
      <c r="C149" s="338">
        <v>12.0</v>
      </c>
      <c r="D149" s="338">
        <v>20.0</v>
      </c>
      <c r="E149" s="347"/>
      <c r="F149" s="349" t="s">
        <v>2344</v>
      </c>
      <c r="G149" s="349">
        <f t="shared" si="269"/>
        <v>15</v>
      </c>
      <c r="H149" s="349">
        <f t="shared" si="270"/>
        <v>15</v>
      </c>
      <c r="I149" s="349">
        <f t="shared" si="7"/>
        <v>16</v>
      </c>
      <c r="J149" s="349">
        <f t="shared" si="271"/>
        <v>19</v>
      </c>
      <c r="K149" s="349">
        <f t="shared" si="272"/>
        <v>19</v>
      </c>
      <c r="L149" s="349">
        <f t="shared" si="273"/>
        <v>17</v>
      </c>
      <c r="M149" s="884">
        <f t="shared" si="274"/>
        <v>19</v>
      </c>
      <c r="N149" s="811" t="s">
        <v>1066</v>
      </c>
      <c r="O149" s="812" t="s">
        <v>2037</v>
      </c>
      <c r="P149" s="813"/>
      <c r="Q149" s="813" t="s">
        <v>1670</v>
      </c>
      <c r="R149" s="813" t="s">
        <v>1314</v>
      </c>
      <c r="S149" s="814" t="s">
        <v>1051</v>
      </c>
      <c r="T149" s="815" t="s">
        <v>1045</v>
      </c>
      <c r="U149" s="338">
        <v>31.0</v>
      </c>
      <c r="V149" s="338">
        <v>19.0</v>
      </c>
      <c r="W149" s="338">
        <v>25.0</v>
      </c>
      <c r="X149" s="338">
        <v>52.0</v>
      </c>
      <c r="Y149" s="338">
        <v>2.0</v>
      </c>
      <c r="Z149" s="338">
        <v>0.0</v>
      </c>
      <c r="AA149" s="338">
        <v>1.0</v>
      </c>
      <c r="AB149" s="347"/>
      <c r="AC149" s="338">
        <v>80.0</v>
      </c>
      <c r="AD149" s="338">
        <v>2.0</v>
      </c>
      <c r="AE149" s="338">
        <v>75.0</v>
      </c>
      <c r="AF149" s="338">
        <v>75.0</v>
      </c>
      <c r="AG149" s="338">
        <v>12.0</v>
      </c>
      <c r="AH149" s="338">
        <v>20.0</v>
      </c>
      <c r="AI149" s="816">
        <f t="shared" si="12"/>
        <v>16</v>
      </c>
      <c r="AJ149" s="347"/>
      <c r="AK149" s="347"/>
      <c r="AL149" s="347"/>
      <c r="AM149" s="347"/>
      <c r="AN149" s="347"/>
      <c r="AO149" s="347"/>
      <c r="AP149" s="347"/>
      <c r="AQ149" s="347"/>
      <c r="AR149" s="347"/>
      <c r="AS149" s="810"/>
      <c r="AT149" s="349">
        <f t="shared" si="13"/>
        <v>510</v>
      </c>
      <c r="AU149" s="349">
        <f t="shared" si="14"/>
        <v>671</v>
      </c>
      <c r="AV149" s="817">
        <f t="shared" si="15"/>
        <v>590.5</v>
      </c>
      <c r="AW149" s="818">
        <f t="shared" si="276"/>
        <v>1054</v>
      </c>
      <c r="AX149" s="818">
        <f t="shared" si="277"/>
        <v>1054</v>
      </c>
      <c r="AY149" s="818">
        <f t="shared" si="18"/>
        <v>984</v>
      </c>
      <c r="AZ149" s="818">
        <f t="shared" si="278"/>
        <v>923</v>
      </c>
      <c r="BA149" s="818">
        <f t="shared" si="279"/>
        <v>820</v>
      </c>
      <c r="BB149" s="818">
        <f t="shared" si="280"/>
        <v>820</v>
      </c>
      <c r="BC149" s="818">
        <f t="shared" si="281"/>
        <v>820</v>
      </c>
      <c r="BD149" s="818">
        <f t="shared" si="282"/>
        <v>547</v>
      </c>
      <c r="BE149" s="818">
        <f t="shared" si="283"/>
        <v>671</v>
      </c>
      <c r="BF149" s="818">
        <f t="shared" si="25"/>
        <v>642</v>
      </c>
      <c r="BG149" s="818">
        <f t="shared" si="26"/>
        <v>777</v>
      </c>
      <c r="BH149" s="818">
        <f t="shared" si="284"/>
        <v>820</v>
      </c>
      <c r="BI149" s="818">
        <f t="shared" si="285"/>
        <v>820</v>
      </c>
      <c r="BJ149" s="818">
        <f t="shared" si="286"/>
        <v>738</v>
      </c>
      <c r="BK149" s="818">
        <f t="shared" si="287"/>
        <v>671</v>
      </c>
      <c r="BL149" s="818">
        <f t="shared" si="288"/>
        <v>671</v>
      </c>
      <c r="BM149" s="347"/>
      <c r="BN149" s="347"/>
      <c r="BO149" s="347"/>
      <c r="BP149" s="810" t="str">
        <f t="shared" si="33"/>
        <v/>
      </c>
      <c r="BQ149" s="338">
        <v>8.0</v>
      </c>
      <c r="BR149" s="338">
        <v>16.0</v>
      </c>
      <c r="BS149" s="347"/>
      <c r="BT149" s="338">
        <v>75.0</v>
      </c>
      <c r="BU149" s="338">
        <v>75.0</v>
      </c>
      <c r="BV149" s="339">
        <f t="shared" si="34"/>
        <v>12</v>
      </c>
      <c r="BW149" s="819">
        <f t="shared" si="35"/>
        <v>616.3</v>
      </c>
      <c r="BX149" s="818">
        <f t="shared" si="289"/>
        <v>1100.5</v>
      </c>
      <c r="BY149" s="818">
        <f t="shared" si="290"/>
        <v>1100.5</v>
      </c>
      <c r="BZ149" s="818">
        <f t="shared" si="38"/>
        <v>1027.2</v>
      </c>
      <c r="CA149" s="818">
        <f t="shared" si="291"/>
        <v>856</v>
      </c>
      <c r="CB149" s="818">
        <f t="shared" si="292"/>
        <v>856</v>
      </c>
      <c r="CC149" s="818">
        <f t="shared" si="293"/>
        <v>963</v>
      </c>
      <c r="CD149" s="818">
        <f t="shared" si="294"/>
        <v>856</v>
      </c>
      <c r="CE149" s="842">
        <f t="shared" si="43"/>
        <v>33.3</v>
      </c>
      <c r="CF149" s="337">
        <f t="shared" si="248"/>
        <v>-4.2</v>
      </c>
      <c r="CG149" s="809">
        <f t="shared" si="295"/>
        <v>-4.2</v>
      </c>
      <c r="CH149" s="822" t="s">
        <v>1066</v>
      </c>
      <c r="CI149" s="818">
        <f t="shared" ref="CI149:DF149" si="325">FLOOR($AV149/(CI$3/25),1)</f>
        <v>590</v>
      </c>
      <c r="CJ149" s="818">
        <f t="shared" si="325"/>
        <v>615</v>
      </c>
      <c r="CK149" s="818">
        <f t="shared" si="325"/>
        <v>641</v>
      </c>
      <c r="CL149" s="818">
        <f t="shared" si="325"/>
        <v>671</v>
      </c>
      <c r="CM149" s="818">
        <f t="shared" si="325"/>
        <v>702</v>
      </c>
      <c r="CN149" s="818">
        <f t="shared" si="325"/>
        <v>738</v>
      </c>
      <c r="CO149" s="818">
        <f t="shared" si="325"/>
        <v>776</v>
      </c>
      <c r="CP149" s="818">
        <f t="shared" si="325"/>
        <v>820</v>
      </c>
      <c r="CQ149" s="818">
        <f t="shared" si="325"/>
        <v>868</v>
      </c>
      <c r="CR149" s="818">
        <f t="shared" si="325"/>
        <v>922</v>
      </c>
      <c r="CS149" s="818">
        <f t="shared" si="325"/>
        <v>984</v>
      </c>
      <c r="CT149" s="818">
        <f t="shared" si="325"/>
        <v>1054</v>
      </c>
      <c r="CU149" s="818">
        <f t="shared" si="325"/>
        <v>1135</v>
      </c>
      <c r="CV149" s="818">
        <f t="shared" si="325"/>
        <v>1230</v>
      </c>
      <c r="CW149" s="818">
        <f t="shared" si="325"/>
        <v>1342</v>
      </c>
      <c r="CX149" s="818">
        <f t="shared" si="325"/>
        <v>1476</v>
      </c>
      <c r="CY149" s="818">
        <f t="shared" si="325"/>
        <v>1640</v>
      </c>
      <c r="CZ149" s="818">
        <f t="shared" si="325"/>
        <v>1845</v>
      </c>
      <c r="DA149" s="818">
        <f t="shared" si="325"/>
        <v>2108</v>
      </c>
      <c r="DB149" s="818">
        <f t="shared" si="325"/>
        <v>2460</v>
      </c>
      <c r="DC149" s="818">
        <f t="shared" si="325"/>
        <v>2952</v>
      </c>
      <c r="DD149" s="818">
        <f t="shared" si="325"/>
        <v>3690</v>
      </c>
      <c r="DE149" s="818">
        <f t="shared" si="325"/>
        <v>4920</v>
      </c>
      <c r="DF149" s="823">
        <f t="shared" si="325"/>
        <v>7381</v>
      </c>
      <c r="DG149" s="810"/>
      <c r="DH149" s="810" t="str">
        <f t="shared" si="46"/>
        <v/>
      </c>
      <c r="DI149" s="347" t="str">
        <f t="shared" si="47"/>
        <v/>
      </c>
      <c r="DJ149" s="347" t="str">
        <f t="shared" si="48"/>
        <v/>
      </c>
      <c r="DK149" s="820" t="str">
        <f t="shared" si="49"/>
        <v/>
      </c>
      <c r="DL149" s="347"/>
      <c r="DM149" s="347"/>
      <c r="DN149" s="818">
        <f t="shared" ref="DN149:DN156" si="327">IF(ISBLANK(DL149),ROUND(AI149/IF(ISBLANK(DL145),AI145,DL145),1),ROUND(DL149/IF(ISBLANK(DL145),AI145,DL145),1))</f>
        <v>6.4</v>
      </c>
      <c r="DO149" s="810"/>
      <c r="DP149" s="885" t="s">
        <v>2242</v>
      </c>
    </row>
    <row r="150">
      <c r="A150" s="809">
        <v>144.0</v>
      </c>
      <c r="B150" s="337">
        <v>161.0</v>
      </c>
      <c r="C150" s="338">
        <v>13.0</v>
      </c>
      <c r="D150" s="338">
        <v>27.0</v>
      </c>
      <c r="E150" s="347"/>
      <c r="F150" s="349" t="s">
        <v>1246</v>
      </c>
      <c r="G150" s="349">
        <f t="shared" si="269"/>
        <v>16</v>
      </c>
      <c r="H150" s="349">
        <f t="shared" si="270"/>
        <v>15</v>
      </c>
      <c r="I150" s="349">
        <f t="shared" si="7"/>
        <v>16</v>
      </c>
      <c r="J150" s="349">
        <f t="shared" si="271"/>
        <v>19</v>
      </c>
      <c r="K150" s="349">
        <f t="shared" si="272"/>
        <v>19</v>
      </c>
      <c r="L150" s="349">
        <f t="shared" si="273"/>
        <v>15</v>
      </c>
      <c r="M150" s="884">
        <f t="shared" si="274"/>
        <v>20</v>
      </c>
      <c r="N150" s="811" t="s">
        <v>1104</v>
      </c>
      <c r="O150" s="812" t="s">
        <v>2036</v>
      </c>
      <c r="P150" s="813"/>
      <c r="Q150" s="813" t="s">
        <v>1670</v>
      </c>
      <c r="R150" s="813" t="s">
        <v>1314</v>
      </c>
      <c r="S150" s="814" t="s">
        <v>1092</v>
      </c>
      <c r="T150" s="815" t="s">
        <v>1086</v>
      </c>
      <c r="U150" s="338">
        <v>34.0</v>
      </c>
      <c r="V150" s="338">
        <v>22.0</v>
      </c>
      <c r="W150" s="338">
        <v>25.0</v>
      </c>
      <c r="X150" s="338">
        <v>80.0</v>
      </c>
      <c r="Y150" s="338">
        <v>2.0</v>
      </c>
      <c r="Z150" s="338">
        <v>10.0</v>
      </c>
      <c r="AA150" s="338">
        <v>1.0</v>
      </c>
      <c r="AB150" s="347"/>
      <c r="AC150" s="338">
        <v>90.0</v>
      </c>
      <c r="AD150" s="338">
        <v>2.0</v>
      </c>
      <c r="AE150" s="338">
        <v>75.0</v>
      </c>
      <c r="AF150" s="338">
        <v>75.0</v>
      </c>
      <c r="AG150" s="338">
        <v>13.0</v>
      </c>
      <c r="AH150" s="338">
        <v>27.0</v>
      </c>
      <c r="AI150" s="816">
        <f t="shared" si="12"/>
        <v>20</v>
      </c>
      <c r="AJ150" s="347"/>
      <c r="AK150" s="347"/>
      <c r="AL150" s="347"/>
      <c r="AM150" s="347"/>
      <c r="AN150" s="347"/>
      <c r="AO150" s="347"/>
      <c r="AP150" s="347"/>
      <c r="AQ150" s="347"/>
      <c r="AR150" s="347"/>
      <c r="AS150" s="810"/>
      <c r="AT150" s="349">
        <f t="shared" si="13"/>
        <v>531</v>
      </c>
      <c r="AU150" s="349">
        <f t="shared" si="14"/>
        <v>811</v>
      </c>
      <c r="AV150" s="817">
        <f t="shared" si="15"/>
        <v>671</v>
      </c>
      <c r="AW150" s="818">
        <f t="shared" si="276"/>
        <v>987</v>
      </c>
      <c r="AX150" s="818">
        <f t="shared" si="277"/>
        <v>1048</v>
      </c>
      <c r="AY150" s="818">
        <f t="shared" si="18"/>
        <v>987</v>
      </c>
      <c r="AZ150" s="818">
        <f t="shared" si="278"/>
        <v>1048</v>
      </c>
      <c r="BA150" s="818">
        <f t="shared" si="279"/>
        <v>799</v>
      </c>
      <c r="BB150" s="818">
        <f t="shared" si="280"/>
        <v>763</v>
      </c>
      <c r="BC150" s="818">
        <f t="shared" si="281"/>
        <v>799</v>
      </c>
      <c r="BD150" s="818">
        <f t="shared" si="282"/>
        <v>508</v>
      </c>
      <c r="BE150" s="818">
        <f t="shared" si="283"/>
        <v>599</v>
      </c>
      <c r="BF150" s="818">
        <f t="shared" si="25"/>
        <v>621</v>
      </c>
      <c r="BG150" s="818">
        <f t="shared" si="26"/>
        <v>763</v>
      </c>
      <c r="BH150" s="818">
        <f t="shared" si="284"/>
        <v>763</v>
      </c>
      <c r="BI150" s="818">
        <f t="shared" si="285"/>
        <v>799</v>
      </c>
      <c r="BJ150" s="818">
        <f t="shared" si="286"/>
        <v>799</v>
      </c>
      <c r="BK150" s="818">
        <f t="shared" si="287"/>
        <v>599</v>
      </c>
      <c r="BL150" s="818">
        <f t="shared" si="288"/>
        <v>578</v>
      </c>
      <c r="BM150" s="347"/>
      <c r="BN150" s="347"/>
      <c r="BO150" s="347"/>
      <c r="BP150" s="810" t="str">
        <f t="shared" si="33"/>
        <v/>
      </c>
      <c r="BQ150" s="338">
        <v>11.0</v>
      </c>
      <c r="BR150" s="338">
        <v>22.0</v>
      </c>
      <c r="BS150" s="338">
        <v>10.0</v>
      </c>
      <c r="BT150" s="338">
        <v>75.0</v>
      </c>
      <c r="BU150" s="338">
        <v>75.0</v>
      </c>
      <c r="BV150" s="339">
        <f t="shared" si="34"/>
        <v>16.5</v>
      </c>
      <c r="BW150" s="819">
        <f t="shared" si="35"/>
        <v>723.7</v>
      </c>
      <c r="BX150" s="818">
        <f t="shared" si="289"/>
        <v>1064.3</v>
      </c>
      <c r="BY150" s="818">
        <f t="shared" si="290"/>
        <v>1130.8</v>
      </c>
      <c r="BZ150" s="818">
        <f t="shared" si="38"/>
        <v>1064.3</v>
      </c>
      <c r="CA150" s="818">
        <f t="shared" si="291"/>
        <v>861.5</v>
      </c>
      <c r="CB150" s="818">
        <f t="shared" si="292"/>
        <v>861.5</v>
      </c>
      <c r="CC150" s="818">
        <f t="shared" si="293"/>
        <v>1130.8</v>
      </c>
      <c r="CD150" s="818">
        <f t="shared" si="294"/>
        <v>822.4</v>
      </c>
      <c r="CE150" s="842">
        <f t="shared" si="43"/>
        <v>21.2</v>
      </c>
      <c r="CF150" s="337">
        <f t="shared" si="248"/>
        <v>-7.3</v>
      </c>
      <c r="CG150" s="809">
        <f t="shared" si="295"/>
        <v>-7.3</v>
      </c>
      <c r="CH150" s="822" t="s">
        <v>1104</v>
      </c>
      <c r="CI150" s="818">
        <f t="shared" ref="CI150:DF150" si="326">FLOOR($AV150/(CI$3/25),1)</f>
        <v>671</v>
      </c>
      <c r="CJ150" s="818">
        <f t="shared" si="326"/>
        <v>698</v>
      </c>
      <c r="CK150" s="818">
        <f t="shared" si="326"/>
        <v>729</v>
      </c>
      <c r="CL150" s="818">
        <f t="shared" si="326"/>
        <v>762</v>
      </c>
      <c r="CM150" s="818">
        <f t="shared" si="326"/>
        <v>798</v>
      </c>
      <c r="CN150" s="818">
        <f t="shared" si="326"/>
        <v>838</v>
      </c>
      <c r="CO150" s="818">
        <f t="shared" si="326"/>
        <v>882</v>
      </c>
      <c r="CP150" s="818">
        <f t="shared" si="326"/>
        <v>931</v>
      </c>
      <c r="CQ150" s="818">
        <f t="shared" si="326"/>
        <v>986</v>
      </c>
      <c r="CR150" s="818">
        <f t="shared" si="326"/>
        <v>1048</v>
      </c>
      <c r="CS150" s="818">
        <f t="shared" si="326"/>
        <v>1118</v>
      </c>
      <c r="CT150" s="818">
        <f t="shared" si="326"/>
        <v>1198</v>
      </c>
      <c r="CU150" s="818">
        <f t="shared" si="326"/>
        <v>1290</v>
      </c>
      <c r="CV150" s="818">
        <f t="shared" si="326"/>
        <v>1397</v>
      </c>
      <c r="CW150" s="818">
        <f t="shared" si="326"/>
        <v>1525</v>
      </c>
      <c r="CX150" s="818">
        <f t="shared" si="326"/>
        <v>1677</v>
      </c>
      <c r="CY150" s="818">
        <f t="shared" si="326"/>
        <v>1863</v>
      </c>
      <c r="CZ150" s="818">
        <f t="shared" si="326"/>
        <v>2096</v>
      </c>
      <c r="DA150" s="818">
        <f t="shared" si="326"/>
        <v>2396</v>
      </c>
      <c r="DB150" s="818">
        <f t="shared" si="326"/>
        <v>2795</v>
      </c>
      <c r="DC150" s="818">
        <f t="shared" si="326"/>
        <v>3355</v>
      </c>
      <c r="DD150" s="818">
        <f t="shared" si="326"/>
        <v>4193</v>
      </c>
      <c r="DE150" s="818">
        <f t="shared" si="326"/>
        <v>5591</v>
      </c>
      <c r="DF150" s="823">
        <f t="shared" si="326"/>
        <v>8387</v>
      </c>
      <c r="DG150" s="810"/>
      <c r="DH150" s="810" t="str">
        <f t="shared" si="46"/>
        <v/>
      </c>
      <c r="DI150" s="347" t="str">
        <f t="shared" si="47"/>
        <v/>
      </c>
      <c r="DJ150" s="347" t="str">
        <f t="shared" si="48"/>
        <v/>
      </c>
      <c r="DK150" s="842">
        <f t="shared" si="49"/>
        <v>5</v>
      </c>
      <c r="DL150" s="685">
        <v>21.0</v>
      </c>
      <c r="DM150" s="347"/>
      <c r="DN150" s="818">
        <f t="shared" si="327"/>
        <v>3.8</v>
      </c>
      <c r="DO150" s="810"/>
      <c r="DP150" s="885" t="s">
        <v>2242</v>
      </c>
    </row>
    <row r="151">
      <c r="A151" s="809">
        <v>145.0</v>
      </c>
      <c r="B151" s="337">
        <v>163.0</v>
      </c>
      <c r="C151" s="338">
        <v>8.0</v>
      </c>
      <c r="D151" s="338">
        <v>30.0</v>
      </c>
      <c r="E151" s="347"/>
      <c r="F151" s="349" t="s">
        <v>2344</v>
      </c>
      <c r="G151" s="349">
        <f t="shared" si="269"/>
        <v>15</v>
      </c>
      <c r="H151" s="349">
        <f t="shared" si="270"/>
        <v>15</v>
      </c>
      <c r="I151" s="349">
        <f t="shared" si="7"/>
        <v>16</v>
      </c>
      <c r="J151" s="349">
        <f t="shared" si="271"/>
        <v>19</v>
      </c>
      <c r="K151" s="349">
        <f t="shared" si="272"/>
        <v>19</v>
      </c>
      <c r="L151" s="349">
        <f t="shared" si="273"/>
        <v>17</v>
      </c>
      <c r="M151" s="884">
        <f t="shared" si="274"/>
        <v>19</v>
      </c>
      <c r="N151" s="811" t="s">
        <v>1077</v>
      </c>
      <c r="O151" s="844"/>
      <c r="P151" s="813"/>
      <c r="Q151" s="813" t="s">
        <v>1670</v>
      </c>
      <c r="R151" s="813" t="s">
        <v>1314</v>
      </c>
      <c r="S151" s="814" t="s">
        <v>1051</v>
      </c>
      <c r="T151" s="815" t="s">
        <v>1059</v>
      </c>
      <c r="U151" s="338">
        <v>39.0</v>
      </c>
      <c r="V151" s="338">
        <v>25.0</v>
      </c>
      <c r="W151" s="338">
        <v>25.0</v>
      </c>
      <c r="X151" s="679">
        <v>97.0</v>
      </c>
      <c r="Y151" s="338">
        <v>2.0</v>
      </c>
      <c r="Z151" s="338">
        <v>-20.0</v>
      </c>
      <c r="AA151" s="338">
        <v>1.0</v>
      </c>
      <c r="AB151" s="347"/>
      <c r="AC151" s="338">
        <v>100.0</v>
      </c>
      <c r="AD151" s="338">
        <v>2.0</v>
      </c>
      <c r="AE151" s="338">
        <v>75.0</v>
      </c>
      <c r="AF151" s="338">
        <v>75.0</v>
      </c>
      <c r="AG151" s="338">
        <v>8.0</v>
      </c>
      <c r="AH151" s="338">
        <v>30.0</v>
      </c>
      <c r="AI151" s="816">
        <f t="shared" si="12"/>
        <v>19</v>
      </c>
      <c r="AJ151" s="347"/>
      <c r="AK151" s="347"/>
      <c r="AL151" s="347"/>
      <c r="AM151" s="347"/>
      <c r="AN151" s="347"/>
      <c r="AO151" s="347"/>
      <c r="AP151" s="347"/>
      <c r="AQ151" s="347"/>
      <c r="AR151" s="347"/>
      <c r="AS151" s="810"/>
      <c r="AT151" s="349">
        <f t="shared" si="13"/>
        <v>431</v>
      </c>
      <c r="AU151" s="349">
        <f t="shared" si="14"/>
        <v>867</v>
      </c>
      <c r="AV151" s="817">
        <f t="shared" si="15"/>
        <v>649</v>
      </c>
      <c r="AW151" s="818">
        <f t="shared" si="276"/>
        <v>1352</v>
      </c>
      <c r="AX151" s="818">
        <f t="shared" si="277"/>
        <v>1352</v>
      </c>
      <c r="AY151" s="818">
        <f t="shared" si="18"/>
        <v>1248</v>
      </c>
      <c r="AZ151" s="818">
        <f t="shared" si="278"/>
        <v>1159</v>
      </c>
      <c r="BA151" s="818">
        <f t="shared" si="279"/>
        <v>1082</v>
      </c>
      <c r="BB151" s="818">
        <f t="shared" si="280"/>
        <v>1082</v>
      </c>
      <c r="BC151" s="818">
        <f t="shared" si="281"/>
        <v>1082</v>
      </c>
      <c r="BD151" s="818">
        <f t="shared" si="282"/>
        <v>901</v>
      </c>
      <c r="BE151" s="818">
        <f t="shared" si="283"/>
        <v>1082</v>
      </c>
      <c r="BF151" s="818">
        <f t="shared" si="25"/>
        <v>1082</v>
      </c>
      <c r="BG151" s="818">
        <f t="shared" si="26"/>
        <v>1248</v>
      </c>
      <c r="BH151" s="818">
        <f t="shared" si="284"/>
        <v>1352</v>
      </c>
      <c r="BI151" s="818">
        <f t="shared" si="285"/>
        <v>1352</v>
      </c>
      <c r="BJ151" s="818">
        <f t="shared" si="286"/>
        <v>1159</v>
      </c>
      <c r="BK151" s="818">
        <f t="shared" si="287"/>
        <v>1082</v>
      </c>
      <c r="BL151" s="818">
        <f t="shared" si="288"/>
        <v>1082</v>
      </c>
      <c r="BM151" s="347"/>
      <c r="BN151" s="347"/>
      <c r="BO151" s="347"/>
      <c r="BP151" s="810" t="str">
        <f t="shared" si="33"/>
        <v/>
      </c>
      <c r="BQ151" s="338">
        <v>6.0</v>
      </c>
      <c r="BR151" s="338">
        <v>24.0</v>
      </c>
      <c r="BS151" s="338">
        <v>-20.0</v>
      </c>
      <c r="BT151" s="338">
        <v>75.0</v>
      </c>
      <c r="BU151" s="338">
        <v>75.0</v>
      </c>
      <c r="BV151" s="339">
        <f t="shared" si="34"/>
        <v>15</v>
      </c>
      <c r="BW151" s="819">
        <f t="shared" si="35"/>
        <v>687.9</v>
      </c>
      <c r="BX151" s="818">
        <f t="shared" si="289"/>
        <v>1433.1</v>
      </c>
      <c r="BY151" s="818">
        <f t="shared" si="290"/>
        <v>1433.1</v>
      </c>
      <c r="BZ151" s="818">
        <f t="shared" si="38"/>
        <v>1322.9</v>
      </c>
      <c r="CA151" s="818">
        <f t="shared" si="291"/>
        <v>1146.5</v>
      </c>
      <c r="CB151" s="818">
        <f t="shared" si="292"/>
        <v>1146.5</v>
      </c>
      <c r="CC151" s="818">
        <f t="shared" si="293"/>
        <v>1228.4</v>
      </c>
      <c r="CD151" s="818">
        <f t="shared" si="294"/>
        <v>1146.5</v>
      </c>
      <c r="CE151" s="842">
        <f t="shared" si="43"/>
        <v>26.7</v>
      </c>
      <c r="CF151" s="337">
        <f t="shared" si="248"/>
        <v>-5.7</v>
      </c>
      <c r="CG151" s="809">
        <f t="shared" si="295"/>
        <v>-5.7</v>
      </c>
      <c r="CH151" s="822" t="s">
        <v>1077</v>
      </c>
      <c r="CI151" s="818">
        <f t="shared" ref="CI151:DF151" si="328">FLOOR($AV151/(CI$3/25),1)</f>
        <v>649</v>
      </c>
      <c r="CJ151" s="818">
        <f t="shared" si="328"/>
        <v>676</v>
      </c>
      <c r="CK151" s="818">
        <f t="shared" si="328"/>
        <v>705</v>
      </c>
      <c r="CL151" s="818">
        <f t="shared" si="328"/>
        <v>737</v>
      </c>
      <c r="CM151" s="818">
        <f t="shared" si="328"/>
        <v>772</v>
      </c>
      <c r="CN151" s="818">
        <f t="shared" si="328"/>
        <v>811</v>
      </c>
      <c r="CO151" s="818">
        <f t="shared" si="328"/>
        <v>853</v>
      </c>
      <c r="CP151" s="818">
        <f t="shared" si="328"/>
        <v>901</v>
      </c>
      <c r="CQ151" s="818">
        <f t="shared" si="328"/>
        <v>954</v>
      </c>
      <c r="CR151" s="818">
        <f t="shared" si="328"/>
        <v>1014</v>
      </c>
      <c r="CS151" s="818">
        <f t="shared" si="328"/>
        <v>1081</v>
      </c>
      <c r="CT151" s="818">
        <f t="shared" si="328"/>
        <v>1158</v>
      </c>
      <c r="CU151" s="818">
        <f t="shared" si="328"/>
        <v>1248</v>
      </c>
      <c r="CV151" s="818">
        <f t="shared" si="328"/>
        <v>1352</v>
      </c>
      <c r="CW151" s="818">
        <f t="shared" si="328"/>
        <v>1475</v>
      </c>
      <c r="CX151" s="818">
        <f t="shared" si="328"/>
        <v>1622</v>
      </c>
      <c r="CY151" s="818">
        <f t="shared" si="328"/>
        <v>1802</v>
      </c>
      <c r="CZ151" s="818">
        <f t="shared" si="328"/>
        <v>2028</v>
      </c>
      <c r="DA151" s="818">
        <f t="shared" si="328"/>
        <v>2317</v>
      </c>
      <c r="DB151" s="818">
        <f t="shared" si="328"/>
        <v>2704</v>
      </c>
      <c r="DC151" s="818">
        <f t="shared" si="328"/>
        <v>3245</v>
      </c>
      <c r="DD151" s="818">
        <f t="shared" si="328"/>
        <v>4056</v>
      </c>
      <c r="DE151" s="818">
        <f t="shared" si="328"/>
        <v>5408</v>
      </c>
      <c r="DF151" s="823">
        <f t="shared" si="328"/>
        <v>8112</v>
      </c>
      <c r="DG151" s="810"/>
      <c r="DH151" s="810" t="str">
        <f t="shared" si="46"/>
        <v/>
      </c>
      <c r="DI151" s="347" t="str">
        <f t="shared" si="47"/>
        <v/>
      </c>
      <c r="DJ151" s="347" t="str">
        <f t="shared" si="48"/>
        <v/>
      </c>
      <c r="DK151" s="820" t="str">
        <f t="shared" si="49"/>
        <v/>
      </c>
      <c r="DL151" s="347"/>
      <c r="DM151" s="347"/>
      <c r="DN151" s="818">
        <f t="shared" si="327"/>
        <v>3.8</v>
      </c>
      <c r="DO151" s="810"/>
      <c r="DP151" s="885" t="s">
        <v>2242</v>
      </c>
    </row>
    <row r="152">
      <c r="A152" s="825">
        <v>146.0</v>
      </c>
      <c r="B152" s="438">
        <v>165.0</v>
      </c>
      <c r="C152" s="440">
        <v>19.0</v>
      </c>
      <c r="D152" s="440">
        <v>34.0</v>
      </c>
      <c r="E152" s="439"/>
      <c r="F152" s="459" t="s">
        <v>1246</v>
      </c>
      <c r="G152" s="459">
        <f t="shared" si="269"/>
        <v>16</v>
      </c>
      <c r="H152" s="459">
        <f t="shared" si="270"/>
        <v>15</v>
      </c>
      <c r="I152" s="459">
        <f t="shared" si="7"/>
        <v>16</v>
      </c>
      <c r="J152" s="459">
        <f t="shared" si="271"/>
        <v>19</v>
      </c>
      <c r="K152" s="459">
        <f t="shared" si="272"/>
        <v>19</v>
      </c>
      <c r="L152" s="459">
        <f t="shared" si="273"/>
        <v>15</v>
      </c>
      <c r="M152" s="887">
        <f t="shared" si="274"/>
        <v>20</v>
      </c>
      <c r="N152" s="827" t="s">
        <v>1108</v>
      </c>
      <c r="O152" s="888"/>
      <c r="P152" s="829"/>
      <c r="Q152" s="829" t="s">
        <v>1670</v>
      </c>
      <c r="R152" s="829" t="s">
        <v>1314</v>
      </c>
      <c r="S152" s="830" t="s">
        <v>1092</v>
      </c>
      <c r="T152" s="831" t="s">
        <v>1099</v>
      </c>
      <c r="U152" s="440">
        <v>41.0</v>
      </c>
      <c r="V152" s="440">
        <v>25.0</v>
      </c>
      <c r="W152" s="440">
        <v>25.0</v>
      </c>
      <c r="X152" s="799">
        <v>106.0</v>
      </c>
      <c r="Y152" s="440">
        <v>3.0</v>
      </c>
      <c r="Z152" s="440">
        <v>-10.0</v>
      </c>
      <c r="AA152" s="440">
        <v>1.0</v>
      </c>
      <c r="AB152" s="439"/>
      <c r="AC152" s="440">
        <v>110.0</v>
      </c>
      <c r="AD152" s="440">
        <v>2.0</v>
      </c>
      <c r="AE152" s="440">
        <v>75.0</v>
      </c>
      <c r="AF152" s="440">
        <v>75.0</v>
      </c>
      <c r="AG152" s="440">
        <v>19.0</v>
      </c>
      <c r="AH152" s="440">
        <v>34.0</v>
      </c>
      <c r="AI152" s="832">
        <f t="shared" si="12"/>
        <v>26.5</v>
      </c>
      <c r="AJ152" s="439"/>
      <c r="AK152" s="439"/>
      <c r="AL152" s="439"/>
      <c r="AM152" s="439"/>
      <c r="AN152" s="439"/>
      <c r="AO152" s="439"/>
      <c r="AP152" s="439"/>
      <c r="AQ152" s="439"/>
      <c r="AR152" s="439"/>
      <c r="AS152" s="826"/>
      <c r="AT152" s="459">
        <f t="shared" si="13"/>
        <v>650</v>
      </c>
      <c r="AU152" s="459">
        <f t="shared" si="14"/>
        <v>950</v>
      </c>
      <c r="AV152" s="833">
        <f t="shared" si="15"/>
        <v>800</v>
      </c>
      <c r="AW152" s="834">
        <f t="shared" si="276"/>
        <v>1429</v>
      </c>
      <c r="AX152" s="834">
        <f t="shared" si="277"/>
        <v>1538</v>
      </c>
      <c r="AY152" s="834">
        <f t="shared" si="18"/>
        <v>1429</v>
      </c>
      <c r="AZ152" s="834">
        <f t="shared" si="278"/>
        <v>1538</v>
      </c>
      <c r="BA152" s="834">
        <f t="shared" si="279"/>
        <v>1176</v>
      </c>
      <c r="BB152" s="834">
        <f t="shared" si="280"/>
        <v>1111</v>
      </c>
      <c r="BC152" s="834">
        <f t="shared" si="281"/>
        <v>1176</v>
      </c>
      <c r="BD152" s="834">
        <f t="shared" si="282"/>
        <v>909</v>
      </c>
      <c r="BE152" s="834">
        <f t="shared" si="283"/>
        <v>1111</v>
      </c>
      <c r="BF152" s="834">
        <f t="shared" si="25"/>
        <v>1111</v>
      </c>
      <c r="BG152" s="834">
        <f t="shared" si="26"/>
        <v>1333</v>
      </c>
      <c r="BH152" s="834">
        <f t="shared" si="284"/>
        <v>1333</v>
      </c>
      <c r="BI152" s="834">
        <f t="shared" si="285"/>
        <v>1429</v>
      </c>
      <c r="BJ152" s="834">
        <f t="shared" si="286"/>
        <v>1429</v>
      </c>
      <c r="BK152" s="834">
        <f t="shared" si="287"/>
        <v>1111</v>
      </c>
      <c r="BL152" s="834">
        <f t="shared" si="288"/>
        <v>1053</v>
      </c>
      <c r="BM152" s="439"/>
      <c r="BN152" s="439"/>
      <c r="BO152" s="439"/>
      <c r="BP152" s="826" t="str">
        <f t="shared" si="33"/>
        <v/>
      </c>
      <c r="BQ152" s="440">
        <v>13.0</v>
      </c>
      <c r="BR152" s="440">
        <v>27.0</v>
      </c>
      <c r="BS152" s="440">
        <v>-10.0</v>
      </c>
      <c r="BT152" s="440">
        <v>75.0</v>
      </c>
      <c r="BU152" s="440">
        <v>75.0</v>
      </c>
      <c r="BV152" s="442">
        <f t="shared" si="34"/>
        <v>20</v>
      </c>
      <c r="BW152" s="835">
        <f t="shared" si="35"/>
        <v>807.2</v>
      </c>
      <c r="BX152" s="834">
        <f t="shared" si="289"/>
        <v>1441.4</v>
      </c>
      <c r="BY152" s="834">
        <f t="shared" si="290"/>
        <v>1552.3</v>
      </c>
      <c r="BZ152" s="834">
        <f t="shared" si="38"/>
        <v>1441.4</v>
      </c>
      <c r="CA152" s="834">
        <f t="shared" si="291"/>
        <v>1187.1</v>
      </c>
      <c r="CB152" s="834">
        <f t="shared" si="292"/>
        <v>1187.1</v>
      </c>
      <c r="CC152" s="834">
        <f t="shared" si="293"/>
        <v>1552.3</v>
      </c>
      <c r="CD152" s="834">
        <f t="shared" si="294"/>
        <v>1121.1</v>
      </c>
      <c r="CE152" s="843">
        <f t="shared" si="43"/>
        <v>32.5</v>
      </c>
      <c r="CF152" s="438">
        <f t="shared" si="248"/>
        <v>-0.9</v>
      </c>
      <c r="CG152" s="825">
        <f t="shared" si="295"/>
        <v>-0.9</v>
      </c>
      <c r="CH152" s="838" t="s">
        <v>1108</v>
      </c>
      <c r="CI152" s="834">
        <f t="shared" ref="CI152:DF152" si="329">FLOOR($AV152/(CI$3/25),1)</f>
        <v>800</v>
      </c>
      <c r="CJ152" s="834">
        <f t="shared" si="329"/>
        <v>833</v>
      </c>
      <c r="CK152" s="834">
        <f t="shared" si="329"/>
        <v>869</v>
      </c>
      <c r="CL152" s="834">
        <f t="shared" si="329"/>
        <v>909</v>
      </c>
      <c r="CM152" s="834">
        <f t="shared" si="329"/>
        <v>952</v>
      </c>
      <c r="CN152" s="834">
        <f t="shared" si="329"/>
        <v>1000</v>
      </c>
      <c r="CO152" s="834">
        <f t="shared" si="329"/>
        <v>1052</v>
      </c>
      <c r="CP152" s="834">
        <f t="shared" si="329"/>
        <v>1111</v>
      </c>
      <c r="CQ152" s="834">
        <f t="shared" si="329"/>
        <v>1176</v>
      </c>
      <c r="CR152" s="834">
        <f t="shared" si="329"/>
        <v>1250</v>
      </c>
      <c r="CS152" s="834">
        <f t="shared" si="329"/>
        <v>1333</v>
      </c>
      <c r="CT152" s="834">
        <f t="shared" si="329"/>
        <v>1428</v>
      </c>
      <c r="CU152" s="834">
        <f t="shared" si="329"/>
        <v>1538</v>
      </c>
      <c r="CV152" s="834">
        <f t="shared" si="329"/>
        <v>1666</v>
      </c>
      <c r="CW152" s="834">
        <f t="shared" si="329"/>
        <v>1818</v>
      </c>
      <c r="CX152" s="834">
        <f t="shared" si="329"/>
        <v>2000</v>
      </c>
      <c r="CY152" s="834">
        <f t="shared" si="329"/>
        <v>2222</v>
      </c>
      <c r="CZ152" s="834">
        <f t="shared" si="329"/>
        <v>2500</v>
      </c>
      <c r="DA152" s="834">
        <f t="shared" si="329"/>
        <v>2857</v>
      </c>
      <c r="DB152" s="834">
        <f t="shared" si="329"/>
        <v>3333</v>
      </c>
      <c r="DC152" s="834">
        <f t="shared" si="329"/>
        <v>4000</v>
      </c>
      <c r="DD152" s="834">
        <f t="shared" si="329"/>
        <v>5000</v>
      </c>
      <c r="DE152" s="834">
        <f t="shared" si="329"/>
        <v>6666</v>
      </c>
      <c r="DF152" s="839">
        <f t="shared" si="329"/>
        <v>10000</v>
      </c>
      <c r="DG152" s="826"/>
      <c r="DH152" s="826" t="str">
        <f t="shared" si="46"/>
        <v/>
      </c>
      <c r="DI152" s="439" t="str">
        <f t="shared" si="47"/>
        <v/>
      </c>
      <c r="DJ152" s="439" t="str">
        <f t="shared" si="48"/>
        <v/>
      </c>
      <c r="DK152" s="836" t="str">
        <f t="shared" si="49"/>
        <v/>
      </c>
      <c r="DL152" s="439"/>
      <c r="DM152" s="439"/>
      <c r="DN152" s="834">
        <f t="shared" si="327"/>
        <v>3.5</v>
      </c>
      <c r="DO152" s="826"/>
      <c r="DP152" s="889" t="s">
        <v>2242</v>
      </c>
    </row>
    <row r="153">
      <c r="A153" s="809">
        <v>147.0</v>
      </c>
      <c r="B153" s="337">
        <v>278.0</v>
      </c>
      <c r="C153" s="338">
        <v>23.0</v>
      </c>
      <c r="D153" s="338">
        <v>54.0</v>
      </c>
      <c r="E153" s="347"/>
      <c r="F153" s="349" t="s">
        <v>2344</v>
      </c>
      <c r="G153" s="349">
        <f t="shared" si="269"/>
        <v>15</v>
      </c>
      <c r="H153" s="349">
        <f t="shared" si="270"/>
        <v>15</v>
      </c>
      <c r="I153" s="349">
        <f t="shared" si="7"/>
        <v>16</v>
      </c>
      <c r="J153" s="349">
        <f t="shared" si="271"/>
        <v>19</v>
      </c>
      <c r="K153" s="349">
        <f t="shared" si="272"/>
        <v>19</v>
      </c>
      <c r="L153" s="349">
        <f t="shared" si="273"/>
        <v>17</v>
      </c>
      <c r="M153" s="884">
        <f t="shared" si="274"/>
        <v>19</v>
      </c>
      <c r="N153" s="811" t="s">
        <v>1072</v>
      </c>
      <c r="O153" s="844"/>
      <c r="P153" s="813"/>
      <c r="Q153" s="813" t="s">
        <v>1676</v>
      </c>
      <c r="R153" s="813" t="s">
        <v>1314</v>
      </c>
      <c r="S153" s="814" t="s">
        <v>1051</v>
      </c>
      <c r="T153" s="815" t="s">
        <v>1049</v>
      </c>
      <c r="U153" s="338">
        <v>64.0</v>
      </c>
      <c r="V153" s="338">
        <v>48.0</v>
      </c>
      <c r="W153" s="338">
        <v>48.0</v>
      </c>
      <c r="X153" s="679">
        <v>141.0</v>
      </c>
      <c r="Y153" s="338">
        <v>2.0</v>
      </c>
      <c r="Z153" s="338">
        <v>0.0</v>
      </c>
      <c r="AA153" s="338">
        <v>1.0</v>
      </c>
      <c r="AB153" s="347"/>
      <c r="AC153" s="338">
        <v>215.0</v>
      </c>
      <c r="AD153" s="338">
        <v>2.0</v>
      </c>
      <c r="AE153" s="338">
        <v>75.0</v>
      </c>
      <c r="AF153" s="338">
        <v>75.0</v>
      </c>
      <c r="AG153" s="338">
        <v>23.0</v>
      </c>
      <c r="AH153" s="338">
        <v>54.0</v>
      </c>
      <c r="AI153" s="816">
        <f t="shared" si="12"/>
        <v>38.5</v>
      </c>
      <c r="AJ153" s="347"/>
      <c r="AK153" s="347"/>
      <c r="AL153" s="347"/>
      <c r="AM153" s="347"/>
      <c r="AN153" s="347"/>
      <c r="AO153" s="347"/>
      <c r="AP153" s="347"/>
      <c r="AQ153" s="347"/>
      <c r="AR153" s="347"/>
      <c r="AS153" s="810"/>
      <c r="AT153" s="349">
        <f t="shared" si="13"/>
        <v>727</v>
      </c>
      <c r="AU153" s="349">
        <f t="shared" si="14"/>
        <v>1347</v>
      </c>
      <c r="AV153" s="817">
        <f t="shared" si="15"/>
        <v>1037</v>
      </c>
      <c r="AW153" s="818">
        <f t="shared" si="276"/>
        <v>1852</v>
      </c>
      <c r="AX153" s="818">
        <f t="shared" si="277"/>
        <v>1852</v>
      </c>
      <c r="AY153" s="818">
        <f t="shared" si="18"/>
        <v>1728</v>
      </c>
      <c r="AZ153" s="818">
        <f t="shared" si="278"/>
        <v>1620</v>
      </c>
      <c r="BA153" s="818">
        <f t="shared" si="279"/>
        <v>1440</v>
      </c>
      <c r="BB153" s="818">
        <f t="shared" si="280"/>
        <v>1440</v>
      </c>
      <c r="BC153" s="818">
        <f t="shared" si="281"/>
        <v>1440</v>
      </c>
      <c r="BD153" s="818">
        <f t="shared" si="282"/>
        <v>960</v>
      </c>
      <c r="BE153" s="818">
        <f t="shared" si="283"/>
        <v>1178</v>
      </c>
      <c r="BF153" s="818">
        <f t="shared" si="25"/>
        <v>1127</v>
      </c>
      <c r="BG153" s="818">
        <f t="shared" si="26"/>
        <v>1364</v>
      </c>
      <c r="BH153" s="818">
        <f t="shared" si="284"/>
        <v>1440</v>
      </c>
      <c r="BI153" s="818">
        <f t="shared" si="285"/>
        <v>1440</v>
      </c>
      <c r="BJ153" s="818">
        <f t="shared" si="286"/>
        <v>1296</v>
      </c>
      <c r="BK153" s="818">
        <f t="shared" si="287"/>
        <v>1178</v>
      </c>
      <c r="BL153" s="818">
        <f t="shared" si="288"/>
        <v>1178</v>
      </c>
      <c r="BM153" s="347"/>
      <c r="BN153" s="347"/>
      <c r="BO153" s="347"/>
      <c r="BP153" s="810" t="str">
        <f t="shared" si="33"/>
        <v/>
      </c>
      <c r="BQ153" s="338">
        <v>23.0</v>
      </c>
      <c r="BR153" s="338">
        <v>54.0</v>
      </c>
      <c r="BS153" s="347"/>
      <c r="BT153" s="338">
        <v>75.0</v>
      </c>
      <c r="BU153" s="338">
        <v>75.0</v>
      </c>
      <c r="BV153" s="339">
        <f t="shared" si="34"/>
        <v>38.5</v>
      </c>
      <c r="BW153" s="819">
        <f t="shared" si="35"/>
        <v>1248.9</v>
      </c>
      <c r="BX153" s="818">
        <f t="shared" si="289"/>
        <v>2230.2</v>
      </c>
      <c r="BY153" s="818">
        <f t="shared" si="290"/>
        <v>2230.2</v>
      </c>
      <c r="BZ153" s="818">
        <f t="shared" si="38"/>
        <v>2081.5</v>
      </c>
      <c r="CA153" s="818">
        <f t="shared" si="291"/>
        <v>1734.6</v>
      </c>
      <c r="CB153" s="818">
        <f t="shared" si="292"/>
        <v>1734.6</v>
      </c>
      <c r="CC153" s="818">
        <f t="shared" si="293"/>
        <v>1951.4</v>
      </c>
      <c r="CD153" s="818">
        <f t="shared" si="294"/>
        <v>1734.6</v>
      </c>
      <c r="CE153" s="820" t="str">
        <f t="shared" si="43"/>
        <v/>
      </c>
      <c r="CF153" s="347">
        <f t="shared" si="248"/>
        <v>-17</v>
      </c>
      <c r="CG153" s="810">
        <f t="shared" si="295"/>
        <v>-17</v>
      </c>
      <c r="CH153" s="822" t="s">
        <v>1072</v>
      </c>
      <c r="CI153" s="818">
        <f t="shared" ref="CI153:DF153" si="330">FLOOR($AV153/(CI$3/25),1)</f>
        <v>1037</v>
      </c>
      <c r="CJ153" s="818">
        <f t="shared" si="330"/>
        <v>1080</v>
      </c>
      <c r="CK153" s="818">
        <f t="shared" si="330"/>
        <v>1127</v>
      </c>
      <c r="CL153" s="818">
        <f t="shared" si="330"/>
        <v>1178</v>
      </c>
      <c r="CM153" s="818">
        <f t="shared" si="330"/>
        <v>1234</v>
      </c>
      <c r="CN153" s="818">
        <f t="shared" si="330"/>
        <v>1296</v>
      </c>
      <c r="CO153" s="818">
        <f t="shared" si="330"/>
        <v>1364</v>
      </c>
      <c r="CP153" s="818">
        <f t="shared" si="330"/>
        <v>1440</v>
      </c>
      <c r="CQ153" s="818">
        <f t="shared" si="330"/>
        <v>1525</v>
      </c>
      <c r="CR153" s="818">
        <f t="shared" si="330"/>
        <v>1620</v>
      </c>
      <c r="CS153" s="818">
        <f t="shared" si="330"/>
        <v>1728</v>
      </c>
      <c r="CT153" s="818">
        <f t="shared" si="330"/>
        <v>1851</v>
      </c>
      <c r="CU153" s="818">
        <f t="shared" si="330"/>
        <v>1994</v>
      </c>
      <c r="CV153" s="818">
        <f t="shared" si="330"/>
        <v>2160</v>
      </c>
      <c r="CW153" s="818">
        <f t="shared" si="330"/>
        <v>2356</v>
      </c>
      <c r="CX153" s="818">
        <f t="shared" si="330"/>
        <v>2592</v>
      </c>
      <c r="CY153" s="818">
        <f t="shared" si="330"/>
        <v>2880</v>
      </c>
      <c r="CZ153" s="818">
        <f t="shared" si="330"/>
        <v>3240</v>
      </c>
      <c r="DA153" s="818">
        <f t="shared" si="330"/>
        <v>3703</v>
      </c>
      <c r="DB153" s="818">
        <f t="shared" si="330"/>
        <v>4320</v>
      </c>
      <c r="DC153" s="818">
        <f t="shared" si="330"/>
        <v>5185</v>
      </c>
      <c r="DD153" s="818">
        <f t="shared" si="330"/>
        <v>6481</v>
      </c>
      <c r="DE153" s="818">
        <f t="shared" si="330"/>
        <v>8641</v>
      </c>
      <c r="DF153" s="823">
        <f t="shared" si="330"/>
        <v>12962</v>
      </c>
      <c r="DG153" s="810"/>
      <c r="DH153" s="810" t="str">
        <f t="shared" si="46"/>
        <v/>
      </c>
      <c r="DI153" s="347" t="str">
        <f t="shared" si="47"/>
        <v/>
      </c>
      <c r="DJ153" s="347" t="str">
        <f t="shared" si="48"/>
        <v/>
      </c>
      <c r="DK153" s="842">
        <f t="shared" si="49"/>
        <v>9.1</v>
      </c>
      <c r="DL153" s="685">
        <v>42.0</v>
      </c>
      <c r="DM153" s="347"/>
      <c r="DN153" s="818">
        <f t="shared" si="327"/>
        <v>2.6</v>
      </c>
      <c r="DO153" s="810" t="s">
        <v>2347</v>
      </c>
      <c r="DP153" s="885" t="s">
        <v>2242</v>
      </c>
    </row>
    <row r="154">
      <c r="A154" s="809">
        <v>148.0</v>
      </c>
      <c r="B154" s="337">
        <v>280.0</v>
      </c>
      <c r="C154" s="338">
        <v>17.0</v>
      </c>
      <c r="D154" s="338">
        <v>65.0</v>
      </c>
      <c r="E154" s="347"/>
      <c r="F154" s="349" t="s">
        <v>1246</v>
      </c>
      <c r="G154" s="349">
        <f t="shared" si="269"/>
        <v>16</v>
      </c>
      <c r="H154" s="349">
        <f t="shared" si="270"/>
        <v>15</v>
      </c>
      <c r="I154" s="349">
        <f t="shared" si="7"/>
        <v>16</v>
      </c>
      <c r="J154" s="349">
        <f t="shared" si="271"/>
        <v>19</v>
      </c>
      <c r="K154" s="349">
        <f t="shared" si="272"/>
        <v>19</v>
      </c>
      <c r="L154" s="349">
        <f t="shared" si="273"/>
        <v>15</v>
      </c>
      <c r="M154" s="884">
        <f t="shared" si="274"/>
        <v>20</v>
      </c>
      <c r="N154" s="811" t="s">
        <v>1105</v>
      </c>
      <c r="O154" s="812" t="s">
        <v>2038</v>
      </c>
      <c r="P154" s="813"/>
      <c r="Q154" s="813" t="s">
        <v>1676</v>
      </c>
      <c r="R154" s="813" t="s">
        <v>1314</v>
      </c>
      <c r="S154" s="814" t="s">
        <v>1092</v>
      </c>
      <c r="T154" s="815" t="s">
        <v>1089</v>
      </c>
      <c r="U154" s="338">
        <v>56.0</v>
      </c>
      <c r="V154" s="338">
        <v>42.0</v>
      </c>
      <c r="W154" s="338">
        <v>88.0</v>
      </c>
      <c r="X154" s="679">
        <v>108.0</v>
      </c>
      <c r="Y154" s="338">
        <v>2.0</v>
      </c>
      <c r="Z154" s="338">
        <v>10.0</v>
      </c>
      <c r="AA154" s="338">
        <v>1.0</v>
      </c>
      <c r="AB154" s="347"/>
      <c r="AC154" s="338">
        <v>230.0</v>
      </c>
      <c r="AD154" s="338">
        <v>2.0</v>
      </c>
      <c r="AE154" s="338">
        <v>75.0</v>
      </c>
      <c r="AF154" s="338">
        <v>75.0</v>
      </c>
      <c r="AG154" s="338">
        <v>17.0</v>
      </c>
      <c r="AH154" s="338">
        <v>65.0</v>
      </c>
      <c r="AI154" s="816">
        <f t="shared" si="12"/>
        <v>41</v>
      </c>
      <c r="AJ154" s="347"/>
      <c r="AK154" s="347"/>
      <c r="AL154" s="347"/>
      <c r="AM154" s="347"/>
      <c r="AN154" s="347"/>
      <c r="AO154" s="347"/>
      <c r="AP154" s="347"/>
      <c r="AQ154" s="347"/>
      <c r="AR154" s="347"/>
      <c r="AS154" s="810"/>
      <c r="AT154" s="349">
        <f t="shared" si="13"/>
        <v>610</v>
      </c>
      <c r="AU154" s="349">
        <f t="shared" si="14"/>
        <v>1565</v>
      </c>
      <c r="AV154" s="817">
        <f t="shared" si="15"/>
        <v>1087.5</v>
      </c>
      <c r="AW154" s="818">
        <f t="shared" si="276"/>
        <v>1599</v>
      </c>
      <c r="AX154" s="818">
        <f t="shared" si="277"/>
        <v>1699</v>
      </c>
      <c r="AY154" s="818">
        <f t="shared" si="18"/>
        <v>1599</v>
      </c>
      <c r="AZ154" s="818">
        <f t="shared" si="278"/>
        <v>1699</v>
      </c>
      <c r="BA154" s="818">
        <f t="shared" si="279"/>
        <v>1295</v>
      </c>
      <c r="BB154" s="818">
        <f t="shared" si="280"/>
        <v>1236</v>
      </c>
      <c r="BC154" s="818">
        <f t="shared" si="281"/>
        <v>1295</v>
      </c>
      <c r="BD154" s="818">
        <f t="shared" si="282"/>
        <v>824</v>
      </c>
      <c r="BE154" s="818">
        <f t="shared" si="283"/>
        <v>971</v>
      </c>
      <c r="BF154" s="818">
        <f t="shared" si="25"/>
        <v>1007</v>
      </c>
      <c r="BG154" s="818">
        <f t="shared" si="26"/>
        <v>1236</v>
      </c>
      <c r="BH154" s="818">
        <f t="shared" si="284"/>
        <v>1236</v>
      </c>
      <c r="BI154" s="818">
        <f t="shared" si="285"/>
        <v>1295</v>
      </c>
      <c r="BJ154" s="818">
        <f t="shared" si="286"/>
        <v>1295</v>
      </c>
      <c r="BK154" s="818">
        <f t="shared" si="287"/>
        <v>971</v>
      </c>
      <c r="BL154" s="818">
        <f t="shared" si="288"/>
        <v>938</v>
      </c>
      <c r="BM154" s="347"/>
      <c r="BN154" s="347"/>
      <c r="BO154" s="347"/>
      <c r="BP154" s="810" t="str">
        <f t="shared" si="33"/>
        <v/>
      </c>
      <c r="BQ154" s="338">
        <v>17.0</v>
      </c>
      <c r="BR154" s="338">
        <v>65.0</v>
      </c>
      <c r="BS154" s="338">
        <v>10.0</v>
      </c>
      <c r="BT154" s="338">
        <v>75.0</v>
      </c>
      <c r="BU154" s="338">
        <v>75.0</v>
      </c>
      <c r="BV154" s="339">
        <f t="shared" si="34"/>
        <v>41</v>
      </c>
      <c r="BW154" s="819">
        <f t="shared" si="35"/>
        <v>1308.5</v>
      </c>
      <c r="BX154" s="818">
        <f t="shared" si="289"/>
        <v>1924.3</v>
      </c>
      <c r="BY154" s="818">
        <f t="shared" si="290"/>
        <v>2044.5</v>
      </c>
      <c r="BZ154" s="818">
        <f t="shared" si="38"/>
        <v>1924.3</v>
      </c>
      <c r="CA154" s="818">
        <f t="shared" si="291"/>
        <v>1557.7</v>
      </c>
      <c r="CB154" s="818">
        <f t="shared" si="292"/>
        <v>1557.7</v>
      </c>
      <c r="CC154" s="818">
        <f t="shared" si="293"/>
        <v>2044.5</v>
      </c>
      <c r="CD154" s="818">
        <f t="shared" si="294"/>
        <v>1486.9</v>
      </c>
      <c r="CE154" s="820" t="str">
        <f t="shared" si="43"/>
        <v/>
      </c>
      <c r="CF154" s="347">
        <f t="shared" si="248"/>
        <v>-16.9</v>
      </c>
      <c r="CG154" s="810">
        <f t="shared" si="295"/>
        <v>-16.9</v>
      </c>
      <c r="CH154" s="822" t="s">
        <v>1105</v>
      </c>
      <c r="CI154" s="818">
        <f t="shared" ref="CI154:DF154" si="331">FLOOR($AV154/(CI$3/25),1)</f>
        <v>1087</v>
      </c>
      <c r="CJ154" s="818">
        <f t="shared" si="331"/>
        <v>1132</v>
      </c>
      <c r="CK154" s="818">
        <f t="shared" si="331"/>
        <v>1182</v>
      </c>
      <c r="CL154" s="818">
        <f t="shared" si="331"/>
        <v>1235</v>
      </c>
      <c r="CM154" s="818">
        <f t="shared" si="331"/>
        <v>1294</v>
      </c>
      <c r="CN154" s="818">
        <f t="shared" si="331"/>
        <v>1359</v>
      </c>
      <c r="CO154" s="818">
        <f t="shared" si="331"/>
        <v>1430</v>
      </c>
      <c r="CP154" s="818">
        <f t="shared" si="331"/>
        <v>1510</v>
      </c>
      <c r="CQ154" s="818">
        <f t="shared" si="331"/>
        <v>1599</v>
      </c>
      <c r="CR154" s="818">
        <f t="shared" si="331"/>
        <v>1699</v>
      </c>
      <c r="CS154" s="818">
        <f t="shared" si="331"/>
        <v>1812</v>
      </c>
      <c r="CT154" s="818">
        <f t="shared" si="331"/>
        <v>1941</v>
      </c>
      <c r="CU154" s="818">
        <f t="shared" si="331"/>
        <v>2091</v>
      </c>
      <c r="CV154" s="818">
        <f t="shared" si="331"/>
        <v>2265</v>
      </c>
      <c r="CW154" s="818">
        <f t="shared" si="331"/>
        <v>2471</v>
      </c>
      <c r="CX154" s="818">
        <f t="shared" si="331"/>
        <v>2718</v>
      </c>
      <c r="CY154" s="818">
        <f t="shared" si="331"/>
        <v>3020</v>
      </c>
      <c r="CZ154" s="818">
        <f t="shared" si="331"/>
        <v>3398</v>
      </c>
      <c r="DA154" s="818">
        <f t="shared" si="331"/>
        <v>3883</v>
      </c>
      <c r="DB154" s="818">
        <f t="shared" si="331"/>
        <v>4531</v>
      </c>
      <c r="DC154" s="818">
        <f t="shared" si="331"/>
        <v>5437</v>
      </c>
      <c r="DD154" s="818">
        <f t="shared" si="331"/>
        <v>6796</v>
      </c>
      <c r="DE154" s="818">
        <f t="shared" si="331"/>
        <v>9062</v>
      </c>
      <c r="DF154" s="823">
        <f t="shared" si="331"/>
        <v>13593</v>
      </c>
      <c r="DG154" s="810"/>
      <c r="DH154" s="810" t="str">
        <f t="shared" si="46"/>
        <v/>
      </c>
      <c r="DI154" s="347" t="str">
        <f t="shared" si="47"/>
        <v/>
      </c>
      <c r="DJ154" s="347" t="str">
        <f t="shared" si="48"/>
        <v/>
      </c>
      <c r="DK154" s="842">
        <f t="shared" si="49"/>
        <v>9.8</v>
      </c>
      <c r="DL154" s="685">
        <v>45.0</v>
      </c>
      <c r="DM154" s="347"/>
      <c r="DN154" s="818">
        <f t="shared" si="327"/>
        <v>2.1</v>
      </c>
      <c r="DO154" s="810" t="s">
        <v>2348</v>
      </c>
      <c r="DP154" s="885" t="s">
        <v>2242</v>
      </c>
    </row>
    <row r="155">
      <c r="A155" s="809">
        <v>149.0</v>
      </c>
      <c r="B155" s="337">
        <v>282.0</v>
      </c>
      <c r="C155" s="338">
        <v>27.0</v>
      </c>
      <c r="D155" s="338">
        <v>35.0</v>
      </c>
      <c r="E155" s="347"/>
      <c r="F155" s="349" t="s">
        <v>2344</v>
      </c>
      <c r="G155" s="349">
        <f t="shared" si="269"/>
        <v>15</v>
      </c>
      <c r="H155" s="349">
        <f t="shared" si="270"/>
        <v>15</v>
      </c>
      <c r="I155" s="349">
        <f t="shared" si="7"/>
        <v>16</v>
      </c>
      <c r="J155" s="349">
        <f t="shared" si="271"/>
        <v>19</v>
      </c>
      <c r="K155" s="349">
        <f t="shared" si="272"/>
        <v>19</v>
      </c>
      <c r="L155" s="349">
        <f t="shared" si="273"/>
        <v>17</v>
      </c>
      <c r="M155" s="884">
        <f t="shared" si="274"/>
        <v>19</v>
      </c>
      <c r="N155" s="811" t="s">
        <v>1079</v>
      </c>
      <c r="O155" s="812" t="s">
        <v>2039</v>
      </c>
      <c r="P155" s="813"/>
      <c r="Q155" s="813" t="s">
        <v>1676</v>
      </c>
      <c r="R155" s="813" t="s">
        <v>1314</v>
      </c>
      <c r="S155" s="814" t="s">
        <v>1051</v>
      </c>
      <c r="T155" s="815" t="s">
        <v>1061</v>
      </c>
      <c r="U155" s="338">
        <v>77.0</v>
      </c>
      <c r="V155" s="338">
        <v>57.0</v>
      </c>
      <c r="W155" s="338">
        <v>45.0</v>
      </c>
      <c r="X155" s="679">
        <v>142.0</v>
      </c>
      <c r="Y155" s="338">
        <v>2.0</v>
      </c>
      <c r="Z155" s="338">
        <v>-20.0</v>
      </c>
      <c r="AA155" s="338">
        <v>1.0</v>
      </c>
      <c r="AB155" s="347"/>
      <c r="AC155" s="338">
        <v>248.0</v>
      </c>
      <c r="AD155" s="338">
        <v>2.0</v>
      </c>
      <c r="AE155" s="338">
        <v>75.0</v>
      </c>
      <c r="AF155" s="338">
        <v>75.0</v>
      </c>
      <c r="AG155" s="338">
        <v>27.0</v>
      </c>
      <c r="AH155" s="338">
        <v>35.0</v>
      </c>
      <c r="AI155" s="816">
        <f t="shared" si="12"/>
        <v>31</v>
      </c>
      <c r="AJ155" s="347"/>
      <c r="AK155" s="347"/>
      <c r="AL155" s="347"/>
      <c r="AM155" s="347"/>
      <c r="AN155" s="347"/>
      <c r="AO155" s="347"/>
      <c r="AP155" s="347"/>
      <c r="AQ155" s="347"/>
      <c r="AR155" s="347"/>
      <c r="AS155" s="810"/>
      <c r="AT155" s="349">
        <f t="shared" si="13"/>
        <v>811</v>
      </c>
      <c r="AU155" s="349">
        <f t="shared" si="14"/>
        <v>967</v>
      </c>
      <c r="AV155" s="817">
        <f t="shared" si="15"/>
        <v>889</v>
      </c>
      <c r="AW155" s="818">
        <f t="shared" si="276"/>
        <v>1852</v>
      </c>
      <c r="AX155" s="818">
        <f t="shared" si="277"/>
        <v>1852</v>
      </c>
      <c r="AY155" s="818">
        <f t="shared" si="18"/>
        <v>1710</v>
      </c>
      <c r="AZ155" s="818">
        <f t="shared" si="278"/>
        <v>1588</v>
      </c>
      <c r="BA155" s="818">
        <f t="shared" si="279"/>
        <v>1482</v>
      </c>
      <c r="BB155" s="818">
        <f t="shared" si="280"/>
        <v>1482</v>
      </c>
      <c r="BC155" s="818">
        <f t="shared" si="281"/>
        <v>1482</v>
      </c>
      <c r="BD155" s="818">
        <f t="shared" si="282"/>
        <v>1235</v>
      </c>
      <c r="BE155" s="818">
        <f t="shared" si="283"/>
        <v>1482</v>
      </c>
      <c r="BF155" s="818">
        <f t="shared" si="25"/>
        <v>1482</v>
      </c>
      <c r="BG155" s="818">
        <f t="shared" si="26"/>
        <v>1710</v>
      </c>
      <c r="BH155" s="818">
        <f t="shared" si="284"/>
        <v>1852</v>
      </c>
      <c r="BI155" s="818">
        <f t="shared" si="285"/>
        <v>1852</v>
      </c>
      <c r="BJ155" s="818">
        <f t="shared" si="286"/>
        <v>1588</v>
      </c>
      <c r="BK155" s="818">
        <f t="shared" si="287"/>
        <v>1482</v>
      </c>
      <c r="BL155" s="818">
        <f t="shared" si="288"/>
        <v>1482</v>
      </c>
      <c r="BM155" s="347"/>
      <c r="BN155" s="347"/>
      <c r="BO155" s="347"/>
      <c r="BP155" s="810" t="str">
        <f t="shared" si="33"/>
        <v/>
      </c>
      <c r="BQ155" s="338">
        <v>27.0</v>
      </c>
      <c r="BR155" s="338">
        <v>35.0</v>
      </c>
      <c r="BS155" s="338">
        <v>-20.0</v>
      </c>
      <c r="BT155" s="338">
        <v>75.0</v>
      </c>
      <c r="BU155" s="338">
        <v>75.0</v>
      </c>
      <c r="BV155" s="339">
        <f t="shared" si="34"/>
        <v>31</v>
      </c>
      <c r="BW155" s="819">
        <f t="shared" si="35"/>
        <v>1069.8</v>
      </c>
      <c r="BX155" s="818">
        <f t="shared" si="289"/>
        <v>2228.8</v>
      </c>
      <c r="BY155" s="818">
        <f t="shared" si="290"/>
        <v>2228.8</v>
      </c>
      <c r="BZ155" s="818">
        <f t="shared" si="38"/>
        <v>2057.3</v>
      </c>
      <c r="CA155" s="818">
        <f t="shared" si="291"/>
        <v>1783</v>
      </c>
      <c r="CB155" s="818">
        <f t="shared" si="292"/>
        <v>1783</v>
      </c>
      <c r="CC155" s="818">
        <f t="shared" si="293"/>
        <v>1910.4</v>
      </c>
      <c r="CD155" s="818">
        <f t="shared" si="294"/>
        <v>1783</v>
      </c>
      <c r="CE155" s="820" t="str">
        <f t="shared" si="43"/>
        <v/>
      </c>
      <c r="CF155" s="347">
        <f t="shared" si="248"/>
        <v>-16.9</v>
      </c>
      <c r="CG155" s="810">
        <f t="shared" si="295"/>
        <v>-16.9</v>
      </c>
      <c r="CH155" s="822" t="s">
        <v>1079</v>
      </c>
      <c r="CI155" s="818">
        <f t="shared" ref="CI155:DF155" si="332">FLOOR($AV155/(CI$3/25),1)</f>
        <v>889</v>
      </c>
      <c r="CJ155" s="818">
        <f t="shared" si="332"/>
        <v>926</v>
      </c>
      <c r="CK155" s="818">
        <f t="shared" si="332"/>
        <v>966</v>
      </c>
      <c r="CL155" s="818">
        <f t="shared" si="332"/>
        <v>1010</v>
      </c>
      <c r="CM155" s="818">
        <f t="shared" si="332"/>
        <v>1058</v>
      </c>
      <c r="CN155" s="818">
        <f t="shared" si="332"/>
        <v>1111</v>
      </c>
      <c r="CO155" s="818">
        <f t="shared" si="332"/>
        <v>1169</v>
      </c>
      <c r="CP155" s="818">
        <f t="shared" si="332"/>
        <v>1234</v>
      </c>
      <c r="CQ155" s="818">
        <f t="shared" si="332"/>
        <v>1307</v>
      </c>
      <c r="CR155" s="818">
        <f t="shared" si="332"/>
        <v>1389</v>
      </c>
      <c r="CS155" s="818">
        <f t="shared" si="332"/>
        <v>1481</v>
      </c>
      <c r="CT155" s="818">
        <f t="shared" si="332"/>
        <v>1587</v>
      </c>
      <c r="CU155" s="818">
        <f t="shared" si="332"/>
        <v>1709</v>
      </c>
      <c r="CV155" s="818">
        <f t="shared" si="332"/>
        <v>1852</v>
      </c>
      <c r="CW155" s="818">
        <f t="shared" si="332"/>
        <v>2020</v>
      </c>
      <c r="CX155" s="818">
        <f t="shared" si="332"/>
        <v>2222</v>
      </c>
      <c r="CY155" s="818">
        <f t="shared" si="332"/>
        <v>2469</v>
      </c>
      <c r="CZ155" s="818">
        <f t="shared" si="332"/>
        <v>2778</v>
      </c>
      <c r="DA155" s="818">
        <f t="shared" si="332"/>
        <v>3175</v>
      </c>
      <c r="DB155" s="818">
        <f t="shared" si="332"/>
        <v>3704</v>
      </c>
      <c r="DC155" s="818">
        <f t="shared" si="332"/>
        <v>4445</v>
      </c>
      <c r="DD155" s="818">
        <f t="shared" si="332"/>
        <v>5556</v>
      </c>
      <c r="DE155" s="818">
        <f t="shared" si="332"/>
        <v>7408</v>
      </c>
      <c r="DF155" s="823">
        <f t="shared" si="332"/>
        <v>11112</v>
      </c>
      <c r="DG155" s="810"/>
      <c r="DH155" s="810" t="str">
        <f t="shared" si="46"/>
        <v/>
      </c>
      <c r="DI155" s="347" t="str">
        <f t="shared" si="47"/>
        <v/>
      </c>
      <c r="DJ155" s="347" t="str">
        <f t="shared" si="48"/>
        <v/>
      </c>
      <c r="DK155" s="842">
        <f t="shared" si="49"/>
        <v>16.1</v>
      </c>
      <c r="DL155" s="685">
        <v>36.0</v>
      </c>
      <c r="DM155" s="347"/>
      <c r="DN155" s="818">
        <f t="shared" si="327"/>
        <v>1.9</v>
      </c>
      <c r="DO155" s="810"/>
      <c r="DP155" s="885" t="s">
        <v>2242</v>
      </c>
    </row>
    <row r="156">
      <c r="A156" s="847">
        <v>150.0</v>
      </c>
      <c r="B156" s="848">
        <v>284.0</v>
      </c>
      <c r="C156" s="849">
        <v>11.0</v>
      </c>
      <c r="D156" s="849">
        <v>56.0</v>
      </c>
      <c r="E156" s="850"/>
      <c r="F156" s="851" t="s">
        <v>1246</v>
      </c>
      <c r="G156" s="851">
        <f t="shared" si="269"/>
        <v>16</v>
      </c>
      <c r="H156" s="851">
        <f t="shared" si="270"/>
        <v>15</v>
      </c>
      <c r="I156" s="851">
        <f t="shared" si="7"/>
        <v>16</v>
      </c>
      <c r="J156" s="851">
        <f t="shared" si="271"/>
        <v>19</v>
      </c>
      <c r="K156" s="851">
        <f t="shared" si="272"/>
        <v>19</v>
      </c>
      <c r="L156" s="851">
        <f t="shared" si="273"/>
        <v>15</v>
      </c>
      <c r="M156" s="890">
        <f t="shared" si="274"/>
        <v>20</v>
      </c>
      <c r="N156" s="853" t="s">
        <v>1118</v>
      </c>
      <c r="O156" s="854" t="s">
        <v>2040</v>
      </c>
      <c r="P156" s="856"/>
      <c r="Q156" s="856" t="s">
        <v>1676</v>
      </c>
      <c r="R156" s="856" t="s">
        <v>1314</v>
      </c>
      <c r="S156" s="857" t="s">
        <v>1092</v>
      </c>
      <c r="T156" s="858" t="s">
        <v>1102</v>
      </c>
      <c r="U156" s="849">
        <v>80.0</v>
      </c>
      <c r="V156" s="849">
        <v>60.0</v>
      </c>
      <c r="W156" s="849">
        <v>96.0</v>
      </c>
      <c r="X156" s="773">
        <v>122.0</v>
      </c>
      <c r="Y156" s="849">
        <v>3.0</v>
      </c>
      <c r="Z156" s="849">
        <v>-10.0</v>
      </c>
      <c r="AA156" s="849">
        <v>1.0</v>
      </c>
      <c r="AB156" s="850"/>
      <c r="AC156" s="849">
        <v>251.0</v>
      </c>
      <c r="AD156" s="849">
        <v>2.0</v>
      </c>
      <c r="AE156" s="849">
        <v>75.0</v>
      </c>
      <c r="AF156" s="849">
        <v>75.0</v>
      </c>
      <c r="AG156" s="849">
        <v>11.0</v>
      </c>
      <c r="AH156" s="849">
        <v>56.0</v>
      </c>
      <c r="AI156" s="859">
        <f t="shared" si="12"/>
        <v>33.5</v>
      </c>
      <c r="AJ156" s="850"/>
      <c r="AK156" s="850"/>
      <c r="AL156" s="850"/>
      <c r="AM156" s="850"/>
      <c r="AN156" s="850"/>
      <c r="AO156" s="850"/>
      <c r="AP156" s="850"/>
      <c r="AQ156" s="850"/>
      <c r="AR156" s="850"/>
      <c r="AS156" s="852"/>
      <c r="AT156" s="851">
        <f t="shared" si="13"/>
        <v>492</v>
      </c>
      <c r="AU156" s="851">
        <f t="shared" si="14"/>
        <v>1386</v>
      </c>
      <c r="AV156" s="861">
        <f t="shared" si="15"/>
        <v>939</v>
      </c>
      <c r="AW156" s="862">
        <f t="shared" si="276"/>
        <v>1677</v>
      </c>
      <c r="AX156" s="862">
        <f t="shared" si="277"/>
        <v>1806</v>
      </c>
      <c r="AY156" s="862">
        <f t="shared" si="18"/>
        <v>1677</v>
      </c>
      <c r="AZ156" s="862">
        <f t="shared" si="278"/>
        <v>1806</v>
      </c>
      <c r="BA156" s="862">
        <f t="shared" si="279"/>
        <v>1381</v>
      </c>
      <c r="BB156" s="862">
        <f t="shared" si="280"/>
        <v>1304</v>
      </c>
      <c r="BC156" s="862">
        <f t="shared" si="281"/>
        <v>1381</v>
      </c>
      <c r="BD156" s="862">
        <f t="shared" si="282"/>
        <v>1067</v>
      </c>
      <c r="BE156" s="862">
        <f t="shared" si="283"/>
        <v>1304</v>
      </c>
      <c r="BF156" s="862">
        <f t="shared" si="25"/>
        <v>1304</v>
      </c>
      <c r="BG156" s="862">
        <f t="shared" si="26"/>
        <v>1565</v>
      </c>
      <c r="BH156" s="862">
        <f t="shared" si="284"/>
        <v>1565</v>
      </c>
      <c r="BI156" s="862">
        <f t="shared" si="285"/>
        <v>1677</v>
      </c>
      <c r="BJ156" s="862">
        <f t="shared" si="286"/>
        <v>1677</v>
      </c>
      <c r="BK156" s="862">
        <f t="shared" si="287"/>
        <v>1304</v>
      </c>
      <c r="BL156" s="862">
        <f t="shared" si="288"/>
        <v>1236</v>
      </c>
      <c r="BM156" s="850"/>
      <c r="BN156" s="850"/>
      <c r="BO156" s="850"/>
      <c r="BP156" s="852" t="str">
        <f t="shared" si="33"/>
        <v/>
      </c>
      <c r="BQ156" s="849">
        <v>11.0</v>
      </c>
      <c r="BR156" s="849">
        <v>56.0</v>
      </c>
      <c r="BS156" s="849">
        <v>-10.0</v>
      </c>
      <c r="BT156" s="849">
        <v>75.0</v>
      </c>
      <c r="BU156" s="849">
        <v>75.0</v>
      </c>
      <c r="BV156" s="863">
        <f t="shared" si="34"/>
        <v>33.5</v>
      </c>
      <c r="BW156" s="864">
        <f t="shared" si="35"/>
        <v>1129.5</v>
      </c>
      <c r="BX156" s="862">
        <f t="shared" si="289"/>
        <v>2017</v>
      </c>
      <c r="BY156" s="862">
        <f t="shared" si="290"/>
        <v>2172.1</v>
      </c>
      <c r="BZ156" s="862">
        <f t="shared" si="38"/>
        <v>2017</v>
      </c>
      <c r="CA156" s="862">
        <f t="shared" si="291"/>
        <v>1661</v>
      </c>
      <c r="CB156" s="862">
        <f t="shared" si="292"/>
        <v>1661</v>
      </c>
      <c r="CC156" s="862">
        <f t="shared" si="293"/>
        <v>2172.1</v>
      </c>
      <c r="CD156" s="862">
        <f t="shared" si="294"/>
        <v>1568.8</v>
      </c>
      <c r="CE156" s="891" t="str">
        <f t="shared" si="43"/>
        <v/>
      </c>
      <c r="CF156" s="850">
        <f t="shared" si="248"/>
        <v>-16.9</v>
      </c>
      <c r="CG156" s="847">
        <f t="shared" si="295"/>
        <v>-16.9</v>
      </c>
      <c r="CH156" s="867" t="s">
        <v>1118</v>
      </c>
      <c r="CI156" s="862">
        <f t="shared" ref="CI156:DF156" si="333">FLOOR($AV156/(CI$3/25),1)</f>
        <v>939</v>
      </c>
      <c r="CJ156" s="862">
        <f t="shared" si="333"/>
        <v>978</v>
      </c>
      <c r="CK156" s="862">
        <f t="shared" si="333"/>
        <v>1020</v>
      </c>
      <c r="CL156" s="862">
        <f t="shared" si="333"/>
        <v>1067</v>
      </c>
      <c r="CM156" s="862">
        <f t="shared" si="333"/>
        <v>1117</v>
      </c>
      <c r="CN156" s="862">
        <f t="shared" si="333"/>
        <v>1173</v>
      </c>
      <c r="CO156" s="862">
        <f t="shared" si="333"/>
        <v>1235</v>
      </c>
      <c r="CP156" s="862">
        <f t="shared" si="333"/>
        <v>1304</v>
      </c>
      <c r="CQ156" s="862">
        <f t="shared" si="333"/>
        <v>1380</v>
      </c>
      <c r="CR156" s="862">
        <f t="shared" si="333"/>
        <v>1467</v>
      </c>
      <c r="CS156" s="862">
        <f t="shared" si="333"/>
        <v>1565</v>
      </c>
      <c r="CT156" s="862">
        <f t="shared" si="333"/>
        <v>1676</v>
      </c>
      <c r="CU156" s="862">
        <f t="shared" si="333"/>
        <v>1805</v>
      </c>
      <c r="CV156" s="862">
        <f t="shared" si="333"/>
        <v>1956</v>
      </c>
      <c r="CW156" s="862">
        <f t="shared" si="333"/>
        <v>2134</v>
      </c>
      <c r="CX156" s="862">
        <f t="shared" si="333"/>
        <v>2347</v>
      </c>
      <c r="CY156" s="862">
        <f t="shared" si="333"/>
        <v>2608</v>
      </c>
      <c r="CZ156" s="862">
        <f t="shared" si="333"/>
        <v>2934</v>
      </c>
      <c r="DA156" s="862">
        <f t="shared" si="333"/>
        <v>3353</v>
      </c>
      <c r="DB156" s="862">
        <f t="shared" si="333"/>
        <v>3912</v>
      </c>
      <c r="DC156" s="862">
        <f t="shared" si="333"/>
        <v>4695</v>
      </c>
      <c r="DD156" s="862">
        <f t="shared" si="333"/>
        <v>5868</v>
      </c>
      <c r="DE156" s="862">
        <f t="shared" si="333"/>
        <v>7825</v>
      </c>
      <c r="DF156" s="868">
        <f t="shared" si="333"/>
        <v>11737</v>
      </c>
      <c r="DG156" s="852"/>
      <c r="DH156" s="852" t="str">
        <f t="shared" si="46"/>
        <v/>
      </c>
      <c r="DI156" s="850" t="str">
        <f t="shared" si="47"/>
        <v/>
      </c>
      <c r="DJ156" s="850" t="str">
        <f t="shared" si="48"/>
        <v/>
      </c>
      <c r="DK156" s="865">
        <f t="shared" si="49"/>
        <v>16.4</v>
      </c>
      <c r="DL156" s="789">
        <v>39.0</v>
      </c>
      <c r="DM156" s="850"/>
      <c r="DN156" s="862">
        <f t="shared" si="327"/>
        <v>1.5</v>
      </c>
      <c r="DO156" s="852"/>
      <c r="DP156" s="892" t="s">
        <v>2242</v>
      </c>
    </row>
    <row r="157">
      <c r="A157" s="552">
        <v>151.0</v>
      </c>
      <c r="B157" s="86">
        <v>58.0</v>
      </c>
      <c r="C157" s="54">
        <v>6.0</v>
      </c>
      <c r="D157" s="54">
        <v>10.0</v>
      </c>
      <c r="E157" s="54">
        <v>1.0</v>
      </c>
      <c r="F157" s="68" t="s">
        <v>2344</v>
      </c>
      <c r="G157" s="68">
        <f t="shared" si="269"/>
        <v>16</v>
      </c>
      <c r="H157" s="68">
        <f t="shared" si="270"/>
        <v>16</v>
      </c>
      <c r="I157" s="68">
        <f t="shared" si="7"/>
        <v>16</v>
      </c>
      <c r="J157" s="68">
        <f t="shared" si="271"/>
        <v>18</v>
      </c>
      <c r="K157" s="68">
        <f t="shared" si="272"/>
        <v>20</v>
      </c>
      <c r="L157" s="68">
        <f t="shared" si="273"/>
        <v>16</v>
      </c>
      <c r="M157" s="569">
        <f t="shared" si="274"/>
        <v>20</v>
      </c>
      <c r="N157" s="74" t="s">
        <v>1123</v>
      </c>
      <c r="O157" s="678"/>
      <c r="P157" s="571"/>
      <c r="Q157" s="571" t="s">
        <v>1313</v>
      </c>
      <c r="R157" s="571" t="s">
        <v>1052</v>
      </c>
      <c r="S157" s="791" t="s">
        <v>1169</v>
      </c>
      <c r="T157" s="572" t="s">
        <v>1126</v>
      </c>
      <c r="U157" s="54">
        <v>1.0</v>
      </c>
      <c r="V157" s="54">
        <v>0.0</v>
      </c>
      <c r="W157" s="74"/>
      <c r="X157" s="74"/>
      <c r="Y157" s="679">
        <v>1.0</v>
      </c>
      <c r="Z157" s="54">
        <v>-10.0</v>
      </c>
      <c r="AA157" s="86">
        <v>3.0</v>
      </c>
      <c r="AB157" s="74"/>
      <c r="AC157" s="54">
        <v>5.0</v>
      </c>
      <c r="AD157" s="54">
        <v>4.0</v>
      </c>
      <c r="AE157" s="54">
        <v>75.0</v>
      </c>
      <c r="AF157" s="54">
        <v>75.0</v>
      </c>
      <c r="AG157" s="54">
        <v>6.0</v>
      </c>
      <c r="AH157" s="54">
        <v>10.0</v>
      </c>
      <c r="AI157" s="574">
        <f t="shared" si="12"/>
        <v>8</v>
      </c>
      <c r="AJ157" s="74"/>
      <c r="AK157" s="74"/>
      <c r="AL157" s="74"/>
      <c r="AM157" s="74"/>
      <c r="AN157" s="74"/>
      <c r="AO157" s="74"/>
      <c r="AP157" s="74"/>
      <c r="AQ157" s="74"/>
      <c r="AR157" s="74"/>
      <c r="AS157" s="575"/>
      <c r="AT157" s="68">
        <f t="shared" si="13"/>
        <v>392</v>
      </c>
      <c r="AU157" s="68">
        <f t="shared" si="14"/>
        <v>470</v>
      </c>
      <c r="AV157" s="581">
        <f t="shared" si="15"/>
        <v>431</v>
      </c>
      <c r="AW157" s="582">
        <f t="shared" si="276"/>
        <v>770</v>
      </c>
      <c r="AX157" s="582">
        <f t="shared" si="277"/>
        <v>770</v>
      </c>
      <c r="AY157" s="582">
        <f t="shared" si="18"/>
        <v>770</v>
      </c>
      <c r="AZ157" s="582">
        <f t="shared" si="278"/>
        <v>770</v>
      </c>
      <c r="BA157" s="582">
        <f t="shared" si="279"/>
        <v>599</v>
      </c>
      <c r="BB157" s="582">
        <f t="shared" si="280"/>
        <v>599</v>
      </c>
      <c r="BC157" s="582">
        <f t="shared" si="281"/>
        <v>673</v>
      </c>
      <c r="BD157" s="582">
        <f t="shared" si="282"/>
        <v>513</v>
      </c>
      <c r="BE157" s="582">
        <f t="shared" si="283"/>
        <v>634</v>
      </c>
      <c r="BF157" s="582">
        <f t="shared" si="25"/>
        <v>599</v>
      </c>
      <c r="BG157" s="582">
        <f t="shared" si="26"/>
        <v>718</v>
      </c>
      <c r="BH157" s="582">
        <f t="shared" si="284"/>
        <v>718</v>
      </c>
      <c r="BI157" s="582">
        <f t="shared" si="285"/>
        <v>718</v>
      </c>
      <c r="BJ157" s="582">
        <f t="shared" si="286"/>
        <v>718</v>
      </c>
      <c r="BK157" s="582">
        <f t="shared" si="287"/>
        <v>567</v>
      </c>
      <c r="BL157" s="582">
        <f t="shared" si="288"/>
        <v>567</v>
      </c>
      <c r="BM157" s="74"/>
      <c r="BN157" s="74"/>
      <c r="BO157" s="74"/>
      <c r="BP157" s="575" t="str">
        <f t="shared" si="33"/>
        <v/>
      </c>
      <c r="BQ157" s="54">
        <v>6.0</v>
      </c>
      <c r="BR157" s="54">
        <v>14.0</v>
      </c>
      <c r="BS157" s="54">
        <v>-10.0</v>
      </c>
      <c r="BT157" s="54">
        <v>75.0</v>
      </c>
      <c r="BU157" s="54">
        <v>75.0</v>
      </c>
      <c r="BV157" s="83">
        <f t="shared" si="34"/>
        <v>10</v>
      </c>
      <c r="BW157" s="608">
        <f t="shared" si="35"/>
        <v>568.5</v>
      </c>
      <c r="BX157" s="582">
        <f t="shared" si="289"/>
        <v>710.6</v>
      </c>
      <c r="BY157" s="582">
        <f t="shared" si="290"/>
        <v>710.6</v>
      </c>
      <c r="BZ157" s="582">
        <f t="shared" si="38"/>
        <v>710.6</v>
      </c>
      <c r="CA157" s="582">
        <f t="shared" si="291"/>
        <v>646</v>
      </c>
      <c r="CB157" s="582">
        <f t="shared" si="292"/>
        <v>568.5</v>
      </c>
      <c r="CC157" s="582">
        <f t="shared" si="293"/>
        <v>710.6</v>
      </c>
      <c r="CD157" s="582">
        <f t="shared" si="294"/>
        <v>568.5</v>
      </c>
      <c r="CE157" s="664">
        <f t="shared" si="43"/>
        <v>-20</v>
      </c>
      <c r="CF157" s="86">
        <f t="shared" si="248"/>
        <v>-24.2</v>
      </c>
      <c r="CG157" s="602">
        <f t="shared" si="295"/>
        <v>8.4</v>
      </c>
      <c r="CH157" s="575" t="s">
        <v>1123</v>
      </c>
      <c r="CI157" s="582">
        <f t="shared" ref="CI157:DF157" si="334">FLOOR($AV157/(CI$3/25),1)</f>
        <v>431</v>
      </c>
      <c r="CJ157" s="582">
        <f t="shared" si="334"/>
        <v>448</v>
      </c>
      <c r="CK157" s="582">
        <f t="shared" si="334"/>
        <v>468</v>
      </c>
      <c r="CL157" s="582">
        <f t="shared" si="334"/>
        <v>489</v>
      </c>
      <c r="CM157" s="582">
        <f t="shared" si="334"/>
        <v>513</v>
      </c>
      <c r="CN157" s="582">
        <f t="shared" si="334"/>
        <v>538</v>
      </c>
      <c r="CO157" s="582">
        <f t="shared" si="334"/>
        <v>567</v>
      </c>
      <c r="CP157" s="582">
        <f t="shared" si="334"/>
        <v>598</v>
      </c>
      <c r="CQ157" s="582">
        <f t="shared" si="334"/>
        <v>633</v>
      </c>
      <c r="CR157" s="582">
        <f t="shared" si="334"/>
        <v>673</v>
      </c>
      <c r="CS157" s="582">
        <f t="shared" si="334"/>
        <v>718</v>
      </c>
      <c r="CT157" s="582">
        <f t="shared" si="334"/>
        <v>769</v>
      </c>
      <c r="CU157" s="582">
        <f t="shared" si="334"/>
        <v>828</v>
      </c>
      <c r="CV157" s="582">
        <f t="shared" si="334"/>
        <v>897</v>
      </c>
      <c r="CW157" s="582">
        <f t="shared" si="334"/>
        <v>979</v>
      </c>
      <c r="CX157" s="582">
        <f t="shared" si="334"/>
        <v>1077</v>
      </c>
      <c r="CY157" s="582">
        <f t="shared" si="334"/>
        <v>1197</v>
      </c>
      <c r="CZ157" s="582">
        <f t="shared" si="334"/>
        <v>1346</v>
      </c>
      <c r="DA157" s="582">
        <f t="shared" si="334"/>
        <v>1539</v>
      </c>
      <c r="DB157" s="582">
        <f t="shared" si="334"/>
        <v>1795</v>
      </c>
      <c r="DC157" s="582">
        <f t="shared" si="334"/>
        <v>2155</v>
      </c>
      <c r="DD157" s="582">
        <f t="shared" si="334"/>
        <v>2693</v>
      </c>
      <c r="DE157" s="582">
        <f t="shared" si="334"/>
        <v>3591</v>
      </c>
      <c r="DF157" s="602">
        <f t="shared" si="334"/>
        <v>5387</v>
      </c>
      <c r="DG157" s="575"/>
      <c r="DH157" s="575" t="str">
        <f t="shared" si="46"/>
        <v/>
      </c>
      <c r="DI157" s="74" t="str">
        <f t="shared" si="47"/>
        <v/>
      </c>
      <c r="DJ157" s="74" t="str">
        <f t="shared" si="48"/>
        <v/>
      </c>
      <c r="DK157" s="792" t="str">
        <f t="shared" si="49"/>
        <v/>
      </c>
      <c r="DL157" s="793"/>
      <c r="DM157" s="793"/>
      <c r="DN157" s="793"/>
      <c r="DO157" s="575"/>
      <c r="DP157" s="297"/>
    </row>
    <row r="158">
      <c r="A158" s="552">
        <v>152.0</v>
      </c>
      <c r="B158" s="86">
        <v>60.0</v>
      </c>
      <c r="C158" s="54">
        <v>7.0</v>
      </c>
      <c r="D158" s="54">
        <v>20.0</v>
      </c>
      <c r="E158" s="54">
        <v>1.0</v>
      </c>
      <c r="F158" s="68" t="s">
        <v>2344</v>
      </c>
      <c r="G158" s="68">
        <f t="shared" si="269"/>
        <v>16</v>
      </c>
      <c r="H158" s="68">
        <f t="shared" si="270"/>
        <v>16</v>
      </c>
      <c r="I158" s="68">
        <f t="shared" si="7"/>
        <v>16</v>
      </c>
      <c r="J158" s="68">
        <f t="shared" si="271"/>
        <v>18</v>
      </c>
      <c r="K158" s="68">
        <f t="shared" si="272"/>
        <v>20</v>
      </c>
      <c r="L158" s="68">
        <f t="shared" si="273"/>
        <v>16</v>
      </c>
      <c r="M158" s="569">
        <f t="shared" si="274"/>
        <v>20</v>
      </c>
      <c r="N158" s="74" t="s">
        <v>1172</v>
      </c>
      <c r="O158" s="678"/>
      <c r="P158" s="571"/>
      <c r="Q158" s="571" t="s">
        <v>1313</v>
      </c>
      <c r="R158" s="571" t="s">
        <v>1052</v>
      </c>
      <c r="S158" s="791" t="s">
        <v>1169</v>
      </c>
      <c r="T158" s="572" t="s">
        <v>1173</v>
      </c>
      <c r="U158" s="54">
        <v>10.0</v>
      </c>
      <c r="V158" s="54">
        <v>0.0</v>
      </c>
      <c r="W158" s="74"/>
      <c r="X158" s="54">
        <v>45.0</v>
      </c>
      <c r="Y158" s="54">
        <v>2.0</v>
      </c>
      <c r="Z158" s="54">
        <v>0.0</v>
      </c>
      <c r="AA158" s="86">
        <v>3.0</v>
      </c>
      <c r="AB158" s="74"/>
      <c r="AC158" s="54">
        <v>18.0</v>
      </c>
      <c r="AD158" s="54">
        <v>4.0</v>
      </c>
      <c r="AE158" s="54">
        <v>75.0</v>
      </c>
      <c r="AF158" s="54">
        <v>75.0</v>
      </c>
      <c r="AG158" s="54">
        <v>7.0</v>
      </c>
      <c r="AH158" s="54">
        <v>20.0</v>
      </c>
      <c r="AI158" s="574">
        <f t="shared" si="12"/>
        <v>13.5</v>
      </c>
      <c r="AJ158" s="74"/>
      <c r="AK158" s="74"/>
      <c r="AL158" s="74"/>
      <c r="AM158" s="74"/>
      <c r="AN158" s="74"/>
      <c r="AO158" s="74"/>
      <c r="AP158" s="74"/>
      <c r="AQ158" s="74"/>
      <c r="AR158" s="74"/>
      <c r="AS158" s="575"/>
      <c r="AT158" s="68">
        <f t="shared" si="13"/>
        <v>410</v>
      </c>
      <c r="AU158" s="68">
        <f t="shared" si="14"/>
        <v>671</v>
      </c>
      <c r="AV158" s="581">
        <f t="shared" si="15"/>
        <v>540.5</v>
      </c>
      <c r="AW158" s="582">
        <f t="shared" si="276"/>
        <v>901</v>
      </c>
      <c r="AX158" s="582">
        <f t="shared" si="277"/>
        <v>901</v>
      </c>
      <c r="AY158" s="582">
        <f t="shared" si="18"/>
        <v>901</v>
      </c>
      <c r="AZ158" s="582">
        <f t="shared" si="278"/>
        <v>901</v>
      </c>
      <c r="BA158" s="582">
        <f t="shared" si="279"/>
        <v>711</v>
      </c>
      <c r="BB158" s="582">
        <f t="shared" si="280"/>
        <v>711</v>
      </c>
      <c r="BC158" s="582">
        <f t="shared" si="281"/>
        <v>795</v>
      </c>
      <c r="BD158" s="582">
        <f t="shared" si="282"/>
        <v>541</v>
      </c>
      <c r="BE158" s="582">
        <f t="shared" si="283"/>
        <v>643</v>
      </c>
      <c r="BF158" s="582">
        <f t="shared" si="25"/>
        <v>588</v>
      </c>
      <c r="BG158" s="582">
        <f t="shared" si="26"/>
        <v>711</v>
      </c>
      <c r="BH158" s="582">
        <f t="shared" si="284"/>
        <v>711</v>
      </c>
      <c r="BI158" s="582">
        <f t="shared" si="285"/>
        <v>711</v>
      </c>
      <c r="BJ158" s="582">
        <f t="shared" si="286"/>
        <v>711</v>
      </c>
      <c r="BK158" s="582">
        <f t="shared" si="287"/>
        <v>588</v>
      </c>
      <c r="BL158" s="582">
        <f t="shared" si="288"/>
        <v>588</v>
      </c>
      <c r="BM158" s="74"/>
      <c r="BN158" s="74"/>
      <c r="BO158" s="74"/>
      <c r="BP158" s="575" t="str">
        <f t="shared" si="33"/>
        <v/>
      </c>
      <c r="BQ158" s="54">
        <v>7.0</v>
      </c>
      <c r="BR158" s="54">
        <v>20.0</v>
      </c>
      <c r="BS158" s="74"/>
      <c r="BT158" s="54">
        <v>75.0</v>
      </c>
      <c r="BU158" s="54">
        <v>75.0</v>
      </c>
      <c r="BV158" s="83">
        <f t="shared" si="34"/>
        <v>13.5</v>
      </c>
      <c r="BW158" s="608">
        <f t="shared" si="35"/>
        <v>652.1</v>
      </c>
      <c r="BX158" s="582">
        <f t="shared" si="289"/>
        <v>741</v>
      </c>
      <c r="BY158" s="582">
        <f t="shared" si="290"/>
        <v>741</v>
      </c>
      <c r="BZ158" s="582">
        <f t="shared" si="38"/>
        <v>741</v>
      </c>
      <c r="CA158" s="582">
        <f t="shared" si="291"/>
        <v>652.1</v>
      </c>
      <c r="CB158" s="582">
        <f t="shared" si="292"/>
        <v>582.2</v>
      </c>
      <c r="CC158" s="582">
        <f t="shared" si="293"/>
        <v>741</v>
      </c>
      <c r="CD158" s="582">
        <f t="shared" si="294"/>
        <v>582.2</v>
      </c>
      <c r="CE158" s="623" t="str">
        <f t="shared" si="43"/>
        <v/>
      </c>
      <c r="CF158" s="74">
        <f t="shared" si="248"/>
        <v>-17.1</v>
      </c>
      <c r="CG158" s="602">
        <f t="shared" si="295"/>
        <v>21.6</v>
      </c>
      <c r="CH158" s="575" t="s">
        <v>1172</v>
      </c>
      <c r="CI158" s="582">
        <f t="shared" ref="CI158:DF158" si="335">FLOOR($AV158/(CI$3/25),1)</f>
        <v>540</v>
      </c>
      <c r="CJ158" s="582">
        <f t="shared" si="335"/>
        <v>563</v>
      </c>
      <c r="CK158" s="582">
        <f t="shared" si="335"/>
        <v>587</v>
      </c>
      <c r="CL158" s="582">
        <f t="shared" si="335"/>
        <v>614</v>
      </c>
      <c r="CM158" s="582">
        <f t="shared" si="335"/>
        <v>643</v>
      </c>
      <c r="CN158" s="582">
        <f t="shared" si="335"/>
        <v>675</v>
      </c>
      <c r="CO158" s="582">
        <f t="shared" si="335"/>
        <v>711</v>
      </c>
      <c r="CP158" s="582">
        <f t="shared" si="335"/>
        <v>750</v>
      </c>
      <c r="CQ158" s="582">
        <f t="shared" si="335"/>
        <v>794</v>
      </c>
      <c r="CR158" s="582">
        <f t="shared" si="335"/>
        <v>844</v>
      </c>
      <c r="CS158" s="582">
        <f t="shared" si="335"/>
        <v>900</v>
      </c>
      <c r="CT158" s="582">
        <f t="shared" si="335"/>
        <v>965</v>
      </c>
      <c r="CU158" s="582">
        <f t="shared" si="335"/>
        <v>1039</v>
      </c>
      <c r="CV158" s="582">
        <f t="shared" si="335"/>
        <v>1126</v>
      </c>
      <c r="CW158" s="582">
        <f t="shared" si="335"/>
        <v>1228</v>
      </c>
      <c r="CX158" s="582">
        <f t="shared" si="335"/>
        <v>1351</v>
      </c>
      <c r="CY158" s="582">
        <f t="shared" si="335"/>
        <v>1501</v>
      </c>
      <c r="CZ158" s="582">
        <f t="shared" si="335"/>
        <v>1689</v>
      </c>
      <c r="DA158" s="582">
        <f t="shared" si="335"/>
        <v>1930</v>
      </c>
      <c r="DB158" s="582">
        <f t="shared" si="335"/>
        <v>2252</v>
      </c>
      <c r="DC158" s="582">
        <f t="shared" si="335"/>
        <v>2702</v>
      </c>
      <c r="DD158" s="582">
        <f t="shared" si="335"/>
        <v>3378</v>
      </c>
      <c r="DE158" s="582">
        <f t="shared" si="335"/>
        <v>4504</v>
      </c>
      <c r="DF158" s="602">
        <f t="shared" si="335"/>
        <v>6756</v>
      </c>
      <c r="DG158" s="575"/>
      <c r="DH158" s="575" t="str">
        <f t="shared" si="46"/>
        <v/>
      </c>
      <c r="DI158" s="74" t="str">
        <f t="shared" si="47"/>
        <v/>
      </c>
      <c r="DJ158" s="74" t="str">
        <f t="shared" si="48"/>
        <v/>
      </c>
      <c r="DK158" s="623" t="str">
        <f t="shared" si="49"/>
        <v/>
      </c>
      <c r="DL158" s="74"/>
      <c r="DM158" s="74"/>
      <c r="DN158" s="74"/>
      <c r="DO158" s="575"/>
      <c r="DP158" s="297"/>
    </row>
    <row r="159">
      <c r="A159" s="552">
        <v>153.0</v>
      </c>
      <c r="B159" s="86">
        <v>62.0</v>
      </c>
      <c r="C159" s="54">
        <v>10.0</v>
      </c>
      <c r="D159" s="54">
        <v>22.0</v>
      </c>
      <c r="E159" s="54">
        <v>1.0</v>
      </c>
      <c r="F159" s="68" t="s">
        <v>2344</v>
      </c>
      <c r="G159" s="68">
        <f t="shared" si="269"/>
        <v>16</v>
      </c>
      <c r="H159" s="68">
        <f t="shared" si="270"/>
        <v>16</v>
      </c>
      <c r="I159" s="68">
        <f t="shared" si="7"/>
        <v>16</v>
      </c>
      <c r="J159" s="68">
        <f t="shared" si="271"/>
        <v>18</v>
      </c>
      <c r="K159" s="68">
        <f t="shared" si="272"/>
        <v>20</v>
      </c>
      <c r="L159" s="68">
        <f t="shared" si="273"/>
        <v>16</v>
      </c>
      <c r="M159" s="569">
        <f t="shared" si="274"/>
        <v>20</v>
      </c>
      <c r="N159" s="74" t="s">
        <v>1194</v>
      </c>
      <c r="O159" s="678"/>
      <c r="P159" s="571"/>
      <c r="Q159" s="571" t="s">
        <v>1313</v>
      </c>
      <c r="R159" s="571" t="s">
        <v>1052</v>
      </c>
      <c r="S159" s="791" t="s">
        <v>1169</v>
      </c>
      <c r="T159" s="572" t="s">
        <v>1195</v>
      </c>
      <c r="U159" s="54">
        <v>15.0</v>
      </c>
      <c r="V159" s="54">
        <v>0.0</v>
      </c>
      <c r="W159" s="54">
        <v>40.0</v>
      </c>
      <c r="X159" s="54">
        <v>40.0</v>
      </c>
      <c r="Y159" s="54">
        <v>2.0</v>
      </c>
      <c r="Z159" s="54">
        <v>10.0</v>
      </c>
      <c r="AA159" s="86">
        <v>3.0</v>
      </c>
      <c r="AB159" s="74"/>
      <c r="AC159" s="54">
        <v>24.0</v>
      </c>
      <c r="AD159" s="54">
        <v>4.0</v>
      </c>
      <c r="AE159" s="54">
        <v>75.0</v>
      </c>
      <c r="AF159" s="54">
        <v>75.0</v>
      </c>
      <c r="AG159" s="54">
        <v>10.0</v>
      </c>
      <c r="AH159" s="54">
        <v>22.0</v>
      </c>
      <c r="AI159" s="574">
        <f t="shared" si="12"/>
        <v>16</v>
      </c>
      <c r="AJ159" s="74"/>
      <c r="AK159" s="74"/>
      <c r="AL159" s="74"/>
      <c r="AM159" s="74"/>
      <c r="AN159" s="74"/>
      <c r="AO159" s="74"/>
      <c r="AP159" s="74"/>
      <c r="AQ159" s="74"/>
      <c r="AR159" s="74"/>
      <c r="AS159" s="575"/>
      <c r="AT159" s="68">
        <f t="shared" si="13"/>
        <v>470</v>
      </c>
      <c r="AU159" s="68">
        <f t="shared" si="14"/>
        <v>710</v>
      </c>
      <c r="AV159" s="581">
        <f t="shared" si="15"/>
        <v>590</v>
      </c>
      <c r="AW159" s="582">
        <f t="shared" si="276"/>
        <v>868</v>
      </c>
      <c r="AX159" s="582">
        <f t="shared" si="277"/>
        <v>868</v>
      </c>
      <c r="AY159" s="582">
        <f t="shared" si="18"/>
        <v>868</v>
      </c>
      <c r="AZ159" s="582">
        <f t="shared" si="278"/>
        <v>868</v>
      </c>
      <c r="BA159" s="582">
        <f t="shared" si="279"/>
        <v>670</v>
      </c>
      <c r="BB159" s="582">
        <f t="shared" si="280"/>
        <v>670</v>
      </c>
      <c r="BC159" s="582">
        <f t="shared" si="281"/>
        <v>738</v>
      </c>
      <c r="BD159" s="582">
        <f t="shared" si="282"/>
        <v>461</v>
      </c>
      <c r="BE159" s="582">
        <f t="shared" si="283"/>
        <v>567</v>
      </c>
      <c r="BF159" s="582">
        <f t="shared" si="25"/>
        <v>546</v>
      </c>
      <c r="BG159" s="582">
        <f t="shared" si="26"/>
        <v>670</v>
      </c>
      <c r="BH159" s="582">
        <f t="shared" si="284"/>
        <v>670</v>
      </c>
      <c r="BI159" s="582">
        <f t="shared" si="285"/>
        <v>670</v>
      </c>
      <c r="BJ159" s="582">
        <f t="shared" si="286"/>
        <v>670</v>
      </c>
      <c r="BK159" s="582">
        <f t="shared" si="287"/>
        <v>509</v>
      </c>
      <c r="BL159" s="582">
        <f t="shared" si="288"/>
        <v>509</v>
      </c>
      <c r="BM159" s="74"/>
      <c r="BN159" s="74"/>
      <c r="BO159" s="74"/>
      <c r="BP159" s="575" t="str">
        <f t="shared" si="33"/>
        <v/>
      </c>
      <c r="BQ159" s="54">
        <v>10.0</v>
      </c>
      <c r="BR159" s="54">
        <v>22.0</v>
      </c>
      <c r="BS159" s="54">
        <v>10.0</v>
      </c>
      <c r="BT159" s="54">
        <v>75.0</v>
      </c>
      <c r="BU159" s="54">
        <v>75.0</v>
      </c>
      <c r="BV159" s="83">
        <f t="shared" si="34"/>
        <v>16</v>
      </c>
      <c r="BW159" s="608">
        <f t="shared" si="35"/>
        <v>711.8</v>
      </c>
      <c r="BX159" s="582">
        <f t="shared" si="289"/>
        <v>684.4</v>
      </c>
      <c r="BY159" s="582">
        <f t="shared" si="290"/>
        <v>684.4</v>
      </c>
      <c r="BZ159" s="582">
        <f t="shared" si="38"/>
        <v>684.4</v>
      </c>
      <c r="CA159" s="582">
        <f t="shared" si="291"/>
        <v>593.2</v>
      </c>
      <c r="CB159" s="582">
        <f t="shared" si="292"/>
        <v>539.2</v>
      </c>
      <c r="CC159" s="582">
        <f t="shared" si="293"/>
        <v>684.4</v>
      </c>
      <c r="CD159" s="582">
        <f t="shared" si="294"/>
        <v>539.2</v>
      </c>
      <c r="CE159" s="623" t="str">
        <f t="shared" si="43"/>
        <v/>
      </c>
      <c r="CF159" s="74">
        <f t="shared" si="248"/>
        <v>-17.1</v>
      </c>
      <c r="CG159" s="602">
        <f t="shared" si="295"/>
        <v>26.8</v>
      </c>
      <c r="CH159" s="575" t="s">
        <v>1194</v>
      </c>
      <c r="CI159" s="582">
        <f t="shared" ref="CI159:DF159" si="336">FLOOR($AV159/(CI$3/25),1)</f>
        <v>590</v>
      </c>
      <c r="CJ159" s="582">
        <f t="shared" si="336"/>
        <v>614</v>
      </c>
      <c r="CK159" s="582">
        <f t="shared" si="336"/>
        <v>641</v>
      </c>
      <c r="CL159" s="582">
        <f t="shared" si="336"/>
        <v>670</v>
      </c>
      <c r="CM159" s="582">
        <f t="shared" si="336"/>
        <v>702</v>
      </c>
      <c r="CN159" s="582">
        <f t="shared" si="336"/>
        <v>737</v>
      </c>
      <c r="CO159" s="582">
        <f t="shared" si="336"/>
        <v>776</v>
      </c>
      <c r="CP159" s="582">
        <f t="shared" si="336"/>
        <v>819</v>
      </c>
      <c r="CQ159" s="582">
        <f t="shared" si="336"/>
        <v>867</v>
      </c>
      <c r="CR159" s="582">
        <f t="shared" si="336"/>
        <v>921</v>
      </c>
      <c r="CS159" s="582">
        <f t="shared" si="336"/>
        <v>983</v>
      </c>
      <c r="CT159" s="582">
        <f t="shared" si="336"/>
        <v>1053</v>
      </c>
      <c r="CU159" s="582">
        <f t="shared" si="336"/>
        <v>1134</v>
      </c>
      <c r="CV159" s="582">
        <f t="shared" si="336"/>
        <v>1229</v>
      </c>
      <c r="CW159" s="582">
        <f t="shared" si="336"/>
        <v>1340</v>
      </c>
      <c r="CX159" s="582">
        <f t="shared" si="336"/>
        <v>1475</v>
      </c>
      <c r="CY159" s="582">
        <f t="shared" si="336"/>
        <v>1638</v>
      </c>
      <c r="CZ159" s="582">
        <f t="shared" si="336"/>
        <v>1843</v>
      </c>
      <c r="DA159" s="582">
        <f t="shared" si="336"/>
        <v>2107</v>
      </c>
      <c r="DB159" s="582">
        <f t="shared" si="336"/>
        <v>2458</v>
      </c>
      <c r="DC159" s="582">
        <f t="shared" si="336"/>
        <v>2950</v>
      </c>
      <c r="DD159" s="582">
        <f t="shared" si="336"/>
        <v>3687</v>
      </c>
      <c r="DE159" s="582">
        <f t="shared" si="336"/>
        <v>4916</v>
      </c>
      <c r="DF159" s="602">
        <f t="shared" si="336"/>
        <v>7375</v>
      </c>
      <c r="DG159" s="575"/>
      <c r="DH159" s="575" t="str">
        <f t="shared" si="46"/>
        <v/>
      </c>
      <c r="DI159" s="74" t="str">
        <f t="shared" si="47"/>
        <v/>
      </c>
      <c r="DJ159" s="74" t="str">
        <f t="shared" si="48"/>
        <v/>
      </c>
      <c r="DK159" s="623" t="str">
        <f t="shared" si="49"/>
        <v/>
      </c>
      <c r="DL159" s="74"/>
      <c r="DM159" s="74"/>
      <c r="DN159" s="74"/>
      <c r="DO159" s="575"/>
      <c r="DP159" s="297"/>
    </row>
    <row r="160">
      <c r="A160" s="552">
        <v>154.0</v>
      </c>
      <c r="B160" s="86">
        <v>64.0</v>
      </c>
      <c r="C160" s="54">
        <v>16.0</v>
      </c>
      <c r="D160" s="54">
        <v>22.0</v>
      </c>
      <c r="E160" s="54">
        <v>1.0</v>
      </c>
      <c r="F160" s="68" t="s">
        <v>2344</v>
      </c>
      <c r="G160" s="68">
        <f t="shared" si="269"/>
        <v>16</v>
      </c>
      <c r="H160" s="68">
        <f t="shared" si="270"/>
        <v>16</v>
      </c>
      <c r="I160" s="68">
        <f t="shared" si="7"/>
        <v>16</v>
      </c>
      <c r="J160" s="68">
        <f t="shared" si="271"/>
        <v>18</v>
      </c>
      <c r="K160" s="68">
        <f t="shared" si="272"/>
        <v>20</v>
      </c>
      <c r="L160" s="68">
        <f t="shared" si="273"/>
        <v>16</v>
      </c>
      <c r="M160" s="569">
        <f t="shared" si="274"/>
        <v>20</v>
      </c>
      <c r="N160" s="74" t="s">
        <v>1207</v>
      </c>
      <c r="O160" s="678"/>
      <c r="P160" s="571"/>
      <c r="Q160" s="571" t="s">
        <v>1313</v>
      </c>
      <c r="R160" s="571" t="s">
        <v>1052</v>
      </c>
      <c r="S160" s="791" t="s">
        <v>1169</v>
      </c>
      <c r="T160" s="572" t="s">
        <v>1209</v>
      </c>
      <c r="U160" s="54">
        <v>23.0</v>
      </c>
      <c r="V160" s="54">
        <v>0.0</v>
      </c>
      <c r="W160" s="54">
        <v>52.0</v>
      </c>
      <c r="X160" s="54">
        <v>35.0</v>
      </c>
      <c r="Y160" s="54">
        <v>3.0</v>
      </c>
      <c r="Z160" s="54">
        <v>20.0</v>
      </c>
      <c r="AA160" s="86">
        <v>3.0</v>
      </c>
      <c r="AB160" s="74"/>
      <c r="AC160" s="54">
        <v>36.0</v>
      </c>
      <c r="AD160" s="54">
        <v>4.0</v>
      </c>
      <c r="AE160" s="54">
        <v>75.0</v>
      </c>
      <c r="AF160" s="54">
        <v>75.0</v>
      </c>
      <c r="AG160" s="54">
        <v>16.0</v>
      </c>
      <c r="AH160" s="54">
        <v>22.0</v>
      </c>
      <c r="AI160" s="574">
        <f t="shared" si="12"/>
        <v>19</v>
      </c>
      <c r="AJ160" s="74"/>
      <c r="AK160" s="74"/>
      <c r="AL160" s="74"/>
      <c r="AM160" s="74"/>
      <c r="AN160" s="74"/>
      <c r="AO160" s="74"/>
      <c r="AP160" s="74"/>
      <c r="AQ160" s="74"/>
      <c r="AR160" s="74"/>
      <c r="AS160" s="575"/>
      <c r="AT160" s="68">
        <f t="shared" si="13"/>
        <v>588</v>
      </c>
      <c r="AU160" s="68">
        <f t="shared" si="14"/>
        <v>710</v>
      </c>
      <c r="AV160" s="581">
        <f t="shared" si="15"/>
        <v>649</v>
      </c>
      <c r="AW160" s="582">
        <f t="shared" si="276"/>
        <v>811</v>
      </c>
      <c r="AX160" s="582">
        <f t="shared" si="277"/>
        <v>811</v>
      </c>
      <c r="AY160" s="582">
        <f t="shared" si="18"/>
        <v>811</v>
      </c>
      <c r="AZ160" s="582">
        <f t="shared" si="278"/>
        <v>811</v>
      </c>
      <c r="BA160" s="582">
        <f t="shared" si="279"/>
        <v>649</v>
      </c>
      <c r="BB160" s="582">
        <f t="shared" si="280"/>
        <v>649</v>
      </c>
      <c r="BC160" s="582">
        <f t="shared" si="281"/>
        <v>738</v>
      </c>
      <c r="BD160" s="582">
        <f t="shared" si="282"/>
        <v>406</v>
      </c>
      <c r="BE160" s="582">
        <f t="shared" si="283"/>
        <v>492</v>
      </c>
      <c r="BF160" s="582">
        <f t="shared" si="25"/>
        <v>451</v>
      </c>
      <c r="BG160" s="582">
        <f t="shared" si="26"/>
        <v>541</v>
      </c>
      <c r="BH160" s="582">
        <f t="shared" si="284"/>
        <v>541</v>
      </c>
      <c r="BI160" s="582">
        <f t="shared" si="285"/>
        <v>541</v>
      </c>
      <c r="BJ160" s="582">
        <f t="shared" si="286"/>
        <v>541</v>
      </c>
      <c r="BK160" s="582">
        <f t="shared" si="287"/>
        <v>439</v>
      </c>
      <c r="BL160" s="582">
        <f t="shared" si="288"/>
        <v>439</v>
      </c>
      <c r="BM160" s="74"/>
      <c r="BN160" s="74"/>
      <c r="BO160" s="74"/>
      <c r="BP160" s="575" t="str">
        <f t="shared" si="33"/>
        <v/>
      </c>
      <c r="BQ160" s="54">
        <v>16.0</v>
      </c>
      <c r="BR160" s="54">
        <v>22.0</v>
      </c>
      <c r="BS160" s="54">
        <v>20.0</v>
      </c>
      <c r="BT160" s="54">
        <v>75.0</v>
      </c>
      <c r="BU160" s="54">
        <v>75.0</v>
      </c>
      <c r="BV160" s="83">
        <f t="shared" si="34"/>
        <v>19</v>
      </c>
      <c r="BW160" s="608">
        <f t="shared" si="35"/>
        <v>783.4</v>
      </c>
      <c r="BX160" s="582">
        <f t="shared" si="289"/>
        <v>631.8</v>
      </c>
      <c r="BY160" s="582">
        <f t="shared" si="290"/>
        <v>631.8</v>
      </c>
      <c r="BZ160" s="582">
        <f t="shared" si="38"/>
        <v>631.8</v>
      </c>
      <c r="CA160" s="582">
        <f t="shared" si="291"/>
        <v>559.6</v>
      </c>
      <c r="CB160" s="582">
        <f t="shared" si="292"/>
        <v>502.2</v>
      </c>
      <c r="CC160" s="582">
        <f t="shared" si="293"/>
        <v>631.8</v>
      </c>
      <c r="CD160" s="582">
        <f t="shared" si="294"/>
        <v>502.2</v>
      </c>
      <c r="CE160" s="623" t="str">
        <f t="shared" si="43"/>
        <v/>
      </c>
      <c r="CF160" s="74">
        <f t="shared" si="248"/>
        <v>-17.2</v>
      </c>
      <c r="CG160" s="602">
        <f t="shared" si="295"/>
        <v>28.4</v>
      </c>
      <c r="CH160" s="575" t="s">
        <v>1207</v>
      </c>
      <c r="CI160" s="582">
        <f t="shared" ref="CI160:DF160" si="337">FLOOR($AV160/(CI$3/25),1)</f>
        <v>649</v>
      </c>
      <c r="CJ160" s="582">
        <f t="shared" si="337"/>
        <v>676</v>
      </c>
      <c r="CK160" s="582">
        <f t="shared" si="337"/>
        <v>705</v>
      </c>
      <c r="CL160" s="582">
        <f t="shared" si="337"/>
        <v>737</v>
      </c>
      <c r="CM160" s="582">
        <f t="shared" si="337"/>
        <v>772</v>
      </c>
      <c r="CN160" s="582">
        <f t="shared" si="337"/>
        <v>811</v>
      </c>
      <c r="CO160" s="582">
        <f t="shared" si="337"/>
        <v>853</v>
      </c>
      <c r="CP160" s="582">
        <f t="shared" si="337"/>
        <v>901</v>
      </c>
      <c r="CQ160" s="582">
        <f t="shared" si="337"/>
        <v>954</v>
      </c>
      <c r="CR160" s="582">
        <f t="shared" si="337"/>
        <v>1014</v>
      </c>
      <c r="CS160" s="582">
        <f t="shared" si="337"/>
        <v>1081</v>
      </c>
      <c r="CT160" s="582">
        <f t="shared" si="337"/>
        <v>1158</v>
      </c>
      <c r="CU160" s="582">
        <f t="shared" si="337"/>
        <v>1248</v>
      </c>
      <c r="CV160" s="582">
        <f t="shared" si="337"/>
        <v>1352</v>
      </c>
      <c r="CW160" s="582">
        <f t="shared" si="337"/>
        <v>1475</v>
      </c>
      <c r="CX160" s="582">
        <f t="shared" si="337"/>
        <v>1622</v>
      </c>
      <c r="CY160" s="582">
        <f t="shared" si="337"/>
        <v>1802</v>
      </c>
      <c r="CZ160" s="582">
        <f t="shared" si="337"/>
        <v>2028</v>
      </c>
      <c r="DA160" s="582">
        <f t="shared" si="337"/>
        <v>2317</v>
      </c>
      <c r="DB160" s="582">
        <f t="shared" si="337"/>
        <v>2704</v>
      </c>
      <c r="DC160" s="582">
        <f t="shared" si="337"/>
        <v>3245</v>
      </c>
      <c r="DD160" s="582">
        <f t="shared" si="337"/>
        <v>4056</v>
      </c>
      <c r="DE160" s="582">
        <f t="shared" si="337"/>
        <v>5408</v>
      </c>
      <c r="DF160" s="602">
        <f t="shared" si="337"/>
        <v>8112</v>
      </c>
      <c r="DG160" s="575"/>
      <c r="DH160" s="575" t="str">
        <f t="shared" si="46"/>
        <v/>
      </c>
      <c r="DI160" s="74" t="str">
        <f t="shared" si="47"/>
        <v/>
      </c>
      <c r="DJ160" s="74" t="str">
        <f t="shared" si="48"/>
        <v/>
      </c>
      <c r="DK160" s="623" t="str">
        <f t="shared" si="49"/>
        <v/>
      </c>
      <c r="DL160" s="74"/>
      <c r="DM160" s="74"/>
      <c r="DN160" s="74"/>
      <c r="DO160" s="575"/>
      <c r="DP160" s="297"/>
    </row>
    <row r="161">
      <c r="A161" s="647">
        <v>155.0</v>
      </c>
      <c r="B161" s="141">
        <v>66.0</v>
      </c>
      <c r="C161" s="129">
        <v>12.0</v>
      </c>
      <c r="D161" s="129">
        <v>30.0</v>
      </c>
      <c r="E161" s="129">
        <v>1.0</v>
      </c>
      <c r="F161" s="154" t="s">
        <v>2344</v>
      </c>
      <c r="G161" s="154">
        <f t="shared" si="269"/>
        <v>16</v>
      </c>
      <c r="H161" s="154">
        <f t="shared" si="270"/>
        <v>16</v>
      </c>
      <c r="I161" s="154">
        <f t="shared" si="7"/>
        <v>16</v>
      </c>
      <c r="J161" s="154">
        <f t="shared" si="271"/>
        <v>18</v>
      </c>
      <c r="K161" s="154">
        <f t="shared" si="272"/>
        <v>20</v>
      </c>
      <c r="L161" s="154">
        <f t="shared" si="273"/>
        <v>16</v>
      </c>
      <c r="M161" s="648">
        <f t="shared" si="274"/>
        <v>20</v>
      </c>
      <c r="N161" s="134" t="s">
        <v>1218</v>
      </c>
      <c r="O161" s="876"/>
      <c r="P161" s="650"/>
      <c r="Q161" s="650" t="s">
        <v>1313</v>
      </c>
      <c r="R161" s="650" t="s">
        <v>1052</v>
      </c>
      <c r="S161" s="796" t="s">
        <v>1169</v>
      </c>
      <c r="T161" s="651" t="s">
        <v>1219</v>
      </c>
      <c r="U161" s="129">
        <v>29.0</v>
      </c>
      <c r="V161" s="129">
        <v>0.0</v>
      </c>
      <c r="W161" s="134"/>
      <c r="X161" s="129">
        <v>65.0</v>
      </c>
      <c r="Y161" s="129">
        <v>3.0</v>
      </c>
      <c r="Z161" s="129">
        <v>-10.0</v>
      </c>
      <c r="AA161" s="141">
        <v>3.0</v>
      </c>
      <c r="AB161" s="134"/>
      <c r="AC161" s="129">
        <v>48.0</v>
      </c>
      <c r="AD161" s="129">
        <v>4.0</v>
      </c>
      <c r="AE161" s="129">
        <v>75.0</v>
      </c>
      <c r="AF161" s="129">
        <v>75.0</v>
      </c>
      <c r="AG161" s="129">
        <v>12.0</v>
      </c>
      <c r="AH161" s="129">
        <v>30.0</v>
      </c>
      <c r="AI161" s="652">
        <f t="shared" si="12"/>
        <v>21</v>
      </c>
      <c r="AJ161" s="134"/>
      <c r="AK161" s="134"/>
      <c r="AL161" s="134"/>
      <c r="AM161" s="134"/>
      <c r="AN161" s="134"/>
      <c r="AO161" s="134"/>
      <c r="AP161" s="134"/>
      <c r="AQ161" s="134"/>
      <c r="AR161" s="134"/>
      <c r="AS161" s="653"/>
      <c r="AT161" s="154">
        <f t="shared" si="13"/>
        <v>510</v>
      </c>
      <c r="AU161" s="154">
        <f t="shared" si="14"/>
        <v>867</v>
      </c>
      <c r="AV161" s="654">
        <f t="shared" si="15"/>
        <v>688.5</v>
      </c>
      <c r="AW161" s="655">
        <f t="shared" si="276"/>
        <v>1229</v>
      </c>
      <c r="AX161" s="655">
        <f t="shared" si="277"/>
        <v>1229</v>
      </c>
      <c r="AY161" s="655">
        <f t="shared" si="18"/>
        <v>1229</v>
      </c>
      <c r="AZ161" s="655">
        <f t="shared" si="278"/>
        <v>1229</v>
      </c>
      <c r="BA161" s="655">
        <f t="shared" si="279"/>
        <v>956</v>
      </c>
      <c r="BB161" s="655">
        <f t="shared" si="280"/>
        <v>956</v>
      </c>
      <c r="BC161" s="655">
        <f t="shared" si="281"/>
        <v>1076</v>
      </c>
      <c r="BD161" s="655">
        <f t="shared" si="282"/>
        <v>820</v>
      </c>
      <c r="BE161" s="655">
        <f t="shared" si="283"/>
        <v>1013</v>
      </c>
      <c r="BF161" s="655">
        <f t="shared" si="25"/>
        <v>956</v>
      </c>
      <c r="BG161" s="655">
        <f t="shared" si="26"/>
        <v>1148</v>
      </c>
      <c r="BH161" s="655">
        <f t="shared" si="284"/>
        <v>1148</v>
      </c>
      <c r="BI161" s="655">
        <f t="shared" si="285"/>
        <v>1148</v>
      </c>
      <c r="BJ161" s="655">
        <f t="shared" si="286"/>
        <v>1148</v>
      </c>
      <c r="BK161" s="655">
        <f t="shared" si="287"/>
        <v>906</v>
      </c>
      <c r="BL161" s="655">
        <f t="shared" si="288"/>
        <v>906</v>
      </c>
      <c r="BM161" s="134"/>
      <c r="BN161" s="134"/>
      <c r="BO161" s="134"/>
      <c r="BP161" s="653" t="str">
        <f t="shared" si="33"/>
        <v/>
      </c>
      <c r="BQ161" s="129">
        <v>12.0</v>
      </c>
      <c r="BR161" s="129">
        <v>30.0</v>
      </c>
      <c r="BS161" s="129">
        <v>-10.0</v>
      </c>
      <c r="BT161" s="129">
        <v>75.0</v>
      </c>
      <c r="BU161" s="129">
        <v>75.0</v>
      </c>
      <c r="BV161" s="135">
        <f t="shared" si="34"/>
        <v>21</v>
      </c>
      <c r="BW161" s="657">
        <f t="shared" si="35"/>
        <v>831.1</v>
      </c>
      <c r="BX161" s="655">
        <f t="shared" si="289"/>
        <v>1038.9</v>
      </c>
      <c r="BY161" s="655">
        <f t="shared" si="290"/>
        <v>1038.9</v>
      </c>
      <c r="BZ161" s="655">
        <f t="shared" si="38"/>
        <v>1038.9</v>
      </c>
      <c r="CA161" s="655">
        <f t="shared" si="291"/>
        <v>944.4</v>
      </c>
      <c r="CB161" s="655">
        <f t="shared" si="292"/>
        <v>831.1</v>
      </c>
      <c r="CC161" s="655">
        <f t="shared" si="293"/>
        <v>1038.9</v>
      </c>
      <c r="CD161" s="655">
        <f t="shared" si="294"/>
        <v>831.1</v>
      </c>
      <c r="CE161" s="662" t="str">
        <f t="shared" si="43"/>
        <v/>
      </c>
      <c r="CF161" s="134">
        <f t="shared" si="248"/>
        <v>-17.2</v>
      </c>
      <c r="CG161" s="656">
        <f t="shared" si="295"/>
        <v>18.3</v>
      </c>
      <c r="CH161" s="653" t="s">
        <v>1218</v>
      </c>
      <c r="CI161" s="655">
        <f t="shared" ref="CI161:DF161" si="338">FLOOR($AV161/(CI$3/25),1)</f>
        <v>688</v>
      </c>
      <c r="CJ161" s="655">
        <f t="shared" si="338"/>
        <v>717</v>
      </c>
      <c r="CK161" s="655">
        <f t="shared" si="338"/>
        <v>748</v>
      </c>
      <c r="CL161" s="655">
        <f t="shared" si="338"/>
        <v>782</v>
      </c>
      <c r="CM161" s="655">
        <f t="shared" si="338"/>
        <v>819</v>
      </c>
      <c r="CN161" s="655">
        <f t="shared" si="338"/>
        <v>860</v>
      </c>
      <c r="CO161" s="655">
        <f t="shared" si="338"/>
        <v>905</v>
      </c>
      <c r="CP161" s="655">
        <f t="shared" si="338"/>
        <v>956</v>
      </c>
      <c r="CQ161" s="655">
        <f t="shared" si="338"/>
        <v>1012</v>
      </c>
      <c r="CR161" s="655">
        <f t="shared" si="338"/>
        <v>1075</v>
      </c>
      <c r="CS161" s="655">
        <f t="shared" si="338"/>
        <v>1147</v>
      </c>
      <c r="CT161" s="655">
        <f t="shared" si="338"/>
        <v>1229</v>
      </c>
      <c r="CU161" s="655">
        <f t="shared" si="338"/>
        <v>1324</v>
      </c>
      <c r="CV161" s="655">
        <f t="shared" si="338"/>
        <v>1434</v>
      </c>
      <c r="CW161" s="655">
        <f t="shared" si="338"/>
        <v>1564</v>
      </c>
      <c r="CX161" s="655">
        <f t="shared" si="338"/>
        <v>1721</v>
      </c>
      <c r="CY161" s="655">
        <f t="shared" si="338"/>
        <v>1912</v>
      </c>
      <c r="CZ161" s="655">
        <f t="shared" si="338"/>
        <v>2151</v>
      </c>
      <c r="DA161" s="655">
        <f t="shared" si="338"/>
        <v>2458</v>
      </c>
      <c r="DB161" s="655">
        <f t="shared" si="338"/>
        <v>2868</v>
      </c>
      <c r="DC161" s="655">
        <f t="shared" si="338"/>
        <v>3442</v>
      </c>
      <c r="DD161" s="655">
        <f t="shared" si="338"/>
        <v>4303</v>
      </c>
      <c r="DE161" s="655">
        <f t="shared" si="338"/>
        <v>5737</v>
      </c>
      <c r="DF161" s="656">
        <f t="shared" si="338"/>
        <v>8606</v>
      </c>
      <c r="DG161" s="653"/>
      <c r="DH161" s="653" t="str">
        <f t="shared" si="46"/>
        <v/>
      </c>
      <c r="DI161" s="134" t="str">
        <f t="shared" si="47"/>
        <v/>
      </c>
      <c r="DJ161" s="134" t="str">
        <f t="shared" si="48"/>
        <v/>
      </c>
      <c r="DK161" s="662" t="str">
        <f t="shared" si="49"/>
        <v/>
      </c>
      <c r="DL161" s="134"/>
      <c r="DM161" s="134"/>
      <c r="DN161" s="134"/>
      <c r="DO161" s="653"/>
      <c r="DP161" s="663"/>
    </row>
    <row r="162">
      <c r="A162" s="552">
        <v>156.0</v>
      </c>
      <c r="B162" s="86">
        <v>166.0</v>
      </c>
      <c r="C162" s="54">
        <v>18.0</v>
      </c>
      <c r="D162" s="54">
        <v>40.0</v>
      </c>
      <c r="E162" s="54">
        <v>1.0</v>
      </c>
      <c r="F162" s="68" t="s">
        <v>2344</v>
      </c>
      <c r="G162" s="68">
        <f t="shared" si="269"/>
        <v>16</v>
      </c>
      <c r="H162" s="68">
        <f t="shared" si="270"/>
        <v>16</v>
      </c>
      <c r="I162" s="68">
        <f t="shared" si="7"/>
        <v>16</v>
      </c>
      <c r="J162" s="68">
        <f t="shared" si="271"/>
        <v>18</v>
      </c>
      <c r="K162" s="68">
        <f t="shared" si="272"/>
        <v>20</v>
      </c>
      <c r="L162" s="68">
        <f t="shared" si="273"/>
        <v>16</v>
      </c>
      <c r="M162" s="569">
        <f t="shared" si="274"/>
        <v>20</v>
      </c>
      <c r="N162" s="74" t="s">
        <v>1132</v>
      </c>
      <c r="O162" s="678"/>
      <c r="P162" s="571"/>
      <c r="Q162" s="571" t="s">
        <v>1670</v>
      </c>
      <c r="R162" s="571" t="s">
        <v>1052</v>
      </c>
      <c r="S162" s="791" t="s">
        <v>1169</v>
      </c>
      <c r="T162" s="572" t="s">
        <v>1134</v>
      </c>
      <c r="U162" s="54">
        <v>30.0</v>
      </c>
      <c r="V162" s="54">
        <v>18.0</v>
      </c>
      <c r="W162" s="54">
        <v>25.0</v>
      </c>
      <c r="X162" s="54">
        <v>25.0</v>
      </c>
      <c r="Y162" s="54">
        <v>2.0</v>
      </c>
      <c r="Z162" s="54">
        <v>-10.0</v>
      </c>
      <c r="AA162" s="86">
        <v>3.0</v>
      </c>
      <c r="AB162" s="74"/>
      <c r="AC162" s="54">
        <v>120.0</v>
      </c>
      <c r="AD162" s="54">
        <v>4.0</v>
      </c>
      <c r="AE162" s="54">
        <v>75.0</v>
      </c>
      <c r="AF162" s="54">
        <v>75.0</v>
      </c>
      <c r="AG162" s="54">
        <v>18.0</v>
      </c>
      <c r="AH162" s="54">
        <v>40.0</v>
      </c>
      <c r="AI162" s="574">
        <f t="shared" si="12"/>
        <v>29</v>
      </c>
      <c r="AJ162" s="74"/>
      <c r="AK162" s="74"/>
      <c r="AL162" s="74"/>
      <c r="AM162" s="74"/>
      <c r="AN162" s="74"/>
      <c r="AO162" s="74"/>
      <c r="AP162" s="74"/>
      <c r="AQ162" s="74"/>
      <c r="AR162" s="74"/>
      <c r="AS162" s="575"/>
      <c r="AT162" s="68">
        <f t="shared" si="13"/>
        <v>632</v>
      </c>
      <c r="AU162" s="68">
        <f t="shared" si="14"/>
        <v>1068</v>
      </c>
      <c r="AV162" s="581">
        <f t="shared" si="15"/>
        <v>850</v>
      </c>
      <c r="AW162" s="582">
        <f t="shared" si="276"/>
        <v>1518</v>
      </c>
      <c r="AX162" s="582">
        <f t="shared" si="277"/>
        <v>1518</v>
      </c>
      <c r="AY162" s="582">
        <f t="shared" si="18"/>
        <v>1518</v>
      </c>
      <c r="AZ162" s="582">
        <f t="shared" si="278"/>
        <v>1518</v>
      </c>
      <c r="BA162" s="582">
        <f t="shared" si="279"/>
        <v>1181</v>
      </c>
      <c r="BB162" s="582">
        <f t="shared" si="280"/>
        <v>1181</v>
      </c>
      <c r="BC162" s="582">
        <f t="shared" si="281"/>
        <v>1328</v>
      </c>
      <c r="BD162" s="582">
        <f t="shared" si="282"/>
        <v>1012</v>
      </c>
      <c r="BE162" s="582">
        <f t="shared" si="283"/>
        <v>1250</v>
      </c>
      <c r="BF162" s="582">
        <f t="shared" si="25"/>
        <v>1181</v>
      </c>
      <c r="BG162" s="582">
        <f t="shared" si="26"/>
        <v>1417</v>
      </c>
      <c r="BH162" s="582">
        <f t="shared" si="284"/>
        <v>1417</v>
      </c>
      <c r="BI162" s="582">
        <f t="shared" si="285"/>
        <v>1417</v>
      </c>
      <c r="BJ162" s="582">
        <f t="shared" si="286"/>
        <v>1417</v>
      </c>
      <c r="BK162" s="582">
        <f t="shared" si="287"/>
        <v>1118</v>
      </c>
      <c r="BL162" s="582">
        <f t="shared" si="288"/>
        <v>1118</v>
      </c>
      <c r="BM162" s="74"/>
      <c r="BN162" s="74"/>
      <c r="BO162" s="74"/>
      <c r="BP162" s="575" t="str">
        <f t="shared" si="33"/>
        <v/>
      </c>
      <c r="BQ162" s="54">
        <v>14.0</v>
      </c>
      <c r="BR162" s="54">
        <v>32.0</v>
      </c>
      <c r="BS162" s="54">
        <v>-10.0</v>
      </c>
      <c r="BT162" s="54">
        <v>75.0</v>
      </c>
      <c r="BU162" s="54">
        <v>75.0</v>
      </c>
      <c r="BV162" s="83">
        <f t="shared" si="34"/>
        <v>23</v>
      </c>
      <c r="BW162" s="608">
        <f t="shared" si="35"/>
        <v>878.9</v>
      </c>
      <c r="BX162" s="582">
        <f t="shared" si="289"/>
        <v>1098.6</v>
      </c>
      <c r="BY162" s="582">
        <f t="shared" si="290"/>
        <v>1098.6</v>
      </c>
      <c r="BZ162" s="582">
        <f t="shared" si="38"/>
        <v>1098.6</v>
      </c>
      <c r="CA162" s="582">
        <f t="shared" si="291"/>
        <v>998.8</v>
      </c>
      <c r="CB162" s="582">
        <f t="shared" si="292"/>
        <v>878.9</v>
      </c>
      <c r="CC162" s="582">
        <f t="shared" si="293"/>
        <v>1098.6</v>
      </c>
      <c r="CD162" s="582">
        <f t="shared" si="294"/>
        <v>878.9</v>
      </c>
      <c r="CE162" s="664">
        <f t="shared" si="43"/>
        <v>26.1</v>
      </c>
      <c r="CF162" s="86">
        <f t="shared" si="248"/>
        <v>-3.3</v>
      </c>
      <c r="CG162" s="602">
        <f t="shared" si="295"/>
        <v>38.2</v>
      </c>
      <c r="CH162" s="575" t="s">
        <v>1132</v>
      </c>
      <c r="CI162" s="582">
        <f t="shared" ref="CI162:DF162" si="339">FLOOR($AV162/(CI$3/25),1)</f>
        <v>850</v>
      </c>
      <c r="CJ162" s="582">
        <f t="shared" si="339"/>
        <v>885</v>
      </c>
      <c r="CK162" s="582">
        <f t="shared" si="339"/>
        <v>923</v>
      </c>
      <c r="CL162" s="582">
        <f t="shared" si="339"/>
        <v>965</v>
      </c>
      <c r="CM162" s="582">
        <f t="shared" si="339"/>
        <v>1011</v>
      </c>
      <c r="CN162" s="582">
        <f t="shared" si="339"/>
        <v>1062</v>
      </c>
      <c r="CO162" s="582">
        <f t="shared" si="339"/>
        <v>1118</v>
      </c>
      <c r="CP162" s="582">
        <f t="shared" si="339"/>
        <v>1180</v>
      </c>
      <c r="CQ162" s="582">
        <f t="shared" si="339"/>
        <v>1250</v>
      </c>
      <c r="CR162" s="582">
        <f t="shared" si="339"/>
        <v>1328</v>
      </c>
      <c r="CS162" s="582">
        <f t="shared" si="339"/>
        <v>1416</v>
      </c>
      <c r="CT162" s="582">
        <f t="shared" si="339"/>
        <v>1517</v>
      </c>
      <c r="CU162" s="582">
        <f t="shared" si="339"/>
        <v>1634</v>
      </c>
      <c r="CV162" s="582">
        <f t="shared" si="339"/>
        <v>1770</v>
      </c>
      <c r="CW162" s="582">
        <f t="shared" si="339"/>
        <v>1931</v>
      </c>
      <c r="CX162" s="582">
        <f t="shared" si="339"/>
        <v>2125</v>
      </c>
      <c r="CY162" s="582">
        <f t="shared" si="339"/>
        <v>2361</v>
      </c>
      <c r="CZ162" s="582">
        <f t="shared" si="339"/>
        <v>2656</v>
      </c>
      <c r="DA162" s="582">
        <f t="shared" si="339"/>
        <v>3035</v>
      </c>
      <c r="DB162" s="582">
        <f t="shared" si="339"/>
        <v>3541</v>
      </c>
      <c r="DC162" s="582">
        <f t="shared" si="339"/>
        <v>4250</v>
      </c>
      <c r="DD162" s="582">
        <f t="shared" si="339"/>
        <v>5312</v>
      </c>
      <c r="DE162" s="582">
        <f t="shared" si="339"/>
        <v>7083</v>
      </c>
      <c r="DF162" s="602">
        <f t="shared" si="339"/>
        <v>10625</v>
      </c>
      <c r="DG162" s="575"/>
      <c r="DH162" s="575" t="str">
        <f t="shared" si="46"/>
        <v/>
      </c>
      <c r="DI162" s="74" t="str">
        <f t="shared" si="47"/>
        <v/>
      </c>
      <c r="DJ162" s="74" t="str">
        <f t="shared" si="48"/>
        <v/>
      </c>
      <c r="DK162" s="623" t="str">
        <f t="shared" si="49"/>
        <v/>
      </c>
      <c r="DL162" s="74"/>
      <c r="DM162" s="74"/>
      <c r="DN162" s="582">
        <f t="shared" ref="DN162:DN171" si="341">IF(ISBLANK(DL162),ROUND(AI162/IF(ISBLANK(DL157),AI157,DL157),1),ROUND(DL162/IF(ISBLANK(DL157),AI157,DL157),1))</f>
        <v>3.6</v>
      </c>
      <c r="DO162" s="575"/>
      <c r="DP162" s="297"/>
    </row>
    <row r="163">
      <c r="A163" s="552">
        <v>157.0</v>
      </c>
      <c r="B163" s="86">
        <v>168.0</v>
      </c>
      <c r="C163" s="54">
        <v>17.0</v>
      </c>
      <c r="D163" s="54">
        <v>52.0</v>
      </c>
      <c r="E163" s="54">
        <v>1.0</v>
      </c>
      <c r="F163" s="68" t="s">
        <v>2344</v>
      </c>
      <c r="G163" s="68">
        <f t="shared" si="269"/>
        <v>16</v>
      </c>
      <c r="H163" s="68">
        <f t="shared" si="270"/>
        <v>16</v>
      </c>
      <c r="I163" s="68">
        <f t="shared" si="7"/>
        <v>16</v>
      </c>
      <c r="J163" s="68">
        <f t="shared" si="271"/>
        <v>18</v>
      </c>
      <c r="K163" s="68">
        <f t="shared" si="272"/>
        <v>20</v>
      </c>
      <c r="L163" s="68">
        <f t="shared" si="273"/>
        <v>16</v>
      </c>
      <c r="M163" s="569">
        <f t="shared" si="274"/>
        <v>20</v>
      </c>
      <c r="N163" s="74" t="s">
        <v>1179</v>
      </c>
      <c r="O163" s="678"/>
      <c r="P163" s="571"/>
      <c r="Q163" s="571" t="s">
        <v>1670</v>
      </c>
      <c r="R163" s="571" t="s">
        <v>1052</v>
      </c>
      <c r="S163" s="791" t="s">
        <v>1169</v>
      </c>
      <c r="T163" s="572" t="s">
        <v>1180</v>
      </c>
      <c r="U163" s="54">
        <v>37.0</v>
      </c>
      <c r="V163" s="54">
        <v>25.0</v>
      </c>
      <c r="W163" s="54">
        <v>25.0</v>
      </c>
      <c r="X163" s="679">
        <v>88.0</v>
      </c>
      <c r="Y163" s="54">
        <v>2.0</v>
      </c>
      <c r="Z163" s="54">
        <v>0.0</v>
      </c>
      <c r="AA163" s="86">
        <v>3.0</v>
      </c>
      <c r="AB163" s="74"/>
      <c r="AC163" s="54">
        <v>125.0</v>
      </c>
      <c r="AD163" s="54">
        <v>4.0</v>
      </c>
      <c r="AE163" s="54">
        <v>75.0</v>
      </c>
      <c r="AF163" s="54">
        <v>75.0</v>
      </c>
      <c r="AG163" s="54">
        <v>17.0</v>
      </c>
      <c r="AH163" s="54">
        <v>52.0</v>
      </c>
      <c r="AI163" s="574">
        <f t="shared" si="12"/>
        <v>34.5</v>
      </c>
      <c r="AJ163" s="74"/>
      <c r="AK163" s="74"/>
      <c r="AL163" s="74"/>
      <c r="AM163" s="74"/>
      <c r="AN163" s="74"/>
      <c r="AO163" s="74"/>
      <c r="AP163" s="74"/>
      <c r="AQ163" s="74"/>
      <c r="AR163" s="74"/>
      <c r="AS163" s="575"/>
      <c r="AT163" s="68">
        <f t="shared" si="13"/>
        <v>610</v>
      </c>
      <c r="AU163" s="68">
        <f t="shared" si="14"/>
        <v>1308</v>
      </c>
      <c r="AV163" s="581">
        <f t="shared" si="15"/>
        <v>959</v>
      </c>
      <c r="AW163" s="582">
        <f t="shared" si="276"/>
        <v>1598</v>
      </c>
      <c r="AX163" s="582">
        <f t="shared" si="277"/>
        <v>1598</v>
      </c>
      <c r="AY163" s="582">
        <f t="shared" si="18"/>
        <v>1598</v>
      </c>
      <c r="AZ163" s="582">
        <f t="shared" si="278"/>
        <v>1598</v>
      </c>
      <c r="BA163" s="582">
        <f t="shared" si="279"/>
        <v>1262</v>
      </c>
      <c r="BB163" s="582">
        <f t="shared" si="280"/>
        <v>1262</v>
      </c>
      <c r="BC163" s="582">
        <f t="shared" si="281"/>
        <v>1410</v>
      </c>
      <c r="BD163" s="582">
        <f t="shared" si="282"/>
        <v>959</v>
      </c>
      <c r="BE163" s="582">
        <f t="shared" si="283"/>
        <v>1142</v>
      </c>
      <c r="BF163" s="582">
        <f t="shared" si="25"/>
        <v>1042</v>
      </c>
      <c r="BG163" s="582">
        <f t="shared" si="26"/>
        <v>1262</v>
      </c>
      <c r="BH163" s="582">
        <f t="shared" si="284"/>
        <v>1262</v>
      </c>
      <c r="BI163" s="582">
        <f t="shared" si="285"/>
        <v>1262</v>
      </c>
      <c r="BJ163" s="582">
        <f t="shared" si="286"/>
        <v>1262</v>
      </c>
      <c r="BK163" s="582">
        <f t="shared" si="287"/>
        <v>1042</v>
      </c>
      <c r="BL163" s="582">
        <f t="shared" si="288"/>
        <v>1042</v>
      </c>
      <c r="BM163" s="74"/>
      <c r="BN163" s="74"/>
      <c r="BO163" s="74"/>
      <c r="BP163" s="575" t="str">
        <f t="shared" si="33"/>
        <v/>
      </c>
      <c r="BQ163" s="54">
        <v>16.0</v>
      </c>
      <c r="BR163" s="54">
        <v>42.0</v>
      </c>
      <c r="BS163" s="74"/>
      <c r="BT163" s="54">
        <v>75.0</v>
      </c>
      <c r="BU163" s="54">
        <v>75.0</v>
      </c>
      <c r="BV163" s="83">
        <f t="shared" si="34"/>
        <v>29</v>
      </c>
      <c r="BW163" s="608">
        <f t="shared" si="35"/>
        <v>1022.1</v>
      </c>
      <c r="BX163" s="582">
        <f t="shared" si="289"/>
        <v>1161.5</v>
      </c>
      <c r="BY163" s="582">
        <f t="shared" si="290"/>
        <v>1161.5</v>
      </c>
      <c r="BZ163" s="582">
        <f t="shared" si="38"/>
        <v>1161.5</v>
      </c>
      <c r="CA163" s="582">
        <f t="shared" si="291"/>
        <v>1022.1</v>
      </c>
      <c r="CB163" s="582">
        <f t="shared" si="292"/>
        <v>912.6</v>
      </c>
      <c r="CC163" s="582">
        <f t="shared" si="293"/>
        <v>1161.5</v>
      </c>
      <c r="CD163" s="582">
        <f t="shared" si="294"/>
        <v>912.6</v>
      </c>
      <c r="CE163" s="664">
        <f t="shared" si="43"/>
        <v>19</v>
      </c>
      <c r="CF163" s="86">
        <f t="shared" si="248"/>
        <v>-6.2</v>
      </c>
      <c r="CG163" s="602">
        <f t="shared" si="295"/>
        <v>37.6</v>
      </c>
      <c r="CH163" s="575" t="s">
        <v>1179</v>
      </c>
      <c r="CI163" s="582">
        <f t="shared" ref="CI163:DF163" si="340">FLOOR($AV163/(CI$3/25),1)</f>
        <v>959</v>
      </c>
      <c r="CJ163" s="582">
        <f t="shared" si="340"/>
        <v>998</v>
      </c>
      <c r="CK163" s="582">
        <f t="shared" si="340"/>
        <v>1042</v>
      </c>
      <c r="CL163" s="582">
        <f t="shared" si="340"/>
        <v>1089</v>
      </c>
      <c r="CM163" s="582">
        <f t="shared" si="340"/>
        <v>1141</v>
      </c>
      <c r="CN163" s="582">
        <f t="shared" si="340"/>
        <v>1198</v>
      </c>
      <c r="CO163" s="582">
        <f t="shared" si="340"/>
        <v>1261</v>
      </c>
      <c r="CP163" s="582">
        <f t="shared" si="340"/>
        <v>1331</v>
      </c>
      <c r="CQ163" s="582">
        <f t="shared" si="340"/>
        <v>1410</v>
      </c>
      <c r="CR163" s="582">
        <f t="shared" si="340"/>
        <v>1498</v>
      </c>
      <c r="CS163" s="582">
        <f t="shared" si="340"/>
        <v>1598</v>
      </c>
      <c r="CT163" s="582">
        <f t="shared" si="340"/>
        <v>1712</v>
      </c>
      <c r="CU163" s="582">
        <f t="shared" si="340"/>
        <v>1844</v>
      </c>
      <c r="CV163" s="582">
        <f t="shared" si="340"/>
        <v>1997</v>
      </c>
      <c r="CW163" s="582">
        <f t="shared" si="340"/>
        <v>2179</v>
      </c>
      <c r="CX163" s="582">
        <f t="shared" si="340"/>
        <v>2397</v>
      </c>
      <c r="CY163" s="582">
        <f t="shared" si="340"/>
        <v>2663</v>
      </c>
      <c r="CZ163" s="582">
        <f t="shared" si="340"/>
        <v>2996</v>
      </c>
      <c r="DA163" s="582">
        <f t="shared" si="340"/>
        <v>3425</v>
      </c>
      <c r="DB163" s="582">
        <f t="shared" si="340"/>
        <v>3995</v>
      </c>
      <c r="DC163" s="582">
        <f t="shared" si="340"/>
        <v>4795</v>
      </c>
      <c r="DD163" s="582">
        <f t="shared" si="340"/>
        <v>5993</v>
      </c>
      <c r="DE163" s="582">
        <f t="shared" si="340"/>
        <v>7991</v>
      </c>
      <c r="DF163" s="602">
        <f t="shared" si="340"/>
        <v>11987</v>
      </c>
      <c r="DG163" s="575"/>
      <c r="DH163" s="575" t="str">
        <f t="shared" si="46"/>
        <v/>
      </c>
      <c r="DI163" s="74" t="str">
        <f t="shared" si="47"/>
        <v/>
      </c>
      <c r="DJ163" s="74" t="str">
        <f t="shared" si="48"/>
        <v/>
      </c>
      <c r="DK163" s="664">
        <f t="shared" si="49"/>
        <v>11.6</v>
      </c>
      <c r="DL163" s="685">
        <v>38.5</v>
      </c>
      <c r="DM163" s="74"/>
      <c r="DN163" s="582">
        <f t="shared" si="341"/>
        <v>2.9</v>
      </c>
      <c r="DO163" s="575"/>
      <c r="DP163" s="297"/>
    </row>
    <row r="164">
      <c r="A164" s="552">
        <v>158.0</v>
      </c>
      <c r="B164" s="86">
        <v>170.0</v>
      </c>
      <c r="C164" s="54">
        <v>34.0</v>
      </c>
      <c r="D164" s="54">
        <v>58.0</v>
      </c>
      <c r="E164" s="54">
        <v>1.0</v>
      </c>
      <c r="F164" s="68" t="s">
        <v>2344</v>
      </c>
      <c r="G164" s="68">
        <f t="shared" si="269"/>
        <v>16</v>
      </c>
      <c r="H164" s="68">
        <f t="shared" si="270"/>
        <v>16</v>
      </c>
      <c r="I164" s="68">
        <f t="shared" si="7"/>
        <v>16</v>
      </c>
      <c r="J164" s="68">
        <f t="shared" si="271"/>
        <v>18</v>
      </c>
      <c r="K164" s="68">
        <f t="shared" si="272"/>
        <v>20</v>
      </c>
      <c r="L164" s="68">
        <f t="shared" si="273"/>
        <v>16</v>
      </c>
      <c r="M164" s="569">
        <f t="shared" si="274"/>
        <v>20</v>
      </c>
      <c r="N164" s="74" t="s">
        <v>1196</v>
      </c>
      <c r="O164" s="678"/>
      <c r="P164" s="571"/>
      <c r="Q164" s="571" t="s">
        <v>1670</v>
      </c>
      <c r="R164" s="571" t="s">
        <v>1052</v>
      </c>
      <c r="S164" s="791" t="s">
        <v>1169</v>
      </c>
      <c r="T164" s="572" t="s">
        <v>1197</v>
      </c>
      <c r="U164" s="54">
        <v>40.0</v>
      </c>
      <c r="V164" s="54">
        <v>25.0</v>
      </c>
      <c r="W164" s="54">
        <v>80.0</v>
      </c>
      <c r="X164" s="54">
        <v>80.0</v>
      </c>
      <c r="Y164" s="54">
        <v>2.0</v>
      </c>
      <c r="Z164" s="54">
        <v>10.0</v>
      </c>
      <c r="AA164" s="86">
        <v>3.0</v>
      </c>
      <c r="AB164" s="74"/>
      <c r="AC164" s="54">
        <v>135.0</v>
      </c>
      <c r="AD164" s="54">
        <v>4.0</v>
      </c>
      <c r="AE164" s="54">
        <v>75.0</v>
      </c>
      <c r="AF164" s="54">
        <v>75.0</v>
      </c>
      <c r="AG164" s="54">
        <v>34.0</v>
      </c>
      <c r="AH164" s="54">
        <v>58.0</v>
      </c>
      <c r="AI164" s="574">
        <f t="shared" si="12"/>
        <v>46</v>
      </c>
      <c r="AJ164" s="74"/>
      <c r="AK164" s="74"/>
      <c r="AL164" s="74"/>
      <c r="AM164" s="74"/>
      <c r="AN164" s="74"/>
      <c r="AO164" s="74"/>
      <c r="AP164" s="74"/>
      <c r="AQ164" s="74"/>
      <c r="AR164" s="74"/>
      <c r="AS164" s="575"/>
      <c r="AT164" s="68">
        <f t="shared" si="13"/>
        <v>950</v>
      </c>
      <c r="AU164" s="68">
        <f t="shared" si="14"/>
        <v>1426</v>
      </c>
      <c r="AV164" s="581">
        <f t="shared" si="15"/>
        <v>1188</v>
      </c>
      <c r="AW164" s="582">
        <f t="shared" si="276"/>
        <v>1747</v>
      </c>
      <c r="AX164" s="582">
        <f t="shared" si="277"/>
        <v>1747</v>
      </c>
      <c r="AY164" s="582">
        <f t="shared" si="18"/>
        <v>1747</v>
      </c>
      <c r="AZ164" s="582">
        <f t="shared" si="278"/>
        <v>1747</v>
      </c>
      <c r="BA164" s="582">
        <f t="shared" si="279"/>
        <v>1350</v>
      </c>
      <c r="BB164" s="582">
        <f t="shared" si="280"/>
        <v>1350</v>
      </c>
      <c r="BC164" s="582">
        <f t="shared" si="281"/>
        <v>1485</v>
      </c>
      <c r="BD164" s="582">
        <f t="shared" si="282"/>
        <v>928</v>
      </c>
      <c r="BE164" s="582">
        <f t="shared" si="283"/>
        <v>1142</v>
      </c>
      <c r="BF164" s="582">
        <f t="shared" si="25"/>
        <v>1100</v>
      </c>
      <c r="BG164" s="582">
        <f t="shared" si="26"/>
        <v>1350</v>
      </c>
      <c r="BH164" s="582">
        <f t="shared" si="284"/>
        <v>1350</v>
      </c>
      <c r="BI164" s="582">
        <f t="shared" si="285"/>
        <v>1350</v>
      </c>
      <c r="BJ164" s="582">
        <f t="shared" si="286"/>
        <v>1350</v>
      </c>
      <c r="BK164" s="582">
        <f t="shared" si="287"/>
        <v>1024</v>
      </c>
      <c r="BL164" s="582">
        <f t="shared" si="288"/>
        <v>1024</v>
      </c>
      <c r="BM164" s="74"/>
      <c r="BN164" s="74"/>
      <c r="BO164" s="74"/>
      <c r="BP164" s="575" t="str">
        <f t="shared" si="33"/>
        <v/>
      </c>
      <c r="BQ164" s="54">
        <v>27.0</v>
      </c>
      <c r="BR164" s="54">
        <v>50.0</v>
      </c>
      <c r="BS164" s="54">
        <v>10.0</v>
      </c>
      <c r="BT164" s="54">
        <v>75.0</v>
      </c>
      <c r="BU164" s="54">
        <v>75.0</v>
      </c>
      <c r="BV164" s="83">
        <f t="shared" si="34"/>
        <v>38.5</v>
      </c>
      <c r="BW164" s="608">
        <f t="shared" si="35"/>
        <v>1248.9</v>
      </c>
      <c r="BX164" s="582">
        <f t="shared" si="289"/>
        <v>1200.9</v>
      </c>
      <c r="BY164" s="582">
        <f t="shared" si="290"/>
        <v>1200.9</v>
      </c>
      <c r="BZ164" s="582">
        <f t="shared" si="38"/>
        <v>1200.9</v>
      </c>
      <c r="CA164" s="582">
        <f t="shared" si="291"/>
        <v>1040.8</v>
      </c>
      <c r="CB164" s="582">
        <f t="shared" si="292"/>
        <v>946.1</v>
      </c>
      <c r="CC164" s="582">
        <f t="shared" si="293"/>
        <v>1200.9</v>
      </c>
      <c r="CD164" s="582">
        <f t="shared" si="294"/>
        <v>946.1</v>
      </c>
      <c r="CE164" s="664">
        <f t="shared" si="43"/>
        <v>19.5</v>
      </c>
      <c r="CF164" s="86">
        <f t="shared" si="248"/>
        <v>-4.9</v>
      </c>
      <c r="CG164" s="602">
        <f t="shared" si="295"/>
        <v>45.5</v>
      </c>
      <c r="CH164" s="575" t="s">
        <v>1196</v>
      </c>
      <c r="CI164" s="582">
        <f t="shared" ref="CI164:DF164" si="342">FLOOR($AV164/(CI$3/25),1)</f>
        <v>1188</v>
      </c>
      <c r="CJ164" s="582">
        <f t="shared" si="342"/>
        <v>1237</v>
      </c>
      <c r="CK164" s="582">
        <f t="shared" si="342"/>
        <v>1291</v>
      </c>
      <c r="CL164" s="582">
        <f t="shared" si="342"/>
        <v>1350</v>
      </c>
      <c r="CM164" s="582">
        <f t="shared" si="342"/>
        <v>1414</v>
      </c>
      <c r="CN164" s="582">
        <f t="shared" si="342"/>
        <v>1485</v>
      </c>
      <c r="CO164" s="582">
        <f t="shared" si="342"/>
        <v>1563</v>
      </c>
      <c r="CP164" s="582">
        <f t="shared" si="342"/>
        <v>1650</v>
      </c>
      <c r="CQ164" s="582">
        <f t="shared" si="342"/>
        <v>1747</v>
      </c>
      <c r="CR164" s="582">
        <f t="shared" si="342"/>
        <v>1856</v>
      </c>
      <c r="CS164" s="582">
        <f t="shared" si="342"/>
        <v>1980</v>
      </c>
      <c r="CT164" s="582">
        <f t="shared" si="342"/>
        <v>2121</v>
      </c>
      <c r="CU164" s="582">
        <f t="shared" si="342"/>
        <v>2284</v>
      </c>
      <c r="CV164" s="582">
        <f t="shared" si="342"/>
        <v>2475</v>
      </c>
      <c r="CW164" s="582">
        <f t="shared" si="342"/>
        <v>2700</v>
      </c>
      <c r="CX164" s="582">
        <f t="shared" si="342"/>
        <v>2970</v>
      </c>
      <c r="CY164" s="582">
        <f t="shared" si="342"/>
        <v>3300</v>
      </c>
      <c r="CZ164" s="582">
        <f t="shared" si="342"/>
        <v>3712</v>
      </c>
      <c r="DA164" s="582">
        <f t="shared" si="342"/>
        <v>4242</v>
      </c>
      <c r="DB164" s="582">
        <f t="shared" si="342"/>
        <v>4950</v>
      </c>
      <c r="DC164" s="582">
        <f t="shared" si="342"/>
        <v>5940</v>
      </c>
      <c r="DD164" s="582">
        <f t="shared" si="342"/>
        <v>7425</v>
      </c>
      <c r="DE164" s="582">
        <f t="shared" si="342"/>
        <v>9900</v>
      </c>
      <c r="DF164" s="602">
        <f t="shared" si="342"/>
        <v>14850</v>
      </c>
      <c r="DG164" s="575"/>
      <c r="DH164" s="575" t="str">
        <f t="shared" si="46"/>
        <v/>
      </c>
      <c r="DI164" s="74" t="str">
        <f t="shared" si="47"/>
        <v/>
      </c>
      <c r="DJ164" s="74" t="str">
        <f t="shared" si="48"/>
        <v/>
      </c>
      <c r="DK164" s="623" t="str">
        <f t="shared" si="49"/>
        <v/>
      </c>
      <c r="DL164" s="74"/>
      <c r="DM164" s="74"/>
      <c r="DN164" s="582">
        <f t="shared" si="341"/>
        <v>2.9</v>
      </c>
      <c r="DO164" s="575"/>
      <c r="DP164" s="297"/>
    </row>
    <row r="165">
      <c r="A165" s="552">
        <v>159.0</v>
      </c>
      <c r="B165" s="86">
        <v>172.0</v>
      </c>
      <c r="C165" s="54">
        <v>32.0</v>
      </c>
      <c r="D165" s="54">
        <v>65.0</v>
      </c>
      <c r="E165" s="54">
        <v>1.0</v>
      </c>
      <c r="F165" s="68" t="s">
        <v>2344</v>
      </c>
      <c r="G165" s="68">
        <f t="shared" si="269"/>
        <v>16</v>
      </c>
      <c r="H165" s="68">
        <f t="shared" si="270"/>
        <v>16</v>
      </c>
      <c r="I165" s="68">
        <f t="shared" si="7"/>
        <v>16</v>
      </c>
      <c r="J165" s="68">
        <f t="shared" si="271"/>
        <v>18</v>
      </c>
      <c r="K165" s="68">
        <f t="shared" si="272"/>
        <v>20</v>
      </c>
      <c r="L165" s="68">
        <f t="shared" si="273"/>
        <v>16</v>
      </c>
      <c r="M165" s="569">
        <f t="shared" si="274"/>
        <v>20</v>
      </c>
      <c r="N165" s="74" t="s">
        <v>1211</v>
      </c>
      <c r="O165" s="678"/>
      <c r="P165" s="571"/>
      <c r="Q165" s="571" t="s">
        <v>1670</v>
      </c>
      <c r="R165" s="571" t="s">
        <v>1052</v>
      </c>
      <c r="S165" s="791" t="s">
        <v>1169</v>
      </c>
      <c r="T165" s="572" t="s">
        <v>1212</v>
      </c>
      <c r="U165" s="54">
        <v>46.0</v>
      </c>
      <c r="V165" s="54">
        <v>25.0</v>
      </c>
      <c r="W165" s="54">
        <v>98.0</v>
      </c>
      <c r="X165" s="54">
        <v>73.0</v>
      </c>
      <c r="Y165" s="54">
        <v>3.0</v>
      </c>
      <c r="Z165" s="54">
        <v>20.0</v>
      </c>
      <c r="AA165" s="86">
        <v>3.0</v>
      </c>
      <c r="AB165" s="74"/>
      <c r="AC165" s="54">
        <v>145.0</v>
      </c>
      <c r="AD165" s="54">
        <v>4.0</v>
      </c>
      <c r="AE165" s="54">
        <v>75.0</v>
      </c>
      <c r="AF165" s="54">
        <v>75.0</v>
      </c>
      <c r="AG165" s="54">
        <v>32.0</v>
      </c>
      <c r="AH165" s="54">
        <v>65.0</v>
      </c>
      <c r="AI165" s="574">
        <f t="shared" si="12"/>
        <v>48.5</v>
      </c>
      <c r="AJ165" s="74"/>
      <c r="AK165" s="74"/>
      <c r="AL165" s="74"/>
      <c r="AM165" s="74"/>
      <c r="AN165" s="74"/>
      <c r="AO165" s="74"/>
      <c r="AP165" s="74"/>
      <c r="AQ165" s="74"/>
      <c r="AR165" s="74"/>
      <c r="AS165" s="575"/>
      <c r="AT165" s="68">
        <f t="shared" si="13"/>
        <v>906</v>
      </c>
      <c r="AU165" s="68">
        <f t="shared" si="14"/>
        <v>1565</v>
      </c>
      <c r="AV165" s="581">
        <f t="shared" si="15"/>
        <v>1235.5</v>
      </c>
      <c r="AW165" s="582">
        <f t="shared" si="276"/>
        <v>1544</v>
      </c>
      <c r="AX165" s="582">
        <f t="shared" si="277"/>
        <v>1544</v>
      </c>
      <c r="AY165" s="582">
        <f t="shared" si="18"/>
        <v>1544</v>
      </c>
      <c r="AZ165" s="582">
        <f t="shared" si="278"/>
        <v>1544</v>
      </c>
      <c r="BA165" s="582">
        <f t="shared" si="279"/>
        <v>1236</v>
      </c>
      <c r="BB165" s="582">
        <f t="shared" si="280"/>
        <v>1236</v>
      </c>
      <c r="BC165" s="582">
        <f t="shared" si="281"/>
        <v>1404</v>
      </c>
      <c r="BD165" s="582">
        <f t="shared" si="282"/>
        <v>772</v>
      </c>
      <c r="BE165" s="582">
        <f t="shared" si="283"/>
        <v>936</v>
      </c>
      <c r="BF165" s="582">
        <f t="shared" si="25"/>
        <v>858</v>
      </c>
      <c r="BG165" s="582">
        <f t="shared" si="26"/>
        <v>1030</v>
      </c>
      <c r="BH165" s="582">
        <f t="shared" si="284"/>
        <v>1030</v>
      </c>
      <c r="BI165" s="582">
        <f t="shared" si="285"/>
        <v>1030</v>
      </c>
      <c r="BJ165" s="582">
        <f t="shared" si="286"/>
        <v>1030</v>
      </c>
      <c r="BK165" s="582">
        <f t="shared" si="287"/>
        <v>835</v>
      </c>
      <c r="BL165" s="582">
        <f t="shared" si="288"/>
        <v>835</v>
      </c>
      <c r="BM165" s="74"/>
      <c r="BN165" s="74"/>
      <c r="BO165" s="74"/>
      <c r="BP165" s="575" t="str">
        <f t="shared" si="33"/>
        <v/>
      </c>
      <c r="BQ165" s="54">
        <v>32.0</v>
      </c>
      <c r="BR165" s="54">
        <v>60.0</v>
      </c>
      <c r="BS165" s="54">
        <v>20.0</v>
      </c>
      <c r="BT165" s="54">
        <v>75.0</v>
      </c>
      <c r="BU165" s="54">
        <v>75.0</v>
      </c>
      <c r="BV165" s="83">
        <f t="shared" si="34"/>
        <v>46</v>
      </c>
      <c r="BW165" s="608">
        <f t="shared" si="35"/>
        <v>1427.9</v>
      </c>
      <c r="BX165" s="582">
        <f t="shared" si="289"/>
        <v>1151.5</v>
      </c>
      <c r="BY165" s="582">
        <f t="shared" si="290"/>
        <v>1151.5</v>
      </c>
      <c r="BZ165" s="582">
        <f t="shared" si="38"/>
        <v>1151.5</v>
      </c>
      <c r="CA165" s="582">
        <f t="shared" si="291"/>
        <v>1019.9</v>
      </c>
      <c r="CB165" s="582">
        <f t="shared" si="292"/>
        <v>915.3</v>
      </c>
      <c r="CC165" s="582">
        <f t="shared" si="293"/>
        <v>1151.5</v>
      </c>
      <c r="CD165" s="582">
        <f t="shared" si="294"/>
        <v>915.3</v>
      </c>
      <c r="CE165" s="664">
        <f t="shared" si="43"/>
        <v>5.4</v>
      </c>
      <c r="CF165" s="86">
        <f t="shared" si="248"/>
        <v>-13.5</v>
      </c>
      <c r="CG165" s="602">
        <f t="shared" si="295"/>
        <v>34.1</v>
      </c>
      <c r="CH165" s="575" t="s">
        <v>1211</v>
      </c>
      <c r="CI165" s="582">
        <f t="shared" ref="CI165:DF165" si="343">FLOOR($AV165/(CI$3/25),1)</f>
        <v>1235</v>
      </c>
      <c r="CJ165" s="582">
        <f t="shared" si="343"/>
        <v>1286</v>
      </c>
      <c r="CK165" s="582">
        <f t="shared" si="343"/>
        <v>1342</v>
      </c>
      <c r="CL165" s="582">
        <f t="shared" si="343"/>
        <v>1403</v>
      </c>
      <c r="CM165" s="582">
        <f t="shared" si="343"/>
        <v>1470</v>
      </c>
      <c r="CN165" s="582">
        <f t="shared" si="343"/>
        <v>1544</v>
      </c>
      <c r="CO165" s="582">
        <f t="shared" si="343"/>
        <v>1625</v>
      </c>
      <c r="CP165" s="582">
        <f t="shared" si="343"/>
        <v>1715</v>
      </c>
      <c r="CQ165" s="582">
        <f t="shared" si="343"/>
        <v>1816</v>
      </c>
      <c r="CR165" s="582">
        <f t="shared" si="343"/>
        <v>1930</v>
      </c>
      <c r="CS165" s="582">
        <f t="shared" si="343"/>
        <v>2059</v>
      </c>
      <c r="CT165" s="582">
        <f t="shared" si="343"/>
        <v>2206</v>
      </c>
      <c r="CU165" s="582">
        <f t="shared" si="343"/>
        <v>2375</v>
      </c>
      <c r="CV165" s="582">
        <f t="shared" si="343"/>
        <v>2573</v>
      </c>
      <c r="CW165" s="582">
        <f t="shared" si="343"/>
        <v>2807</v>
      </c>
      <c r="CX165" s="582">
        <f t="shared" si="343"/>
        <v>3088</v>
      </c>
      <c r="CY165" s="582">
        <f t="shared" si="343"/>
        <v>3431</v>
      </c>
      <c r="CZ165" s="582">
        <f t="shared" si="343"/>
        <v>3860</v>
      </c>
      <c r="DA165" s="582">
        <f t="shared" si="343"/>
        <v>4412</v>
      </c>
      <c r="DB165" s="582">
        <f t="shared" si="343"/>
        <v>5147</v>
      </c>
      <c r="DC165" s="582">
        <f t="shared" si="343"/>
        <v>6177</v>
      </c>
      <c r="DD165" s="582">
        <f t="shared" si="343"/>
        <v>7721</v>
      </c>
      <c r="DE165" s="582">
        <f t="shared" si="343"/>
        <v>10295</v>
      </c>
      <c r="DF165" s="602">
        <f t="shared" si="343"/>
        <v>15443</v>
      </c>
      <c r="DG165" s="575"/>
      <c r="DH165" s="575" t="str">
        <f t="shared" si="46"/>
        <v/>
      </c>
      <c r="DI165" s="74" t="str">
        <f t="shared" si="47"/>
        <v/>
      </c>
      <c r="DJ165" s="74" t="str">
        <f t="shared" si="48"/>
        <v/>
      </c>
      <c r="DK165" s="623" t="str">
        <f t="shared" si="49"/>
        <v/>
      </c>
      <c r="DL165" s="74"/>
      <c r="DM165" s="74"/>
      <c r="DN165" s="582">
        <f t="shared" si="341"/>
        <v>2.6</v>
      </c>
      <c r="DO165" s="575"/>
      <c r="DP165" s="297"/>
    </row>
    <row r="166">
      <c r="A166" s="647">
        <v>160.0</v>
      </c>
      <c r="B166" s="141">
        <v>174.0</v>
      </c>
      <c r="C166" s="129">
        <v>23.0</v>
      </c>
      <c r="D166" s="129">
        <v>59.0</v>
      </c>
      <c r="E166" s="129">
        <v>1.0</v>
      </c>
      <c r="F166" s="154" t="s">
        <v>2344</v>
      </c>
      <c r="G166" s="154">
        <f t="shared" si="269"/>
        <v>16</v>
      </c>
      <c r="H166" s="154">
        <f t="shared" si="270"/>
        <v>16</v>
      </c>
      <c r="I166" s="154">
        <f t="shared" si="7"/>
        <v>16</v>
      </c>
      <c r="J166" s="154">
        <f t="shared" si="271"/>
        <v>18</v>
      </c>
      <c r="K166" s="154">
        <f t="shared" si="272"/>
        <v>20</v>
      </c>
      <c r="L166" s="154">
        <f t="shared" si="273"/>
        <v>16</v>
      </c>
      <c r="M166" s="648">
        <f t="shared" si="274"/>
        <v>20</v>
      </c>
      <c r="N166" s="134" t="s">
        <v>1221</v>
      </c>
      <c r="O166" s="876"/>
      <c r="P166" s="650"/>
      <c r="Q166" s="650" t="s">
        <v>1670</v>
      </c>
      <c r="R166" s="650" t="s">
        <v>1052</v>
      </c>
      <c r="S166" s="796" t="s">
        <v>1169</v>
      </c>
      <c r="T166" s="651" t="s">
        <v>1222</v>
      </c>
      <c r="U166" s="129">
        <v>51.0</v>
      </c>
      <c r="V166" s="129">
        <v>25.0</v>
      </c>
      <c r="W166" s="129">
        <v>25.0</v>
      </c>
      <c r="X166" s="799">
        <v>118.0</v>
      </c>
      <c r="Y166" s="129">
        <v>3.0</v>
      </c>
      <c r="Z166" s="129">
        <v>-10.0</v>
      </c>
      <c r="AA166" s="141">
        <v>3.0</v>
      </c>
      <c r="AB166" s="134"/>
      <c r="AC166" s="129">
        <v>150.0</v>
      </c>
      <c r="AD166" s="129">
        <v>4.0</v>
      </c>
      <c r="AE166" s="129">
        <v>75.0</v>
      </c>
      <c r="AF166" s="129">
        <v>75.0</v>
      </c>
      <c r="AG166" s="129">
        <v>23.0</v>
      </c>
      <c r="AH166" s="129">
        <v>59.0</v>
      </c>
      <c r="AI166" s="652">
        <f t="shared" si="12"/>
        <v>41</v>
      </c>
      <c r="AJ166" s="134"/>
      <c r="AK166" s="127"/>
      <c r="AL166" s="134"/>
      <c r="AM166" s="134"/>
      <c r="AN166" s="134"/>
      <c r="AO166" s="134"/>
      <c r="AP166" s="134"/>
      <c r="AQ166" s="134"/>
      <c r="AR166" s="134"/>
      <c r="AS166" s="653"/>
      <c r="AT166" s="154">
        <f t="shared" si="13"/>
        <v>727</v>
      </c>
      <c r="AU166" s="154">
        <f t="shared" si="14"/>
        <v>1447</v>
      </c>
      <c r="AV166" s="654">
        <f t="shared" si="15"/>
        <v>1087</v>
      </c>
      <c r="AW166" s="655">
        <f t="shared" si="276"/>
        <v>1941</v>
      </c>
      <c r="AX166" s="655">
        <f t="shared" si="277"/>
        <v>1941</v>
      </c>
      <c r="AY166" s="655">
        <f t="shared" si="18"/>
        <v>1941</v>
      </c>
      <c r="AZ166" s="655">
        <f t="shared" si="278"/>
        <v>1941</v>
      </c>
      <c r="BA166" s="655">
        <f t="shared" si="279"/>
        <v>1510</v>
      </c>
      <c r="BB166" s="655">
        <f t="shared" si="280"/>
        <v>1510</v>
      </c>
      <c r="BC166" s="655">
        <f t="shared" si="281"/>
        <v>1698</v>
      </c>
      <c r="BD166" s="655">
        <f t="shared" si="282"/>
        <v>1294</v>
      </c>
      <c r="BE166" s="655">
        <f t="shared" si="283"/>
        <v>1599</v>
      </c>
      <c r="BF166" s="655">
        <f t="shared" si="25"/>
        <v>1510</v>
      </c>
      <c r="BG166" s="655">
        <f t="shared" si="26"/>
        <v>1812</v>
      </c>
      <c r="BH166" s="655">
        <f t="shared" si="284"/>
        <v>1812</v>
      </c>
      <c r="BI166" s="655">
        <f t="shared" si="285"/>
        <v>1812</v>
      </c>
      <c r="BJ166" s="655">
        <f t="shared" si="286"/>
        <v>1812</v>
      </c>
      <c r="BK166" s="655">
        <f t="shared" si="287"/>
        <v>1430</v>
      </c>
      <c r="BL166" s="655">
        <f t="shared" si="288"/>
        <v>1430</v>
      </c>
      <c r="BM166" s="134"/>
      <c r="BN166" s="134"/>
      <c r="BO166" s="134"/>
      <c r="BP166" s="653" t="str">
        <f t="shared" si="33"/>
        <v/>
      </c>
      <c r="BQ166" s="129">
        <v>18.0</v>
      </c>
      <c r="BR166" s="129">
        <v>54.0</v>
      </c>
      <c r="BS166" s="129">
        <v>-10.0</v>
      </c>
      <c r="BT166" s="129">
        <v>75.0</v>
      </c>
      <c r="BU166" s="129">
        <v>75.0</v>
      </c>
      <c r="BV166" s="135">
        <f t="shared" si="34"/>
        <v>36</v>
      </c>
      <c r="BW166" s="657">
        <f t="shared" si="35"/>
        <v>1189.2</v>
      </c>
      <c r="BX166" s="655">
        <f t="shared" si="289"/>
        <v>1486.5</v>
      </c>
      <c r="BY166" s="655">
        <f t="shared" si="290"/>
        <v>1486.5</v>
      </c>
      <c r="BZ166" s="655">
        <f t="shared" si="38"/>
        <v>1486.5</v>
      </c>
      <c r="CA166" s="655">
        <f t="shared" si="291"/>
        <v>1351.4</v>
      </c>
      <c r="CB166" s="655">
        <f t="shared" si="292"/>
        <v>1189.2</v>
      </c>
      <c r="CC166" s="655">
        <f t="shared" si="293"/>
        <v>1486.5</v>
      </c>
      <c r="CD166" s="655">
        <f t="shared" si="294"/>
        <v>1189.2</v>
      </c>
      <c r="CE166" s="659">
        <f t="shared" si="43"/>
        <v>13.9</v>
      </c>
      <c r="CF166" s="141">
        <f t="shared" si="248"/>
        <v>-8.6</v>
      </c>
      <c r="CG166" s="656">
        <f t="shared" si="295"/>
        <v>30.6</v>
      </c>
      <c r="CH166" s="653" t="s">
        <v>1221</v>
      </c>
      <c r="CI166" s="655">
        <f t="shared" ref="CI166:DF166" si="344">FLOOR($AV166/(CI$3/25),1)</f>
        <v>1087</v>
      </c>
      <c r="CJ166" s="655">
        <f t="shared" si="344"/>
        <v>1132</v>
      </c>
      <c r="CK166" s="655">
        <f t="shared" si="344"/>
        <v>1181</v>
      </c>
      <c r="CL166" s="655">
        <f t="shared" si="344"/>
        <v>1235</v>
      </c>
      <c r="CM166" s="655">
        <f t="shared" si="344"/>
        <v>1294</v>
      </c>
      <c r="CN166" s="655">
        <f t="shared" si="344"/>
        <v>1358</v>
      </c>
      <c r="CO166" s="655">
        <f t="shared" si="344"/>
        <v>1430</v>
      </c>
      <c r="CP166" s="655">
        <f t="shared" si="344"/>
        <v>1509</v>
      </c>
      <c r="CQ166" s="655">
        <f t="shared" si="344"/>
        <v>1598</v>
      </c>
      <c r="CR166" s="655">
        <f t="shared" si="344"/>
        <v>1698</v>
      </c>
      <c r="CS166" s="655">
        <f t="shared" si="344"/>
        <v>1811</v>
      </c>
      <c r="CT166" s="655">
        <f t="shared" si="344"/>
        <v>1941</v>
      </c>
      <c r="CU166" s="655">
        <f t="shared" si="344"/>
        <v>2090</v>
      </c>
      <c r="CV166" s="655">
        <f t="shared" si="344"/>
        <v>2264</v>
      </c>
      <c r="CW166" s="655">
        <f t="shared" si="344"/>
        <v>2470</v>
      </c>
      <c r="CX166" s="655">
        <f t="shared" si="344"/>
        <v>2717</v>
      </c>
      <c r="CY166" s="655">
        <f t="shared" si="344"/>
        <v>3019</v>
      </c>
      <c r="CZ166" s="655">
        <f t="shared" si="344"/>
        <v>3396</v>
      </c>
      <c r="DA166" s="655">
        <f t="shared" si="344"/>
        <v>3882</v>
      </c>
      <c r="DB166" s="655">
        <f t="shared" si="344"/>
        <v>4529</v>
      </c>
      <c r="DC166" s="655">
        <f t="shared" si="344"/>
        <v>5435</v>
      </c>
      <c r="DD166" s="655">
        <f t="shared" si="344"/>
        <v>6793</v>
      </c>
      <c r="DE166" s="655">
        <f t="shared" si="344"/>
        <v>9058</v>
      </c>
      <c r="DF166" s="656">
        <f t="shared" si="344"/>
        <v>13587</v>
      </c>
      <c r="DG166" s="653"/>
      <c r="DH166" s="653" t="str">
        <f t="shared" si="46"/>
        <v/>
      </c>
      <c r="DI166" s="134" t="str">
        <f t="shared" si="47"/>
        <v/>
      </c>
      <c r="DJ166" s="134" t="str">
        <f t="shared" si="48"/>
        <v/>
      </c>
      <c r="DK166" s="662" t="str">
        <f t="shared" si="49"/>
        <v/>
      </c>
      <c r="DL166" s="134"/>
      <c r="DM166" s="134"/>
      <c r="DN166" s="655">
        <f t="shared" si="341"/>
        <v>2</v>
      </c>
      <c r="DO166" s="653"/>
      <c r="DP166" s="663"/>
    </row>
    <row r="167">
      <c r="A167" s="552">
        <v>161.0</v>
      </c>
      <c r="B167" s="86">
        <v>285.0</v>
      </c>
      <c r="C167" s="54">
        <v>28.0</v>
      </c>
      <c r="D167" s="54">
        <v>55.0</v>
      </c>
      <c r="E167" s="54">
        <v>1.0</v>
      </c>
      <c r="F167" s="68" t="s">
        <v>2344</v>
      </c>
      <c r="G167" s="68">
        <f t="shared" si="269"/>
        <v>16</v>
      </c>
      <c r="H167" s="68">
        <f t="shared" si="270"/>
        <v>16</v>
      </c>
      <c r="I167" s="68">
        <f t="shared" si="7"/>
        <v>16</v>
      </c>
      <c r="J167" s="68">
        <f t="shared" si="271"/>
        <v>18</v>
      </c>
      <c r="K167" s="68">
        <f t="shared" si="272"/>
        <v>20</v>
      </c>
      <c r="L167" s="68">
        <f t="shared" si="273"/>
        <v>16</v>
      </c>
      <c r="M167" s="569">
        <f t="shared" si="274"/>
        <v>20</v>
      </c>
      <c r="N167" s="74" t="s">
        <v>1161</v>
      </c>
      <c r="O167" s="678"/>
      <c r="P167" s="571"/>
      <c r="Q167" s="571" t="s">
        <v>1676</v>
      </c>
      <c r="R167" s="571" t="s">
        <v>1052</v>
      </c>
      <c r="S167" s="791" t="s">
        <v>1169</v>
      </c>
      <c r="T167" s="572" t="s">
        <v>1162</v>
      </c>
      <c r="U167" s="54">
        <v>54.0</v>
      </c>
      <c r="V167" s="54">
        <v>40.0</v>
      </c>
      <c r="W167" s="54">
        <v>98.0</v>
      </c>
      <c r="X167" s="679">
        <v>123.0</v>
      </c>
      <c r="Y167" s="54">
        <v>2.0</v>
      </c>
      <c r="Z167" s="54">
        <v>-10.0</v>
      </c>
      <c r="AA167" s="86">
        <v>3.0</v>
      </c>
      <c r="AB167" s="74"/>
      <c r="AC167" s="54">
        <v>211.0</v>
      </c>
      <c r="AD167" s="54">
        <v>4.0</v>
      </c>
      <c r="AE167" s="54">
        <v>75.0</v>
      </c>
      <c r="AF167" s="54">
        <v>75.0</v>
      </c>
      <c r="AG167" s="54">
        <v>28.0</v>
      </c>
      <c r="AH167" s="54">
        <v>55.0</v>
      </c>
      <c r="AI167" s="574">
        <f t="shared" si="12"/>
        <v>41.5</v>
      </c>
      <c r="AJ167" s="37"/>
      <c r="AK167" s="37"/>
      <c r="AL167" s="74"/>
      <c r="AM167" s="74"/>
      <c r="AN167" s="74"/>
      <c r="AO167" s="74"/>
      <c r="AP167" s="74"/>
      <c r="AQ167" s="74"/>
      <c r="AR167" s="74"/>
      <c r="AS167" s="575"/>
      <c r="AT167" s="68">
        <f t="shared" si="13"/>
        <v>828</v>
      </c>
      <c r="AU167" s="68">
        <f t="shared" si="14"/>
        <v>1365</v>
      </c>
      <c r="AV167" s="581">
        <f t="shared" si="15"/>
        <v>1096.5</v>
      </c>
      <c r="AW167" s="582">
        <f t="shared" si="276"/>
        <v>1958</v>
      </c>
      <c r="AX167" s="582">
        <f t="shared" si="277"/>
        <v>1958</v>
      </c>
      <c r="AY167" s="582">
        <f t="shared" si="18"/>
        <v>1958</v>
      </c>
      <c r="AZ167" s="582">
        <f t="shared" si="278"/>
        <v>1958</v>
      </c>
      <c r="BA167" s="582">
        <f t="shared" si="279"/>
        <v>1523</v>
      </c>
      <c r="BB167" s="582">
        <f t="shared" si="280"/>
        <v>1523</v>
      </c>
      <c r="BC167" s="582">
        <f t="shared" si="281"/>
        <v>1713</v>
      </c>
      <c r="BD167" s="582">
        <f t="shared" si="282"/>
        <v>1305</v>
      </c>
      <c r="BE167" s="582">
        <f t="shared" si="283"/>
        <v>1613</v>
      </c>
      <c r="BF167" s="582">
        <f t="shared" si="25"/>
        <v>1523</v>
      </c>
      <c r="BG167" s="582">
        <f t="shared" si="26"/>
        <v>1828</v>
      </c>
      <c r="BH167" s="582">
        <f t="shared" si="284"/>
        <v>1828</v>
      </c>
      <c r="BI167" s="582">
        <f t="shared" si="285"/>
        <v>1828</v>
      </c>
      <c r="BJ167" s="582">
        <f t="shared" si="286"/>
        <v>1828</v>
      </c>
      <c r="BK167" s="582">
        <f t="shared" si="287"/>
        <v>1443</v>
      </c>
      <c r="BL167" s="582">
        <f t="shared" si="288"/>
        <v>1443</v>
      </c>
      <c r="BM167" s="74"/>
      <c r="BN167" s="74"/>
      <c r="BO167" s="74"/>
      <c r="BP167" s="575" t="str">
        <f t="shared" si="33"/>
        <v/>
      </c>
      <c r="BQ167" s="670">
        <v>28.0</v>
      </c>
      <c r="BR167" s="670">
        <v>55.0</v>
      </c>
      <c r="BS167" s="670">
        <v>-10.0</v>
      </c>
      <c r="BT167" s="670">
        <v>75.0</v>
      </c>
      <c r="BU167" s="670">
        <v>75.0</v>
      </c>
      <c r="BV167" s="671">
        <f t="shared" si="34"/>
        <v>41.5</v>
      </c>
      <c r="BW167" s="672">
        <f t="shared" si="35"/>
        <v>1320.5</v>
      </c>
      <c r="BX167" s="673">
        <f t="shared" si="289"/>
        <v>1650.6</v>
      </c>
      <c r="BY167" s="673">
        <f t="shared" si="290"/>
        <v>1650.6</v>
      </c>
      <c r="BZ167" s="673">
        <f t="shared" si="38"/>
        <v>1650.6</v>
      </c>
      <c r="CA167" s="673">
        <f t="shared" si="291"/>
        <v>1500.6</v>
      </c>
      <c r="CB167" s="673">
        <f t="shared" si="292"/>
        <v>1320.5</v>
      </c>
      <c r="CC167" s="673">
        <f t="shared" si="293"/>
        <v>1650.6</v>
      </c>
      <c r="CD167" s="673">
        <f t="shared" si="294"/>
        <v>1320.5</v>
      </c>
      <c r="CE167" s="877" t="str">
        <f t="shared" si="43"/>
        <v/>
      </c>
      <c r="CF167" s="365">
        <f t="shared" si="248"/>
        <v>-17</v>
      </c>
      <c r="CG167" s="878">
        <f t="shared" si="295"/>
        <v>18.6</v>
      </c>
      <c r="CH167" s="575" t="s">
        <v>1161</v>
      </c>
      <c r="CI167" s="582">
        <f t="shared" ref="CI167:DF167" si="345">FLOOR($AV167/(CI$3/25),1)</f>
        <v>1096</v>
      </c>
      <c r="CJ167" s="582">
        <f t="shared" si="345"/>
        <v>1142</v>
      </c>
      <c r="CK167" s="582">
        <f t="shared" si="345"/>
        <v>1191</v>
      </c>
      <c r="CL167" s="582">
        <f t="shared" si="345"/>
        <v>1246</v>
      </c>
      <c r="CM167" s="582">
        <f t="shared" si="345"/>
        <v>1305</v>
      </c>
      <c r="CN167" s="582">
        <f t="shared" si="345"/>
        <v>1370</v>
      </c>
      <c r="CO167" s="582">
        <f t="shared" si="345"/>
        <v>1442</v>
      </c>
      <c r="CP167" s="582">
        <f t="shared" si="345"/>
        <v>1522</v>
      </c>
      <c r="CQ167" s="582">
        <f t="shared" si="345"/>
        <v>1612</v>
      </c>
      <c r="CR167" s="582">
        <f t="shared" si="345"/>
        <v>1713</v>
      </c>
      <c r="CS167" s="582">
        <f t="shared" si="345"/>
        <v>1827</v>
      </c>
      <c r="CT167" s="582">
        <f t="shared" si="345"/>
        <v>1958</v>
      </c>
      <c r="CU167" s="582">
        <f t="shared" si="345"/>
        <v>2108</v>
      </c>
      <c r="CV167" s="582">
        <f t="shared" si="345"/>
        <v>2284</v>
      </c>
      <c r="CW167" s="582">
        <f t="shared" si="345"/>
        <v>2492</v>
      </c>
      <c r="CX167" s="582">
        <f t="shared" si="345"/>
        <v>2741</v>
      </c>
      <c r="CY167" s="582">
        <f t="shared" si="345"/>
        <v>3045</v>
      </c>
      <c r="CZ167" s="582">
        <f t="shared" si="345"/>
        <v>3426</v>
      </c>
      <c r="DA167" s="582">
        <f t="shared" si="345"/>
        <v>3916</v>
      </c>
      <c r="DB167" s="582">
        <f t="shared" si="345"/>
        <v>4568</v>
      </c>
      <c r="DC167" s="582">
        <f t="shared" si="345"/>
        <v>5482</v>
      </c>
      <c r="DD167" s="582">
        <f t="shared" si="345"/>
        <v>6853</v>
      </c>
      <c r="DE167" s="582">
        <f t="shared" si="345"/>
        <v>9137</v>
      </c>
      <c r="DF167" s="602">
        <f t="shared" si="345"/>
        <v>13706</v>
      </c>
      <c r="DG167" s="575"/>
      <c r="DH167" s="575" t="str">
        <f t="shared" si="46"/>
        <v/>
      </c>
      <c r="DI167" s="74" t="str">
        <f t="shared" si="47"/>
        <v/>
      </c>
      <c r="DJ167" s="74" t="str">
        <f t="shared" si="48"/>
        <v/>
      </c>
      <c r="DK167" s="664">
        <f t="shared" si="49"/>
        <v>6</v>
      </c>
      <c r="DL167" s="685">
        <v>44.0</v>
      </c>
      <c r="DM167" s="74"/>
      <c r="DN167" s="582">
        <f t="shared" si="341"/>
        <v>1.5</v>
      </c>
      <c r="DO167" s="575"/>
      <c r="DP167" s="297"/>
    </row>
    <row r="168">
      <c r="A168" s="552">
        <v>162.0</v>
      </c>
      <c r="B168" s="86">
        <v>287.0</v>
      </c>
      <c r="C168" s="54">
        <v>21.0</v>
      </c>
      <c r="D168" s="54">
        <v>75.0</v>
      </c>
      <c r="E168" s="54">
        <v>1.0</v>
      </c>
      <c r="F168" s="68" t="s">
        <v>2344</v>
      </c>
      <c r="G168" s="68">
        <f t="shared" si="269"/>
        <v>16</v>
      </c>
      <c r="H168" s="68">
        <f t="shared" si="270"/>
        <v>16</v>
      </c>
      <c r="I168" s="68">
        <f t="shared" si="7"/>
        <v>16</v>
      </c>
      <c r="J168" s="68">
        <f t="shared" si="271"/>
        <v>18</v>
      </c>
      <c r="K168" s="68">
        <f t="shared" si="272"/>
        <v>20</v>
      </c>
      <c r="L168" s="68">
        <f t="shared" si="273"/>
        <v>16</v>
      </c>
      <c r="M168" s="569">
        <f t="shared" si="274"/>
        <v>20</v>
      </c>
      <c r="N168" s="74" t="s">
        <v>1188</v>
      </c>
      <c r="O168" s="678"/>
      <c r="P168" s="571"/>
      <c r="Q168" s="571" t="s">
        <v>1676</v>
      </c>
      <c r="R168" s="571" t="s">
        <v>1052</v>
      </c>
      <c r="S168" s="791" t="s">
        <v>1169</v>
      </c>
      <c r="T168" s="572" t="s">
        <v>1190</v>
      </c>
      <c r="U168" s="54">
        <v>62.0</v>
      </c>
      <c r="V168" s="54">
        <v>46.0</v>
      </c>
      <c r="W168" s="54">
        <v>118.0</v>
      </c>
      <c r="X168" s="679">
        <v>112.0</v>
      </c>
      <c r="Y168" s="54">
        <v>2.0</v>
      </c>
      <c r="Z168" s="54">
        <v>0.0</v>
      </c>
      <c r="AA168" s="86">
        <v>3.0</v>
      </c>
      <c r="AB168" s="74"/>
      <c r="AC168" s="54">
        <v>220.0</v>
      </c>
      <c r="AD168" s="54">
        <v>4.0</v>
      </c>
      <c r="AE168" s="54">
        <v>75.0</v>
      </c>
      <c r="AF168" s="54">
        <v>75.0</v>
      </c>
      <c r="AG168" s="54">
        <v>21.0</v>
      </c>
      <c r="AH168" s="54">
        <v>75.0</v>
      </c>
      <c r="AI168" s="574">
        <f t="shared" si="12"/>
        <v>48</v>
      </c>
      <c r="AJ168" s="74"/>
      <c r="AK168" s="74"/>
      <c r="AL168" s="74"/>
      <c r="AM168" s="74"/>
      <c r="AN168" s="74"/>
      <c r="AO168" s="74"/>
      <c r="AP168" s="74"/>
      <c r="AQ168" s="74"/>
      <c r="AR168" s="74"/>
      <c r="AS168" s="575"/>
      <c r="AT168" s="68">
        <f t="shared" si="13"/>
        <v>688</v>
      </c>
      <c r="AU168" s="68">
        <f t="shared" si="14"/>
        <v>1766</v>
      </c>
      <c r="AV168" s="581">
        <f t="shared" si="15"/>
        <v>1227</v>
      </c>
      <c r="AW168" s="582">
        <f t="shared" si="276"/>
        <v>2045</v>
      </c>
      <c r="AX168" s="582">
        <f t="shared" si="277"/>
        <v>2045</v>
      </c>
      <c r="AY168" s="582">
        <f t="shared" si="18"/>
        <v>2045</v>
      </c>
      <c r="AZ168" s="582">
        <f t="shared" si="278"/>
        <v>2045</v>
      </c>
      <c r="BA168" s="582">
        <f t="shared" si="279"/>
        <v>1614</v>
      </c>
      <c r="BB168" s="582">
        <f t="shared" si="280"/>
        <v>1614</v>
      </c>
      <c r="BC168" s="582">
        <f t="shared" si="281"/>
        <v>1804</v>
      </c>
      <c r="BD168" s="582">
        <f t="shared" si="282"/>
        <v>1227</v>
      </c>
      <c r="BE168" s="582">
        <f t="shared" si="283"/>
        <v>1461</v>
      </c>
      <c r="BF168" s="582">
        <f t="shared" si="25"/>
        <v>1334</v>
      </c>
      <c r="BG168" s="582">
        <f t="shared" si="26"/>
        <v>1614</v>
      </c>
      <c r="BH168" s="582">
        <f t="shared" si="284"/>
        <v>1614</v>
      </c>
      <c r="BI168" s="582">
        <f t="shared" si="285"/>
        <v>1614</v>
      </c>
      <c r="BJ168" s="582">
        <f t="shared" si="286"/>
        <v>1614</v>
      </c>
      <c r="BK168" s="582">
        <f t="shared" si="287"/>
        <v>1334</v>
      </c>
      <c r="BL168" s="582">
        <f t="shared" si="288"/>
        <v>1334</v>
      </c>
      <c r="BM168" s="74"/>
      <c r="BN168" s="74"/>
      <c r="BO168" s="74"/>
      <c r="BP168" s="575" t="str">
        <f t="shared" si="33"/>
        <v/>
      </c>
      <c r="BQ168" s="670">
        <v>21.0</v>
      </c>
      <c r="BR168" s="670">
        <v>75.0</v>
      </c>
      <c r="BS168" s="365"/>
      <c r="BT168" s="670">
        <v>75.0</v>
      </c>
      <c r="BU168" s="670">
        <v>75.0</v>
      </c>
      <c r="BV168" s="671">
        <f t="shared" si="34"/>
        <v>48</v>
      </c>
      <c r="BW168" s="672">
        <f t="shared" si="35"/>
        <v>1475.6</v>
      </c>
      <c r="BX168" s="673">
        <f t="shared" si="289"/>
        <v>1676.8</v>
      </c>
      <c r="BY168" s="673">
        <f t="shared" si="290"/>
        <v>1676.8</v>
      </c>
      <c r="BZ168" s="673">
        <f t="shared" si="38"/>
        <v>1676.8</v>
      </c>
      <c r="CA168" s="673">
        <f t="shared" si="291"/>
        <v>1475.6</v>
      </c>
      <c r="CB168" s="673">
        <f t="shared" si="292"/>
        <v>1317.5</v>
      </c>
      <c r="CC168" s="673">
        <f t="shared" si="293"/>
        <v>1676.8</v>
      </c>
      <c r="CD168" s="673">
        <f t="shared" si="294"/>
        <v>1317.5</v>
      </c>
      <c r="CE168" s="877" t="str">
        <f t="shared" si="43"/>
        <v/>
      </c>
      <c r="CF168" s="365">
        <f t="shared" si="248"/>
        <v>-16.8</v>
      </c>
      <c r="CG168" s="878">
        <f t="shared" si="295"/>
        <v>22</v>
      </c>
      <c r="CH168" s="575" t="s">
        <v>1188</v>
      </c>
      <c r="CI168" s="582">
        <f t="shared" ref="CI168:DF168" si="346">FLOOR($AV168/(CI$3/25),1)</f>
        <v>1227</v>
      </c>
      <c r="CJ168" s="582">
        <f t="shared" si="346"/>
        <v>1278</v>
      </c>
      <c r="CK168" s="582">
        <f t="shared" si="346"/>
        <v>1333</v>
      </c>
      <c r="CL168" s="582">
        <f t="shared" si="346"/>
        <v>1394</v>
      </c>
      <c r="CM168" s="582">
        <f t="shared" si="346"/>
        <v>1460</v>
      </c>
      <c r="CN168" s="582">
        <f t="shared" si="346"/>
        <v>1533</v>
      </c>
      <c r="CO168" s="582">
        <f t="shared" si="346"/>
        <v>1614</v>
      </c>
      <c r="CP168" s="582">
        <f t="shared" si="346"/>
        <v>1704</v>
      </c>
      <c r="CQ168" s="582">
        <f t="shared" si="346"/>
        <v>1804</v>
      </c>
      <c r="CR168" s="582">
        <f t="shared" si="346"/>
        <v>1917</v>
      </c>
      <c r="CS168" s="582">
        <f t="shared" si="346"/>
        <v>2045</v>
      </c>
      <c r="CT168" s="582">
        <f t="shared" si="346"/>
        <v>2191</v>
      </c>
      <c r="CU168" s="582">
        <f t="shared" si="346"/>
        <v>2359</v>
      </c>
      <c r="CV168" s="582">
        <f t="shared" si="346"/>
        <v>2556</v>
      </c>
      <c r="CW168" s="582">
        <f t="shared" si="346"/>
        <v>2788</v>
      </c>
      <c r="CX168" s="582">
        <f t="shared" si="346"/>
        <v>3067</v>
      </c>
      <c r="CY168" s="582">
        <f t="shared" si="346"/>
        <v>3408</v>
      </c>
      <c r="CZ168" s="582">
        <f t="shared" si="346"/>
        <v>3834</v>
      </c>
      <c r="DA168" s="582">
        <f t="shared" si="346"/>
        <v>4382</v>
      </c>
      <c r="DB168" s="582">
        <f t="shared" si="346"/>
        <v>5112</v>
      </c>
      <c r="DC168" s="582">
        <f t="shared" si="346"/>
        <v>6135</v>
      </c>
      <c r="DD168" s="582">
        <f t="shared" si="346"/>
        <v>7668</v>
      </c>
      <c r="DE168" s="582">
        <f t="shared" si="346"/>
        <v>10225</v>
      </c>
      <c r="DF168" s="602">
        <f t="shared" si="346"/>
        <v>15337</v>
      </c>
      <c r="DG168" s="575"/>
      <c r="DH168" s="575" t="str">
        <f t="shared" si="46"/>
        <v/>
      </c>
      <c r="DI168" s="74" t="str">
        <f t="shared" si="47"/>
        <v/>
      </c>
      <c r="DJ168" s="74" t="str">
        <f t="shared" si="48"/>
        <v/>
      </c>
      <c r="DK168" s="623" t="str">
        <f t="shared" si="49"/>
        <v/>
      </c>
      <c r="DL168" s="74"/>
      <c r="DM168" s="74"/>
      <c r="DN168" s="582">
        <f t="shared" si="341"/>
        <v>1.2</v>
      </c>
      <c r="DO168" s="575"/>
      <c r="DP168" s="297"/>
    </row>
    <row r="169">
      <c r="A169" s="552">
        <v>163.0</v>
      </c>
      <c r="B169" s="86">
        <v>289.0</v>
      </c>
      <c r="C169" s="54">
        <v>40.0</v>
      </c>
      <c r="D169" s="54">
        <v>62.0</v>
      </c>
      <c r="E169" s="54">
        <v>1.0</v>
      </c>
      <c r="F169" s="68" t="s">
        <v>2344</v>
      </c>
      <c r="G169" s="68">
        <f t="shared" si="269"/>
        <v>16</v>
      </c>
      <c r="H169" s="68">
        <f t="shared" si="270"/>
        <v>16</v>
      </c>
      <c r="I169" s="68">
        <f t="shared" si="7"/>
        <v>16</v>
      </c>
      <c r="J169" s="68">
        <f t="shared" si="271"/>
        <v>18</v>
      </c>
      <c r="K169" s="68">
        <f t="shared" si="272"/>
        <v>20</v>
      </c>
      <c r="L169" s="68">
        <f t="shared" si="273"/>
        <v>16</v>
      </c>
      <c r="M169" s="569">
        <f t="shared" si="274"/>
        <v>20</v>
      </c>
      <c r="N169" s="74" t="s">
        <v>1200</v>
      </c>
      <c r="O169" s="570" t="s">
        <v>2029</v>
      </c>
      <c r="P169" s="571"/>
      <c r="Q169" s="571" t="s">
        <v>1676</v>
      </c>
      <c r="R169" s="571" t="s">
        <v>1052</v>
      </c>
      <c r="S169" s="791" t="s">
        <v>1169</v>
      </c>
      <c r="T169" s="572" t="s">
        <v>1202</v>
      </c>
      <c r="U169" s="54">
        <v>71.0</v>
      </c>
      <c r="V169" s="54">
        <v>53.0</v>
      </c>
      <c r="W169" s="54">
        <v>127.0</v>
      </c>
      <c r="X169" s="679">
        <v>95.0</v>
      </c>
      <c r="Y169" s="54">
        <v>2.0</v>
      </c>
      <c r="Z169" s="54">
        <v>10.0</v>
      </c>
      <c r="AA169" s="86">
        <v>3.0</v>
      </c>
      <c r="AB169" s="74"/>
      <c r="AC169" s="54">
        <v>232.0</v>
      </c>
      <c r="AD169" s="54">
        <v>4.0</v>
      </c>
      <c r="AE169" s="54">
        <v>75.0</v>
      </c>
      <c r="AF169" s="54">
        <v>75.0</v>
      </c>
      <c r="AG169" s="54">
        <v>40.0</v>
      </c>
      <c r="AH169" s="54">
        <v>62.0</v>
      </c>
      <c r="AI169" s="574">
        <f t="shared" si="12"/>
        <v>51</v>
      </c>
      <c r="AJ169" s="74"/>
      <c r="AK169" s="37"/>
      <c r="AL169" s="74"/>
      <c r="AM169" s="74"/>
      <c r="AN169" s="74"/>
      <c r="AO169" s="74"/>
      <c r="AP169" s="74"/>
      <c r="AQ169" s="74"/>
      <c r="AR169" s="74"/>
      <c r="AS169" s="575"/>
      <c r="AT169" s="68">
        <f t="shared" si="13"/>
        <v>1068</v>
      </c>
      <c r="AU169" s="68">
        <f t="shared" si="14"/>
        <v>1505</v>
      </c>
      <c r="AV169" s="581">
        <f t="shared" si="15"/>
        <v>1286.5</v>
      </c>
      <c r="AW169" s="582">
        <f t="shared" si="276"/>
        <v>1892</v>
      </c>
      <c r="AX169" s="582">
        <f t="shared" si="277"/>
        <v>1892</v>
      </c>
      <c r="AY169" s="582">
        <f t="shared" si="18"/>
        <v>1892</v>
      </c>
      <c r="AZ169" s="582">
        <f t="shared" si="278"/>
        <v>1892</v>
      </c>
      <c r="BA169" s="582">
        <f t="shared" si="279"/>
        <v>1462</v>
      </c>
      <c r="BB169" s="582">
        <f t="shared" si="280"/>
        <v>1462</v>
      </c>
      <c r="BC169" s="582">
        <f t="shared" si="281"/>
        <v>1608</v>
      </c>
      <c r="BD169" s="582">
        <f t="shared" si="282"/>
        <v>1005</v>
      </c>
      <c r="BE169" s="582">
        <f t="shared" si="283"/>
        <v>1237</v>
      </c>
      <c r="BF169" s="582">
        <f t="shared" si="25"/>
        <v>1191</v>
      </c>
      <c r="BG169" s="582">
        <f t="shared" si="26"/>
        <v>1462</v>
      </c>
      <c r="BH169" s="582">
        <f t="shared" si="284"/>
        <v>1462</v>
      </c>
      <c r="BI169" s="582">
        <f t="shared" si="285"/>
        <v>1462</v>
      </c>
      <c r="BJ169" s="582">
        <f t="shared" si="286"/>
        <v>1462</v>
      </c>
      <c r="BK169" s="582">
        <f t="shared" si="287"/>
        <v>1109</v>
      </c>
      <c r="BL169" s="582">
        <f t="shared" si="288"/>
        <v>1109</v>
      </c>
      <c r="BM169" s="74"/>
      <c r="BN169" s="74"/>
      <c r="BO169" s="74"/>
      <c r="BP169" s="575" t="str">
        <f t="shared" si="33"/>
        <v/>
      </c>
      <c r="BQ169" s="670">
        <v>40.0</v>
      </c>
      <c r="BR169" s="670">
        <v>62.0</v>
      </c>
      <c r="BS169" s="670">
        <v>10.0</v>
      </c>
      <c r="BT169" s="670">
        <v>75.0</v>
      </c>
      <c r="BU169" s="670">
        <v>75.0</v>
      </c>
      <c r="BV169" s="671">
        <f t="shared" si="34"/>
        <v>51</v>
      </c>
      <c r="BW169" s="672">
        <f t="shared" si="35"/>
        <v>1547.3</v>
      </c>
      <c r="BX169" s="673">
        <f t="shared" si="289"/>
        <v>1487.8</v>
      </c>
      <c r="BY169" s="673">
        <f t="shared" si="290"/>
        <v>1487.8</v>
      </c>
      <c r="BZ169" s="673">
        <f t="shared" si="38"/>
        <v>1487.8</v>
      </c>
      <c r="CA169" s="673">
        <f t="shared" si="291"/>
        <v>1289.4</v>
      </c>
      <c r="CB169" s="673">
        <f t="shared" si="292"/>
        <v>1172.2</v>
      </c>
      <c r="CC169" s="673">
        <f t="shared" si="293"/>
        <v>1487.8</v>
      </c>
      <c r="CD169" s="673">
        <f t="shared" si="294"/>
        <v>1172.2</v>
      </c>
      <c r="CE169" s="877" t="str">
        <f t="shared" si="43"/>
        <v/>
      </c>
      <c r="CF169" s="365">
        <f t="shared" si="248"/>
        <v>-16.9</v>
      </c>
      <c r="CG169" s="878">
        <f t="shared" si="295"/>
        <v>27.2</v>
      </c>
      <c r="CH169" s="575" t="s">
        <v>1200</v>
      </c>
      <c r="CI169" s="582">
        <f t="shared" ref="CI169:DF169" si="347">FLOOR($AV169/(CI$3/25),1)</f>
        <v>1286</v>
      </c>
      <c r="CJ169" s="582">
        <f t="shared" si="347"/>
        <v>1340</v>
      </c>
      <c r="CK169" s="582">
        <f t="shared" si="347"/>
        <v>1398</v>
      </c>
      <c r="CL169" s="582">
        <f t="shared" si="347"/>
        <v>1461</v>
      </c>
      <c r="CM169" s="582">
        <f t="shared" si="347"/>
        <v>1531</v>
      </c>
      <c r="CN169" s="582">
        <f t="shared" si="347"/>
        <v>1608</v>
      </c>
      <c r="CO169" s="582">
        <f t="shared" si="347"/>
        <v>1692</v>
      </c>
      <c r="CP169" s="582">
        <f t="shared" si="347"/>
        <v>1786</v>
      </c>
      <c r="CQ169" s="582">
        <f t="shared" si="347"/>
        <v>1891</v>
      </c>
      <c r="CR169" s="582">
        <f t="shared" si="347"/>
        <v>2010</v>
      </c>
      <c r="CS169" s="582">
        <f t="shared" si="347"/>
        <v>2144</v>
      </c>
      <c r="CT169" s="582">
        <f t="shared" si="347"/>
        <v>2297</v>
      </c>
      <c r="CU169" s="582">
        <f t="shared" si="347"/>
        <v>2474</v>
      </c>
      <c r="CV169" s="582">
        <f t="shared" si="347"/>
        <v>2680</v>
      </c>
      <c r="CW169" s="582">
        <f t="shared" si="347"/>
        <v>2923</v>
      </c>
      <c r="CX169" s="582">
        <f t="shared" si="347"/>
        <v>3216</v>
      </c>
      <c r="CY169" s="582">
        <f t="shared" si="347"/>
        <v>3573</v>
      </c>
      <c r="CZ169" s="582">
        <f t="shared" si="347"/>
        <v>4020</v>
      </c>
      <c r="DA169" s="582">
        <f t="shared" si="347"/>
        <v>4594</v>
      </c>
      <c r="DB169" s="582">
        <f t="shared" si="347"/>
        <v>5360</v>
      </c>
      <c r="DC169" s="582">
        <f t="shared" si="347"/>
        <v>6432</v>
      </c>
      <c r="DD169" s="582">
        <f t="shared" si="347"/>
        <v>8040</v>
      </c>
      <c r="DE169" s="582">
        <f t="shared" si="347"/>
        <v>10720</v>
      </c>
      <c r="DF169" s="602">
        <f t="shared" si="347"/>
        <v>16081</v>
      </c>
      <c r="DG169" s="575"/>
      <c r="DH169" s="575" t="str">
        <f t="shared" si="46"/>
        <v/>
      </c>
      <c r="DI169" s="74" t="str">
        <f t="shared" si="47"/>
        <v/>
      </c>
      <c r="DJ169" s="74" t="str">
        <f t="shared" si="48"/>
        <v/>
      </c>
      <c r="DK169" s="623" t="str">
        <f t="shared" si="49"/>
        <v/>
      </c>
      <c r="DL169" s="74"/>
      <c r="DM169" s="74"/>
      <c r="DN169" s="582">
        <f t="shared" si="341"/>
        <v>1.1</v>
      </c>
      <c r="DO169" s="575"/>
      <c r="DP169" s="297"/>
    </row>
    <row r="170">
      <c r="A170" s="552">
        <v>164.0</v>
      </c>
      <c r="B170" s="86">
        <v>291.0</v>
      </c>
      <c r="C170" s="54">
        <v>30.0</v>
      </c>
      <c r="D170" s="54">
        <v>78.0</v>
      </c>
      <c r="E170" s="54">
        <v>1.0</v>
      </c>
      <c r="F170" s="68" t="s">
        <v>2344</v>
      </c>
      <c r="G170" s="68">
        <f t="shared" si="269"/>
        <v>16</v>
      </c>
      <c r="H170" s="68">
        <f t="shared" si="270"/>
        <v>16</v>
      </c>
      <c r="I170" s="68">
        <f t="shared" si="7"/>
        <v>16</v>
      </c>
      <c r="J170" s="68">
        <f t="shared" si="271"/>
        <v>18</v>
      </c>
      <c r="K170" s="68">
        <f t="shared" si="272"/>
        <v>20</v>
      </c>
      <c r="L170" s="68">
        <f t="shared" si="273"/>
        <v>16</v>
      </c>
      <c r="M170" s="569">
        <f t="shared" si="274"/>
        <v>20</v>
      </c>
      <c r="N170" s="74" t="s">
        <v>1214</v>
      </c>
      <c r="O170" s="570" t="s">
        <v>2030</v>
      </c>
      <c r="P170" s="571"/>
      <c r="Q170" s="571" t="s">
        <v>1676</v>
      </c>
      <c r="R170" s="571" t="s">
        <v>1052</v>
      </c>
      <c r="S170" s="791" t="s">
        <v>1169</v>
      </c>
      <c r="T170" s="572" t="s">
        <v>1215</v>
      </c>
      <c r="U170" s="54">
        <v>79.0</v>
      </c>
      <c r="V170" s="54">
        <v>59.0</v>
      </c>
      <c r="W170" s="54">
        <v>89.0</v>
      </c>
      <c r="X170" s="679">
        <v>137.0</v>
      </c>
      <c r="Y170" s="54">
        <v>3.0</v>
      </c>
      <c r="Z170" s="54">
        <v>20.0</v>
      </c>
      <c r="AA170" s="86">
        <v>3.0</v>
      </c>
      <c r="AB170" s="74"/>
      <c r="AC170" s="54">
        <v>241.0</v>
      </c>
      <c r="AD170" s="54">
        <v>4.0</v>
      </c>
      <c r="AE170" s="54">
        <v>75.0</v>
      </c>
      <c r="AF170" s="54">
        <v>75.0</v>
      </c>
      <c r="AG170" s="54">
        <v>30.0</v>
      </c>
      <c r="AH170" s="54">
        <v>78.0</v>
      </c>
      <c r="AI170" s="574">
        <f t="shared" si="12"/>
        <v>54</v>
      </c>
      <c r="AJ170" s="74"/>
      <c r="AK170" s="74"/>
      <c r="AL170" s="74"/>
      <c r="AM170" s="74"/>
      <c r="AN170" s="74"/>
      <c r="AO170" s="74"/>
      <c r="AP170" s="74"/>
      <c r="AQ170" s="74"/>
      <c r="AR170" s="74"/>
      <c r="AS170" s="575"/>
      <c r="AT170" s="68">
        <f t="shared" si="13"/>
        <v>867</v>
      </c>
      <c r="AU170" s="68">
        <f t="shared" si="14"/>
        <v>1822</v>
      </c>
      <c r="AV170" s="581">
        <f t="shared" si="15"/>
        <v>1344.5</v>
      </c>
      <c r="AW170" s="582">
        <f t="shared" si="276"/>
        <v>1681</v>
      </c>
      <c r="AX170" s="582">
        <f t="shared" si="277"/>
        <v>1681</v>
      </c>
      <c r="AY170" s="582">
        <f t="shared" si="18"/>
        <v>1681</v>
      </c>
      <c r="AZ170" s="582">
        <f t="shared" si="278"/>
        <v>1681</v>
      </c>
      <c r="BA170" s="582">
        <f t="shared" si="279"/>
        <v>1345</v>
      </c>
      <c r="BB170" s="582">
        <f t="shared" si="280"/>
        <v>1345</v>
      </c>
      <c r="BC170" s="582">
        <f t="shared" si="281"/>
        <v>1528</v>
      </c>
      <c r="BD170" s="582">
        <f t="shared" si="282"/>
        <v>840</v>
      </c>
      <c r="BE170" s="582">
        <f t="shared" si="283"/>
        <v>1019</v>
      </c>
      <c r="BF170" s="582">
        <f t="shared" si="25"/>
        <v>934</v>
      </c>
      <c r="BG170" s="582">
        <f t="shared" si="26"/>
        <v>1120</v>
      </c>
      <c r="BH170" s="582">
        <f t="shared" si="284"/>
        <v>1120</v>
      </c>
      <c r="BI170" s="582">
        <f t="shared" si="285"/>
        <v>1120</v>
      </c>
      <c r="BJ170" s="582">
        <f t="shared" si="286"/>
        <v>1120</v>
      </c>
      <c r="BK170" s="582">
        <f t="shared" si="287"/>
        <v>908</v>
      </c>
      <c r="BL170" s="582">
        <f t="shared" si="288"/>
        <v>908</v>
      </c>
      <c r="BM170" s="74"/>
      <c r="BN170" s="74"/>
      <c r="BO170" s="74"/>
      <c r="BP170" s="575" t="str">
        <f t="shared" si="33"/>
        <v/>
      </c>
      <c r="BQ170" s="670">
        <v>30.0</v>
      </c>
      <c r="BR170" s="670">
        <v>85.0</v>
      </c>
      <c r="BS170" s="670">
        <v>20.0</v>
      </c>
      <c r="BT170" s="670">
        <v>75.0</v>
      </c>
      <c r="BU170" s="670">
        <v>75.0</v>
      </c>
      <c r="BV170" s="671">
        <f t="shared" si="34"/>
        <v>57.5</v>
      </c>
      <c r="BW170" s="672">
        <f t="shared" si="35"/>
        <v>1702.4</v>
      </c>
      <c r="BX170" s="673">
        <f t="shared" si="289"/>
        <v>1372.9</v>
      </c>
      <c r="BY170" s="673">
        <f t="shared" si="290"/>
        <v>1372.9</v>
      </c>
      <c r="BZ170" s="673">
        <f t="shared" si="38"/>
        <v>1372.9</v>
      </c>
      <c r="CA170" s="673">
        <f t="shared" si="291"/>
        <v>1216</v>
      </c>
      <c r="CB170" s="673">
        <f t="shared" si="292"/>
        <v>1091.3</v>
      </c>
      <c r="CC170" s="673">
        <f t="shared" si="293"/>
        <v>1372.9</v>
      </c>
      <c r="CD170" s="673">
        <f t="shared" si="294"/>
        <v>1091.3</v>
      </c>
      <c r="CE170" s="674">
        <f t="shared" si="43"/>
        <v>-6.1</v>
      </c>
      <c r="CF170" s="675">
        <f t="shared" si="248"/>
        <v>-21</v>
      </c>
      <c r="CG170" s="878">
        <f t="shared" si="295"/>
        <v>22.4</v>
      </c>
      <c r="CH170" s="575" t="s">
        <v>1214</v>
      </c>
      <c r="CI170" s="582">
        <f t="shared" ref="CI170:DF170" si="348">FLOOR($AV170/(CI$3/25),1)</f>
        <v>1344</v>
      </c>
      <c r="CJ170" s="582">
        <f t="shared" si="348"/>
        <v>1400</v>
      </c>
      <c r="CK170" s="582">
        <f t="shared" si="348"/>
        <v>1461</v>
      </c>
      <c r="CL170" s="582">
        <f t="shared" si="348"/>
        <v>1527</v>
      </c>
      <c r="CM170" s="582">
        <f t="shared" si="348"/>
        <v>1600</v>
      </c>
      <c r="CN170" s="582">
        <f t="shared" si="348"/>
        <v>1680</v>
      </c>
      <c r="CO170" s="582">
        <f t="shared" si="348"/>
        <v>1769</v>
      </c>
      <c r="CP170" s="582">
        <f t="shared" si="348"/>
        <v>1867</v>
      </c>
      <c r="CQ170" s="582">
        <f t="shared" si="348"/>
        <v>1977</v>
      </c>
      <c r="CR170" s="582">
        <f t="shared" si="348"/>
        <v>2100</v>
      </c>
      <c r="CS170" s="582">
        <f t="shared" si="348"/>
        <v>2240</v>
      </c>
      <c r="CT170" s="582">
        <f t="shared" si="348"/>
        <v>2400</v>
      </c>
      <c r="CU170" s="582">
        <f t="shared" si="348"/>
        <v>2585</v>
      </c>
      <c r="CV170" s="582">
        <f t="shared" si="348"/>
        <v>2801</v>
      </c>
      <c r="CW170" s="582">
        <f t="shared" si="348"/>
        <v>3055</v>
      </c>
      <c r="CX170" s="582">
        <f t="shared" si="348"/>
        <v>3361</v>
      </c>
      <c r="CY170" s="582">
        <f t="shared" si="348"/>
        <v>3734</v>
      </c>
      <c r="CZ170" s="582">
        <f t="shared" si="348"/>
        <v>4201</v>
      </c>
      <c r="DA170" s="582">
        <f t="shared" si="348"/>
        <v>4801</v>
      </c>
      <c r="DB170" s="582">
        <f t="shared" si="348"/>
        <v>5602</v>
      </c>
      <c r="DC170" s="582">
        <f t="shared" si="348"/>
        <v>6722</v>
      </c>
      <c r="DD170" s="582">
        <f t="shared" si="348"/>
        <v>8403</v>
      </c>
      <c r="DE170" s="582">
        <f t="shared" si="348"/>
        <v>11204</v>
      </c>
      <c r="DF170" s="602">
        <f t="shared" si="348"/>
        <v>16806</v>
      </c>
      <c r="DG170" s="575"/>
      <c r="DH170" s="575" t="str">
        <f t="shared" si="46"/>
        <v/>
      </c>
      <c r="DI170" s="74" t="str">
        <f t="shared" si="47"/>
        <v/>
      </c>
      <c r="DJ170" s="74" t="str">
        <f t="shared" si="48"/>
        <v/>
      </c>
      <c r="DK170" s="623" t="str">
        <f t="shared" si="49"/>
        <v/>
      </c>
      <c r="DL170" s="74"/>
      <c r="DM170" s="74"/>
      <c r="DN170" s="582">
        <f t="shared" si="341"/>
        <v>1.1</v>
      </c>
      <c r="DO170" s="575"/>
      <c r="DP170" s="297"/>
    </row>
    <row r="171">
      <c r="A171" s="764">
        <v>165.0</v>
      </c>
      <c r="B171" s="765">
        <v>293.0</v>
      </c>
      <c r="C171" s="766">
        <v>11.0</v>
      </c>
      <c r="D171" s="766">
        <v>77.0</v>
      </c>
      <c r="E171" s="766">
        <v>1.0</v>
      </c>
      <c r="F171" s="768" t="s">
        <v>2344</v>
      </c>
      <c r="G171" s="768">
        <f t="shared" si="269"/>
        <v>16</v>
      </c>
      <c r="H171" s="768">
        <f t="shared" si="270"/>
        <v>16</v>
      </c>
      <c r="I171" s="768">
        <f t="shared" si="7"/>
        <v>16</v>
      </c>
      <c r="J171" s="768">
        <f t="shared" si="271"/>
        <v>18</v>
      </c>
      <c r="K171" s="768">
        <f t="shared" si="272"/>
        <v>20</v>
      </c>
      <c r="L171" s="768">
        <f t="shared" si="273"/>
        <v>16</v>
      </c>
      <c r="M171" s="769">
        <f t="shared" si="274"/>
        <v>20</v>
      </c>
      <c r="N171" s="767" t="s">
        <v>1225</v>
      </c>
      <c r="O171" s="770" t="s">
        <v>2031</v>
      </c>
      <c r="P171" s="771"/>
      <c r="Q171" s="771" t="s">
        <v>1676</v>
      </c>
      <c r="R171" s="771" t="s">
        <v>1052</v>
      </c>
      <c r="S171" s="800" t="s">
        <v>1169</v>
      </c>
      <c r="T171" s="772" t="s">
        <v>1226</v>
      </c>
      <c r="U171" s="766">
        <v>85.0</v>
      </c>
      <c r="V171" s="766">
        <v>65.0</v>
      </c>
      <c r="W171" s="766">
        <v>76.0</v>
      </c>
      <c r="X171" s="773">
        <v>145.0</v>
      </c>
      <c r="Y171" s="766">
        <v>3.0</v>
      </c>
      <c r="Z171" s="766">
        <v>-10.0</v>
      </c>
      <c r="AA171" s="765">
        <v>3.0</v>
      </c>
      <c r="AB171" s="767"/>
      <c r="AC171" s="766">
        <v>199.0</v>
      </c>
      <c r="AD171" s="766">
        <v>4.0</v>
      </c>
      <c r="AE171" s="766">
        <v>75.0</v>
      </c>
      <c r="AF171" s="766">
        <v>75.0</v>
      </c>
      <c r="AG171" s="766">
        <v>11.0</v>
      </c>
      <c r="AH171" s="766">
        <v>77.0</v>
      </c>
      <c r="AI171" s="775">
        <f t="shared" si="12"/>
        <v>44</v>
      </c>
      <c r="AJ171" s="767"/>
      <c r="AK171" s="801"/>
      <c r="AL171" s="767"/>
      <c r="AM171" s="767"/>
      <c r="AN171" s="767"/>
      <c r="AO171" s="767"/>
      <c r="AP171" s="767"/>
      <c r="AQ171" s="767"/>
      <c r="AR171" s="767"/>
      <c r="AS171" s="776"/>
      <c r="AT171" s="768">
        <f t="shared" si="13"/>
        <v>492</v>
      </c>
      <c r="AU171" s="768">
        <f t="shared" si="14"/>
        <v>1805</v>
      </c>
      <c r="AV171" s="777">
        <f t="shared" si="15"/>
        <v>1148.5</v>
      </c>
      <c r="AW171" s="778">
        <f t="shared" si="276"/>
        <v>2051</v>
      </c>
      <c r="AX171" s="778">
        <f t="shared" si="277"/>
        <v>2051</v>
      </c>
      <c r="AY171" s="778">
        <f t="shared" si="18"/>
        <v>2051</v>
      </c>
      <c r="AZ171" s="778">
        <f t="shared" si="278"/>
        <v>2051</v>
      </c>
      <c r="BA171" s="778">
        <f t="shared" si="279"/>
        <v>1595</v>
      </c>
      <c r="BB171" s="778">
        <f t="shared" si="280"/>
        <v>1595</v>
      </c>
      <c r="BC171" s="778">
        <f t="shared" si="281"/>
        <v>1795</v>
      </c>
      <c r="BD171" s="778">
        <f t="shared" si="282"/>
        <v>1367</v>
      </c>
      <c r="BE171" s="778">
        <f t="shared" si="283"/>
        <v>1689</v>
      </c>
      <c r="BF171" s="778">
        <f t="shared" si="25"/>
        <v>1595</v>
      </c>
      <c r="BG171" s="778">
        <f t="shared" si="26"/>
        <v>1914</v>
      </c>
      <c r="BH171" s="778">
        <f t="shared" si="284"/>
        <v>1914</v>
      </c>
      <c r="BI171" s="778">
        <f t="shared" si="285"/>
        <v>1914</v>
      </c>
      <c r="BJ171" s="778">
        <f t="shared" si="286"/>
        <v>1914</v>
      </c>
      <c r="BK171" s="778">
        <f t="shared" si="287"/>
        <v>1511</v>
      </c>
      <c r="BL171" s="778">
        <f t="shared" si="288"/>
        <v>1511</v>
      </c>
      <c r="BM171" s="767"/>
      <c r="BN171" s="767"/>
      <c r="BO171" s="767"/>
      <c r="BP171" s="776" t="str">
        <f t="shared" si="33"/>
        <v/>
      </c>
      <c r="BQ171" s="780">
        <v>11.0</v>
      </c>
      <c r="BR171" s="780">
        <v>77.0</v>
      </c>
      <c r="BS171" s="780">
        <v>-10.0</v>
      </c>
      <c r="BT171" s="780">
        <v>75.0</v>
      </c>
      <c r="BU171" s="780">
        <v>75.0</v>
      </c>
      <c r="BV171" s="782">
        <f t="shared" si="34"/>
        <v>44</v>
      </c>
      <c r="BW171" s="783">
        <f t="shared" si="35"/>
        <v>1380.2</v>
      </c>
      <c r="BX171" s="784">
        <f t="shared" si="289"/>
        <v>1725.3</v>
      </c>
      <c r="BY171" s="784">
        <f t="shared" si="290"/>
        <v>1725.3</v>
      </c>
      <c r="BZ171" s="784">
        <f t="shared" si="38"/>
        <v>1725.3</v>
      </c>
      <c r="CA171" s="784">
        <f t="shared" si="291"/>
        <v>1568.4</v>
      </c>
      <c r="CB171" s="784">
        <f t="shared" si="292"/>
        <v>1380.2</v>
      </c>
      <c r="CC171" s="784">
        <f t="shared" si="293"/>
        <v>1725.3</v>
      </c>
      <c r="CD171" s="784">
        <f t="shared" si="294"/>
        <v>1380.2</v>
      </c>
      <c r="CE171" s="893" t="str">
        <f t="shared" si="43"/>
        <v/>
      </c>
      <c r="CF171" s="781">
        <f t="shared" si="248"/>
        <v>-16.8</v>
      </c>
      <c r="CG171" s="894">
        <f t="shared" si="295"/>
        <v>18.9</v>
      </c>
      <c r="CH171" s="776" t="s">
        <v>1225</v>
      </c>
      <c r="CI171" s="778">
        <f t="shared" ref="CI171:DF171" si="349">FLOOR($AV171/(CI$3/25),1)</f>
        <v>1148</v>
      </c>
      <c r="CJ171" s="778">
        <f t="shared" si="349"/>
        <v>1196</v>
      </c>
      <c r="CK171" s="778">
        <f t="shared" si="349"/>
        <v>1248</v>
      </c>
      <c r="CL171" s="778">
        <f t="shared" si="349"/>
        <v>1305</v>
      </c>
      <c r="CM171" s="778">
        <f t="shared" si="349"/>
        <v>1367</v>
      </c>
      <c r="CN171" s="778">
        <f t="shared" si="349"/>
        <v>1435</v>
      </c>
      <c r="CO171" s="778">
        <f t="shared" si="349"/>
        <v>1511</v>
      </c>
      <c r="CP171" s="778">
        <f t="shared" si="349"/>
        <v>1595</v>
      </c>
      <c r="CQ171" s="778">
        <f t="shared" si="349"/>
        <v>1688</v>
      </c>
      <c r="CR171" s="778">
        <f t="shared" si="349"/>
        <v>1794</v>
      </c>
      <c r="CS171" s="778">
        <f t="shared" si="349"/>
        <v>1914</v>
      </c>
      <c r="CT171" s="778">
        <f t="shared" si="349"/>
        <v>2050</v>
      </c>
      <c r="CU171" s="778">
        <f t="shared" si="349"/>
        <v>2208</v>
      </c>
      <c r="CV171" s="778">
        <f t="shared" si="349"/>
        <v>2392</v>
      </c>
      <c r="CW171" s="778">
        <f t="shared" si="349"/>
        <v>2610</v>
      </c>
      <c r="CX171" s="778">
        <f t="shared" si="349"/>
        <v>2871</v>
      </c>
      <c r="CY171" s="778">
        <f t="shared" si="349"/>
        <v>3190</v>
      </c>
      <c r="CZ171" s="778">
        <f t="shared" si="349"/>
        <v>3589</v>
      </c>
      <c r="DA171" s="778">
        <f t="shared" si="349"/>
        <v>4101</v>
      </c>
      <c r="DB171" s="778">
        <f t="shared" si="349"/>
        <v>4785</v>
      </c>
      <c r="DC171" s="778">
        <f t="shared" si="349"/>
        <v>5742</v>
      </c>
      <c r="DD171" s="778">
        <f t="shared" si="349"/>
        <v>7178</v>
      </c>
      <c r="DE171" s="778">
        <f t="shared" si="349"/>
        <v>9570</v>
      </c>
      <c r="DF171" s="779">
        <f t="shared" si="349"/>
        <v>14356</v>
      </c>
      <c r="DG171" s="776"/>
      <c r="DH171" s="776" t="str">
        <f t="shared" si="46"/>
        <v/>
      </c>
      <c r="DI171" s="767" t="str">
        <f t="shared" si="47"/>
        <v/>
      </c>
      <c r="DJ171" s="767" t="str">
        <f t="shared" si="48"/>
        <v/>
      </c>
      <c r="DK171" s="803" t="str">
        <f t="shared" si="49"/>
        <v/>
      </c>
      <c r="DL171" s="767"/>
      <c r="DM171" s="767"/>
      <c r="DN171" s="778">
        <f t="shared" si="341"/>
        <v>1.1</v>
      </c>
      <c r="DO171" s="776"/>
      <c r="DP171" s="790"/>
    </row>
    <row r="172">
      <c r="A172" s="809">
        <v>166.0</v>
      </c>
      <c r="B172" s="337">
        <v>59.0</v>
      </c>
      <c r="C172" s="338">
        <v>1.0</v>
      </c>
      <c r="D172" s="338">
        <v>5.0</v>
      </c>
      <c r="E172" s="347"/>
      <c r="F172" s="349" t="s">
        <v>2344</v>
      </c>
      <c r="G172" s="349">
        <f t="shared" si="269"/>
        <v>15</v>
      </c>
      <c r="H172" s="349">
        <f t="shared" si="270"/>
        <v>15</v>
      </c>
      <c r="I172" s="349">
        <f t="shared" si="7"/>
        <v>16</v>
      </c>
      <c r="J172" s="349">
        <f t="shared" si="271"/>
        <v>19</v>
      </c>
      <c r="K172" s="349">
        <f t="shared" si="272"/>
        <v>19</v>
      </c>
      <c r="L172" s="349">
        <f t="shared" si="273"/>
        <v>17</v>
      </c>
      <c r="M172" s="884">
        <f t="shared" si="274"/>
        <v>19</v>
      </c>
      <c r="N172" s="811" t="s">
        <v>1227</v>
      </c>
      <c r="O172" s="844"/>
      <c r="P172" s="813"/>
      <c r="Q172" s="813" t="s">
        <v>1313</v>
      </c>
      <c r="R172" s="813" t="s">
        <v>1314</v>
      </c>
      <c r="S172" s="814" t="s">
        <v>1169</v>
      </c>
      <c r="T172" s="815" t="s">
        <v>1126</v>
      </c>
      <c r="U172" s="338">
        <v>1.0</v>
      </c>
      <c r="V172" s="338">
        <v>0.0</v>
      </c>
      <c r="W172" s="347"/>
      <c r="X172" s="347"/>
      <c r="Y172" s="679">
        <v>1.0</v>
      </c>
      <c r="Z172" s="338">
        <v>-10.0</v>
      </c>
      <c r="AA172" s="338">
        <v>3.0</v>
      </c>
      <c r="AB172" s="347"/>
      <c r="AC172" s="338">
        <v>5.0</v>
      </c>
      <c r="AD172" s="338">
        <v>4.0</v>
      </c>
      <c r="AE172" s="338">
        <v>75.0</v>
      </c>
      <c r="AF172" s="338">
        <v>75.0</v>
      </c>
      <c r="AG172" s="338">
        <v>1.0</v>
      </c>
      <c r="AH172" s="338">
        <v>5.0</v>
      </c>
      <c r="AI172" s="816">
        <f t="shared" si="12"/>
        <v>3</v>
      </c>
      <c r="AJ172" s="347"/>
      <c r="AK172" s="347"/>
      <c r="AL172" s="347"/>
      <c r="AM172" s="347"/>
      <c r="AN172" s="347"/>
      <c r="AO172" s="347"/>
      <c r="AP172" s="347"/>
      <c r="AQ172" s="347"/>
      <c r="AR172" s="347"/>
      <c r="AS172" s="810"/>
      <c r="AT172" s="349">
        <f t="shared" si="13"/>
        <v>291</v>
      </c>
      <c r="AU172" s="349">
        <f t="shared" si="14"/>
        <v>370</v>
      </c>
      <c r="AV172" s="817">
        <f t="shared" si="15"/>
        <v>330.5</v>
      </c>
      <c r="AW172" s="818">
        <f t="shared" si="276"/>
        <v>636</v>
      </c>
      <c r="AX172" s="818">
        <f t="shared" si="277"/>
        <v>636</v>
      </c>
      <c r="AY172" s="818">
        <f t="shared" si="18"/>
        <v>590</v>
      </c>
      <c r="AZ172" s="818">
        <f t="shared" si="278"/>
        <v>551</v>
      </c>
      <c r="BA172" s="818">
        <f t="shared" si="279"/>
        <v>486</v>
      </c>
      <c r="BB172" s="818">
        <f t="shared" si="280"/>
        <v>486</v>
      </c>
      <c r="BC172" s="818">
        <f t="shared" si="281"/>
        <v>486</v>
      </c>
      <c r="BD172" s="818">
        <f t="shared" si="282"/>
        <v>376</v>
      </c>
      <c r="BE172" s="818">
        <f t="shared" si="283"/>
        <v>459</v>
      </c>
      <c r="BF172" s="818">
        <f t="shared" si="25"/>
        <v>459</v>
      </c>
      <c r="BG172" s="818">
        <f t="shared" si="26"/>
        <v>551</v>
      </c>
      <c r="BH172" s="818">
        <f t="shared" si="284"/>
        <v>590</v>
      </c>
      <c r="BI172" s="818">
        <f t="shared" si="285"/>
        <v>590</v>
      </c>
      <c r="BJ172" s="818">
        <f t="shared" si="286"/>
        <v>516</v>
      </c>
      <c r="BK172" s="818">
        <f t="shared" si="287"/>
        <v>459</v>
      </c>
      <c r="BL172" s="818">
        <f t="shared" si="288"/>
        <v>459</v>
      </c>
      <c r="BM172" s="347"/>
      <c r="BN172" s="818">
        <f t="shared" ref="BN172:BN186" si="351">ROUND(IF($F172="1ht",2*$AV172,$AV172)*25/(CEILING((16*256)/FLOOR(256*MIN(175,MAX(15,100+IF($AS172="",$AS$1,AS172)+FLOOR((120*IF($AQ172="",$AQ$1,$AQ172))/(120+IF($AQ172="",$AQ$1,$AQ172)),1)-$Z172))/100,1),1)-1),0)</f>
        <v>1180</v>
      </c>
      <c r="BO172" s="347"/>
      <c r="BP172" s="823">
        <f t="shared" si="33"/>
        <v>1180</v>
      </c>
      <c r="BQ172" s="338">
        <v>1.0</v>
      </c>
      <c r="BR172" s="338">
        <v>5.0</v>
      </c>
      <c r="BS172" s="338">
        <v>-10.0</v>
      </c>
      <c r="BT172" s="338">
        <v>75.0</v>
      </c>
      <c r="BU172" s="338">
        <v>75.0</v>
      </c>
      <c r="BV172" s="339">
        <f t="shared" si="34"/>
        <v>3</v>
      </c>
      <c r="BW172" s="819">
        <f t="shared" si="35"/>
        <v>401.4</v>
      </c>
      <c r="BX172" s="818">
        <f t="shared" si="289"/>
        <v>771.9</v>
      </c>
      <c r="BY172" s="818">
        <f t="shared" si="290"/>
        <v>771.9</v>
      </c>
      <c r="BZ172" s="818">
        <f t="shared" si="38"/>
        <v>716.8</v>
      </c>
      <c r="CA172" s="818">
        <f t="shared" si="291"/>
        <v>590.3</v>
      </c>
      <c r="CB172" s="818">
        <f t="shared" si="292"/>
        <v>590.3</v>
      </c>
      <c r="CC172" s="818">
        <f t="shared" si="293"/>
        <v>669</v>
      </c>
      <c r="CD172" s="818">
        <f t="shared" si="294"/>
        <v>590.3</v>
      </c>
      <c r="CE172" s="820" t="str">
        <f t="shared" si="43"/>
        <v/>
      </c>
      <c r="CF172" s="347">
        <f t="shared" si="248"/>
        <v>-17.7</v>
      </c>
      <c r="CG172" s="823">
        <f t="shared" si="295"/>
        <v>-17.6</v>
      </c>
      <c r="CH172" s="822" t="s">
        <v>1227</v>
      </c>
      <c r="CI172" s="818">
        <f t="shared" ref="CI172:DF172" si="350">FLOOR($AV172/(CI$3/25),1)</f>
        <v>330</v>
      </c>
      <c r="CJ172" s="818">
        <f t="shared" si="350"/>
        <v>344</v>
      </c>
      <c r="CK172" s="818">
        <f t="shared" si="350"/>
        <v>359</v>
      </c>
      <c r="CL172" s="818">
        <f t="shared" si="350"/>
        <v>375</v>
      </c>
      <c r="CM172" s="818">
        <f t="shared" si="350"/>
        <v>393</v>
      </c>
      <c r="CN172" s="818">
        <f t="shared" si="350"/>
        <v>413</v>
      </c>
      <c r="CO172" s="818">
        <f t="shared" si="350"/>
        <v>434</v>
      </c>
      <c r="CP172" s="818">
        <f t="shared" si="350"/>
        <v>459</v>
      </c>
      <c r="CQ172" s="818">
        <f t="shared" si="350"/>
        <v>486</v>
      </c>
      <c r="CR172" s="818">
        <f t="shared" si="350"/>
        <v>516</v>
      </c>
      <c r="CS172" s="818">
        <f t="shared" si="350"/>
        <v>550</v>
      </c>
      <c r="CT172" s="818">
        <f t="shared" si="350"/>
        <v>590</v>
      </c>
      <c r="CU172" s="818">
        <f t="shared" si="350"/>
        <v>635</v>
      </c>
      <c r="CV172" s="818">
        <f t="shared" si="350"/>
        <v>688</v>
      </c>
      <c r="CW172" s="818">
        <f t="shared" si="350"/>
        <v>751</v>
      </c>
      <c r="CX172" s="818">
        <f t="shared" si="350"/>
        <v>826</v>
      </c>
      <c r="CY172" s="818">
        <f t="shared" si="350"/>
        <v>918</v>
      </c>
      <c r="CZ172" s="818">
        <f t="shared" si="350"/>
        <v>1032</v>
      </c>
      <c r="DA172" s="818">
        <f t="shared" si="350"/>
        <v>1180</v>
      </c>
      <c r="DB172" s="818">
        <f t="shared" si="350"/>
        <v>1377</v>
      </c>
      <c r="DC172" s="818">
        <f t="shared" si="350"/>
        <v>1652</v>
      </c>
      <c r="DD172" s="818">
        <f t="shared" si="350"/>
        <v>2065</v>
      </c>
      <c r="DE172" s="818">
        <f t="shared" si="350"/>
        <v>2754</v>
      </c>
      <c r="DF172" s="823">
        <f t="shared" si="350"/>
        <v>4131</v>
      </c>
      <c r="DG172" s="810"/>
      <c r="DH172" s="810" t="str">
        <f t="shared" si="46"/>
        <v/>
      </c>
      <c r="DI172" s="347" t="str">
        <f t="shared" si="47"/>
        <v/>
      </c>
      <c r="DJ172" s="347" t="str">
        <f t="shared" si="48"/>
        <v/>
      </c>
      <c r="DK172" s="895" t="str">
        <f t="shared" si="49"/>
        <v/>
      </c>
      <c r="DL172" s="896"/>
      <c r="DM172" s="896"/>
      <c r="DN172" s="896"/>
      <c r="DO172" s="810"/>
      <c r="DP172" s="824"/>
    </row>
    <row r="173">
      <c r="A173" s="809">
        <v>167.0</v>
      </c>
      <c r="B173" s="337">
        <v>61.0</v>
      </c>
      <c r="C173" s="338">
        <v>4.0</v>
      </c>
      <c r="D173" s="338">
        <v>9.0</v>
      </c>
      <c r="E173" s="347"/>
      <c r="F173" s="349" t="s">
        <v>2344</v>
      </c>
      <c r="G173" s="349">
        <f t="shared" si="269"/>
        <v>15</v>
      </c>
      <c r="H173" s="349">
        <f t="shared" si="270"/>
        <v>15</v>
      </c>
      <c r="I173" s="349">
        <f t="shared" si="7"/>
        <v>16</v>
      </c>
      <c r="J173" s="349">
        <f t="shared" si="271"/>
        <v>19</v>
      </c>
      <c r="K173" s="349">
        <f t="shared" si="272"/>
        <v>19</v>
      </c>
      <c r="L173" s="349">
        <f t="shared" si="273"/>
        <v>17</v>
      </c>
      <c r="M173" s="884">
        <f t="shared" si="274"/>
        <v>19</v>
      </c>
      <c r="N173" s="811" t="s">
        <v>1235</v>
      </c>
      <c r="O173" s="844"/>
      <c r="P173" s="813"/>
      <c r="Q173" s="813" t="s">
        <v>1313</v>
      </c>
      <c r="R173" s="813" t="s">
        <v>1314</v>
      </c>
      <c r="S173" s="814" t="s">
        <v>1169</v>
      </c>
      <c r="T173" s="815" t="s">
        <v>1173</v>
      </c>
      <c r="U173" s="338">
        <v>10.0</v>
      </c>
      <c r="V173" s="338">
        <v>0.0</v>
      </c>
      <c r="W173" s="347"/>
      <c r="X173" s="338">
        <v>45.0</v>
      </c>
      <c r="Y173" s="338">
        <v>2.0</v>
      </c>
      <c r="Z173" s="338">
        <v>0.0</v>
      </c>
      <c r="AA173" s="338">
        <v>3.0</v>
      </c>
      <c r="AB173" s="347"/>
      <c r="AC173" s="338">
        <v>18.0</v>
      </c>
      <c r="AD173" s="338">
        <v>4.0</v>
      </c>
      <c r="AE173" s="338">
        <v>75.0</v>
      </c>
      <c r="AF173" s="338">
        <v>75.0</v>
      </c>
      <c r="AG173" s="338">
        <v>4.0</v>
      </c>
      <c r="AH173" s="338">
        <v>9.0</v>
      </c>
      <c r="AI173" s="816">
        <f t="shared" si="12"/>
        <v>6.5</v>
      </c>
      <c r="AJ173" s="347"/>
      <c r="AK173" s="347"/>
      <c r="AL173" s="347"/>
      <c r="AM173" s="347"/>
      <c r="AN173" s="347"/>
      <c r="AO173" s="347"/>
      <c r="AP173" s="347"/>
      <c r="AQ173" s="347"/>
      <c r="AR173" s="347"/>
      <c r="AS173" s="810"/>
      <c r="AT173" s="349">
        <f t="shared" si="13"/>
        <v>352</v>
      </c>
      <c r="AU173" s="349">
        <f t="shared" si="14"/>
        <v>452</v>
      </c>
      <c r="AV173" s="817">
        <f t="shared" si="15"/>
        <v>402</v>
      </c>
      <c r="AW173" s="818">
        <f t="shared" si="276"/>
        <v>718</v>
      </c>
      <c r="AX173" s="818">
        <f t="shared" si="277"/>
        <v>718</v>
      </c>
      <c r="AY173" s="818">
        <f t="shared" si="18"/>
        <v>670</v>
      </c>
      <c r="AZ173" s="818">
        <f t="shared" si="278"/>
        <v>628</v>
      </c>
      <c r="BA173" s="818">
        <f t="shared" si="279"/>
        <v>558</v>
      </c>
      <c r="BB173" s="818">
        <f t="shared" si="280"/>
        <v>558</v>
      </c>
      <c r="BC173" s="818">
        <f t="shared" si="281"/>
        <v>558</v>
      </c>
      <c r="BD173" s="818">
        <f t="shared" si="282"/>
        <v>372</v>
      </c>
      <c r="BE173" s="818">
        <f t="shared" si="283"/>
        <v>457</v>
      </c>
      <c r="BF173" s="818">
        <f t="shared" si="25"/>
        <v>437</v>
      </c>
      <c r="BG173" s="818">
        <f t="shared" si="26"/>
        <v>529</v>
      </c>
      <c r="BH173" s="818">
        <f t="shared" si="284"/>
        <v>558</v>
      </c>
      <c r="BI173" s="818">
        <f t="shared" si="285"/>
        <v>558</v>
      </c>
      <c r="BJ173" s="818">
        <f t="shared" si="286"/>
        <v>503</v>
      </c>
      <c r="BK173" s="818">
        <f t="shared" si="287"/>
        <v>457</v>
      </c>
      <c r="BL173" s="818">
        <f t="shared" si="288"/>
        <v>457</v>
      </c>
      <c r="BM173" s="347"/>
      <c r="BN173" s="818">
        <f t="shared" si="351"/>
        <v>1340</v>
      </c>
      <c r="BO173" s="347"/>
      <c r="BP173" s="823">
        <f t="shared" si="33"/>
        <v>1340</v>
      </c>
      <c r="BQ173" s="338">
        <v>4.0</v>
      </c>
      <c r="BR173" s="338">
        <v>9.0</v>
      </c>
      <c r="BS173" s="347"/>
      <c r="BT173" s="338">
        <v>75.0</v>
      </c>
      <c r="BU173" s="338">
        <v>75.0</v>
      </c>
      <c r="BV173" s="339">
        <f t="shared" si="34"/>
        <v>6.5</v>
      </c>
      <c r="BW173" s="819">
        <f t="shared" si="35"/>
        <v>485</v>
      </c>
      <c r="BX173" s="818">
        <f t="shared" si="289"/>
        <v>866.1</v>
      </c>
      <c r="BY173" s="818">
        <f t="shared" si="290"/>
        <v>866.1</v>
      </c>
      <c r="BZ173" s="818">
        <f t="shared" si="38"/>
        <v>808.3</v>
      </c>
      <c r="CA173" s="818">
        <f t="shared" si="291"/>
        <v>673.6</v>
      </c>
      <c r="CB173" s="818">
        <f t="shared" si="292"/>
        <v>673.6</v>
      </c>
      <c r="CC173" s="818">
        <f t="shared" si="293"/>
        <v>757.8</v>
      </c>
      <c r="CD173" s="818">
        <f t="shared" si="294"/>
        <v>673.6</v>
      </c>
      <c r="CE173" s="820" t="str">
        <f t="shared" si="43"/>
        <v/>
      </c>
      <c r="CF173" s="347">
        <f t="shared" si="248"/>
        <v>-17.1</v>
      </c>
      <c r="CG173" s="810">
        <f t="shared" si="295"/>
        <v>-17.1</v>
      </c>
      <c r="CH173" s="822" t="s">
        <v>1235</v>
      </c>
      <c r="CI173" s="818">
        <f t="shared" ref="CI173:DF173" si="352">FLOOR($AV173/(CI$3/25),1)</f>
        <v>402</v>
      </c>
      <c r="CJ173" s="818">
        <f t="shared" si="352"/>
        <v>418</v>
      </c>
      <c r="CK173" s="818">
        <f t="shared" si="352"/>
        <v>436</v>
      </c>
      <c r="CL173" s="818">
        <f t="shared" si="352"/>
        <v>456</v>
      </c>
      <c r="CM173" s="818">
        <f t="shared" si="352"/>
        <v>478</v>
      </c>
      <c r="CN173" s="818">
        <f t="shared" si="352"/>
        <v>502</v>
      </c>
      <c r="CO173" s="818">
        <f t="shared" si="352"/>
        <v>528</v>
      </c>
      <c r="CP173" s="818">
        <f t="shared" si="352"/>
        <v>558</v>
      </c>
      <c r="CQ173" s="818">
        <f t="shared" si="352"/>
        <v>591</v>
      </c>
      <c r="CR173" s="818">
        <f t="shared" si="352"/>
        <v>628</v>
      </c>
      <c r="CS173" s="818">
        <f t="shared" si="352"/>
        <v>670</v>
      </c>
      <c r="CT173" s="818">
        <f t="shared" si="352"/>
        <v>717</v>
      </c>
      <c r="CU173" s="818">
        <f t="shared" si="352"/>
        <v>773</v>
      </c>
      <c r="CV173" s="818">
        <f t="shared" si="352"/>
        <v>837</v>
      </c>
      <c r="CW173" s="818">
        <f t="shared" si="352"/>
        <v>913</v>
      </c>
      <c r="CX173" s="818">
        <f t="shared" si="352"/>
        <v>1005</v>
      </c>
      <c r="CY173" s="818">
        <f t="shared" si="352"/>
        <v>1116</v>
      </c>
      <c r="CZ173" s="818">
        <f t="shared" si="352"/>
        <v>1256</v>
      </c>
      <c r="DA173" s="818">
        <f t="shared" si="352"/>
        <v>1435</v>
      </c>
      <c r="DB173" s="818">
        <f t="shared" si="352"/>
        <v>1675</v>
      </c>
      <c r="DC173" s="818">
        <f t="shared" si="352"/>
        <v>2010</v>
      </c>
      <c r="DD173" s="818">
        <f t="shared" si="352"/>
        <v>2512</v>
      </c>
      <c r="DE173" s="818">
        <f t="shared" si="352"/>
        <v>3350</v>
      </c>
      <c r="DF173" s="823">
        <f t="shared" si="352"/>
        <v>5025</v>
      </c>
      <c r="DG173" s="810"/>
      <c r="DH173" s="810" t="str">
        <f t="shared" si="46"/>
        <v/>
      </c>
      <c r="DI173" s="347" t="str">
        <f t="shared" si="47"/>
        <v/>
      </c>
      <c r="DJ173" s="347" t="str">
        <f t="shared" si="48"/>
        <v/>
      </c>
      <c r="DK173" s="820" t="str">
        <f t="shared" si="49"/>
        <v/>
      </c>
      <c r="DL173" s="347"/>
      <c r="DM173" s="347"/>
      <c r="DN173" s="347"/>
      <c r="DO173" s="810"/>
      <c r="DP173" s="824"/>
    </row>
    <row r="174">
      <c r="A174" s="809">
        <v>168.0</v>
      </c>
      <c r="B174" s="337">
        <v>63.0</v>
      </c>
      <c r="C174" s="338">
        <v>2.0</v>
      </c>
      <c r="D174" s="338">
        <v>13.0</v>
      </c>
      <c r="E174" s="347"/>
      <c r="F174" s="349" t="s">
        <v>2344</v>
      </c>
      <c r="G174" s="349">
        <f t="shared" si="269"/>
        <v>15</v>
      </c>
      <c r="H174" s="349">
        <f t="shared" si="270"/>
        <v>15</v>
      </c>
      <c r="I174" s="349">
        <f t="shared" si="7"/>
        <v>16</v>
      </c>
      <c r="J174" s="349">
        <f t="shared" si="271"/>
        <v>19</v>
      </c>
      <c r="K174" s="349">
        <f t="shared" si="272"/>
        <v>19</v>
      </c>
      <c r="L174" s="349">
        <f t="shared" si="273"/>
        <v>17</v>
      </c>
      <c r="M174" s="884">
        <f t="shared" si="274"/>
        <v>19</v>
      </c>
      <c r="N174" s="811" t="s">
        <v>1239</v>
      </c>
      <c r="O174" s="844"/>
      <c r="P174" s="813"/>
      <c r="Q174" s="813" t="s">
        <v>1313</v>
      </c>
      <c r="R174" s="813" t="s">
        <v>1314</v>
      </c>
      <c r="S174" s="814" t="s">
        <v>1169</v>
      </c>
      <c r="T174" s="815" t="s">
        <v>1195</v>
      </c>
      <c r="U174" s="338">
        <v>15.0</v>
      </c>
      <c r="V174" s="338">
        <v>0.0</v>
      </c>
      <c r="W174" s="338">
        <v>40.0</v>
      </c>
      <c r="X174" s="338">
        <v>40.0</v>
      </c>
      <c r="Y174" s="338">
        <v>2.0</v>
      </c>
      <c r="Z174" s="338">
        <v>10.0</v>
      </c>
      <c r="AA174" s="338">
        <v>3.0</v>
      </c>
      <c r="AB174" s="347"/>
      <c r="AC174" s="338">
        <v>24.0</v>
      </c>
      <c r="AD174" s="338">
        <v>4.0</v>
      </c>
      <c r="AE174" s="338">
        <v>75.0</v>
      </c>
      <c r="AF174" s="338">
        <v>75.0</v>
      </c>
      <c r="AG174" s="338">
        <v>2.0</v>
      </c>
      <c r="AH174" s="338">
        <v>13.0</v>
      </c>
      <c r="AI174" s="816">
        <f t="shared" si="12"/>
        <v>7.5</v>
      </c>
      <c r="AJ174" s="347"/>
      <c r="AK174" s="347"/>
      <c r="AL174" s="347"/>
      <c r="AM174" s="347"/>
      <c r="AN174" s="347"/>
      <c r="AO174" s="347"/>
      <c r="AP174" s="347"/>
      <c r="AQ174" s="347"/>
      <c r="AR174" s="347"/>
      <c r="AS174" s="810"/>
      <c r="AT174" s="349">
        <f t="shared" si="13"/>
        <v>313</v>
      </c>
      <c r="AU174" s="349">
        <f t="shared" si="14"/>
        <v>531</v>
      </c>
      <c r="AV174" s="817">
        <f t="shared" si="15"/>
        <v>422</v>
      </c>
      <c r="AW174" s="818">
        <f t="shared" si="276"/>
        <v>659</v>
      </c>
      <c r="AX174" s="818">
        <f t="shared" si="277"/>
        <v>659</v>
      </c>
      <c r="AY174" s="818">
        <f t="shared" si="18"/>
        <v>621</v>
      </c>
      <c r="AZ174" s="818">
        <f t="shared" si="278"/>
        <v>586</v>
      </c>
      <c r="BA174" s="818">
        <f t="shared" si="279"/>
        <v>502</v>
      </c>
      <c r="BB174" s="818">
        <f t="shared" si="280"/>
        <v>502</v>
      </c>
      <c r="BC174" s="818">
        <f t="shared" si="281"/>
        <v>502</v>
      </c>
      <c r="BD174" s="818">
        <f t="shared" si="282"/>
        <v>320</v>
      </c>
      <c r="BE174" s="818">
        <f t="shared" si="283"/>
        <v>377</v>
      </c>
      <c r="BF174" s="818">
        <f t="shared" si="25"/>
        <v>391</v>
      </c>
      <c r="BG174" s="818">
        <f t="shared" si="26"/>
        <v>480</v>
      </c>
      <c r="BH174" s="818">
        <f t="shared" si="284"/>
        <v>502</v>
      </c>
      <c r="BI174" s="818">
        <f t="shared" si="285"/>
        <v>502</v>
      </c>
      <c r="BJ174" s="818">
        <f t="shared" si="286"/>
        <v>440</v>
      </c>
      <c r="BK174" s="818">
        <f t="shared" si="287"/>
        <v>377</v>
      </c>
      <c r="BL174" s="818">
        <f t="shared" si="288"/>
        <v>377</v>
      </c>
      <c r="BM174" s="347"/>
      <c r="BN174" s="818">
        <f t="shared" si="351"/>
        <v>1241</v>
      </c>
      <c r="BO174" s="347"/>
      <c r="BP174" s="823">
        <f t="shared" si="33"/>
        <v>1241</v>
      </c>
      <c r="BQ174" s="338">
        <v>2.0</v>
      </c>
      <c r="BR174" s="338">
        <v>13.0</v>
      </c>
      <c r="BS174" s="338">
        <v>10.0</v>
      </c>
      <c r="BT174" s="338">
        <v>75.0</v>
      </c>
      <c r="BU174" s="338">
        <v>75.0</v>
      </c>
      <c r="BV174" s="339">
        <f t="shared" si="34"/>
        <v>7.5</v>
      </c>
      <c r="BW174" s="819">
        <f t="shared" si="35"/>
        <v>508.8</v>
      </c>
      <c r="BX174" s="818">
        <f t="shared" si="289"/>
        <v>795</v>
      </c>
      <c r="BY174" s="818">
        <f t="shared" si="290"/>
        <v>795</v>
      </c>
      <c r="BZ174" s="818">
        <f t="shared" si="38"/>
        <v>748.2</v>
      </c>
      <c r="CA174" s="818">
        <f t="shared" si="291"/>
        <v>605.7</v>
      </c>
      <c r="CB174" s="818">
        <f t="shared" si="292"/>
        <v>605.7</v>
      </c>
      <c r="CC174" s="818">
        <f t="shared" si="293"/>
        <v>706.7</v>
      </c>
      <c r="CD174" s="818">
        <f t="shared" si="294"/>
        <v>605.7</v>
      </c>
      <c r="CE174" s="820" t="str">
        <f t="shared" si="43"/>
        <v/>
      </c>
      <c r="CF174" s="347">
        <f t="shared" si="248"/>
        <v>-17.1</v>
      </c>
      <c r="CG174" s="809">
        <f t="shared" si="295"/>
        <v>-17.1</v>
      </c>
      <c r="CH174" s="822" t="s">
        <v>1239</v>
      </c>
      <c r="CI174" s="818">
        <f t="shared" ref="CI174:DF174" si="353">FLOOR($AV174/(CI$3/25),1)</f>
        <v>422</v>
      </c>
      <c r="CJ174" s="818">
        <f t="shared" si="353"/>
        <v>439</v>
      </c>
      <c r="CK174" s="818">
        <f t="shared" si="353"/>
        <v>458</v>
      </c>
      <c r="CL174" s="818">
        <f t="shared" si="353"/>
        <v>479</v>
      </c>
      <c r="CM174" s="818">
        <f t="shared" si="353"/>
        <v>502</v>
      </c>
      <c r="CN174" s="818">
        <f t="shared" si="353"/>
        <v>527</v>
      </c>
      <c r="CO174" s="818">
        <f t="shared" si="353"/>
        <v>555</v>
      </c>
      <c r="CP174" s="818">
        <f t="shared" si="353"/>
        <v>586</v>
      </c>
      <c r="CQ174" s="818">
        <f t="shared" si="353"/>
        <v>620</v>
      </c>
      <c r="CR174" s="818">
        <f t="shared" si="353"/>
        <v>659</v>
      </c>
      <c r="CS174" s="818">
        <f t="shared" si="353"/>
        <v>703</v>
      </c>
      <c r="CT174" s="818">
        <f t="shared" si="353"/>
        <v>753</v>
      </c>
      <c r="CU174" s="818">
        <f t="shared" si="353"/>
        <v>811</v>
      </c>
      <c r="CV174" s="818">
        <f t="shared" si="353"/>
        <v>879</v>
      </c>
      <c r="CW174" s="818">
        <f t="shared" si="353"/>
        <v>959</v>
      </c>
      <c r="CX174" s="818">
        <f t="shared" si="353"/>
        <v>1055</v>
      </c>
      <c r="CY174" s="818">
        <f t="shared" si="353"/>
        <v>1172</v>
      </c>
      <c r="CZ174" s="818">
        <f t="shared" si="353"/>
        <v>1318</v>
      </c>
      <c r="DA174" s="818">
        <f t="shared" si="353"/>
        <v>1507</v>
      </c>
      <c r="DB174" s="818">
        <f t="shared" si="353"/>
        <v>1758</v>
      </c>
      <c r="DC174" s="818">
        <f t="shared" si="353"/>
        <v>2110</v>
      </c>
      <c r="DD174" s="818">
        <f t="shared" si="353"/>
        <v>2637</v>
      </c>
      <c r="DE174" s="818">
        <f t="shared" si="353"/>
        <v>3516</v>
      </c>
      <c r="DF174" s="823">
        <f t="shared" si="353"/>
        <v>5275</v>
      </c>
      <c r="DG174" s="810"/>
      <c r="DH174" s="810" t="str">
        <f t="shared" si="46"/>
        <v/>
      </c>
      <c r="DI174" s="347" t="str">
        <f t="shared" si="47"/>
        <v/>
      </c>
      <c r="DJ174" s="347" t="str">
        <f t="shared" si="48"/>
        <v/>
      </c>
      <c r="DK174" s="820" t="str">
        <f t="shared" si="49"/>
        <v/>
      </c>
      <c r="DL174" s="347"/>
      <c r="DM174" s="347"/>
      <c r="DN174" s="347"/>
      <c r="DO174" s="810"/>
      <c r="DP174" s="824"/>
    </row>
    <row r="175">
      <c r="A175" s="809">
        <v>169.0</v>
      </c>
      <c r="B175" s="337">
        <v>65.0</v>
      </c>
      <c r="C175" s="338">
        <v>5.0</v>
      </c>
      <c r="D175" s="338">
        <v>17.0</v>
      </c>
      <c r="E175" s="347"/>
      <c r="F175" s="349" t="s">
        <v>2344</v>
      </c>
      <c r="G175" s="349">
        <f t="shared" si="269"/>
        <v>15</v>
      </c>
      <c r="H175" s="349">
        <f t="shared" si="270"/>
        <v>15</v>
      </c>
      <c r="I175" s="349">
        <f t="shared" si="7"/>
        <v>16</v>
      </c>
      <c r="J175" s="349">
        <f t="shared" si="271"/>
        <v>19</v>
      </c>
      <c r="K175" s="349">
        <f t="shared" si="272"/>
        <v>19</v>
      </c>
      <c r="L175" s="349">
        <f t="shared" si="273"/>
        <v>17</v>
      </c>
      <c r="M175" s="884">
        <f t="shared" si="274"/>
        <v>19</v>
      </c>
      <c r="N175" s="811" t="s">
        <v>1247</v>
      </c>
      <c r="O175" s="844"/>
      <c r="P175" s="813"/>
      <c r="Q175" s="813" t="s">
        <v>1313</v>
      </c>
      <c r="R175" s="813" t="s">
        <v>1314</v>
      </c>
      <c r="S175" s="814" t="s">
        <v>1169</v>
      </c>
      <c r="T175" s="815" t="s">
        <v>1209</v>
      </c>
      <c r="U175" s="338">
        <v>23.0</v>
      </c>
      <c r="V175" s="338">
        <v>0.0</v>
      </c>
      <c r="W175" s="338">
        <v>52.0</v>
      </c>
      <c r="X175" s="338">
        <v>35.0</v>
      </c>
      <c r="Y175" s="338">
        <v>3.0</v>
      </c>
      <c r="Z175" s="338">
        <v>20.0</v>
      </c>
      <c r="AA175" s="338">
        <v>3.0</v>
      </c>
      <c r="AB175" s="347"/>
      <c r="AC175" s="338">
        <v>36.0</v>
      </c>
      <c r="AD175" s="338">
        <v>4.0</v>
      </c>
      <c r="AE175" s="338">
        <v>75.0</v>
      </c>
      <c r="AF175" s="338">
        <v>75.0</v>
      </c>
      <c r="AG175" s="338">
        <v>5.0</v>
      </c>
      <c r="AH175" s="338">
        <v>17.0</v>
      </c>
      <c r="AI175" s="816">
        <f t="shared" si="12"/>
        <v>11</v>
      </c>
      <c r="AJ175" s="347"/>
      <c r="AK175" s="347"/>
      <c r="AL175" s="347"/>
      <c r="AM175" s="347"/>
      <c r="AN175" s="347"/>
      <c r="AO175" s="347"/>
      <c r="AP175" s="347"/>
      <c r="AQ175" s="347"/>
      <c r="AR175" s="347"/>
      <c r="AS175" s="810"/>
      <c r="AT175" s="349">
        <f t="shared" si="13"/>
        <v>370</v>
      </c>
      <c r="AU175" s="349">
        <f t="shared" si="14"/>
        <v>610</v>
      </c>
      <c r="AV175" s="817">
        <f t="shared" si="15"/>
        <v>490</v>
      </c>
      <c r="AW175" s="818">
        <f t="shared" si="276"/>
        <v>681</v>
      </c>
      <c r="AX175" s="818">
        <f t="shared" si="277"/>
        <v>681</v>
      </c>
      <c r="AY175" s="818">
        <f t="shared" si="18"/>
        <v>613</v>
      </c>
      <c r="AZ175" s="818">
        <f t="shared" si="278"/>
        <v>583</v>
      </c>
      <c r="BA175" s="818">
        <f t="shared" si="279"/>
        <v>533</v>
      </c>
      <c r="BB175" s="818">
        <f t="shared" si="280"/>
        <v>533</v>
      </c>
      <c r="BC175" s="818">
        <f t="shared" si="281"/>
        <v>533</v>
      </c>
      <c r="BD175" s="818">
        <f t="shared" si="282"/>
        <v>299</v>
      </c>
      <c r="BE175" s="818">
        <f t="shared" si="283"/>
        <v>360</v>
      </c>
      <c r="BF175" s="818">
        <f t="shared" si="25"/>
        <v>340</v>
      </c>
      <c r="BG175" s="818">
        <f t="shared" si="26"/>
        <v>408</v>
      </c>
      <c r="BH175" s="818">
        <f t="shared" si="284"/>
        <v>454</v>
      </c>
      <c r="BI175" s="818">
        <f t="shared" si="285"/>
        <v>454</v>
      </c>
      <c r="BJ175" s="818">
        <f t="shared" si="286"/>
        <v>395</v>
      </c>
      <c r="BK175" s="818">
        <f t="shared" si="287"/>
        <v>360</v>
      </c>
      <c r="BL175" s="818">
        <f t="shared" si="288"/>
        <v>360</v>
      </c>
      <c r="BM175" s="347"/>
      <c r="BN175" s="818">
        <f t="shared" si="351"/>
        <v>1225</v>
      </c>
      <c r="BO175" s="347"/>
      <c r="BP175" s="823">
        <f t="shared" si="33"/>
        <v>1225</v>
      </c>
      <c r="BQ175" s="338">
        <v>5.0</v>
      </c>
      <c r="BR175" s="338">
        <v>17.0</v>
      </c>
      <c r="BS175" s="338">
        <v>20.0</v>
      </c>
      <c r="BT175" s="338">
        <v>75.0</v>
      </c>
      <c r="BU175" s="338">
        <v>75.0</v>
      </c>
      <c r="BV175" s="339">
        <f t="shared" si="34"/>
        <v>11</v>
      </c>
      <c r="BW175" s="819">
        <f t="shared" si="35"/>
        <v>592.4</v>
      </c>
      <c r="BX175" s="818">
        <f t="shared" si="289"/>
        <v>822.8</v>
      </c>
      <c r="BY175" s="818">
        <f t="shared" si="290"/>
        <v>822.8</v>
      </c>
      <c r="BZ175" s="818">
        <f t="shared" si="38"/>
        <v>740.5</v>
      </c>
      <c r="CA175" s="818">
        <f t="shared" si="291"/>
        <v>643.9</v>
      </c>
      <c r="CB175" s="818">
        <f t="shared" si="292"/>
        <v>643.9</v>
      </c>
      <c r="CC175" s="818">
        <f t="shared" si="293"/>
        <v>705.2</v>
      </c>
      <c r="CD175" s="818">
        <f t="shared" si="294"/>
        <v>643.9</v>
      </c>
      <c r="CE175" s="820" t="str">
        <f t="shared" si="43"/>
        <v/>
      </c>
      <c r="CF175" s="347">
        <f t="shared" si="248"/>
        <v>-17.3</v>
      </c>
      <c r="CG175" s="809">
        <f t="shared" si="295"/>
        <v>-17.2</v>
      </c>
      <c r="CH175" s="822" t="s">
        <v>1247</v>
      </c>
      <c r="CI175" s="818">
        <f t="shared" ref="CI175:DF175" si="354">FLOOR($AV175/(CI$3/25),1)</f>
        <v>490</v>
      </c>
      <c r="CJ175" s="818">
        <f t="shared" si="354"/>
        <v>510</v>
      </c>
      <c r="CK175" s="818">
        <f t="shared" si="354"/>
        <v>532</v>
      </c>
      <c r="CL175" s="818">
        <f t="shared" si="354"/>
        <v>556</v>
      </c>
      <c r="CM175" s="818">
        <f t="shared" si="354"/>
        <v>583</v>
      </c>
      <c r="CN175" s="818">
        <f t="shared" si="354"/>
        <v>612</v>
      </c>
      <c r="CO175" s="818">
        <f t="shared" si="354"/>
        <v>644</v>
      </c>
      <c r="CP175" s="818">
        <f t="shared" si="354"/>
        <v>680</v>
      </c>
      <c r="CQ175" s="818">
        <f t="shared" si="354"/>
        <v>720</v>
      </c>
      <c r="CR175" s="818">
        <f t="shared" si="354"/>
        <v>765</v>
      </c>
      <c r="CS175" s="818">
        <f t="shared" si="354"/>
        <v>816</v>
      </c>
      <c r="CT175" s="818">
        <f t="shared" si="354"/>
        <v>875</v>
      </c>
      <c r="CU175" s="818">
        <f t="shared" si="354"/>
        <v>942</v>
      </c>
      <c r="CV175" s="818">
        <f t="shared" si="354"/>
        <v>1020</v>
      </c>
      <c r="CW175" s="818">
        <f t="shared" si="354"/>
        <v>1113</v>
      </c>
      <c r="CX175" s="818">
        <f t="shared" si="354"/>
        <v>1225</v>
      </c>
      <c r="CY175" s="818">
        <f t="shared" si="354"/>
        <v>1361</v>
      </c>
      <c r="CZ175" s="818">
        <f t="shared" si="354"/>
        <v>1531</v>
      </c>
      <c r="DA175" s="818">
        <f t="shared" si="354"/>
        <v>1750</v>
      </c>
      <c r="DB175" s="818">
        <f t="shared" si="354"/>
        <v>2041</v>
      </c>
      <c r="DC175" s="818">
        <f t="shared" si="354"/>
        <v>2450</v>
      </c>
      <c r="DD175" s="818">
        <f t="shared" si="354"/>
        <v>3062</v>
      </c>
      <c r="DE175" s="818">
        <f t="shared" si="354"/>
        <v>4083</v>
      </c>
      <c r="DF175" s="823">
        <f t="shared" si="354"/>
        <v>6125</v>
      </c>
      <c r="DG175" s="810"/>
      <c r="DH175" s="810" t="str">
        <f t="shared" si="46"/>
        <v/>
      </c>
      <c r="DI175" s="347" t="str">
        <f t="shared" si="47"/>
        <v/>
      </c>
      <c r="DJ175" s="347" t="str">
        <f t="shared" si="48"/>
        <v/>
      </c>
      <c r="DK175" s="820" t="str">
        <f t="shared" si="49"/>
        <v/>
      </c>
      <c r="DL175" s="347"/>
      <c r="DM175" s="347"/>
      <c r="DN175" s="347"/>
      <c r="DO175" s="810"/>
      <c r="DP175" s="824"/>
    </row>
    <row r="176">
      <c r="A176" s="825">
        <v>170.0</v>
      </c>
      <c r="B176" s="438">
        <v>67.0</v>
      </c>
      <c r="C176" s="440">
        <v>5.0</v>
      </c>
      <c r="D176" s="440">
        <v>15.0</v>
      </c>
      <c r="E176" s="439"/>
      <c r="F176" s="459" t="s">
        <v>2344</v>
      </c>
      <c r="G176" s="459">
        <f t="shared" si="269"/>
        <v>15</v>
      </c>
      <c r="H176" s="459">
        <f t="shared" si="270"/>
        <v>15</v>
      </c>
      <c r="I176" s="459">
        <f t="shared" si="7"/>
        <v>16</v>
      </c>
      <c r="J176" s="459">
        <f t="shared" si="271"/>
        <v>19</v>
      </c>
      <c r="K176" s="459">
        <f t="shared" si="272"/>
        <v>19</v>
      </c>
      <c r="L176" s="459">
        <f t="shared" si="273"/>
        <v>17</v>
      </c>
      <c r="M176" s="887">
        <f t="shared" si="274"/>
        <v>19</v>
      </c>
      <c r="N176" s="827" t="s">
        <v>1252</v>
      </c>
      <c r="O176" s="888"/>
      <c r="P176" s="829"/>
      <c r="Q176" s="829" t="s">
        <v>1313</v>
      </c>
      <c r="R176" s="829" t="s">
        <v>1314</v>
      </c>
      <c r="S176" s="830" t="s">
        <v>1169</v>
      </c>
      <c r="T176" s="831" t="s">
        <v>1219</v>
      </c>
      <c r="U176" s="440">
        <v>29.0</v>
      </c>
      <c r="V176" s="440">
        <v>0.0</v>
      </c>
      <c r="W176" s="439"/>
      <c r="X176" s="440">
        <v>65.0</v>
      </c>
      <c r="Y176" s="440">
        <v>3.0</v>
      </c>
      <c r="Z176" s="440">
        <v>-10.0</v>
      </c>
      <c r="AA176" s="440">
        <v>3.0</v>
      </c>
      <c r="AB176" s="439"/>
      <c r="AC176" s="440">
        <v>48.0</v>
      </c>
      <c r="AD176" s="440">
        <v>4.0</v>
      </c>
      <c r="AE176" s="440">
        <v>75.0</v>
      </c>
      <c r="AF176" s="440">
        <v>75.0</v>
      </c>
      <c r="AG176" s="440">
        <v>5.0</v>
      </c>
      <c r="AH176" s="440">
        <v>15.0</v>
      </c>
      <c r="AI176" s="832">
        <f t="shared" si="12"/>
        <v>10</v>
      </c>
      <c r="AJ176" s="439"/>
      <c r="AK176" s="439"/>
      <c r="AL176" s="439"/>
      <c r="AM176" s="439"/>
      <c r="AN176" s="439"/>
      <c r="AO176" s="439"/>
      <c r="AP176" s="439"/>
      <c r="AQ176" s="439"/>
      <c r="AR176" s="439"/>
      <c r="AS176" s="826"/>
      <c r="AT176" s="459">
        <f t="shared" si="13"/>
        <v>370</v>
      </c>
      <c r="AU176" s="459">
        <f t="shared" si="14"/>
        <v>571</v>
      </c>
      <c r="AV176" s="833">
        <f t="shared" si="15"/>
        <v>470.5</v>
      </c>
      <c r="AW176" s="834">
        <f t="shared" si="276"/>
        <v>905</v>
      </c>
      <c r="AX176" s="834">
        <f t="shared" si="277"/>
        <v>905</v>
      </c>
      <c r="AY176" s="834">
        <f t="shared" si="18"/>
        <v>840</v>
      </c>
      <c r="AZ176" s="834">
        <f t="shared" si="278"/>
        <v>784</v>
      </c>
      <c r="BA176" s="834">
        <f t="shared" si="279"/>
        <v>692</v>
      </c>
      <c r="BB176" s="834">
        <f t="shared" si="280"/>
        <v>692</v>
      </c>
      <c r="BC176" s="834">
        <f t="shared" si="281"/>
        <v>692</v>
      </c>
      <c r="BD176" s="834">
        <f t="shared" si="282"/>
        <v>535</v>
      </c>
      <c r="BE176" s="834">
        <f t="shared" si="283"/>
        <v>653</v>
      </c>
      <c r="BF176" s="834">
        <f t="shared" si="25"/>
        <v>653</v>
      </c>
      <c r="BG176" s="834">
        <f t="shared" si="26"/>
        <v>784</v>
      </c>
      <c r="BH176" s="834">
        <f t="shared" si="284"/>
        <v>840</v>
      </c>
      <c r="BI176" s="834">
        <f t="shared" si="285"/>
        <v>840</v>
      </c>
      <c r="BJ176" s="834">
        <f t="shared" si="286"/>
        <v>735</v>
      </c>
      <c r="BK176" s="834">
        <f t="shared" si="287"/>
        <v>653</v>
      </c>
      <c r="BL176" s="834">
        <f t="shared" si="288"/>
        <v>653</v>
      </c>
      <c r="BM176" s="439"/>
      <c r="BN176" s="834">
        <f t="shared" si="351"/>
        <v>1680</v>
      </c>
      <c r="BO176" s="439"/>
      <c r="BP176" s="839">
        <f t="shared" si="33"/>
        <v>1680</v>
      </c>
      <c r="BQ176" s="440">
        <v>5.0</v>
      </c>
      <c r="BR176" s="440">
        <v>15.0</v>
      </c>
      <c r="BS176" s="440">
        <v>-10.0</v>
      </c>
      <c r="BT176" s="440">
        <v>75.0</v>
      </c>
      <c r="BU176" s="440">
        <v>75.0</v>
      </c>
      <c r="BV176" s="442">
        <f t="shared" si="34"/>
        <v>10</v>
      </c>
      <c r="BW176" s="835">
        <f t="shared" si="35"/>
        <v>568.5</v>
      </c>
      <c r="BX176" s="834">
        <f t="shared" si="289"/>
        <v>1093.3</v>
      </c>
      <c r="BY176" s="834">
        <f t="shared" si="290"/>
        <v>1093.3</v>
      </c>
      <c r="BZ176" s="834">
        <f t="shared" si="38"/>
        <v>1015.2</v>
      </c>
      <c r="CA176" s="834">
        <f t="shared" si="291"/>
        <v>836</v>
      </c>
      <c r="CB176" s="834">
        <f t="shared" si="292"/>
        <v>836</v>
      </c>
      <c r="CC176" s="834">
        <f t="shared" si="293"/>
        <v>947.5</v>
      </c>
      <c r="CD176" s="834">
        <f t="shared" si="294"/>
        <v>836</v>
      </c>
      <c r="CE176" s="836" t="str">
        <f t="shared" si="43"/>
        <v/>
      </c>
      <c r="CF176" s="439">
        <f t="shared" si="248"/>
        <v>-17.2</v>
      </c>
      <c r="CG176" s="826">
        <f t="shared" si="295"/>
        <v>-17.2</v>
      </c>
      <c r="CH176" s="838" t="s">
        <v>1252</v>
      </c>
      <c r="CI176" s="834">
        <f t="shared" ref="CI176:DF176" si="355">FLOOR($AV176/(CI$3/25),1)</f>
        <v>470</v>
      </c>
      <c r="CJ176" s="834">
        <f t="shared" si="355"/>
        <v>490</v>
      </c>
      <c r="CK176" s="834">
        <f t="shared" si="355"/>
        <v>511</v>
      </c>
      <c r="CL176" s="834">
        <f t="shared" si="355"/>
        <v>534</v>
      </c>
      <c r="CM176" s="834">
        <f t="shared" si="355"/>
        <v>560</v>
      </c>
      <c r="CN176" s="834">
        <f t="shared" si="355"/>
        <v>588</v>
      </c>
      <c r="CO176" s="834">
        <f t="shared" si="355"/>
        <v>619</v>
      </c>
      <c r="CP176" s="834">
        <f t="shared" si="355"/>
        <v>653</v>
      </c>
      <c r="CQ176" s="834">
        <f t="shared" si="355"/>
        <v>691</v>
      </c>
      <c r="CR176" s="834">
        <f t="shared" si="355"/>
        <v>735</v>
      </c>
      <c r="CS176" s="834">
        <f t="shared" si="355"/>
        <v>784</v>
      </c>
      <c r="CT176" s="834">
        <f t="shared" si="355"/>
        <v>840</v>
      </c>
      <c r="CU176" s="834">
        <f t="shared" si="355"/>
        <v>904</v>
      </c>
      <c r="CV176" s="834">
        <f t="shared" si="355"/>
        <v>980</v>
      </c>
      <c r="CW176" s="834">
        <f t="shared" si="355"/>
        <v>1069</v>
      </c>
      <c r="CX176" s="834">
        <f t="shared" si="355"/>
        <v>1176</v>
      </c>
      <c r="CY176" s="834">
        <f t="shared" si="355"/>
        <v>1306</v>
      </c>
      <c r="CZ176" s="834">
        <f t="shared" si="355"/>
        <v>1470</v>
      </c>
      <c r="DA176" s="834">
        <f t="shared" si="355"/>
        <v>1680</v>
      </c>
      <c r="DB176" s="834">
        <f t="shared" si="355"/>
        <v>1960</v>
      </c>
      <c r="DC176" s="834">
        <f t="shared" si="355"/>
        <v>2352</v>
      </c>
      <c r="DD176" s="834">
        <f t="shared" si="355"/>
        <v>2940</v>
      </c>
      <c r="DE176" s="834">
        <f t="shared" si="355"/>
        <v>3920</v>
      </c>
      <c r="DF176" s="839">
        <f t="shared" si="355"/>
        <v>5881</v>
      </c>
      <c r="DG176" s="826"/>
      <c r="DH176" s="826" t="str">
        <f t="shared" si="46"/>
        <v/>
      </c>
      <c r="DI176" s="439" t="str">
        <f t="shared" si="47"/>
        <v/>
      </c>
      <c r="DJ176" s="439" t="str">
        <f t="shared" si="48"/>
        <v/>
      </c>
      <c r="DK176" s="836" t="str">
        <f t="shared" si="49"/>
        <v/>
      </c>
      <c r="DL176" s="439"/>
      <c r="DM176" s="439"/>
      <c r="DN176" s="439"/>
      <c r="DO176" s="826"/>
      <c r="DP176" s="840"/>
    </row>
    <row r="177">
      <c r="A177" s="809">
        <v>171.0</v>
      </c>
      <c r="B177" s="337">
        <v>167.0</v>
      </c>
      <c r="C177" s="338">
        <v>7.0</v>
      </c>
      <c r="D177" s="338">
        <v>24.0</v>
      </c>
      <c r="E177" s="347"/>
      <c r="F177" s="349" t="s">
        <v>2344</v>
      </c>
      <c r="G177" s="349">
        <f t="shared" si="269"/>
        <v>15</v>
      </c>
      <c r="H177" s="349">
        <f t="shared" si="270"/>
        <v>15</v>
      </c>
      <c r="I177" s="349">
        <f t="shared" si="7"/>
        <v>16</v>
      </c>
      <c r="J177" s="349">
        <f t="shared" si="271"/>
        <v>19</v>
      </c>
      <c r="K177" s="349">
        <f t="shared" si="272"/>
        <v>19</v>
      </c>
      <c r="L177" s="349">
        <f t="shared" si="273"/>
        <v>17</v>
      </c>
      <c r="M177" s="884">
        <f t="shared" si="274"/>
        <v>19</v>
      </c>
      <c r="N177" s="811" t="s">
        <v>1228</v>
      </c>
      <c r="O177" s="844"/>
      <c r="P177" s="813"/>
      <c r="Q177" s="813" t="s">
        <v>1670</v>
      </c>
      <c r="R177" s="813" t="s">
        <v>1314</v>
      </c>
      <c r="S177" s="814" t="s">
        <v>1169</v>
      </c>
      <c r="T177" s="815" t="s">
        <v>1134</v>
      </c>
      <c r="U177" s="338">
        <v>30.0</v>
      </c>
      <c r="V177" s="338">
        <v>18.0</v>
      </c>
      <c r="W177" s="338">
        <v>25.0</v>
      </c>
      <c r="X177" s="338">
        <v>25.0</v>
      </c>
      <c r="Y177" s="338">
        <v>2.0</v>
      </c>
      <c r="Z177" s="338">
        <v>-10.0</v>
      </c>
      <c r="AA177" s="338">
        <v>3.0</v>
      </c>
      <c r="AB177" s="347"/>
      <c r="AC177" s="338">
        <v>120.0</v>
      </c>
      <c r="AD177" s="338">
        <v>4.0</v>
      </c>
      <c r="AE177" s="338">
        <v>75.0</v>
      </c>
      <c r="AF177" s="338">
        <v>75.0</v>
      </c>
      <c r="AG177" s="338">
        <v>7.0</v>
      </c>
      <c r="AH177" s="338">
        <v>24.0</v>
      </c>
      <c r="AI177" s="816">
        <f t="shared" si="12"/>
        <v>15.5</v>
      </c>
      <c r="AJ177" s="846"/>
      <c r="AK177" s="846"/>
      <c r="AL177" s="347"/>
      <c r="AM177" s="347"/>
      <c r="AN177" s="347"/>
      <c r="AO177" s="347"/>
      <c r="AP177" s="347"/>
      <c r="AQ177" s="347"/>
      <c r="AR177" s="347"/>
      <c r="AS177" s="810"/>
      <c r="AT177" s="349">
        <f t="shared" si="13"/>
        <v>410</v>
      </c>
      <c r="AU177" s="349">
        <f t="shared" si="14"/>
        <v>750</v>
      </c>
      <c r="AV177" s="817">
        <f t="shared" si="15"/>
        <v>580</v>
      </c>
      <c r="AW177" s="818">
        <f t="shared" si="276"/>
        <v>1115</v>
      </c>
      <c r="AX177" s="818">
        <f t="shared" si="277"/>
        <v>1115</v>
      </c>
      <c r="AY177" s="818">
        <f t="shared" si="18"/>
        <v>1036</v>
      </c>
      <c r="AZ177" s="818">
        <f t="shared" si="278"/>
        <v>967</v>
      </c>
      <c r="BA177" s="818">
        <f t="shared" si="279"/>
        <v>853</v>
      </c>
      <c r="BB177" s="818">
        <f t="shared" si="280"/>
        <v>853</v>
      </c>
      <c r="BC177" s="818">
        <f t="shared" si="281"/>
        <v>853</v>
      </c>
      <c r="BD177" s="818">
        <f t="shared" si="282"/>
        <v>659</v>
      </c>
      <c r="BE177" s="818">
        <f t="shared" si="283"/>
        <v>806</v>
      </c>
      <c r="BF177" s="818">
        <f t="shared" si="25"/>
        <v>806</v>
      </c>
      <c r="BG177" s="818">
        <f t="shared" si="26"/>
        <v>967</v>
      </c>
      <c r="BH177" s="818">
        <f t="shared" si="284"/>
        <v>1036</v>
      </c>
      <c r="BI177" s="818">
        <f t="shared" si="285"/>
        <v>1036</v>
      </c>
      <c r="BJ177" s="818">
        <f t="shared" si="286"/>
        <v>906</v>
      </c>
      <c r="BK177" s="818">
        <f t="shared" si="287"/>
        <v>806</v>
      </c>
      <c r="BL177" s="818">
        <f t="shared" si="288"/>
        <v>806</v>
      </c>
      <c r="BM177" s="347"/>
      <c r="BN177" s="818">
        <f t="shared" si="351"/>
        <v>2071</v>
      </c>
      <c r="BO177" s="347"/>
      <c r="BP177" s="823">
        <f t="shared" si="33"/>
        <v>2071</v>
      </c>
      <c r="BQ177" s="338">
        <v>6.0</v>
      </c>
      <c r="BR177" s="338">
        <v>19.0</v>
      </c>
      <c r="BS177" s="338">
        <v>-10.0</v>
      </c>
      <c r="BT177" s="338">
        <v>75.0</v>
      </c>
      <c r="BU177" s="338">
        <v>75.0</v>
      </c>
      <c r="BV177" s="339">
        <f t="shared" si="34"/>
        <v>12.5</v>
      </c>
      <c r="BW177" s="819">
        <f t="shared" si="35"/>
        <v>628.2</v>
      </c>
      <c r="BX177" s="818">
        <f t="shared" si="289"/>
        <v>1208.1</v>
      </c>
      <c r="BY177" s="818">
        <f t="shared" si="290"/>
        <v>1208.1</v>
      </c>
      <c r="BZ177" s="818">
        <f t="shared" si="38"/>
        <v>1121.8</v>
      </c>
      <c r="CA177" s="818">
        <f t="shared" si="291"/>
        <v>923.8</v>
      </c>
      <c r="CB177" s="818">
        <f t="shared" si="292"/>
        <v>923.8</v>
      </c>
      <c r="CC177" s="818">
        <f t="shared" si="293"/>
        <v>1047</v>
      </c>
      <c r="CD177" s="818">
        <f t="shared" si="294"/>
        <v>923.8</v>
      </c>
      <c r="CE177" s="842">
        <f t="shared" si="43"/>
        <v>24</v>
      </c>
      <c r="CF177" s="337">
        <f t="shared" si="248"/>
        <v>-7.7</v>
      </c>
      <c r="CG177" s="809">
        <f t="shared" si="295"/>
        <v>-7.7</v>
      </c>
      <c r="CH177" s="822" t="s">
        <v>1228</v>
      </c>
      <c r="CI177" s="818">
        <f t="shared" ref="CI177:DF177" si="356">FLOOR($AV177/(CI$3/25),1)</f>
        <v>580</v>
      </c>
      <c r="CJ177" s="818">
        <f t="shared" si="356"/>
        <v>604</v>
      </c>
      <c r="CK177" s="818">
        <f t="shared" si="356"/>
        <v>630</v>
      </c>
      <c r="CL177" s="818">
        <f t="shared" si="356"/>
        <v>659</v>
      </c>
      <c r="CM177" s="818">
        <f t="shared" si="356"/>
        <v>690</v>
      </c>
      <c r="CN177" s="818">
        <f t="shared" si="356"/>
        <v>725</v>
      </c>
      <c r="CO177" s="818">
        <f t="shared" si="356"/>
        <v>763</v>
      </c>
      <c r="CP177" s="818">
        <f t="shared" si="356"/>
        <v>805</v>
      </c>
      <c r="CQ177" s="818">
        <f t="shared" si="356"/>
        <v>852</v>
      </c>
      <c r="CR177" s="818">
        <f t="shared" si="356"/>
        <v>906</v>
      </c>
      <c r="CS177" s="818">
        <f t="shared" si="356"/>
        <v>966</v>
      </c>
      <c r="CT177" s="818">
        <f t="shared" si="356"/>
        <v>1035</v>
      </c>
      <c r="CU177" s="818">
        <f t="shared" si="356"/>
        <v>1115</v>
      </c>
      <c r="CV177" s="818">
        <f t="shared" si="356"/>
        <v>1208</v>
      </c>
      <c r="CW177" s="818">
        <f t="shared" si="356"/>
        <v>1318</v>
      </c>
      <c r="CX177" s="818">
        <f t="shared" si="356"/>
        <v>1450</v>
      </c>
      <c r="CY177" s="818">
        <f t="shared" si="356"/>
        <v>1611</v>
      </c>
      <c r="CZ177" s="818">
        <f t="shared" si="356"/>
        <v>1812</v>
      </c>
      <c r="DA177" s="818">
        <f t="shared" si="356"/>
        <v>2071</v>
      </c>
      <c r="DB177" s="818">
        <f t="shared" si="356"/>
        <v>2416</v>
      </c>
      <c r="DC177" s="818">
        <f t="shared" si="356"/>
        <v>2900</v>
      </c>
      <c r="DD177" s="818">
        <f t="shared" si="356"/>
        <v>3625</v>
      </c>
      <c r="DE177" s="818">
        <f t="shared" si="356"/>
        <v>4833</v>
      </c>
      <c r="DF177" s="823">
        <f t="shared" si="356"/>
        <v>7250</v>
      </c>
      <c r="DG177" s="810"/>
      <c r="DH177" s="810" t="str">
        <f t="shared" si="46"/>
        <v/>
      </c>
      <c r="DI177" s="347" t="str">
        <f t="shared" si="47"/>
        <v/>
      </c>
      <c r="DJ177" s="347" t="str">
        <f t="shared" si="48"/>
        <v/>
      </c>
      <c r="DK177" s="820" t="str">
        <f t="shared" si="49"/>
        <v/>
      </c>
      <c r="DL177" s="347"/>
      <c r="DM177" s="347"/>
      <c r="DN177" s="818">
        <f t="shared" ref="DN177:DN186" si="358">IF(ISBLANK(DL177),ROUND(AI177/IF(ISBLANK(DL172),AI172,DL172),1),ROUND(DL177/IF(ISBLANK(DL172),AI172,DL172),1))</f>
        <v>5.2</v>
      </c>
      <c r="DO177" s="810"/>
      <c r="DP177" s="824"/>
    </row>
    <row r="178">
      <c r="A178" s="809">
        <v>172.0</v>
      </c>
      <c r="B178" s="337">
        <v>169.0</v>
      </c>
      <c r="C178" s="338">
        <v>13.0</v>
      </c>
      <c r="D178" s="338">
        <v>33.0</v>
      </c>
      <c r="E178" s="347"/>
      <c r="F178" s="349" t="s">
        <v>2344</v>
      </c>
      <c r="G178" s="349">
        <f t="shared" si="269"/>
        <v>15</v>
      </c>
      <c r="H178" s="349">
        <f t="shared" si="270"/>
        <v>15</v>
      </c>
      <c r="I178" s="349">
        <f t="shared" si="7"/>
        <v>16</v>
      </c>
      <c r="J178" s="349">
        <f t="shared" si="271"/>
        <v>19</v>
      </c>
      <c r="K178" s="349">
        <f t="shared" si="272"/>
        <v>19</v>
      </c>
      <c r="L178" s="349">
        <f t="shared" si="273"/>
        <v>17</v>
      </c>
      <c r="M178" s="884">
        <f t="shared" si="274"/>
        <v>19</v>
      </c>
      <c r="N178" s="811" t="s">
        <v>1236</v>
      </c>
      <c r="O178" s="844"/>
      <c r="P178" s="813"/>
      <c r="Q178" s="813" t="s">
        <v>1670</v>
      </c>
      <c r="R178" s="813" t="s">
        <v>1314</v>
      </c>
      <c r="S178" s="814" t="s">
        <v>1169</v>
      </c>
      <c r="T178" s="815" t="s">
        <v>1180</v>
      </c>
      <c r="U178" s="338">
        <v>37.0</v>
      </c>
      <c r="V178" s="338">
        <v>25.0</v>
      </c>
      <c r="W178" s="338">
        <v>25.0</v>
      </c>
      <c r="X178" s="679">
        <v>88.0</v>
      </c>
      <c r="Y178" s="338">
        <v>2.0</v>
      </c>
      <c r="Z178" s="338">
        <v>0.0</v>
      </c>
      <c r="AA178" s="338">
        <v>3.0</v>
      </c>
      <c r="AB178" s="347"/>
      <c r="AC178" s="338">
        <v>125.0</v>
      </c>
      <c r="AD178" s="338">
        <v>4.0</v>
      </c>
      <c r="AE178" s="338">
        <v>75.0</v>
      </c>
      <c r="AF178" s="338">
        <v>75.0</v>
      </c>
      <c r="AG178" s="338">
        <v>13.0</v>
      </c>
      <c r="AH178" s="338">
        <v>33.0</v>
      </c>
      <c r="AI178" s="816">
        <f t="shared" si="12"/>
        <v>23</v>
      </c>
      <c r="AJ178" s="347"/>
      <c r="AK178" s="347"/>
      <c r="AL178" s="347"/>
      <c r="AM178" s="347"/>
      <c r="AN178" s="347"/>
      <c r="AO178" s="347"/>
      <c r="AP178" s="347"/>
      <c r="AQ178" s="347"/>
      <c r="AR178" s="347"/>
      <c r="AS178" s="810"/>
      <c r="AT178" s="349">
        <f t="shared" si="13"/>
        <v>531</v>
      </c>
      <c r="AU178" s="349">
        <f t="shared" si="14"/>
        <v>928</v>
      </c>
      <c r="AV178" s="817">
        <f t="shared" si="15"/>
        <v>729.5</v>
      </c>
      <c r="AW178" s="818">
        <f t="shared" si="276"/>
        <v>1303</v>
      </c>
      <c r="AX178" s="818">
        <f t="shared" si="277"/>
        <v>1303</v>
      </c>
      <c r="AY178" s="818">
        <f t="shared" si="18"/>
        <v>1216</v>
      </c>
      <c r="AZ178" s="818">
        <f t="shared" si="278"/>
        <v>1140</v>
      </c>
      <c r="BA178" s="818">
        <f t="shared" si="279"/>
        <v>1013</v>
      </c>
      <c r="BB178" s="818">
        <f t="shared" si="280"/>
        <v>1013</v>
      </c>
      <c r="BC178" s="818">
        <f t="shared" si="281"/>
        <v>1013</v>
      </c>
      <c r="BD178" s="818">
        <f t="shared" si="282"/>
        <v>675</v>
      </c>
      <c r="BE178" s="818">
        <f t="shared" si="283"/>
        <v>829</v>
      </c>
      <c r="BF178" s="818">
        <f t="shared" si="25"/>
        <v>793</v>
      </c>
      <c r="BG178" s="818">
        <f t="shared" si="26"/>
        <v>960</v>
      </c>
      <c r="BH178" s="818">
        <f t="shared" si="284"/>
        <v>1013</v>
      </c>
      <c r="BI178" s="818">
        <f t="shared" si="285"/>
        <v>1013</v>
      </c>
      <c r="BJ178" s="818">
        <f t="shared" si="286"/>
        <v>912</v>
      </c>
      <c r="BK178" s="818">
        <f t="shared" si="287"/>
        <v>829</v>
      </c>
      <c r="BL178" s="818">
        <f t="shared" si="288"/>
        <v>829</v>
      </c>
      <c r="BM178" s="347"/>
      <c r="BN178" s="818">
        <f t="shared" si="351"/>
        <v>2432</v>
      </c>
      <c r="BO178" s="347"/>
      <c r="BP178" s="823">
        <f t="shared" si="33"/>
        <v>2432</v>
      </c>
      <c r="BQ178" s="338">
        <v>11.0</v>
      </c>
      <c r="BR178" s="338">
        <v>26.0</v>
      </c>
      <c r="BS178" s="347"/>
      <c r="BT178" s="338">
        <v>75.0</v>
      </c>
      <c r="BU178" s="338">
        <v>75.0</v>
      </c>
      <c r="BV178" s="339">
        <f t="shared" si="34"/>
        <v>18.5</v>
      </c>
      <c r="BW178" s="819">
        <f t="shared" si="35"/>
        <v>771.4</v>
      </c>
      <c r="BX178" s="818">
        <f t="shared" si="289"/>
        <v>1377.5</v>
      </c>
      <c r="BY178" s="818">
        <f t="shared" si="290"/>
        <v>1377.5</v>
      </c>
      <c r="BZ178" s="818">
        <f t="shared" si="38"/>
        <v>1285.7</v>
      </c>
      <c r="CA178" s="818">
        <f t="shared" si="291"/>
        <v>1071.4</v>
      </c>
      <c r="CB178" s="818">
        <f t="shared" si="292"/>
        <v>1071.4</v>
      </c>
      <c r="CC178" s="818">
        <f t="shared" si="293"/>
        <v>1205.3</v>
      </c>
      <c r="CD178" s="818">
        <f t="shared" si="294"/>
        <v>1071.4</v>
      </c>
      <c r="CE178" s="842">
        <f t="shared" si="43"/>
        <v>24.3</v>
      </c>
      <c r="CF178" s="337">
        <f t="shared" si="248"/>
        <v>-5.4</v>
      </c>
      <c r="CG178" s="809">
        <f t="shared" si="295"/>
        <v>-5.4</v>
      </c>
      <c r="CH178" s="822" t="s">
        <v>1236</v>
      </c>
      <c r="CI178" s="818">
        <f t="shared" ref="CI178:DF178" si="357">FLOOR($AV178/(CI$3/25),1)</f>
        <v>729</v>
      </c>
      <c r="CJ178" s="818">
        <f t="shared" si="357"/>
        <v>759</v>
      </c>
      <c r="CK178" s="818">
        <f t="shared" si="357"/>
        <v>792</v>
      </c>
      <c r="CL178" s="818">
        <f t="shared" si="357"/>
        <v>828</v>
      </c>
      <c r="CM178" s="818">
        <f t="shared" si="357"/>
        <v>868</v>
      </c>
      <c r="CN178" s="818">
        <f t="shared" si="357"/>
        <v>911</v>
      </c>
      <c r="CO178" s="818">
        <f t="shared" si="357"/>
        <v>959</v>
      </c>
      <c r="CP178" s="818">
        <f t="shared" si="357"/>
        <v>1013</v>
      </c>
      <c r="CQ178" s="818">
        <f t="shared" si="357"/>
        <v>1072</v>
      </c>
      <c r="CR178" s="818">
        <f t="shared" si="357"/>
        <v>1139</v>
      </c>
      <c r="CS178" s="818">
        <f t="shared" si="357"/>
        <v>1215</v>
      </c>
      <c r="CT178" s="818">
        <f t="shared" si="357"/>
        <v>1302</v>
      </c>
      <c r="CU178" s="818">
        <f t="shared" si="357"/>
        <v>1402</v>
      </c>
      <c r="CV178" s="818">
        <f t="shared" si="357"/>
        <v>1519</v>
      </c>
      <c r="CW178" s="818">
        <f t="shared" si="357"/>
        <v>1657</v>
      </c>
      <c r="CX178" s="818">
        <f t="shared" si="357"/>
        <v>1823</v>
      </c>
      <c r="CY178" s="818">
        <f t="shared" si="357"/>
        <v>2026</v>
      </c>
      <c r="CZ178" s="818">
        <f t="shared" si="357"/>
        <v>2279</v>
      </c>
      <c r="DA178" s="818">
        <f t="shared" si="357"/>
        <v>2605</v>
      </c>
      <c r="DB178" s="818">
        <f t="shared" si="357"/>
        <v>3039</v>
      </c>
      <c r="DC178" s="818">
        <f t="shared" si="357"/>
        <v>3647</v>
      </c>
      <c r="DD178" s="818">
        <f t="shared" si="357"/>
        <v>4559</v>
      </c>
      <c r="DE178" s="818">
        <f t="shared" si="357"/>
        <v>6079</v>
      </c>
      <c r="DF178" s="823">
        <f t="shared" si="357"/>
        <v>9118</v>
      </c>
      <c r="DG178" s="810"/>
      <c r="DH178" s="810" t="str">
        <f t="shared" si="46"/>
        <v/>
      </c>
      <c r="DI178" s="347" t="str">
        <f t="shared" si="47"/>
        <v/>
      </c>
      <c r="DJ178" s="347" t="str">
        <f t="shared" si="48"/>
        <v/>
      </c>
      <c r="DK178" s="820" t="str">
        <f t="shared" si="49"/>
        <v/>
      </c>
      <c r="DL178" s="347"/>
      <c r="DM178" s="347"/>
      <c r="DN178" s="818">
        <f t="shared" si="358"/>
        <v>3.5</v>
      </c>
      <c r="DO178" s="810"/>
      <c r="DP178" s="824"/>
    </row>
    <row r="179">
      <c r="A179" s="809">
        <v>173.0</v>
      </c>
      <c r="B179" s="337">
        <v>171.0</v>
      </c>
      <c r="C179" s="338">
        <v>10.0</v>
      </c>
      <c r="D179" s="338">
        <v>40.0</v>
      </c>
      <c r="E179" s="347"/>
      <c r="F179" s="349" t="s">
        <v>2344</v>
      </c>
      <c r="G179" s="349">
        <f t="shared" si="269"/>
        <v>15</v>
      </c>
      <c r="H179" s="349">
        <f t="shared" si="270"/>
        <v>15</v>
      </c>
      <c r="I179" s="349">
        <f t="shared" si="7"/>
        <v>16</v>
      </c>
      <c r="J179" s="349">
        <f t="shared" si="271"/>
        <v>19</v>
      </c>
      <c r="K179" s="349">
        <f t="shared" si="272"/>
        <v>19</v>
      </c>
      <c r="L179" s="349">
        <f t="shared" si="273"/>
        <v>17</v>
      </c>
      <c r="M179" s="884">
        <f t="shared" si="274"/>
        <v>19</v>
      </c>
      <c r="N179" s="811" t="s">
        <v>1241</v>
      </c>
      <c r="O179" s="844"/>
      <c r="P179" s="813"/>
      <c r="Q179" s="813" t="s">
        <v>1670</v>
      </c>
      <c r="R179" s="813" t="s">
        <v>1314</v>
      </c>
      <c r="S179" s="814" t="s">
        <v>1169</v>
      </c>
      <c r="T179" s="815" t="s">
        <v>1197</v>
      </c>
      <c r="U179" s="338">
        <v>40.0</v>
      </c>
      <c r="V179" s="338">
        <v>25.0</v>
      </c>
      <c r="W179" s="338">
        <v>80.0</v>
      </c>
      <c r="X179" s="338">
        <v>80.0</v>
      </c>
      <c r="Y179" s="338">
        <v>2.0</v>
      </c>
      <c r="Z179" s="338">
        <v>10.0</v>
      </c>
      <c r="AA179" s="338">
        <v>3.0</v>
      </c>
      <c r="AB179" s="347"/>
      <c r="AC179" s="338">
        <v>135.0</v>
      </c>
      <c r="AD179" s="338">
        <v>4.0</v>
      </c>
      <c r="AE179" s="338">
        <v>75.0</v>
      </c>
      <c r="AF179" s="338">
        <v>75.0</v>
      </c>
      <c r="AG179" s="338">
        <v>10.0</v>
      </c>
      <c r="AH179" s="338">
        <v>40.0</v>
      </c>
      <c r="AI179" s="816">
        <f t="shared" si="12"/>
        <v>25</v>
      </c>
      <c r="AJ179" s="347"/>
      <c r="AK179" s="347"/>
      <c r="AL179" s="347"/>
      <c r="AM179" s="347"/>
      <c r="AN179" s="347"/>
      <c r="AO179" s="347"/>
      <c r="AP179" s="347"/>
      <c r="AQ179" s="347"/>
      <c r="AR179" s="347"/>
      <c r="AS179" s="810"/>
      <c r="AT179" s="349">
        <f t="shared" si="13"/>
        <v>470</v>
      </c>
      <c r="AU179" s="349">
        <f t="shared" si="14"/>
        <v>1068</v>
      </c>
      <c r="AV179" s="817">
        <f t="shared" si="15"/>
        <v>769</v>
      </c>
      <c r="AW179" s="818">
        <f t="shared" si="276"/>
        <v>1202</v>
      </c>
      <c r="AX179" s="818">
        <f t="shared" si="277"/>
        <v>1202</v>
      </c>
      <c r="AY179" s="818">
        <f t="shared" si="18"/>
        <v>1131</v>
      </c>
      <c r="AZ179" s="818">
        <f t="shared" si="278"/>
        <v>1068</v>
      </c>
      <c r="BA179" s="818">
        <f t="shared" si="279"/>
        <v>915</v>
      </c>
      <c r="BB179" s="818">
        <f t="shared" si="280"/>
        <v>915</v>
      </c>
      <c r="BC179" s="818">
        <f t="shared" si="281"/>
        <v>915</v>
      </c>
      <c r="BD179" s="818">
        <f t="shared" si="282"/>
        <v>583</v>
      </c>
      <c r="BE179" s="818">
        <f t="shared" si="283"/>
        <v>687</v>
      </c>
      <c r="BF179" s="818">
        <f t="shared" si="25"/>
        <v>712</v>
      </c>
      <c r="BG179" s="818">
        <f t="shared" si="26"/>
        <v>874</v>
      </c>
      <c r="BH179" s="818">
        <f t="shared" si="284"/>
        <v>915</v>
      </c>
      <c r="BI179" s="818">
        <f t="shared" si="285"/>
        <v>915</v>
      </c>
      <c r="BJ179" s="818">
        <f t="shared" si="286"/>
        <v>801</v>
      </c>
      <c r="BK179" s="818">
        <f t="shared" si="287"/>
        <v>687</v>
      </c>
      <c r="BL179" s="818">
        <f t="shared" si="288"/>
        <v>687</v>
      </c>
      <c r="BM179" s="347"/>
      <c r="BN179" s="818">
        <f t="shared" si="351"/>
        <v>2262</v>
      </c>
      <c r="BO179" s="347"/>
      <c r="BP179" s="823">
        <f t="shared" si="33"/>
        <v>2262</v>
      </c>
      <c r="BQ179" s="338">
        <v>8.0</v>
      </c>
      <c r="BR179" s="338">
        <v>32.0</v>
      </c>
      <c r="BS179" s="338">
        <v>10.0</v>
      </c>
      <c r="BT179" s="338">
        <v>75.0</v>
      </c>
      <c r="BU179" s="338">
        <v>75.0</v>
      </c>
      <c r="BV179" s="339">
        <f t="shared" si="34"/>
        <v>20</v>
      </c>
      <c r="BW179" s="819">
        <f t="shared" si="35"/>
        <v>807.2</v>
      </c>
      <c r="BX179" s="818">
        <f t="shared" si="289"/>
        <v>1261.3</v>
      </c>
      <c r="BY179" s="818">
        <f t="shared" si="290"/>
        <v>1261.3</v>
      </c>
      <c r="BZ179" s="818">
        <f t="shared" si="38"/>
        <v>1187.1</v>
      </c>
      <c r="CA179" s="818">
        <f t="shared" si="291"/>
        <v>961</v>
      </c>
      <c r="CB179" s="818">
        <f t="shared" si="292"/>
        <v>961</v>
      </c>
      <c r="CC179" s="818">
        <f t="shared" si="293"/>
        <v>1121.1</v>
      </c>
      <c r="CD179" s="818">
        <f t="shared" si="294"/>
        <v>961</v>
      </c>
      <c r="CE179" s="842">
        <f t="shared" si="43"/>
        <v>25</v>
      </c>
      <c r="CF179" s="337">
        <f t="shared" si="248"/>
        <v>-4.7</v>
      </c>
      <c r="CG179" s="809">
        <f t="shared" si="295"/>
        <v>-4.7</v>
      </c>
      <c r="CH179" s="822" t="s">
        <v>1241</v>
      </c>
      <c r="CI179" s="818">
        <f t="shared" ref="CI179:DF179" si="359">FLOOR($AV179/(CI$3/25),1)</f>
        <v>769</v>
      </c>
      <c r="CJ179" s="818">
        <f t="shared" si="359"/>
        <v>801</v>
      </c>
      <c r="CK179" s="818">
        <f t="shared" si="359"/>
        <v>835</v>
      </c>
      <c r="CL179" s="818">
        <f t="shared" si="359"/>
        <v>873</v>
      </c>
      <c r="CM179" s="818">
        <f t="shared" si="359"/>
        <v>915</v>
      </c>
      <c r="CN179" s="818">
        <f t="shared" si="359"/>
        <v>961</v>
      </c>
      <c r="CO179" s="818">
        <f t="shared" si="359"/>
        <v>1011</v>
      </c>
      <c r="CP179" s="818">
        <f t="shared" si="359"/>
        <v>1068</v>
      </c>
      <c r="CQ179" s="818">
        <f t="shared" si="359"/>
        <v>1130</v>
      </c>
      <c r="CR179" s="818">
        <f t="shared" si="359"/>
        <v>1201</v>
      </c>
      <c r="CS179" s="818">
        <f t="shared" si="359"/>
        <v>1281</v>
      </c>
      <c r="CT179" s="818">
        <f t="shared" si="359"/>
        <v>1373</v>
      </c>
      <c r="CU179" s="818">
        <f t="shared" si="359"/>
        <v>1478</v>
      </c>
      <c r="CV179" s="818">
        <f t="shared" si="359"/>
        <v>1602</v>
      </c>
      <c r="CW179" s="818">
        <f t="shared" si="359"/>
        <v>1747</v>
      </c>
      <c r="CX179" s="818">
        <f t="shared" si="359"/>
        <v>1922</v>
      </c>
      <c r="CY179" s="818">
        <f t="shared" si="359"/>
        <v>2136</v>
      </c>
      <c r="CZ179" s="818">
        <f t="shared" si="359"/>
        <v>2403</v>
      </c>
      <c r="DA179" s="818">
        <f t="shared" si="359"/>
        <v>2746</v>
      </c>
      <c r="DB179" s="818">
        <f t="shared" si="359"/>
        <v>3204</v>
      </c>
      <c r="DC179" s="818">
        <f t="shared" si="359"/>
        <v>3845</v>
      </c>
      <c r="DD179" s="818">
        <f t="shared" si="359"/>
        <v>4806</v>
      </c>
      <c r="DE179" s="818">
        <f t="shared" si="359"/>
        <v>6408</v>
      </c>
      <c r="DF179" s="823">
        <f t="shared" si="359"/>
        <v>9612</v>
      </c>
      <c r="DG179" s="810"/>
      <c r="DH179" s="810" t="str">
        <f t="shared" si="46"/>
        <v/>
      </c>
      <c r="DI179" s="347" t="str">
        <f t="shared" si="47"/>
        <v/>
      </c>
      <c r="DJ179" s="347" t="str">
        <f t="shared" si="48"/>
        <v/>
      </c>
      <c r="DK179" s="820" t="str">
        <f t="shared" si="49"/>
        <v/>
      </c>
      <c r="DL179" s="347"/>
      <c r="DM179" s="347"/>
      <c r="DN179" s="818">
        <f t="shared" si="358"/>
        <v>3.3</v>
      </c>
      <c r="DO179" s="810"/>
      <c r="DP179" s="824"/>
    </row>
    <row r="180">
      <c r="A180" s="809">
        <v>174.0</v>
      </c>
      <c r="B180" s="337">
        <v>173.0</v>
      </c>
      <c r="C180" s="338">
        <v>16.0</v>
      </c>
      <c r="D180" s="338">
        <v>48.0</v>
      </c>
      <c r="E180" s="347"/>
      <c r="F180" s="349" t="s">
        <v>2344</v>
      </c>
      <c r="G180" s="349">
        <f t="shared" si="269"/>
        <v>15</v>
      </c>
      <c r="H180" s="349">
        <f t="shared" si="270"/>
        <v>15</v>
      </c>
      <c r="I180" s="349">
        <f t="shared" si="7"/>
        <v>16</v>
      </c>
      <c r="J180" s="349">
        <f t="shared" si="271"/>
        <v>19</v>
      </c>
      <c r="K180" s="349">
        <f t="shared" si="272"/>
        <v>19</v>
      </c>
      <c r="L180" s="349">
        <f t="shared" si="273"/>
        <v>17</v>
      </c>
      <c r="M180" s="884">
        <f t="shared" si="274"/>
        <v>19</v>
      </c>
      <c r="N180" s="811" t="s">
        <v>1248</v>
      </c>
      <c r="O180" s="844"/>
      <c r="P180" s="813"/>
      <c r="Q180" s="813" t="s">
        <v>1670</v>
      </c>
      <c r="R180" s="813" t="s">
        <v>1314</v>
      </c>
      <c r="S180" s="814" t="s">
        <v>1169</v>
      </c>
      <c r="T180" s="815" t="s">
        <v>1212</v>
      </c>
      <c r="U180" s="338">
        <v>46.0</v>
      </c>
      <c r="V180" s="338">
        <v>25.0</v>
      </c>
      <c r="W180" s="338">
        <v>98.0</v>
      </c>
      <c r="X180" s="338">
        <v>73.0</v>
      </c>
      <c r="Y180" s="338">
        <v>3.0</v>
      </c>
      <c r="Z180" s="338">
        <v>20.0</v>
      </c>
      <c r="AA180" s="338">
        <v>3.0</v>
      </c>
      <c r="AB180" s="347"/>
      <c r="AC180" s="338">
        <v>145.0</v>
      </c>
      <c r="AD180" s="338">
        <v>4.0</v>
      </c>
      <c r="AE180" s="338">
        <v>75.0</v>
      </c>
      <c r="AF180" s="338">
        <v>75.0</v>
      </c>
      <c r="AG180" s="338">
        <v>16.0</v>
      </c>
      <c r="AH180" s="338">
        <v>48.0</v>
      </c>
      <c r="AI180" s="816">
        <f t="shared" si="12"/>
        <v>32</v>
      </c>
      <c r="AJ180" s="347"/>
      <c r="AK180" s="347"/>
      <c r="AL180" s="347"/>
      <c r="AM180" s="347"/>
      <c r="AN180" s="347"/>
      <c r="AO180" s="347"/>
      <c r="AP180" s="347"/>
      <c r="AQ180" s="347"/>
      <c r="AR180" s="347"/>
      <c r="AS180" s="810"/>
      <c r="AT180" s="349">
        <f t="shared" si="13"/>
        <v>588</v>
      </c>
      <c r="AU180" s="349">
        <f t="shared" si="14"/>
        <v>1225</v>
      </c>
      <c r="AV180" s="817">
        <f t="shared" si="15"/>
        <v>906.5</v>
      </c>
      <c r="AW180" s="818">
        <f t="shared" si="276"/>
        <v>1259</v>
      </c>
      <c r="AX180" s="818">
        <f t="shared" si="277"/>
        <v>1259</v>
      </c>
      <c r="AY180" s="818">
        <f t="shared" si="18"/>
        <v>1133</v>
      </c>
      <c r="AZ180" s="818">
        <f t="shared" si="278"/>
        <v>1079</v>
      </c>
      <c r="BA180" s="818">
        <f t="shared" si="279"/>
        <v>985</v>
      </c>
      <c r="BB180" s="818">
        <f t="shared" si="280"/>
        <v>985</v>
      </c>
      <c r="BC180" s="818">
        <f t="shared" si="281"/>
        <v>985</v>
      </c>
      <c r="BD180" s="818">
        <f t="shared" si="282"/>
        <v>553</v>
      </c>
      <c r="BE180" s="818">
        <f t="shared" si="283"/>
        <v>667</v>
      </c>
      <c r="BF180" s="818">
        <f t="shared" si="25"/>
        <v>630</v>
      </c>
      <c r="BG180" s="818">
        <f t="shared" si="26"/>
        <v>755</v>
      </c>
      <c r="BH180" s="818">
        <f t="shared" si="284"/>
        <v>839</v>
      </c>
      <c r="BI180" s="818">
        <f t="shared" si="285"/>
        <v>839</v>
      </c>
      <c r="BJ180" s="818">
        <f t="shared" si="286"/>
        <v>731</v>
      </c>
      <c r="BK180" s="818">
        <f t="shared" si="287"/>
        <v>667</v>
      </c>
      <c r="BL180" s="818">
        <f t="shared" si="288"/>
        <v>667</v>
      </c>
      <c r="BM180" s="347"/>
      <c r="BN180" s="818">
        <f t="shared" si="351"/>
        <v>2266</v>
      </c>
      <c r="BO180" s="347"/>
      <c r="BP180" s="823">
        <f t="shared" si="33"/>
        <v>2266</v>
      </c>
      <c r="BQ180" s="338">
        <v>13.0</v>
      </c>
      <c r="BR180" s="338">
        <v>38.0</v>
      </c>
      <c r="BS180" s="338">
        <v>20.0</v>
      </c>
      <c r="BT180" s="338">
        <v>75.0</v>
      </c>
      <c r="BU180" s="338">
        <v>75.0</v>
      </c>
      <c r="BV180" s="339">
        <f t="shared" si="34"/>
        <v>25.5</v>
      </c>
      <c r="BW180" s="819">
        <f t="shared" si="35"/>
        <v>938.5</v>
      </c>
      <c r="BX180" s="818">
        <f t="shared" si="289"/>
        <v>1303.5</v>
      </c>
      <c r="BY180" s="818">
        <f t="shared" si="290"/>
        <v>1303.5</v>
      </c>
      <c r="BZ180" s="818">
        <f t="shared" si="38"/>
        <v>1173.1</v>
      </c>
      <c r="CA180" s="818">
        <f t="shared" si="291"/>
        <v>1020.1</v>
      </c>
      <c r="CB180" s="818">
        <f t="shared" si="292"/>
        <v>1020.1</v>
      </c>
      <c r="CC180" s="818">
        <f t="shared" si="293"/>
        <v>1117.3</v>
      </c>
      <c r="CD180" s="818">
        <f t="shared" si="294"/>
        <v>1020.1</v>
      </c>
      <c r="CE180" s="842">
        <f t="shared" si="43"/>
        <v>25.5</v>
      </c>
      <c r="CF180" s="337">
        <f t="shared" si="248"/>
        <v>-3.4</v>
      </c>
      <c r="CG180" s="809">
        <f t="shared" si="295"/>
        <v>-3.4</v>
      </c>
      <c r="CH180" s="822" t="s">
        <v>1248</v>
      </c>
      <c r="CI180" s="818">
        <f t="shared" ref="CI180:DF180" si="360">FLOOR($AV180/(CI$3/25),1)</f>
        <v>906</v>
      </c>
      <c r="CJ180" s="818">
        <f t="shared" si="360"/>
        <v>944</v>
      </c>
      <c r="CK180" s="818">
        <f t="shared" si="360"/>
        <v>985</v>
      </c>
      <c r="CL180" s="818">
        <f t="shared" si="360"/>
        <v>1030</v>
      </c>
      <c r="CM180" s="818">
        <f t="shared" si="360"/>
        <v>1079</v>
      </c>
      <c r="CN180" s="818">
        <f t="shared" si="360"/>
        <v>1133</v>
      </c>
      <c r="CO180" s="818">
        <f t="shared" si="360"/>
        <v>1192</v>
      </c>
      <c r="CP180" s="818">
        <f t="shared" si="360"/>
        <v>1259</v>
      </c>
      <c r="CQ180" s="818">
        <f t="shared" si="360"/>
        <v>1333</v>
      </c>
      <c r="CR180" s="818">
        <f t="shared" si="360"/>
        <v>1416</v>
      </c>
      <c r="CS180" s="818">
        <f t="shared" si="360"/>
        <v>1510</v>
      </c>
      <c r="CT180" s="818">
        <f t="shared" si="360"/>
        <v>1618</v>
      </c>
      <c r="CU180" s="818">
        <f t="shared" si="360"/>
        <v>1743</v>
      </c>
      <c r="CV180" s="818">
        <f t="shared" si="360"/>
        <v>1888</v>
      </c>
      <c r="CW180" s="818">
        <f t="shared" si="360"/>
        <v>2060</v>
      </c>
      <c r="CX180" s="818">
        <f t="shared" si="360"/>
        <v>2266</v>
      </c>
      <c r="CY180" s="818">
        <f t="shared" si="360"/>
        <v>2518</v>
      </c>
      <c r="CZ180" s="818">
        <f t="shared" si="360"/>
        <v>2832</v>
      </c>
      <c r="DA180" s="818">
        <f t="shared" si="360"/>
        <v>3237</v>
      </c>
      <c r="DB180" s="818">
        <f t="shared" si="360"/>
        <v>3777</v>
      </c>
      <c r="DC180" s="818">
        <f t="shared" si="360"/>
        <v>4532</v>
      </c>
      <c r="DD180" s="818">
        <f t="shared" si="360"/>
        <v>5665</v>
      </c>
      <c r="DE180" s="818">
        <f t="shared" si="360"/>
        <v>7554</v>
      </c>
      <c r="DF180" s="823">
        <f t="shared" si="360"/>
        <v>11331</v>
      </c>
      <c r="DG180" s="810"/>
      <c r="DH180" s="810" t="str">
        <f t="shared" si="46"/>
        <v/>
      </c>
      <c r="DI180" s="347" t="str">
        <f t="shared" si="47"/>
        <v/>
      </c>
      <c r="DJ180" s="347" t="str">
        <f t="shared" si="48"/>
        <v/>
      </c>
      <c r="DK180" s="842">
        <f t="shared" si="49"/>
        <v>3.1</v>
      </c>
      <c r="DL180" s="685">
        <v>33.0</v>
      </c>
      <c r="DM180" s="347"/>
      <c r="DN180" s="818">
        <f t="shared" si="358"/>
        <v>3</v>
      </c>
      <c r="DO180" s="810"/>
      <c r="DP180" s="824"/>
    </row>
    <row r="181">
      <c r="A181" s="825">
        <v>175.0</v>
      </c>
      <c r="B181" s="438">
        <v>175.0</v>
      </c>
      <c r="C181" s="440">
        <v>16.0</v>
      </c>
      <c r="D181" s="440">
        <v>44.0</v>
      </c>
      <c r="E181" s="439"/>
      <c r="F181" s="459" t="s">
        <v>2344</v>
      </c>
      <c r="G181" s="459">
        <f t="shared" si="269"/>
        <v>15</v>
      </c>
      <c r="H181" s="459">
        <f t="shared" si="270"/>
        <v>15</v>
      </c>
      <c r="I181" s="459">
        <f t="shared" si="7"/>
        <v>16</v>
      </c>
      <c r="J181" s="459">
        <f t="shared" si="271"/>
        <v>19</v>
      </c>
      <c r="K181" s="459">
        <f t="shared" si="272"/>
        <v>19</v>
      </c>
      <c r="L181" s="459">
        <f t="shared" si="273"/>
        <v>17</v>
      </c>
      <c r="M181" s="887">
        <f t="shared" si="274"/>
        <v>19</v>
      </c>
      <c r="N181" s="827" t="s">
        <v>1254</v>
      </c>
      <c r="O181" s="888"/>
      <c r="P181" s="829"/>
      <c r="Q181" s="829" t="s">
        <v>1670</v>
      </c>
      <c r="R181" s="829" t="s">
        <v>1314</v>
      </c>
      <c r="S181" s="830" t="s">
        <v>1169</v>
      </c>
      <c r="T181" s="831" t="s">
        <v>1222</v>
      </c>
      <c r="U181" s="440">
        <v>51.0</v>
      </c>
      <c r="V181" s="440">
        <v>25.0</v>
      </c>
      <c r="W181" s="440">
        <v>25.0</v>
      </c>
      <c r="X181" s="799">
        <v>118.0</v>
      </c>
      <c r="Y181" s="440">
        <v>3.0</v>
      </c>
      <c r="Z181" s="440">
        <v>-10.0</v>
      </c>
      <c r="AA181" s="440">
        <v>3.0</v>
      </c>
      <c r="AB181" s="439"/>
      <c r="AC181" s="440">
        <v>150.0</v>
      </c>
      <c r="AD181" s="440">
        <v>4.0</v>
      </c>
      <c r="AE181" s="440">
        <v>75.0</v>
      </c>
      <c r="AF181" s="440">
        <v>75.0</v>
      </c>
      <c r="AG181" s="440">
        <v>16.0</v>
      </c>
      <c r="AH181" s="440">
        <v>44.0</v>
      </c>
      <c r="AI181" s="832">
        <f t="shared" si="12"/>
        <v>30</v>
      </c>
      <c r="AJ181" s="439"/>
      <c r="AK181" s="439"/>
      <c r="AL181" s="439"/>
      <c r="AM181" s="439"/>
      <c r="AN181" s="439"/>
      <c r="AO181" s="439"/>
      <c r="AP181" s="439"/>
      <c r="AQ181" s="439"/>
      <c r="AR181" s="439"/>
      <c r="AS181" s="826"/>
      <c r="AT181" s="459">
        <f t="shared" si="13"/>
        <v>588</v>
      </c>
      <c r="AU181" s="459">
        <f t="shared" si="14"/>
        <v>1146</v>
      </c>
      <c r="AV181" s="833">
        <f t="shared" si="15"/>
        <v>867</v>
      </c>
      <c r="AW181" s="834">
        <f t="shared" si="276"/>
        <v>1667</v>
      </c>
      <c r="AX181" s="834">
        <f t="shared" si="277"/>
        <v>1667</v>
      </c>
      <c r="AY181" s="834">
        <f t="shared" si="18"/>
        <v>1548</v>
      </c>
      <c r="AZ181" s="834">
        <f t="shared" si="278"/>
        <v>1445</v>
      </c>
      <c r="BA181" s="834">
        <f t="shared" si="279"/>
        <v>1275</v>
      </c>
      <c r="BB181" s="834">
        <f t="shared" si="280"/>
        <v>1275</v>
      </c>
      <c r="BC181" s="834">
        <f t="shared" si="281"/>
        <v>1275</v>
      </c>
      <c r="BD181" s="834">
        <f t="shared" si="282"/>
        <v>985</v>
      </c>
      <c r="BE181" s="834">
        <f t="shared" si="283"/>
        <v>1204</v>
      </c>
      <c r="BF181" s="834">
        <f t="shared" si="25"/>
        <v>1204</v>
      </c>
      <c r="BG181" s="834">
        <f t="shared" si="26"/>
        <v>1445</v>
      </c>
      <c r="BH181" s="834">
        <f t="shared" si="284"/>
        <v>1548</v>
      </c>
      <c r="BI181" s="834">
        <f t="shared" si="285"/>
        <v>1548</v>
      </c>
      <c r="BJ181" s="834">
        <f t="shared" si="286"/>
        <v>1355</v>
      </c>
      <c r="BK181" s="834">
        <f t="shared" si="287"/>
        <v>1204</v>
      </c>
      <c r="BL181" s="834">
        <f t="shared" si="288"/>
        <v>1204</v>
      </c>
      <c r="BM181" s="439"/>
      <c r="BN181" s="834">
        <f t="shared" si="351"/>
        <v>3096</v>
      </c>
      <c r="BO181" s="439"/>
      <c r="BP181" s="839">
        <f t="shared" si="33"/>
        <v>3096</v>
      </c>
      <c r="BQ181" s="440">
        <v>13.0</v>
      </c>
      <c r="BR181" s="440">
        <v>35.0</v>
      </c>
      <c r="BS181" s="440">
        <v>-10.0</v>
      </c>
      <c r="BT181" s="440">
        <v>75.0</v>
      </c>
      <c r="BU181" s="440">
        <v>75.0</v>
      </c>
      <c r="BV181" s="442">
        <f t="shared" si="34"/>
        <v>24</v>
      </c>
      <c r="BW181" s="835">
        <f t="shared" si="35"/>
        <v>902.7</v>
      </c>
      <c r="BX181" s="834">
        <f t="shared" si="289"/>
        <v>1736</v>
      </c>
      <c r="BY181" s="834">
        <f t="shared" si="290"/>
        <v>1736</v>
      </c>
      <c r="BZ181" s="834">
        <f t="shared" si="38"/>
        <v>1612</v>
      </c>
      <c r="CA181" s="834">
        <f t="shared" si="291"/>
        <v>1327.5</v>
      </c>
      <c r="CB181" s="834">
        <f t="shared" si="292"/>
        <v>1327.5</v>
      </c>
      <c r="CC181" s="834">
        <f t="shared" si="293"/>
        <v>1504.5</v>
      </c>
      <c r="CD181" s="834">
        <f t="shared" si="294"/>
        <v>1327.5</v>
      </c>
      <c r="CE181" s="843">
        <f t="shared" si="43"/>
        <v>25</v>
      </c>
      <c r="CF181" s="438">
        <f t="shared" si="248"/>
        <v>-4</v>
      </c>
      <c r="CG181" s="825">
        <f t="shared" si="295"/>
        <v>-4</v>
      </c>
      <c r="CH181" s="838" t="s">
        <v>1254</v>
      </c>
      <c r="CI181" s="834">
        <f t="shared" ref="CI181:DF181" si="361">FLOOR($AV181/(CI$3/25),1)</f>
        <v>867</v>
      </c>
      <c r="CJ181" s="834">
        <f t="shared" si="361"/>
        <v>903</v>
      </c>
      <c r="CK181" s="834">
        <f t="shared" si="361"/>
        <v>942</v>
      </c>
      <c r="CL181" s="834">
        <f t="shared" si="361"/>
        <v>985</v>
      </c>
      <c r="CM181" s="834">
        <f t="shared" si="361"/>
        <v>1032</v>
      </c>
      <c r="CN181" s="834">
        <f t="shared" si="361"/>
        <v>1083</v>
      </c>
      <c r="CO181" s="834">
        <f t="shared" si="361"/>
        <v>1140</v>
      </c>
      <c r="CP181" s="834">
        <f t="shared" si="361"/>
        <v>1204</v>
      </c>
      <c r="CQ181" s="834">
        <f t="shared" si="361"/>
        <v>1275</v>
      </c>
      <c r="CR181" s="834">
        <f t="shared" si="361"/>
        <v>1354</v>
      </c>
      <c r="CS181" s="834">
        <f t="shared" si="361"/>
        <v>1445</v>
      </c>
      <c r="CT181" s="834">
        <f t="shared" si="361"/>
        <v>1548</v>
      </c>
      <c r="CU181" s="834">
        <f t="shared" si="361"/>
        <v>1667</v>
      </c>
      <c r="CV181" s="834">
        <f t="shared" si="361"/>
        <v>1806</v>
      </c>
      <c r="CW181" s="834">
        <f t="shared" si="361"/>
        <v>1970</v>
      </c>
      <c r="CX181" s="834">
        <f t="shared" si="361"/>
        <v>2167</v>
      </c>
      <c r="CY181" s="834">
        <f t="shared" si="361"/>
        <v>2408</v>
      </c>
      <c r="CZ181" s="834">
        <f t="shared" si="361"/>
        <v>2709</v>
      </c>
      <c r="DA181" s="834">
        <f t="shared" si="361"/>
        <v>3096</v>
      </c>
      <c r="DB181" s="834">
        <f t="shared" si="361"/>
        <v>3612</v>
      </c>
      <c r="DC181" s="834">
        <f t="shared" si="361"/>
        <v>4335</v>
      </c>
      <c r="DD181" s="834">
        <f t="shared" si="361"/>
        <v>5418</v>
      </c>
      <c r="DE181" s="834">
        <f t="shared" si="361"/>
        <v>7225</v>
      </c>
      <c r="DF181" s="839">
        <f t="shared" si="361"/>
        <v>10837</v>
      </c>
      <c r="DG181" s="826"/>
      <c r="DH181" s="826" t="str">
        <f t="shared" si="46"/>
        <v/>
      </c>
      <c r="DI181" s="439" t="str">
        <f t="shared" si="47"/>
        <v/>
      </c>
      <c r="DJ181" s="439" t="str">
        <f t="shared" si="48"/>
        <v/>
      </c>
      <c r="DK181" s="836" t="str">
        <f t="shared" si="49"/>
        <v/>
      </c>
      <c r="DL181" s="439"/>
      <c r="DM181" s="439"/>
      <c r="DN181" s="834">
        <f t="shared" si="358"/>
        <v>3</v>
      </c>
      <c r="DO181" s="826"/>
      <c r="DP181" s="840"/>
    </row>
    <row r="182">
      <c r="A182" s="809">
        <v>176.0</v>
      </c>
      <c r="B182" s="337">
        <v>286.0</v>
      </c>
      <c r="C182" s="338">
        <v>21.0</v>
      </c>
      <c r="D182" s="338">
        <v>57.0</v>
      </c>
      <c r="E182" s="347"/>
      <c r="F182" s="349" t="s">
        <v>2344</v>
      </c>
      <c r="G182" s="349">
        <f t="shared" si="269"/>
        <v>15</v>
      </c>
      <c r="H182" s="349">
        <f t="shared" si="270"/>
        <v>15</v>
      </c>
      <c r="I182" s="349">
        <f t="shared" si="7"/>
        <v>16</v>
      </c>
      <c r="J182" s="349">
        <f t="shared" si="271"/>
        <v>19</v>
      </c>
      <c r="K182" s="349">
        <f t="shared" si="272"/>
        <v>19</v>
      </c>
      <c r="L182" s="349">
        <f t="shared" si="273"/>
        <v>17</v>
      </c>
      <c r="M182" s="884">
        <f t="shared" si="274"/>
        <v>19</v>
      </c>
      <c r="N182" s="811" t="s">
        <v>1232</v>
      </c>
      <c r="O182" s="844"/>
      <c r="P182" s="813"/>
      <c r="Q182" s="813" t="s">
        <v>1676</v>
      </c>
      <c r="R182" s="813" t="s">
        <v>1314</v>
      </c>
      <c r="S182" s="814" t="s">
        <v>1169</v>
      </c>
      <c r="T182" s="815" t="s">
        <v>1162</v>
      </c>
      <c r="U182" s="338">
        <v>54.0</v>
      </c>
      <c r="V182" s="338">
        <v>40.0</v>
      </c>
      <c r="W182" s="338">
        <v>98.0</v>
      </c>
      <c r="X182" s="679">
        <v>123.0</v>
      </c>
      <c r="Y182" s="338">
        <v>2.0</v>
      </c>
      <c r="Z182" s="338">
        <v>-10.0</v>
      </c>
      <c r="AA182" s="338">
        <v>3.0</v>
      </c>
      <c r="AB182" s="347"/>
      <c r="AC182" s="338">
        <v>211.0</v>
      </c>
      <c r="AD182" s="338">
        <v>4.0</v>
      </c>
      <c r="AE182" s="338">
        <v>75.0</v>
      </c>
      <c r="AF182" s="338">
        <v>75.0</v>
      </c>
      <c r="AG182" s="338">
        <v>21.0</v>
      </c>
      <c r="AH182" s="338">
        <v>57.0</v>
      </c>
      <c r="AI182" s="816">
        <f t="shared" si="12"/>
        <v>39</v>
      </c>
      <c r="AJ182" s="347"/>
      <c r="AK182" s="347"/>
      <c r="AL182" s="347"/>
      <c r="AM182" s="347"/>
      <c r="AN182" s="347"/>
      <c r="AO182" s="347"/>
      <c r="AP182" s="347"/>
      <c r="AQ182" s="347"/>
      <c r="AR182" s="347"/>
      <c r="AS182" s="810"/>
      <c r="AT182" s="349">
        <f t="shared" si="13"/>
        <v>688</v>
      </c>
      <c r="AU182" s="349">
        <f t="shared" si="14"/>
        <v>1403</v>
      </c>
      <c r="AV182" s="817">
        <f t="shared" si="15"/>
        <v>1045.5</v>
      </c>
      <c r="AW182" s="818">
        <f t="shared" si="276"/>
        <v>2011</v>
      </c>
      <c r="AX182" s="818">
        <f t="shared" si="277"/>
        <v>2011</v>
      </c>
      <c r="AY182" s="818">
        <f t="shared" si="18"/>
        <v>1867</v>
      </c>
      <c r="AZ182" s="818">
        <f t="shared" si="278"/>
        <v>1743</v>
      </c>
      <c r="BA182" s="818">
        <f t="shared" si="279"/>
        <v>1538</v>
      </c>
      <c r="BB182" s="818">
        <f t="shared" si="280"/>
        <v>1538</v>
      </c>
      <c r="BC182" s="818">
        <f t="shared" si="281"/>
        <v>1538</v>
      </c>
      <c r="BD182" s="818">
        <f t="shared" si="282"/>
        <v>1188</v>
      </c>
      <c r="BE182" s="818">
        <f t="shared" si="283"/>
        <v>1452</v>
      </c>
      <c r="BF182" s="818">
        <f t="shared" si="25"/>
        <v>1452</v>
      </c>
      <c r="BG182" s="818">
        <f t="shared" si="26"/>
        <v>1743</v>
      </c>
      <c r="BH182" s="818">
        <f t="shared" si="284"/>
        <v>1867</v>
      </c>
      <c r="BI182" s="818">
        <f t="shared" si="285"/>
        <v>1867</v>
      </c>
      <c r="BJ182" s="818">
        <f t="shared" si="286"/>
        <v>1634</v>
      </c>
      <c r="BK182" s="818">
        <f t="shared" si="287"/>
        <v>1452</v>
      </c>
      <c r="BL182" s="818">
        <f t="shared" si="288"/>
        <v>1452</v>
      </c>
      <c r="BM182" s="347"/>
      <c r="BN182" s="818">
        <f t="shared" si="351"/>
        <v>3734</v>
      </c>
      <c r="BO182" s="347"/>
      <c r="BP182" s="823">
        <f t="shared" si="33"/>
        <v>3734</v>
      </c>
      <c r="BQ182" s="338">
        <v>21.0</v>
      </c>
      <c r="BR182" s="338">
        <v>57.0</v>
      </c>
      <c r="BS182" s="338">
        <v>-10.0</v>
      </c>
      <c r="BT182" s="338">
        <v>75.0</v>
      </c>
      <c r="BU182" s="338">
        <v>75.0</v>
      </c>
      <c r="BV182" s="339">
        <f t="shared" si="34"/>
        <v>39</v>
      </c>
      <c r="BW182" s="819">
        <f t="shared" si="35"/>
        <v>1260.8</v>
      </c>
      <c r="BX182" s="818">
        <f t="shared" si="289"/>
        <v>2424.6</v>
      </c>
      <c r="BY182" s="818">
        <f t="shared" si="290"/>
        <v>2424.6</v>
      </c>
      <c r="BZ182" s="818">
        <f t="shared" si="38"/>
        <v>2251.4</v>
      </c>
      <c r="CA182" s="818">
        <f t="shared" si="291"/>
        <v>1854.1</v>
      </c>
      <c r="CB182" s="818">
        <f t="shared" si="292"/>
        <v>1854.1</v>
      </c>
      <c r="CC182" s="818">
        <f t="shared" si="293"/>
        <v>2101.3</v>
      </c>
      <c r="CD182" s="818">
        <f t="shared" si="294"/>
        <v>1854.1</v>
      </c>
      <c r="CE182" s="820" t="str">
        <f t="shared" si="43"/>
        <v/>
      </c>
      <c r="CF182" s="347">
        <f t="shared" si="248"/>
        <v>-17.1</v>
      </c>
      <c r="CG182" s="810">
        <f t="shared" si="295"/>
        <v>-17.1</v>
      </c>
      <c r="CH182" s="822" t="s">
        <v>1232</v>
      </c>
      <c r="CI182" s="818">
        <f t="shared" ref="CI182:DF182" si="362">FLOOR($AV182/(CI$3/25),1)</f>
        <v>1045</v>
      </c>
      <c r="CJ182" s="818">
        <f t="shared" si="362"/>
        <v>1089</v>
      </c>
      <c r="CK182" s="818">
        <f t="shared" si="362"/>
        <v>1136</v>
      </c>
      <c r="CL182" s="818">
        <f t="shared" si="362"/>
        <v>1188</v>
      </c>
      <c r="CM182" s="818">
        <f t="shared" si="362"/>
        <v>1244</v>
      </c>
      <c r="CN182" s="818">
        <f t="shared" si="362"/>
        <v>1306</v>
      </c>
      <c r="CO182" s="818">
        <f t="shared" si="362"/>
        <v>1375</v>
      </c>
      <c r="CP182" s="818">
        <f t="shared" si="362"/>
        <v>1452</v>
      </c>
      <c r="CQ182" s="818">
        <f t="shared" si="362"/>
        <v>1537</v>
      </c>
      <c r="CR182" s="818">
        <f t="shared" si="362"/>
        <v>1633</v>
      </c>
      <c r="CS182" s="818">
        <f t="shared" si="362"/>
        <v>1742</v>
      </c>
      <c r="CT182" s="818">
        <f t="shared" si="362"/>
        <v>1866</v>
      </c>
      <c r="CU182" s="818">
        <f t="shared" si="362"/>
        <v>2010</v>
      </c>
      <c r="CV182" s="818">
        <f t="shared" si="362"/>
        <v>2178</v>
      </c>
      <c r="CW182" s="818">
        <f t="shared" si="362"/>
        <v>2376</v>
      </c>
      <c r="CX182" s="818">
        <f t="shared" si="362"/>
        <v>2613</v>
      </c>
      <c r="CY182" s="818">
        <f t="shared" si="362"/>
        <v>2904</v>
      </c>
      <c r="CZ182" s="818">
        <f t="shared" si="362"/>
        <v>3267</v>
      </c>
      <c r="DA182" s="818">
        <f t="shared" si="362"/>
        <v>3733</v>
      </c>
      <c r="DB182" s="818">
        <f t="shared" si="362"/>
        <v>4356</v>
      </c>
      <c r="DC182" s="818">
        <f t="shared" si="362"/>
        <v>5227</v>
      </c>
      <c r="DD182" s="818">
        <f t="shared" si="362"/>
        <v>6534</v>
      </c>
      <c r="DE182" s="818">
        <f t="shared" si="362"/>
        <v>8712</v>
      </c>
      <c r="DF182" s="823">
        <f t="shared" si="362"/>
        <v>13068</v>
      </c>
      <c r="DG182" s="810"/>
      <c r="DH182" s="810" t="str">
        <f t="shared" si="46"/>
        <v/>
      </c>
      <c r="DI182" s="347" t="str">
        <f t="shared" si="47"/>
        <v/>
      </c>
      <c r="DJ182" s="347" t="str">
        <f t="shared" si="48"/>
        <v/>
      </c>
      <c r="DK182" s="820" t="str">
        <f t="shared" si="49"/>
        <v/>
      </c>
      <c r="DL182" s="347"/>
      <c r="DM182" s="347"/>
      <c r="DN182" s="818">
        <f t="shared" si="358"/>
        <v>2.5</v>
      </c>
      <c r="DO182" s="810"/>
      <c r="DP182" s="824"/>
    </row>
    <row r="183">
      <c r="A183" s="809">
        <v>177.0</v>
      </c>
      <c r="B183" s="337">
        <v>288.0</v>
      </c>
      <c r="C183" s="338">
        <v>14.0</v>
      </c>
      <c r="D183" s="338">
        <v>64.0</v>
      </c>
      <c r="E183" s="347"/>
      <c r="F183" s="349" t="s">
        <v>2344</v>
      </c>
      <c r="G183" s="349">
        <f t="shared" si="269"/>
        <v>15</v>
      </c>
      <c r="H183" s="349">
        <f t="shared" si="270"/>
        <v>15</v>
      </c>
      <c r="I183" s="349">
        <f t="shared" si="7"/>
        <v>16</v>
      </c>
      <c r="J183" s="349">
        <f t="shared" si="271"/>
        <v>19</v>
      </c>
      <c r="K183" s="349">
        <f t="shared" si="272"/>
        <v>19</v>
      </c>
      <c r="L183" s="349">
        <f t="shared" si="273"/>
        <v>17</v>
      </c>
      <c r="M183" s="884">
        <f t="shared" si="274"/>
        <v>19</v>
      </c>
      <c r="N183" s="811" t="s">
        <v>1237</v>
      </c>
      <c r="O183" s="844"/>
      <c r="P183" s="813"/>
      <c r="Q183" s="813" t="s">
        <v>1676</v>
      </c>
      <c r="R183" s="813" t="s">
        <v>1314</v>
      </c>
      <c r="S183" s="814" t="s">
        <v>1169</v>
      </c>
      <c r="T183" s="815" t="s">
        <v>1190</v>
      </c>
      <c r="U183" s="338">
        <v>62.0</v>
      </c>
      <c r="V183" s="338">
        <v>46.0</v>
      </c>
      <c r="W183" s="338">
        <v>118.0</v>
      </c>
      <c r="X183" s="679">
        <v>112.0</v>
      </c>
      <c r="Y183" s="338">
        <v>2.0</v>
      </c>
      <c r="Z183" s="338">
        <v>0.0</v>
      </c>
      <c r="AA183" s="338">
        <v>3.0</v>
      </c>
      <c r="AB183" s="347"/>
      <c r="AC183" s="338">
        <v>220.0</v>
      </c>
      <c r="AD183" s="338">
        <v>4.0</v>
      </c>
      <c r="AE183" s="338">
        <v>75.0</v>
      </c>
      <c r="AF183" s="338">
        <v>75.0</v>
      </c>
      <c r="AG183" s="338">
        <v>14.0</v>
      </c>
      <c r="AH183" s="338">
        <v>64.0</v>
      </c>
      <c r="AI183" s="816">
        <f t="shared" si="12"/>
        <v>39</v>
      </c>
      <c r="AJ183" s="347"/>
      <c r="AK183" s="347"/>
      <c r="AL183" s="347"/>
      <c r="AM183" s="347"/>
      <c r="AN183" s="347"/>
      <c r="AO183" s="347"/>
      <c r="AP183" s="347"/>
      <c r="AQ183" s="347"/>
      <c r="AR183" s="347"/>
      <c r="AS183" s="810"/>
      <c r="AT183" s="349">
        <f t="shared" si="13"/>
        <v>548</v>
      </c>
      <c r="AU183" s="349">
        <f t="shared" si="14"/>
        <v>1543</v>
      </c>
      <c r="AV183" s="817">
        <f t="shared" si="15"/>
        <v>1045.5</v>
      </c>
      <c r="AW183" s="818">
        <f t="shared" si="276"/>
        <v>1867</v>
      </c>
      <c r="AX183" s="818">
        <f t="shared" si="277"/>
        <v>1867</v>
      </c>
      <c r="AY183" s="818">
        <f t="shared" si="18"/>
        <v>1743</v>
      </c>
      <c r="AZ183" s="818">
        <f t="shared" si="278"/>
        <v>1634</v>
      </c>
      <c r="BA183" s="818">
        <f t="shared" si="279"/>
        <v>1452</v>
      </c>
      <c r="BB183" s="818">
        <f t="shared" si="280"/>
        <v>1452</v>
      </c>
      <c r="BC183" s="818">
        <f t="shared" si="281"/>
        <v>1452</v>
      </c>
      <c r="BD183" s="818">
        <f t="shared" si="282"/>
        <v>968</v>
      </c>
      <c r="BE183" s="818">
        <f t="shared" si="283"/>
        <v>1188</v>
      </c>
      <c r="BF183" s="818">
        <f t="shared" si="25"/>
        <v>1136</v>
      </c>
      <c r="BG183" s="818">
        <f t="shared" si="26"/>
        <v>1376</v>
      </c>
      <c r="BH183" s="818">
        <f t="shared" si="284"/>
        <v>1452</v>
      </c>
      <c r="BI183" s="818">
        <f t="shared" si="285"/>
        <v>1452</v>
      </c>
      <c r="BJ183" s="818">
        <f t="shared" si="286"/>
        <v>1307</v>
      </c>
      <c r="BK183" s="818">
        <f t="shared" si="287"/>
        <v>1188</v>
      </c>
      <c r="BL183" s="818">
        <f t="shared" si="288"/>
        <v>1188</v>
      </c>
      <c r="BM183" s="347"/>
      <c r="BN183" s="818">
        <f t="shared" si="351"/>
        <v>3485</v>
      </c>
      <c r="BO183" s="347"/>
      <c r="BP183" s="823">
        <f t="shared" si="33"/>
        <v>3485</v>
      </c>
      <c r="BQ183" s="338">
        <v>14.0</v>
      </c>
      <c r="BR183" s="338">
        <v>64.0</v>
      </c>
      <c r="BS183" s="347"/>
      <c r="BT183" s="338">
        <v>75.0</v>
      </c>
      <c r="BU183" s="338">
        <v>75.0</v>
      </c>
      <c r="BV183" s="339">
        <f t="shared" si="34"/>
        <v>39</v>
      </c>
      <c r="BW183" s="819">
        <f t="shared" si="35"/>
        <v>1260.8</v>
      </c>
      <c r="BX183" s="818">
        <f t="shared" si="289"/>
        <v>2251.4</v>
      </c>
      <c r="BY183" s="818">
        <f t="shared" si="290"/>
        <v>2251.4</v>
      </c>
      <c r="BZ183" s="818">
        <f t="shared" si="38"/>
        <v>2101.3</v>
      </c>
      <c r="CA183" s="818">
        <f t="shared" si="291"/>
        <v>1751.1</v>
      </c>
      <c r="CB183" s="818">
        <f t="shared" si="292"/>
        <v>1751.1</v>
      </c>
      <c r="CC183" s="818">
        <f t="shared" si="293"/>
        <v>1970</v>
      </c>
      <c r="CD183" s="818">
        <f t="shared" si="294"/>
        <v>1751.1</v>
      </c>
      <c r="CE183" s="820" t="str">
        <f t="shared" si="43"/>
        <v/>
      </c>
      <c r="CF183" s="347">
        <f t="shared" si="248"/>
        <v>-17.1</v>
      </c>
      <c r="CG183" s="810">
        <f t="shared" si="295"/>
        <v>-17.1</v>
      </c>
      <c r="CH183" s="822" t="s">
        <v>1237</v>
      </c>
      <c r="CI183" s="818">
        <f t="shared" ref="CI183:DF183" si="363">FLOOR($AV183/(CI$3/25),1)</f>
        <v>1045</v>
      </c>
      <c r="CJ183" s="818">
        <f t="shared" si="363"/>
        <v>1089</v>
      </c>
      <c r="CK183" s="818">
        <f t="shared" si="363"/>
        <v>1136</v>
      </c>
      <c r="CL183" s="818">
        <f t="shared" si="363"/>
        <v>1188</v>
      </c>
      <c r="CM183" s="818">
        <f t="shared" si="363"/>
        <v>1244</v>
      </c>
      <c r="CN183" s="818">
        <f t="shared" si="363"/>
        <v>1306</v>
      </c>
      <c r="CO183" s="818">
        <f t="shared" si="363"/>
        <v>1375</v>
      </c>
      <c r="CP183" s="818">
        <f t="shared" si="363"/>
        <v>1452</v>
      </c>
      <c r="CQ183" s="818">
        <f t="shared" si="363"/>
        <v>1537</v>
      </c>
      <c r="CR183" s="818">
        <f t="shared" si="363"/>
        <v>1633</v>
      </c>
      <c r="CS183" s="818">
        <f t="shared" si="363"/>
        <v>1742</v>
      </c>
      <c r="CT183" s="818">
        <f t="shared" si="363"/>
        <v>1866</v>
      </c>
      <c r="CU183" s="818">
        <f t="shared" si="363"/>
        <v>2010</v>
      </c>
      <c r="CV183" s="818">
        <f t="shared" si="363"/>
        <v>2178</v>
      </c>
      <c r="CW183" s="818">
        <f t="shared" si="363"/>
        <v>2376</v>
      </c>
      <c r="CX183" s="818">
        <f t="shared" si="363"/>
        <v>2613</v>
      </c>
      <c r="CY183" s="818">
        <f t="shared" si="363"/>
        <v>2904</v>
      </c>
      <c r="CZ183" s="818">
        <f t="shared" si="363"/>
        <v>3267</v>
      </c>
      <c r="DA183" s="818">
        <f t="shared" si="363"/>
        <v>3733</v>
      </c>
      <c r="DB183" s="818">
        <f t="shared" si="363"/>
        <v>4356</v>
      </c>
      <c r="DC183" s="818">
        <f t="shared" si="363"/>
        <v>5227</v>
      </c>
      <c r="DD183" s="818">
        <f t="shared" si="363"/>
        <v>6534</v>
      </c>
      <c r="DE183" s="818">
        <f t="shared" si="363"/>
        <v>8712</v>
      </c>
      <c r="DF183" s="823">
        <f t="shared" si="363"/>
        <v>13068</v>
      </c>
      <c r="DG183" s="810"/>
      <c r="DH183" s="810" t="str">
        <f t="shared" si="46"/>
        <v/>
      </c>
      <c r="DI183" s="347" t="str">
        <f t="shared" si="47"/>
        <v/>
      </c>
      <c r="DJ183" s="347" t="str">
        <f t="shared" si="48"/>
        <v/>
      </c>
      <c r="DK183" s="842">
        <f t="shared" si="49"/>
        <v>7.7</v>
      </c>
      <c r="DL183" s="685">
        <v>42.0</v>
      </c>
      <c r="DM183" s="347"/>
      <c r="DN183" s="818">
        <f t="shared" si="358"/>
        <v>1.8</v>
      </c>
      <c r="DO183" s="810"/>
      <c r="DP183" s="824"/>
    </row>
    <row r="184">
      <c r="A184" s="809">
        <v>178.0</v>
      </c>
      <c r="B184" s="337">
        <v>290.0</v>
      </c>
      <c r="C184" s="338">
        <v>33.0</v>
      </c>
      <c r="D184" s="338">
        <v>63.0</v>
      </c>
      <c r="E184" s="347"/>
      <c r="F184" s="349" t="s">
        <v>2344</v>
      </c>
      <c r="G184" s="349">
        <f t="shared" si="269"/>
        <v>15</v>
      </c>
      <c r="H184" s="349">
        <f t="shared" si="270"/>
        <v>15</v>
      </c>
      <c r="I184" s="349">
        <f t="shared" si="7"/>
        <v>16</v>
      </c>
      <c r="J184" s="349">
        <f t="shared" si="271"/>
        <v>19</v>
      </c>
      <c r="K184" s="349">
        <f t="shared" si="272"/>
        <v>19</v>
      </c>
      <c r="L184" s="349">
        <f t="shared" si="273"/>
        <v>17</v>
      </c>
      <c r="M184" s="884">
        <f t="shared" si="274"/>
        <v>19</v>
      </c>
      <c r="N184" s="811" t="s">
        <v>1243</v>
      </c>
      <c r="O184" s="812" t="s">
        <v>2029</v>
      </c>
      <c r="P184" s="813"/>
      <c r="Q184" s="813" t="s">
        <v>1676</v>
      </c>
      <c r="R184" s="813" t="s">
        <v>1314</v>
      </c>
      <c r="S184" s="814" t="s">
        <v>1169</v>
      </c>
      <c r="T184" s="815" t="s">
        <v>1202</v>
      </c>
      <c r="U184" s="338">
        <v>71.0</v>
      </c>
      <c r="V184" s="338">
        <v>53.0</v>
      </c>
      <c r="W184" s="338">
        <v>127.0</v>
      </c>
      <c r="X184" s="679">
        <v>95.0</v>
      </c>
      <c r="Y184" s="338">
        <v>2.0</v>
      </c>
      <c r="Z184" s="338">
        <v>10.0</v>
      </c>
      <c r="AA184" s="338">
        <v>3.0</v>
      </c>
      <c r="AB184" s="347"/>
      <c r="AC184" s="338">
        <v>232.0</v>
      </c>
      <c r="AD184" s="338">
        <v>4.0</v>
      </c>
      <c r="AE184" s="338">
        <v>75.0</v>
      </c>
      <c r="AF184" s="338">
        <v>75.0</v>
      </c>
      <c r="AG184" s="338">
        <v>33.0</v>
      </c>
      <c r="AH184" s="338">
        <v>63.0</v>
      </c>
      <c r="AI184" s="816">
        <f t="shared" si="12"/>
        <v>48</v>
      </c>
      <c r="AJ184" s="347"/>
      <c r="AK184" s="347"/>
      <c r="AL184" s="347"/>
      <c r="AM184" s="347"/>
      <c r="AN184" s="347"/>
      <c r="AO184" s="347"/>
      <c r="AP184" s="347"/>
      <c r="AQ184" s="347"/>
      <c r="AR184" s="347"/>
      <c r="AS184" s="810"/>
      <c r="AT184" s="349">
        <f t="shared" si="13"/>
        <v>928</v>
      </c>
      <c r="AU184" s="349">
        <f t="shared" si="14"/>
        <v>1526</v>
      </c>
      <c r="AV184" s="817">
        <f t="shared" si="15"/>
        <v>1227</v>
      </c>
      <c r="AW184" s="818">
        <f t="shared" si="276"/>
        <v>1917</v>
      </c>
      <c r="AX184" s="818">
        <f t="shared" si="277"/>
        <v>1917</v>
      </c>
      <c r="AY184" s="818">
        <f t="shared" si="18"/>
        <v>1804</v>
      </c>
      <c r="AZ184" s="818">
        <f t="shared" si="278"/>
        <v>1704</v>
      </c>
      <c r="BA184" s="818">
        <f t="shared" si="279"/>
        <v>1461</v>
      </c>
      <c r="BB184" s="818">
        <f t="shared" si="280"/>
        <v>1461</v>
      </c>
      <c r="BC184" s="818">
        <f t="shared" si="281"/>
        <v>1461</v>
      </c>
      <c r="BD184" s="818">
        <f t="shared" si="282"/>
        <v>930</v>
      </c>
      <c r="BE184" s="818">
        <f t="shared" si="283"/>
        <v>1096</v>
      </c>
      <c r="BF184" s="818">
        <f t="shared" si="25"/>
        <v>1136</v>
      </c>
      <c r="BG184" s="818">
        <f t="shared" si="26"/>
        <v>1394</v>
      </c>
      <c r="BH184" s="818">
        <f t="shared" si="284"/>
        <v>1461</v>
      </c>
      <c r="BI184" s="818">
        <f t="shared" si="285"/>
        <v>1461</v>
      </c>
      <c r="BJ184" s="818">
        <f t="shared" si="286"/>
        <v>1278</v>
      </c>
      <c r="BK184" s="818">
        <f t="shared" si="287"/>
        <v>1096</v>
      </c>
      <c r="BL184" s="818">
        <f t="shared" si="288"/>
        <v>1096</v>
      </c>
      <c r="BM184" s="347"/>
      <c r="BN184" s="818">
        <f t="shared" si="351"/>
        <v>3609</v>
      </c>
      <c r="BO184" s="347"/>
      <c r="BP184" s="823">
        <f t="shared" si="33"/>
        <v>3609</v>
      </c>
      <c r="BQ184" s="338">
        <v>33.0</v>
      </c>
      <c r="BR184" s="338">
        <v>63.0</v>
      </c>
      <c r="BS184" s="338">
        <v>10.0</v>
      </c>
      <c r="BT184" s="338">
        <v>75.0</v>
      </c>
      <c r="BU184" s="338">
        <v>75.0</v>
      </c>
      <c r="BV184" s="339">
        <f t="shared" si="34"/>
        <v>48</v>
      </c>
      <c r="BW184" s="819">
        <f t="shared" si="35"/>
        <v>1475.6</v>
      </c>
      <c r="BX184" s="818">
        <f t="shared" si="289"/>
        <v>2305.6</v>
      </c>
      <c r="BY184" s="818">
        <f t="shared" si="290"/>
        <v>2305.6</v>
      </c>
      <c r="BZ184" s="818">
        <f t="shared" si="38"/>
        <v>2170</v>
      </c>
      <c r="CA184" s="818">
        <f t="shared" si="291"/>
        <v>1756.7</v>
      </c>
      <c r="CB184" s="818">
        <f t="shared" si="292"/>
        <v>1756.7</v>
      </c>
      <c r="CC184" s="818">
        <f t="shared" si="293"/>
        <v>2049.4</v>
      </c>
      <c r="CD184" s="818">
        <f t="shared" si="294"/>
        <v>1756.7</v>
      </c>
      <c r="CE184" s="820" t="str">
        <f t="shared" si="43"/>
        <v/>
      </c>
      <c r="CF184" s="347">
        <f t="shared" si="248"/>
        <v>-16.8</v>
      </c>
      <c r="CG184" s="810">
        <f t="shared" si="295"/>
        <v>-16.9</v>
      </c>
      <c r="CH184" s="822" t="s">
        <v>1243</v>
      </c>
      <c r="CI184" s="818">
        <f t="shared" ref="CI184:DF184" si="364">FLOOR($AV184/(CI$3/25),1)</f>
        <v>1227</v>
      </c>
      <c r="CJ184" s="818">
        <f t="shared" si="364"/>
        <v>1278</v>
      </c>
      <c r="CK184" s="818">
        <f t="shared" si="364"/>
        <v>1333</v>
      </c>
      <c r="CL184" s="818">
        <f t="shared" si="364"/>
        <v>1394</v>
      </c>
      <c r="CM184" s="818">
        <f t="shared" si="364"/>
        <v>1460</v>
      </c>
      <c r="CN184" s="818">
        <f t="shared" si="364"/>
        <v>1533</v>
      </c>
      <c r="CO184" s="818">
        <f t="shared" si="364"/>
        <v>1614</v>
      </c>
      <c r="CP184" s="818">
        <f t="shared" si="364"/>
        <v>1704</v>
      </c>
      <c r="CQ184" s="818">
        <f t="shared" si="364"/>
        <v>1804</v>
      </c>
      <c r="CR184" s="818">
        <f t="shared" si="364"/>
        <v>1917</v>
      </c>
      <c r="CS184" s="818">
        <f t="shared" si="364"/>
        <v>2045</v>
      </c>
      <c r="CT184" s="818">
        <f t="shared" si="364"/>
        <v>2191</v>
      </c>
      <c r="CU184" s="818">
        <f t="shared" si="364"/>
        <v>2359</v>
      </c>
      <c r="CV184" s="818">
        <f t="shared" si="364"/>
        <v>2556</v>
      </c>
      <c r="CW184" s="818">
        <f t="shared" si="364"/>
        <v>2788</v>
      </c>
      <c r="CX184" s="818">
        <f t="shared" si="364"/>
        <v>3067</v>
      </c>
      <c r="CY184" s="818">
        <f t="shared" si="364"/>
        <v>3408</v>
      </c>
      <c r="CZ184" s="818">
        <f t="shared" si="364"/>
        <v>3834</v>
      </c>
      <c r="DA184" s="818">
        <f t="shared" si="364"/>
        <v>4382</v>
      </c>
      <c r="DB184" s="818">
        <f t="shared" si="364"/>
        <v>5112</v>
      </c>
      <c r="DC184" s="818">
        <f t="shared" si="364"/>
        <v>6135</v>
      </c>
      <c r="DD184" s="818">
        <f t="shared" si="364"/>
        <v>7668</v>
      </c>
      <c r="DE184" s="818">
        <f t="shared" si="364"/>
        <v>10225</v>
      </c>
      <c r="DF184" s="823">
        <f t="shared" si="364"/>
        <v>15337</v>
      </c>
      <c r="DG184" s="810"/>
      <c r="DH184" s="810" t="str">
        <f t="shared" si="46"/>
        <v/>
      </c>
      <c r="DI184" s="347" t="str">
        <f t="shared" si="47"/>
        <v/>
      </c>
      <c r="DJ184" s="347" t="str">
        <f t="shared" si="48"/>
        <v/>
      </c>
      <c r="DK184" s="842">
        <f t="shared" si="49"/>
        <v>-6.3</v>
      </c>
      <c r="DL184" s="685">
        <v>45.0</v>
      </c>
      <c r="DM184" s="347"/>
      <c r="DN184" s="818">
        <f t="shared" si="358"/>
        <v>1.8</v>
      </c>
      <c r="DO184" s="810"/>
      <c r="DP184" s="824"/>
    </row>
    <row r="185">
      <c r="A185" s="809">
        <v>179.0</v>
      </c>
      <c r="B185" s="337">
        <v>292.0</v>
      </c>
      <c r="C185" s="338">
        <v>19.0</v>
      </c>
      <c r="D185" s="338">
        <v>60.0</v>
      </c>
      <c r="E185" s="347"/>
      <c r="F185" s="349" t="s">
        <v>2344</v>
      </c>
      <c r="G185" s="349">
        <f t="shared" si="269"/>
        <v>15</v>
      </c>
      <c r="H185" s="349">
        <f t="shared" si="270"/>
        <v>15</v>
      </c>
      <c r="I185" s="349">
        <f t="shared" si="7"/>
        <v>16</v>
      </c>
      <c r="J185" s="349">
        <f t="shared" si="271"/>
        <v>19</v>
      </c>
      <c r="K185" s="349">
        <f t="shared" si="272"/>
        <v>19</v>
      </c>
      <c r="L185" s="349">
        <f t="shared" si="273"/>
        <v>17</v>
      </c>
      <c r="M185" s="884">
        <f t="shared" si="274"/>
        <v>19</v>
      </c>
      <c r="N185" s="811" t="s">
        <v>1249</v>
      </c>
      <c r="O185" s="812" t="s">
        <v>2030</v>
      </c>
      <c r="P185" s="813"/>
      <c r="Q185" s="813" t="s">
        <v>1676</v>
      </c>
      <c r="R185" s="813" t="s">
        <v>1314</v>
      </c>
      <c r="S185" s="814" t="s">
        <v>1169</v>
      </c>
      <c r="T185" s="815" t="s">
        <v>1215</v>
      </c>
      <c r="U185" s="338">
        <v>79.0</v>
      </c>
      <c r="V185" s="338">
        <v>59.0</v>
      </c>
      <c r="W185" s="338">
        <v>89.0</v>
      </c>
      <c r="X185" s="679">
        <v>137.0</v>
      </c>
      <c r="Y185" s="338">
        <v>3.0</v>
      </c>
      <c r="Z185" s="338">
        <v>20.0</v>
      </c>
      <c r="AA185" s="338">
        <v>3.0</v>
      </c>
      <c r="AB185" s="347"/>
      <c r="AC185" s="338">
        <v>241.0</v>
      </c>
      <c r="AD185" s="338">
        <v>4.0</v>
      </c>
      <c r="AE185" s="338">
        <v>75.0</v>
      </c>
      <c r="AF185" s="338">
        <v>75.0</v>
      </c>
      <c r="AG185" s="338">
        <v>19.0</v>
      </c>
      <c r="AH185" s="338">
        <v>60.0</v>
      </c>
      <c r="AI185" s="816">
        <f t="shared" si="12"/>
        <v>39.5</v>
      </c>
      <c r="AJ185" s="347"/>
      <c r="AK185" s="347"/>
      <c r="AL185" s="347"/>
      <c r="AM185" s="347"/>
      <c r="AN185" s="347"/>
      <c r="AO185" s="347"/>
      <c r="AP185" s="347"/>
      <c r="AQ185" s="347"/>
      <c r="AR185" s="347"/>
      <c r="AS185" s="810"/>
      <c r="AT185" s="349">
        <f t="shared" si="13"/>
        <v>650</v>
      </c>
      <c r="AU185" s="349">
        <f t="shared" si="14"/>
        <v>1465</v>
      </c>
      <c r="AV185" s="817">
        <f t="shared" si="15"/>
        <v>1057.5</v>
      </c>
      <c r="AW185" s="818">
        <f t="shared" si="276"/>
        <v>1469</v>
      </c>
      <c r="AX185" s="818">
        <f t="shared" si="277"/>
        <v>1469</v>
      </c>
      <c r="AY185" s="818">
        <f t="shared" si="18"/>
        <v>1322</v>
      </c>
      <c r="AZ185" s="818">
        <f t="shared" si="278"/>
        <v>1259</v>
      </c>
      <c r="BA185" s="818">
        <f t="shared" si="279"/>
        <v>1149</v>
      </c>
      <c r="BB185" s="818">
        <f t="shared" si="280"/>
        <v>1149</v>
      </c>
      <c r="BC185" s="818">
        <f t="shared" si="281"/>
        <v>1149</v>
      </c>
      <c r="BD185" s="818">
        <f t="shared" si="282"/>
        <v>645</v>
      </c>
      <c r="BE185" s="818">
        <f t="shared" si="283"/>
        <v>778</v>
      </c>
      <c r="BF185" s="818">
        <f t="shared" si="25"/>
        <v>734</v>
      </c>
      <c r="BG185" s="818">
        <f t="shared" si="26"/>
        <v>881</v>
      </c>
      <c r="BH185" s="818">
        <f t="shared" si="284"/>
        <v>979</v>
      </c>
      <c r="BI185" s="818">
        <f t="shared" si="285"/>
        <v>979</v>
      </c>
      <c r="BJ185" s="818">
        <f t="shared" si="286"/>
        <v>853</v>
      </c>
      <c r="BK185" s="818">
        <f t="shared" si="287"/>
        <v>778</v>
      </c>
      <c r="BL185" s="818">
        <f t="shared" si="288"/>
        <v>778</v>
      </c>
      <c r="BM185" s="347"/>
      <c r="BN185" s="818">
        <f t="shared" si="351"/>
        <v>2644</v>
      </c>
      <c r="BO185" s="347"/>
      <c r="BP185" s="823">
        <f t="shared" si="33"/>
        <v>2644</v>
      </c>
      <c r="BQ185" s="338">
        <v>19.0</v>
      </c>
      <c r="BR185" s="338">
        <v>60.0</v>
      </c>
      <c r="BS185" s="338">
        <v>20.0</v>
      </c>
      <c r="BT185" s="338">
        <v>75.0</v>
      </c>
      <c r="BU185" s="338">
        <v>75.0</v>
      </c>
      <c r="BV185" s="339">
        <f t="shared" si="34"/>
        <v>39.5</v>
      </c>
      <c r="BW185" s="819">
        <f t="shared" si="35"/>
        <v>1272.7</v>
      </c>
      <c r="BX185" s="818">
        <f t="shared" si="289"/>
        <v>1767.6</v>
      </c>
      <c r="BY185" s="818">
        <f t="shared" si="290"/>
        <v>1767.6</v>
      </c>
      <c r="BZ185" s="818">
        <f t="shared" si="38"/>
        <v>1590.9</v>
      </c>
      <c r="CA185" s="818">
        <f t="shared" si="291"/>
        <v>1383.4</v>
      </c>
      <c r="CB185" s="818">
        <f t="shared" si="292"/>
        <v>1383.4</v>
      </c>
      <c r="CC185" s="818">
        <f t="shared" si="293"/>
        <v>1515.1</v>
      </c>
      <c r="CD185" s="818">
        <f t="shared" si="294"/>
        <v>1383.4</v>
      </c>
      <c r="CE185" s="820" t="str">
        <f t="shared" si="43"/>
        <v/>
      </c>
      <c r="CF185" s="347">
        <f t="shared" si="248"/>
        <v>-16.9</v>
      </c>
      <c r="CG185" s="810">
        <f t="shared" si="295"/>
        <v>-16.9</v>
      </c>
      <c r="CH185" s="822" t="s">
        <v>1249</v>
      </c>
      <c r="CI185" s="818">
        <f t="shared" ref="CI185:DF185" si="365">FLOOR($AV185/(CI$3/25),1)</f>
        <v>1057</v>
      </c>
      <c r="CJ185" s="818">
        <f t="shared" si="365"/>
        <v>1101</v>
      </c>
      <c r="CK185" s="818">
        <f t="shared" si="365"/>
        <v>1149</v>
      </c>
      <c r="CL185" s="818">
        <f t="shared" si="365"/>
        <v>1201</v>
      </c>
      <c r="CM185" s="818">
        <f t="shared" si="365"/>
        <v>1258</v>
      </c>
      <c r="CN185" s="818">
        <f t="shared" si="365"/>
        <v>1321</v>
      </c>
      <c r="CO185" s="818">
        <f t="shared" si="365"/>
        <v>1391</v>
      </c>
      <c r="CP185" s="818">
        <f t="shared" si="365"/>
        <v>1468</v>
      </c>
      <c r="CQ185" s="818">
        <f t="shared" si="365"/>
        <v>1555</v>
      </c>
      <c r="CR185" s="818">
        <f t="shared" si="365"/>
        <v>1652</v>
      </c>
      <c r="CS185" s="818">
        <f t="shared" si="365"/>
        <v>1762</v>
      </c>
      <c r="CT185" s="818">
        <f t="shared" si="365"/>
        <v>1888</v>
      </c>
      <c r="CU185" s="818">
        <f t="shared" si="365"/>
        <v>2033</v>
      </c>
      <c r="CV185" s="818">
        <f t="shared" si="365"/>
        <v>2203</v>
      </c>
      <c r="CW185" s="818">
        <f t="shared" si="365"/>
        <v>2403</v>
      </c>
      <c r="CX185" s="818">
        <f t="shared" si="365"/>
        <v>2643</v>
      </c>
      <c r="CY185" s="818">
        <f t="shared" si="365"/>
        <v>2937</v>
      </c>
      <c r="CZ185" s="818">
        <f t="shared" si="365"/>
        <v>3304</v>
      </c>
      <c r="DA185" s="818">
        <f t="shared" si="365"/>
        <v>3776</v>
      </c>
      <c r="DB185" s="818">
        <f t="shared" si="365"/>
        <v>4406</v>
      </c>
      <c r="DC185" s="818">
        <f t="shared" si="365"/>
        <v>5287</v>
      </c>
      <c r="DD185" s="818">
        <f t="shared" si="365"/>
        <v>6609</v>
      </c>
      <c r="DE185" s="818">
        <f t="shared" si="365"/>
        <v>8812</v>
      </c>
      <c r="DF185" s="823">
        <f t="shared" si="365"/>
        <v>13218</v>
      </c>
      <c r="DG185" s="810"/>
      <c r="DH185" s="810" t="str">
        <f t="shared" si="46"/>
        <v/>
      </c>
      <c r="DI185" s="347" t="str">
        <f t="shared" si="47"/>
        <v/>
      </c>
      <c r="DJ185" s="347" t="str">
        <f t="shared" si="48"/>
        <v/>
      </c>
      <c r="DK185" s="842">
        <f t="shared" si="49"/>
        <v>21.5</v>
      </c>
      <c r="DL185" s="685">
        <v>48.0</v>
      </c>
      <c r="DM185" s="347"/>
      <c r="DN185" s="818">
        <f t="shared" si="358"/>
        <v>1.5</v>
      </c>
      <c r="DO185" s="810" t="s">
        <v>2349</v>
      </c>
      <c r="DP185" s="824"/>
    </row>
    <row r="186">
      <c r="A186" s="847">
        <v>180.0</v>
      </c>
      <c r="B186" s="848">
        <v>294.0</v>
      </c>
      <c r="C186" s="849">
        <v>27.0</v>
      </c>
      <c r="D186" s="849">
        <v>35.0</v>
      </c>
      <c r="E186" s="850"/>
      <c r="F186" s="851" t="s">
        <v>2344</v>
      </c>
      <c r="G186" s="851">
        <f t="shared" si="269"/>
        <v>15</v>
      </c>
      <c r="H186" s="851">
        <f t="shared" si="270"/>
        <v>15</v>
      </c>
      <c r="I186" s="851">
        <f t="shared" si="7"/>
        <v>16</v>
      </c>
      <c r="J186" s="851">
        <f t="shared" si="271"/>
        <v>19</v>
      </c>
      <c r="K186" s="851">
        <f t="shared" si="272"/>
        <v>19</v>
      </c>
      <c r="L186" s="851">
        <f t="shared" si="273"/>
        <v>17</v>
      </c>
      <c r="M186" s="890">
        <f t="shared" si="274"/>
        <v>19</v>
      </c>
      <c r="N186" s="853" t="s">
        <v>1256</v>
      </c>
      <c r="O186" s="854" t="s">
        <v>2031</v>
      </c>
      <c r="P186" s="856"/>
      <c r="Q186" s="856" t="s">
        <v>1676</v>
      </c>
      <c r="R186" s="856" t="s">
        <v>1314</v>
      </c>
      <c r="S186" s="857" t="s">
        <v>1169</v>
      </c>
      <c r="T186" s="858" t="s">
        <v>1226</v>
      </c>
      <c r="U186" s="849">
        <v>85.0</v>
      </c>
      <c r="V186" s="849">
        <v>65.0</v>
      </c>
      <c r="W186" s="849">
        <v>76.0</v>
      </c>
      <c r="X186" s="773">
        <v>145.0</v>
      </c>
      <c r="Y186" s="849">
        <v>3.0</v>
      </c>
      <c r="Z186" s="849">
        <v>-10.0</v>
      </c>
      <c r="AA186" s="849">
        <v>3.0</v>
      </c>
      <c r="AB186" s="850"/>
      <c r="AC186" s="849">
        <v>199.0</v>
      </c>
      <c r="AD186" s="849">
        <v>4.0</v>
      </c>
      <c r="AE186" s="849">
        <v>75.0</v>
      </c>
      <c r="AF186" s="849">
        <v>75.0</v>
      </c>
      <c r="AG186" s="849">
        <v>27.0</v>
      </c>
      <c r="AH186" s="849">
        <v>35.0</v>
      </c>
      <c r="AI186" s="859">
        <f t="shared" si="12"/>
        <v>31</v>
      </c>
      <c r="AJ186" s="850"/>
      <c r="AK186" s="850"/>
      <c r="AL186" s="850"/>
      <c r="AM186" s="850"/>
      <c r="AN186" s="850"/>
      <c r="AO186" s="850"/>
      <c r="AP186" s="850"/>
      <c r="AQ186" s="850"/>
      <c r="AR186" s="850"/>
      <c r="AS186" s="852"/>
      <c r="AT186" s="851">
        <f t="shared" si="13"/>
        <v>811</v>
      </c>
      <c r="AU186" s="851">
        <f t="shared" si="14"/>
        <v>967</v>
      </c>
      <c r="AV186" s="861">
        <f t="shared" si="15"/>
        <v>889</v>
      </c>
      <c r="AW186" s="862">
        <f t="shared" si="276"/>
        <v>1710</v>
      </c>
      <c r="AX186" s="862">
        <f t="shared" si="277"/>
        <v>1710</v>
      </c>
      <c r="AY186" s="862">
        <f t="shared" si="18"/>
        <v>1588</v>
      </c>
      <c r="AZ186" s="862">
        <f t="shared" si="278"/>
        <v>1482</v>
      </c>
      <c r="BA186" s="862">
        <f t="shared" si="279"/>
        <v>1307</v>
      </c>
      <c r="BB186" s="862">
        <f t="shared" si="280"/>
        <v>1307</v>
      </c>
      <c r="BC186" s="862">
        <f t="shared" si="281"/>
        <v>1307</v>
      </c>
      <c r="BD186" s="862">
        <f t="shared" si="282"/>
        <v>1010</v>
      </c>
      <c r="BE186" s="862">
        <f t="shared" si="283"/>
        <v>1235</v>
      </c>
      <c r="BF186" s="862">
        <f t="shared" si="25"/>
        <v>1235</v>
      </c>
      <c r="BG186" s="862">
        <f t="shared" si="26"/>
        <v>1482</v>
      </c>
      <c r="BH186" s="862">
        <f t="shared" si="284"/>
        <v>1588</v>
      </c>
      <c r="BI186" s="862">
        <f t="shared" si="285"/>
        <v>1588</v>
      </c>
      <c r="BJ186" s="862">
        <f t="shared" si="286"/>
        <v>1389</v>
      </c>
      <c r="BK186" s="862">
        <f t="shared" si="287"/>
        <v>1235</v>
      </c>
      <c r="BL186" s="862">
        <f t="shared" si="288"/>
        <v>1235</v>
      </c>
      <c r="BM186" s="850"/>
      <c r="BN186" s="862">
        <f t="shared" si="351"/>
        <v>3175</v>
      </c>
      <c r="BO186" s="850"/>
      <c r="BP186" s="868">
        <f t="shared" si="33"/>
        <v>3175</v>
      </c>
      <c r="BQ186" s="849">
        <v>27.0</v>
      </c>
      <c r="BR186" s="849">
        <v>35.0</v>
      </c>
      <c r="BS186" s="849">
        <v>-10.0</v>
      </c>
      <c r="BT186" s="849">
        <v>75.0</v>
      </c>
      <c r="BU186" s="849">
        <v>75.0</v>
      </c>
      <c r="BV186" s="863">
        <f t="shared" si="34"/>
        <v>31</v>
      </c>
      <c r="BW186" s="864">
        <f t="shared" si="35"/>
        <v>1069.8</v>
      </c>
      <c r="BX186" s="862">
        <f t="shared" si="289"/>
        <v>2057.3</v>
      </c>
      <c r="BY186" s="862">
        <f t="shared" si="290"/>
        <v>2057.3</v>
      </c>
      <c r="BZ186" s="862">
        <f t="shared" si="38"/>
        <v>1910.4</v>
      </c>
      <c r="CA186" s="862">
        <f t="shared" si="291"/>
        <v>1573.2</v>
      </c>
      <c r="CB186" s="862">
        <f t="shared" si="292"/>
        <v>1573.2</v>
      </c>
      <c r="CC186" s="862">
        <f t="shared" si="293"/>
        <v>1783</v>
      </c>
      <c r="CD186" s="862">
        <f t="shared" si="294"/>
        <v>1573.2</v>
      </c>
      <c r="CE186" s="891" t="str">
        <f t="shared" si="43"/>
        <v/>
      </c>
      <c r="CF186" s="850">
        <f t="shared" si="248"/>
        <v>-16.9</v>
      </c>
      <c r="CG186" s="852">
        <f t="shared" si="295"/>
        <v>-16.9</v>
      </c>
      <c r="CH186" s="867" t="s">
        <v>1256</v>
      </c>
      <c r="CI186" s="862">
        <f t="shared" ref="CI186:DF186" si="366">FLOOR($AV186/(CI$3/25),1)</f>
        <v>889</v>
      </c>
      <c r="CJ186" s="862">
        <f t="shared" si="366"/>
        <v>926</v>
      </c>
      <c r="CK186" s="862">
        <f t="shared" si="366"/>
        <v>966</v>
      </c>
      <c r="CL186" s="862">
        <f t="shared" si="366"/>
        <v>1010</v>
      </c>
      <c r="CM186" s="862">
        <f t="shared" si="366"/>
        <v>1058</v>
      </c>
      <c r="CN186" s="862">
        <f t="shared" si="366"/>
        <v>1111</v>
      </c>
      <c r="CO186" s="862">
        <f t="shared" si="366"/>
        <v>1169</v>
      </c>
      <c r="CP186" s="862">
        <f t="shared" si="366"/>
        <v>1234</v>
      </c>
      <c r="CQ186" s="862">
        <f t="shared" si="366"/>
        <v>1307</v>
      </c>
      <c r="CR186" s="862">
        <f t="shared" si="366"/>
        <v>1389</v>
      </c>
      <c r="CS186" s="862">
        <f t="shared" si="366"/>
        <v>1481</v>
      </c>
      <c r="CT186" s="862">
        <f t="shared" si="366"/>
        <v>1587</v>
      </c>
      <c r="CU186" s="862">
        <f t="shared" si="366"/>
        <v>1709</v>
      </c>
      <c r="CV186" s="862">
        <f t="shared" si="366"/>
        <v>1852</v>
      </c>
      <c r="CW186" s="862">
        <f t="shared" si="366"/>
        <v>2020</v>
      </c>
      <c r="CX186" s="862">
        <f t="shared" si="366"/>
        <v>2222</v>
      </c>
      <c r="CY186" s="862">
        <f t="shared" si="366"/>
        <v>2469</v>
      </c>
      <c r="CZ186" s="862">
        <f t="shared" si="366"/>
        <v>2778</v>
      </c>
      <c r="DA186" s="862">
        <f t="shared" si="366"/>
        <v>3175</v>
      </c>
      <c r="DB186" s="862">
        <f t="shared" si="366"/>
        <v>3704</v>
      </c>
      <c r="DC186" s="862">
        <f t="shared" si="366"/>
        <v>4445</v>
      </c>
      <c r="DD186" s="862">
        <f t="shared" si="366"/>
        <v>5556</v>
      </c>
      <c r="DE186" s="862">
        <f t="shared" si="366"/>
        <v>7408</v>
      </c>
      <c r="DF186" s="868">
        <f t="shared" si="366"/>
        <v>11112</v>
      </c>
      <c r="DG186" s="852"/>
      <c r="DH186" s="852" t="str">
        <f t="shared" si="46"/>
        <v/>
      </c>
      <c r="DI186" s="850" t="str">
        <f t="shared" si="47"/>
        <v/>
      </c>
      <c r="DJ186" s="850" t="str">
        <f t="shared" si="48"/>
        <v/>
      </c>
      <c r="DK186" s="865">
        <f t="shared" si="49"/>
        <v>25.8</v>
      </c>
      <c r="DL186" s="789">
        <v>39.0</v>
      </c>
      <c r="DM186" s="850"/>
      <c r="DN186" s="862">
        <f t="shared" si="358"/>
        <v>1.3</v>
      </c>
      <c r="DO186" s="852"/>
      <c r="DP186" s="869"/>
    </row>
    <row r="187">
      <c r="A187" s="647">
        <v>181.0</v>
      </c>
      <c r="B187" s="141">
        <v>332.0</v>
      </c>
      <c r="C187" s="129">
        <v>6.0</v>
      </c>
      <c r="D187" s="129">
        <v>22.0</v>
      </c>
      <c r="E187" s="129">
        <v>1.0</v>
      </c>
      <c r="F187" s="154" t="s">
        <v>2344</v>
      </c>
      <c r="G187" s="154">
        <f t="shared" si="269"/>
        <v>16</v>
      </c>
      <c r="H187" s="134"/>
      <c r="I187" s="134"/>
      <c r="J187" s="134"/>
      <c r="K187" s="134"/>
      <c r="L187" s="134"/>
      <c r="M187" s="653"/>
      <c r="N187" s="134" t="s">
        <v>1258</v>
      </c>
      <c r="O187" s="649" t="s">
        <v>2354</v>
      </c>
      <c r="P187" s="650"/>
      <c r="Q187" s="650" t="s">
        <v>1313</v>
      </c>
      <c r="R187" s="650" t="s">
        <v>1052</v>
      </c>
      <c r="S187" s="796" t="s">
        <v>1268</v>
      </c>
      <c r="T187" s="651" t="s">
        <v>1259</v>
      </c>
      <c r="U187" s="129">
        <v>23.0</v>
      </c>
      <c r="V187" s="129">
        <v>17.0</v>
      </c>
      <c r="W187" s="129">
        <v>33.0</v>
      </c>
      <c r="X187" s="129">
        <v>47.0</v>
      </c>
      <c r="Y187" s="134"/>
      <c r="Z187" s="129">
        <v>-10.0</v>
      </c>
      <c r="AA187" s="141">
        <v>3.0</v>
      </c>
      <c r="AB187" s="134"/>
      <c r="AC187" s="129">
        <v>48.0</v>
      </c>
      <c r="AD187" s="129">
        <v>3.0</v>
      </c>
      <c r="AE187" s="129">
        <v>80.0</v>
      </c>
      <c r="AF187" s="129">
        <v>50.0</v>
      </c>
      <c r="AG187" s="129">
        <v>6.0</v>
      </c>
      <c r="AH187" s="129">
        <v>22.0</v>
      </c>
      <c r="AI187" s="652">
        <f t="shared" si="12"/>
        <v>14</v>
      </c>
      <c r="AJ187" s="134"/>
      <c r="AK187" s="134"/>
      <c r="AL187" s="134"/>
      <c r="AM187" s="134"/>
      <c r="AN187" s="134"/>
      <c r="AO187" s="134"/>
      <c r="AP187" s="134"/>
      <c r="AQ187" s="134"/>
      <c r="AR187" s="134"/>
      <c r="AS187" s="653"/>
      <c r="AT187" s="154">
        <f t="shared" si="13"/>
        <v>365</v>
      </c>
      <c r="AU187" s="154">
        <f t="shared" si="14"/>
        <v>661</v>
      </c>
      <c r="AV187" s="654">
        <f t="shared" si="15"/>
        <v>513</v>
      </c>
      <c r="AW187" s="655">
        <f t="shared" si="276"/>
        <v>916</v>
      </c>
      <c r="AX187" s="134"/>
      <c r="AY187" s="134"/>
      <c r="AZ187" s="134"/>
      <c r="BA187" s="134"/>
      <c r="BB187" s="134"/>
      <c r="BC187" s="134"/>
      <c r="BD187" s="134"/>
      <c r="BE187" s="134"/>
      <c r="BF187" s="134"/>
      <c r="BG187" s="134"/>
      <c r="BH187" s="655">
        <f t="shared" si="284"/>
        <v>855</v>
      </c>
      <c r="BI187" s="134"/>
      <c r="BJ187" s="134"/>
      <c r="BK187" s="134"/>
      <c r="BL187" s="134"/>
      <c r="BM187" s="134"/>
      <c r="BN187" s="134"/>
      <c r="BO187" s="134"/>
      <c r="BP187" s="653" t="str">
        <f t="shared" si="33"/>
        <v/>
      </c>
      <c r="BQ187" s="129">
        <v>6.0</v>
      </c>
      <c r="BR187" s="129">
        <v>22.0</v>
      </c>
      <c r="BS187" s="129">
        <v>-10.0</v>
      </c>
      <c r="BT187" s="129">
        <v>80.0</v>
      </c>
      <c r="BU187" s="129">
        <v>50.0</v>
      </c>
      <c r="BV187" s="135">
        <f t="shared" si="34"/>
        <v>14</v>
      </c>
      <c r="BW187" s="657">
        <f t="shared" si="35"/>
        <v>618</v>
      </c>
      <c r="BX187" s="655">
        <f t="shared" si="289"/>
        <v>772.5</v>
      </c>
      <c r="BY187" s="134"/>
      <c r="BZ187" s="134"/>
      <c r="CA187" s="134"/>
      <c r="CB187" s="134"/>
      <c r="CC187" s="134"/>
      <c r="CD187" s="134"/>
      <c r="CE187" s="662" t="str">
        <f t="shared" si="43"/>
        <v/>
      </c>
      <c r="CF187" s="134">
        <f t="shared" si="248"/>
        <v>-17</v>
      </c>
      <c r="CG187" s="656">
        <f t="shared" si="295"/>
        <v>18.6</v>
      </c>
      <c r="CH187" s="653" t="s">
        <v>1258</v>
      </c>
      <c r="CI187" s="655">
        <f t="shared" ref="CI187:DF187" si="367">FLOOR($AV187/(CI$3/25),1)</f>
        <v>513</v>
      </c>
      <c r="CJ187" s="655">
        <f t="shared" si="367"/>
        <v>534</v>
      </c>
      <c r="CK187" s="655">
        <f t="shared" si="367"/>
        <v>557</v>
      </c>
      <c r="CL187" s="655">
        <f t="shared" si="367"/>
        <v>582</v>
      </c>
      <c r="CM187" s="655">
        <f t="shared" si="367"/>
        <v>610</v>
      </c>
      <c r="CN187" s="655">
        <f t="shared" si="367"/>
        <v>641</v>
      </c>
      <c r="CO187" s="655">
        <f t="shared" si="367"/>
        <v>675</v>
      </c>
      <c r="CP187" s="655">
        <f t="shared" si="367"/>
        <v>712</v>
      </c>
      <c r="CQ187" s="655">
        <f t="shared" si="367"/>
        <v>754</v>
      </c>
      <c r="CR187" s="655">
        <f t="shared" si="367"/>
        <v>801</v>
      </c>
      <c r="CS187" s="655">
        <f t="shared" si="367"/>
        <v>855</v>
      </c>
      <c r="CT187" s="655">
        <f t="shared" si="367"/>
        <v>916</v>
      </c>
      <c r="CU187" s="655">
        <f t="shared" si="367"/>
        <v>986</v>
      </c>
      <c r="CV187" s="655">
        <f t="shared" si="367"/>
        <v>1068</v>
      </c>
      <c r="CW187" s="655">
        <f t="shared" si="367"/>
        <v>1165</v>
      </c>
      <c r="CX187" s="655">
        <f t="shared" si="367"/>
        <v>1282</v>
      </c>
      <c r="CY187" s="655">
        <f t="shared" si="367"/>
        <v>1425</v>
      </c>
      <c r="CZ187" s="655">
        <f t="shared" si="367"/>
        <v>1603</v>
      </c>
      <c r="DA187" s="655">
        <f t="shared" si="367"/>
        <v>1832</v>
      </c>
      <c r="DB187" s="655">
        <f t="shared" si="367"/>
        <v>2137</v>
      </c>
      <c r="DC187" s="655">
        <f t="shared" si="367"/>
        <v>2565</v>
      </c>
      <c r="DD187" s="655">
        <f t="shared" si="367"/>
        <v>3206</v>
      </c>
      <c r="DE187" s="655">
        <f t="shared" si="367"/>
        <v>4275</v>
      </c>
      <c r="DF187" s="656">
        <f t="shared" si="367"/>
        <v>6412</v>
      </c>
      <c r="DG187" s="653"/>
      <c r="DH187" s="653" t="str">
        <f t="shared" si="46"/>
        <v/>
      </c>
      <c r="DI187" s="134" t="str">
        <f t="shared" si="47"/>
        <v/>
      </c>
      <c r="DJ187" s="134" t="str">
        <f t="shared" si="48"/>
        <v/>
      </c>
      <c r="DK187" s="899" t="str">
        <f t="shared" si="49"/>
        <v/>
      </c>
      <c r="DL187" s="900"/>
      <c r="DM187" s="900"/>
      <c r="DN187" s="900"/>
      <c r="DO187" s="653"/>
      <c r="DP187" s="901" t="s">
        <v>2355</v>
      </c>
    </row>
    <row r="188">
      <c r="A188" s="647">
        <v>182.0</v>
      </c>
      <c r="B188" s="141">
        <v>343.0</v>
      </c>
      <c r="C188" s="129">
        <v>22.0</v>
      </c>
      <c r="D188" s="129">
        <v>60.0</v>
      </c>
      <c r="E188" s="129">
        <v>1.0</v>
      </c>
      <c r="F188" s="154" t="s">
        <v>2344</v>
      </c>
      <c r="G188" s="154">
        <f t="shared" si="269"/>
        <v>16</v>
      </c>
      <c r="H188" s="134"/>
      <c r="I188" s="134"/>
      <c r="J188" s="134"/>
      <c r="K188" s="134"/>
      <c r="L188" s="134"/>
      <c r="M188" s="653"/>
      <c r="N188" s="134" t="s">
        <v>1260</v>
      </c>
      <c r="O188" s="649" t="s">
        <v>2032</v>
      </c>
      <c r="P188" s="650"/>
      <c r="Q188" s="650" t="s">
        <v>1670</v>
      </c>
      <c r="R188" s="650" t="s">
        <v>1052</v>
      </c>
      <c r="S188" s="796" t="s">
        <v>1268</v>
      </c>
      <c r="T188" s="651" t="s">
        <v>1262</v>
      </c>
      <c r="U188" s="129">
        <v>35.0</v>
      </c>
      <c r="V188" s="129">
        <v>26.0</v>
      </c>
      <c r="W188" s="129">
        <v>25.0</v>
      </c>
      <c r="X188" s="799">
        <v>109.0</v>
      </c>
      <c r="Y188" s="134"/>
      <c r="Z188" s="129">
        <v>-10.0</v>
      </c>
      <c r="AA188" s="141">
        <v>3.0</v>
      </c>
      <c r="AB188" s="134"/>
      <c r="AC188" s="129">
        <v>444.0</v>
      </c>
      <c r="AD188" s="129">
        <v>3.0</v>
      </c>
      <c r="AE188" s="129">
        <v>80.0</v>
      </c>
      <c r="AF188" s="129">
        <v>50.0</v>
      </c>
      <c r="AG188" s="129">
        <v>25.0</v>
      </c>
      <c r="AH188" s="129">
        <v>69.0</v>
      </c>
      <c r="AI188" s="652">
        <f t="shared" si="12"/>
        <v>47</v>
      </c>
      <c r="AJ188" s="134"/>
      <c r="AK188" s="134"/>
      <c r="AL188" s="134"/>
      <c r="AM188" s="134"/>
      <c r="AN188" s="134"/>
      <c r="AO188" s="134"/>
      <c r="AP188" s="134"/>
      <c r="AQ188" s="134"/>
      <c r="AR188" s="134"/>
      <c r="AS188" s="653"/>
      <c r="AT188" s="154">
        <f t="shared" si="13"/>
        <v>717</v>
      </c>
      <c r="AU188" s="154">
        <f t="shared" si="14"/>
        <v>1530</v>
      </c>
      <c r="AV188" s="654">
        <f t="shared" si="15"/>
        <v>1123.5</v>
      </c>
      <c r="AW188" s="655">
        <f t="shared" si="276"/>
        <v>2006</v>
      </c>
      <c r="AX188" s="134"/>
      <c r="AY188" s="134"/>
      <c r="AZ188" s="134"/>
      <c r="BA188" s="134"/>
      <c r="BB188" s="134"/>
      <c r="BC188" s="134"/>
      <c r="BD188" s="134"/>
      <c r="BE188" s="134"/>
      <c r="BF188" s="134"/>
      <c r="BG188" s="134"/>
      <c r="BH188" s="655">
        <f t="shared" si="284"/>
        <v>1873</v>
      </c>
      <c r="BI188" s="134"/>
      <c r="BJ188" s="134"/>
      <c r="BK188" s="134"/>
      <c r="BL188" s="134"/>
      <c r="BM188" s="134"/>
      <c r="BN188" s="134"/>
      <c r="BO188" s="134"/>
      <c r="BP188" s="653" t="str">
        <f t="shared" si="33"/>
        <v/>
      </c>
      <c r="BQ188" s="129">
        <v>18.0</v>
      </c>
      <c r="BR188" s="129">
        <v>54.0</v>
      </c>
      <c r="BS188" s="129">
        <v>-10.0</v>
      </c>
      <c r="BT188" s="129">
        <v>80.0</v>
      </c>
      <c r="BU188" s="129">
        <v>50.0</v>
      </c>
      <c r="BV188" s="135">
        <f t="shared" si="34"/>
        <v>36</v>
      </c>
      <c r="BW188" s="657">
        <f t="shared" si="35"/>
        <v>1106.7</v>
      </c>
      <c r="BX188" s="655">
        <f t="shared" si="289"/>
        <v>1383.4</v>
      </c>
      <c r="BY188" s="134"/>
      <c r="BZ188" s="134"/>
      <c r="CA188" s="134"/>
      <c r="CB188" s="134"/>
      <c r="CC188" s="134"/>
      <c r="CD188" s="134"/>
      <c r="CE188" s="659">
        <f t="shared" si="43"/>
        <v>30.6</v>
      </c>
      <c r="CF188" s="141">
        <f t="shared" si="248"/>
        <v>1.5</v>
      </c>
      <c r="CG188" s="656">
        <f t="shared" si="295"/>
        <v>45</v>
      </c>
      <c r="CH188" s="653" t="s">
        <v>1260</v>
      </c>
      <c r="CI188" s="655">
        <f t="shared" ref="CI188:DF188" si="368">FLOOR($AV188/(CI$3/25),1)</f>
        <v>1123</v>
      </c>
      <c r="CJ188" s="655">
        <f t="shared" si="368"/>
        <v>1170</v>
      </c>
      <c r="CK188" s="655">
        <f t="shared" si="368"/>
        <v>1221</v>
      </c>
      <c r="CL188" s="655">
        <f t="shared" si="368"/>
        <v>1276</v>
      </c>
      <c r="CM188" s="655">
        <f t="shared" si="368"/>
        <v>1337</v>
      </c>
      <c r="CN188" s="655">
        <f t="shared" si="368"/>
        <v>1404</v>
      </c>
      <c r="CO188" s="655">
        <f t="shared" si="368"/>
        <v>1478</v>
      </c>
      <c r="CP188" s="655">
        <f t="shared" si="368"/>
        <v>1560</v>
      </c>
      <c r="CQ188" s="655">
        <f t="shared" si="368"/>
        <v>1652</v>
      </c>
      <c r="CR188" s="655">
        <f t="shared" si="368"/>
        <v>1755</v>
      </c>
      <c r="CS188" s="655">
        <f t="shared" si="368"/>
        <v>1872</v>
      </c>
      <c r="CT188" s="655">
        <f t="shared" si="368"/>
        <v>2006</v>
      </c>
      <c r="CU188" s="655">
        <f t="shared" si="368"/>
        <v>2160</v>
      </c>
      <c r="CV188" s="655">
        <f t="shared" si="368"/>
        <v>2340</v>
      </c>
      <c r="CW188" s="655">
        <f t="shared" si="368"/>
        <v>2553</v>
      </c>
      <c r="CX188" s="655">
        <f t="shared" si="368"/>
        <v>2808</v>
      </c>
      <c r="CY188" s="655">
        <f t="shared" si="368"/>
        <v>3120</v>
      </c>
      <c r="CZ188" s="655">
        <f t="shared" si="368"/>
        <v>3510</v>
      </c>
      <c r="DA188" s="655">
        <f t="shared" si="368"/>
        <v>4012</v>
      </c>
      <c r="DB188" s="655">
        <f t="shared" si="368"/>
        <v>4681</v>
      </c>
      <c r="DC188" s="655">
        <f t="shared" si="368"/>
        <v>5617</v>
      </c>
      <c r="DD188" s="655">
        <f t="shared" si="368"/>
        <v>7021</v>
      </c>
      <c r="DE188" s="655">
        <f t="shared" si="368"/>
        <v>9362</v>
      </c>
      <c r="DF188" s="656">
        <f t="shared" si="368"/>
        <v>14043</v>
      </c>
      <c r="DG188" s="653"/>
      <c r="DH188" s="653" t="str">
        <f t="shared" si="46"/>
        <v/>
      </c>
      <c r="DI188" s="134" t="str">
        <f t="shared" si="47"/>
        <v/>
      </c>
      <c r="DJ188" s="134" t="str">
        <f t="shared" si="48"/>
        <v/>
      </c>
      <c r="DK188" s="662" t="str">
        <f t="shared" si="49"/>
        <v/>
      </c>
      <c r="DL188" s="134"/>
      <c r="DM188" s="134"/>
      <c r="DN188" s="655">
        <f t="shared" ref="DN188:DN189" si="370">IF(ISBLANK(DL188),ROUND(AI188/IF(ISBLANK(DL187),AI187,DL187),1),ROUND(DL188/IF(ISBLANK(DL187),AI187,DL187),1))</f>
        <v>3.4</v>
      </c>
      <c r="DO188" s="653"/>
      <c r="DP188" s="901" t="s">
        <v>2355</v>
      </c>
    </row>
    <row r="189">
      <c r="A189" s="686">
        <v>183.0</v>
      </c>
      <c r="B189" s="196">
        <v>354.0</v>
      </c>
      <c r="C189" s="186">
        <v>35.0</v>
      </c>
      <c r="D189" s="186">
        <v>66.0</v>
      </c>
      <c r="E189" s="186">
        <v>1.0</v>
      </c>
      <c r="F189" s="221" t="s">
        <v>2344</v>
      </c>
      <c r="G189" s="221">
        <f t="shared" si="269"/>
        <v>16</v>
      </c>
      <c r="H189" s="190"/>
      <c r="I189" s="190"/>
      <c r="J189" s="190"/>
      <c r="K189" s="190"/>
      <c r="L189" s="190"/>
      <c r="M189" s="377"/>
      <c r="N189" s="190" t="s">
        <v>1265</v>
      </c>
      <c r="O189" s="688" t="s">
        <v>2033</v>
      </c>
      <c r="P189" s="689"/>
      <c r="Q189" s="689" t="s">
        <v>1676</v>
      </c>
      <c r="R189" s="689" t="s">
        <v>1052</v>
      </c>
      <c r="S189" s="797" t="s">
        <v>1268</v>
      </c>
      <c r="T189" s="690" t="s">
        <v>1266</v>
      </c>
      <c r="U189" s="186">
        <v>65.0</v>
      </c>
      <c r="V189" s="186">
        <v>48.0</v>
      </c>
      <c r="W189" s="186">
        <v>107.0</v>
      </c>
      <c r="X189" s="798">
        <v>151.0</v>
      </c>
      <c r="Y189" s="190"/>
      <c r="Z189" s="186">
        <v>-10.0</v>
      </c>
      <c r="AA189" s="196">
        <v>3.0</v>
      </c>
      <c r="AB189" s="190"/>
      <c r="AC189" s="186">
        <v>302.0</v>
      </c>
      <c r="AD189" s="186">
        <v>3.0</v>
      </c>
      <c r="AE189" s="186">
        <v>80.0</v>
      </c>
      <c r="AF189" s="186">
        <v>50.0</v>
      </c>
      <c r="AG189" s="186">
        <v>44.0</v>
      </c>
      <c r="AH189" s="186">
        <v>83.0</v>
      </c>
      <c r="AI189" s="692">
        <f t="shared" si="12"/>
        <v>63.5</v>
      </c>
      <c r="AJ189" s="190"/>
      <c r="AK189" s="190"/>
      <c r="AL189" s="190"/>
      <c r="AM189" s="190"/>
      <c r="AN189" s="190"/>
      <c r="AO189" s="190"/>
      <c r="AP189" s="190"/>
      <c r="AQ189" s="190"/>
      <c r="AR189" s="190"/>
      <c r="AS189" s="377"/>
      <c r="AT189" s="221">
        <f t="shared" si="13"/>
        <v>1067</v>
      </c>
      <c r="AU189" s="221">
        <f t="shared" si="14"/>
        <v>1790</v>
      </c>
      <c r="AV189" s="693">
        <f t="shared" si="15"/>
        <v>1428.5</v>
      </c>
      <c r="AW189" s="694">
        <f t="shared" si="276"/>
        <v>2551</v>
      </c>
      <c r="AX189" s="190"/>
      <c r="AY189" s="190"/>
      <c r="AZ189" s="190"/>
      <c r="BA189" s="190"/>
      <c r="BB189" s="190"/>
      <c r="BC189" s="190"/>
      <c r="BD189" s="190"/>
      <c r="BE189" s="190"/>
      <c r="BF189" s="190"/>
      <c r="BG189" s="190"/>
      <c r="BH189" s="694">
        <f t="shared" si="284"/>
        <v>2381</v>
      </c>
      <c r="BI189" s="190"/>
      <c r="BJ189" s="190"/>
      <c r="BK189" s="190"/>
      <c r="BL189" s="190"/>
      <c r="BM189" s="190"/>
      <c r="BN189" s="190"/>
      <c r="BO189" s="190"/>
      <c r="BP189" s="377" t="str">
        <f t="shared" si="33"/>
        <v/>
      </c>
      <c r="BQ189" s="696">
        <v>35.0</v>
      </c>
      <c r="BR189" s="696">
        <v>66.0</v>
      </c>
      <c r="BS189" s="696">
        <v>-10.0</v>
      </c>
      <c r="BT189" s="696">
        <v>80.0</v>
      </c>
      <c r="BU189" s="696">
        <v>50.0</v>
      </c>
      <c r="BV189" s="698">
        <f t="shared" si="34"/>
        <v>50.5</v>
      </c>
      <c r="BW189" s="699">
        <f t="shared" si="35"/>
        <v>1428.9</v>
      </c>
      <c r="BX189" s="700">
        <f t="shared" si="289"/>
        <v>1786.1</v>
      </c>
      <c r="BY189" s="697"/>
      <c r="BZ189" s="697"/>
      <c r="CA189" s="697"/>
      <c r="CB189" s="697"/>
      <c r="CC189" s="697"/>
      <c r="CD189" s="697"/>
      <c r="CE189" s="701">
        <f t="shared" si="43"/>
        <v>25.7</v>
      </c>
      <c r="CF189" s="702" t="str">
        <f t="shared" si="248"/>
        <v/>
      </c>
      <c r="CG189" s="880">
        <f t="shared" si="295"/>
        <v>42.8</v>
      </c>
      <c r="CH189" s="377" t="s">
        <v>1265</v>
      </c>
      <c r="CI189" s="694">
        <f t="shared" ref="CI189:DF189" si="369">FLOOR($AV189/(CI$3/25),1)</f>
        <v>1428</v>
      </c>
      <c r="CJ189" s="694">
        <f t="shared" si="369"/>
        <v>1488</v>
      </c>
      <c r="CK189" s="694">
        <f t="shared" si="369"/>
        <v>1552</v>
      </c>
      <c r="CL189" s="694">
        <f t="shared" si="369"/>
        <v>1623</v>
      </c>
      <c r="CM189" s="694">
        <f t="shared" si="369"/>
        <v>1700</v>
      </c>
      <c r="CN189" s="694">
        <f t="shared" si="369"/>
        <v>1785</v>
      </c>
      <c r="CO189" s="694">
        <f t="shared" si="369"/>
        <v>1879</v>
      </c>
      <c r="CP189" s="694">
        <f t="shared" si="369"/>
        <v>1984</v>
      </c>
      <c r="CQ189" s="694">
        <f t="shared" si="369"/>
        <v>2100</v>
      </c>
      <c r="CR189" s="694">
        <f t="shared" si="369"/>
        <v>2232</v>
      </c>
      <c r="CS189" s="694">
        <f t="shared" si="369"/>
        <v>2380</v>
      </c>
      <c r="CT189" s="694">
        <f t="shared" si="369"/>
        <v>2550</v>
      </c>
      <c r="CU189" s="694">
        <f t="shared" si="369"/>
        <v>2747</v>
      </c>
      <c r="CV189" s="694">
        <f t="shared" si="369"/>
        <v>2976</v>
      </c>
      <c r="CW189" s="694">
        <f t="shared" si="369"/>
        <v>3246</v>
      </c>
      <c r="CX189" s="694">
        <f t="shared" si="369"/>
        <v>3571</v>
      </c>
      <c r="CY189" s="694">
        <f t="shared" si="369"/>
        <v>3968</v>
      </c>
      <c r="CZ189" s="694">
        <f t="shared" si="369"/>
        <v>4464</v>
      </c>
      <c r="DA189" s="694">
        <f t="shared" si="369"/>
        <v>5101</v>
      </c>
      <c r="DB189" s="694">
        <f t="shared" si="369"/>
        <v>5952</v>
      </c>
      <c r="DC189" s="694">
        <f t="shared" si="369"/>
        <v>7142</v>
      </c>
      <c r="DD189" s="694">
        <f t="shared" si="369"/>
        <v>8928</v>
      </c>
      <c r="DE189" s="694">
        <f t="shared" si="369"/>
        <v>11904</v>
      </c>
      <c r="DF189" s="695">
        <f t="shared" si="369"/>
        <v>17856</v>
      </c>
      <c r="DG189" s="377"/>
      <c r="DH189" s="377" t="str">
        <f t="shared" si="46"/>
        <v/>
      </c>
      <c r="DI189" s="190" t="str">
        <f t="shared" si="47"/>
        <v/>
      </c>
      <c r="DJ189" s="190" t="str">
        <f t="shared" si="48"/>
        <v/>
      </c>
      <c r="DK189" s="704" t="str">
        <f t="shared" si="49"/>
        <v/>
      </c>
      <c r="DL189" s="190"/>
      <c r="DM189" s="190"/>
      <c r="DN189" s="694">
        <f t="shared" si="370"/>
        <v>1.4</v>
      </c>
      <c r="DO189" s="377"/>
      <c r="DP189" s="902" t="s">
        <v>2355</v>
      </c>
    </row>
    <row r="190">
      <c r="A190" s="825">
        <v>184.0</v>
      </c>
      <c r="B190" s="438">
        <v>333.0</v>
      </c>
      <c r="C190" s="440">
        <v>8.0</v>
      </c>
      <c r="D190" s="440">
        <v>14.0</v>
      </c>
      <c r="E190" s="439"/>
      <c r="F190" s="459" t="s">
        <v>2344</v>
      </c>
      <c r="G190" s="459">
        <f t="shared" si="269"/>
        <v>15</v>
      </c>
      <c r="H190" s="439"/>
      <c r="I190" s="439"/>
      <c r="J190" s="439"/>
      <c r="K190" s="439"/>
      <c r="L190" s="439"/>
      <c r="M190" s="826"/>
      <c r="N190" s="827" t="s">
        <v>1271</v>
      </c>
      <c r="O190" s="828" t="s">
        <v>2354</v>
      </c>
      <c r="P190" s="829"/>
      <c r="Q190" s="829" t="s">
        <v>1313</v>
      </c>
      <c r="R190" s="829" t="s">
        <v>1314</v>
      </c>
      <c r="S190" s="830" t="s">
        <v>1268</v>
      </c>
      <c r="T190" s="831" t="s">
        <v>1259</v>
      </c>
      <c r="U190" s="440">
        <v>23.0</v>
      </c>
      <c r="V190" s="440">
        <v>17.0</v>
      </c>
      <c r="W190" s="440">
        <v>33.0</v>
      </c>
      <c r="X190" s="440">
        <v>47.0</v>
      </c>
      <c r="Y190" s="439"/>
      <c r="Z190" s="440">
        <v>-10.0</v>
      </c>
      <c r="AA190" s="440">
        <v>3.0</v>
      </c>
      <c r="AB190" s="439"/>
      <c r="AC190" s="440">
        <v>48.0</v>
      </c>
      <c r="AD190" s="440">
        <v>3.0</v>
      </c>
      <c r="AE190" s="440">
        <v>80.0</v>
      </c>
      <c r="AF190" s="440">
        <v>50.0</v>
      </c>
      <c r="AG190" s="440">
        <v>8.0</v>
      </c>
      <c r="AH190" s="440">
        <v>14.0</v>
      </c>
      <c r="AI190" s="832">
        <f t="shared" si="12"/>
        <v>11</v>
      </c>
      <c r="AJ190" s="439"/>
      <c r="AK190" s="439"/>
      <c r="AL190" s="439"/>
      <c r="AM190" s="439"/>
      <c r="AN190" s="439"/>
      <c r="AO190" s="439"/>
      <c r="AP190" s="439"/>
      <c r="AQ190" s="439"/>
      <c r="AR190" s="439"/>
      <c r="AS190" s="826"/>
      <c r="AT190" s="459">
        <f t="shared" si="13"/>
        <v>401</v>
      </c>
      <c r="AU190" s="459">
        <f t="shared" si="14"/>
        <v>511</v>
      </c>
      <c r="AV190" s="833">
        <f t="shared" si="15"/>
        <v>456</v>
      </c>
      <c r="AW190" s="834">
        <f t="shared" si="276"/>
        <v>877</v>
      </c>
      <c r="AX190" s="439"/>
      <c r="AY190" s="439"/>
      <c r="AZ190" s="439"/>
      <c r="BA190" s="439"/>
      <c r="BB190" s="439"/>
      <c r="BC190" s="439"/>
      <c r="BD190" s="439"/>
      <c r="BE190" s="439"/>
      <c r="BF190" s="439"/>
      <c r="BG190" s="439"/>
      <c r="BH190" s="834">
        <f t="shared" si="284"/>
        <v>814</v>
      </c>
      <c r="BI190" s="439"/>
      <c r="BJ190" s="439"/>
      <c r="BK190" s="439"/>
      <c r="BL190" s="439"/>
      <c r="BM190" s="439"/>
      <c r="BN190" s="439"/>
      <c r="BO190" s="439"/>
      <c r="BP190" s="826" t="str">
        <f t="shared" si="33"/>
        <v/>
      </c>
      <c r="BQ190" s="440">
        <v>8.0</v>
      </c>
      <c r="BR190" s="440">
        <v>14.0</v>
      </c>
      <c r="BS190" s="440">
        <v>-10.0</v>
      </c>
      <c r="BT190" s="440">
        <v>80.0</v>
      </c>
      <c r="BU190" s="440">
        <v>50.0</v>
      </c>
      <c r="BV190" s="442">
        <f t="shared" si="34"/>
        <v>11</v>
      </c>
      <c r="BW190" s="835">
        <f t="shared" si="35"/>
        <v>551.3</v>
      </c>
      <c r="BX190" s="834">
        <f t="shared" si="289"/>
        <v>1060.2</v>
      </c>
      <c r="BY190" s="439"/>
      <c r="BZ190" s="439"/>
      <c r="CA190" s="439"/>
      <c r="CB190" s="439"/>
      <c r="CC190" s="439"/>
      <c r="CD190" s="439"/>
      <c r="CE190" s="836" t="str">
        <f t="shared" si="43"/>
        <v/>
      </c>
      <c r="CF190" s="439">
        <f t="shared" si="248"/>
        <v>-17.3</v>
      </c>
      <c r="CG190" s="826">
        <f t="shared" si="295"/>
        <v>-17.3</v>
      </c>
      <c r="CH190" s="838" t="s">
        <v>1271</v>
      </c>
      <c r="CI190" s="834">
        <f t="shared" ref="CI190:DF190" si="371">FLOOR($AV190/(CI$3/25),1)</f>
        <v>456</v>
      </c>
      <c r="CJ190" s="834">
        <f t="shared" si="371"/>
        <v>475</v>
      </c>
      <c r="CK190" s="834">
        <f t="shared" si="371"/>
        <v>495</v>
      </c>
      <c r="CL190" s="834">
        <f t="shared" si="371"/>
        <v>518</v>
      </c>
      <c r="CM190" s="834">
        <f t="shared" si="371"/>
        <v>542</v>
      </c>
      <c r="CN190" s="834">
        <f t="shared" si="371"/>
        <v>570</v>
      </c>
      <c r="CO190" s="834">
        <f t="shared" si="371"/>
        <v>600</v>
      </c>
      <c r="CP190" s="834">
        <f t="shared" si="371"/>
        <v>633</v>
      </c>
      <c r="CQ190" s="834">
        <f t="shared" si="371"/>
        <v>670</v>
      </c>
      <c r="CR190" s="834">
        <f t="shared" si="371"/>
        <v>712</v>
      </c>
      <c r="CS190" s="834">
        <f t="shared" si="371"/>
        <v>760</v>
      </c>
      <c r="CT190" s="834">
        <f t="shared" si="371"/>
        <v>814</v>
      </c>
      <c r="CU190" s="834">
        <f t="shared" si="371"/>
        <v>876</v>
      </c>
      <c r="CV190" s="834">
        <f t="shared" si="371"/>
        <v>950</v>
      </c>
      <c r="CW190" s="834">
        <f t="shared" si="371"/>
        <v>1036</v>
      </c>
      <c r="CX190" s="834">
        <f t="shared" si="371"/>
        <v>1140</v>
      </c>
      <c r="CY190" s="834">
        <f t="shared" si="371"/>
        <v>1266</v>
      </c>
      <c r="CZ190" s="834">
        <f t="shared" si="371"/>
        <v>1425</v>
      </c>
      <c r="DA190" s="834">
        <f t="shared" si="371"/>
        <v>1628</v>
      </c>
      <c r="DB190" s="834">
        <f t="shared" si="371"/>
        <v>1900</v>
      </c>
      <c r="DC190" s="834">
        <f t="shared" si="371"/>
        <v>2280</v>
      </c>
      <c r="DD190" s="834">
        <f t="shared" si="371"/>
        <v>2850</v>
      </c>
      <c r="DE190" s="834">
        <f t="shared" si="371"/>
        <v>3800</v>
      </c>
      <c r="DF190" s="839">
        <f t="shared" si="371"/>
        <v>5700</v>
      </c>
      <c r="DG190" s="826"/>
      <c r="DH190" s="826" t="str">
        <f t="shared" si="46"/>
        <v/>
      </c>
      <c r="DI190" s="439" t="str">
        <f t="shared" si="47"/>
        <v/>
      </c>
      <c r="DJ190" s="439" t="str">
        <f t="shared" si="48"/>
        <v/>
      </c>
      <c r="DK190" s="843">
        <f t="shared" si="49"/>
        <v>9.1</v>
      </c>
      <c r="DL190" s="903">
        <v>12.0</v>
      </c>
      <c r="DM190" s="439"/>
      <c r="DN190" s="439"/>
      <c r="DO190" s="826"/>
      <c r="DP190" s="904" t="s">
        <v>2355</v>
      </c>
    </row>
    <row r="191">
      <c r="A191" s="825">
        <v>185.0</v>
      </c>
      <c r="B191" s="438">
        <v>344.0</v>
      </c>
      <c r="C191" s="440">
        <v>23.0</v>
      </c>
      <c r="D191" s="440">
        <v>44.0</v>
      </c>
      <c r="E191" s="439"/>
      <c r="F191" s="459" t="s">
        <v>2344</v>
      </c>
      <c r="G191" s="459">
        <f t="shared" si="269"/>
        <v>15</v>
      </c>
      <c r="H191" s="439"/>
      <c r="I191" s="439"/>
      <c r="J191" s="439"/>
      <c r="K191" s="439"/>
      <c r="L191" s="439"/>
      <c r="M191" s="826"/>
      <c r="N191" s="827" t="s">
        <v>1272</v>
      </c>
      <c r="O191" s="828" t="s">
        <v>2032</v>
      </c>
      <c r="P191" s="829"/>
      <c r="Q191" s="829" t="s">
        <v>1670</v>
      </c>
      <c r="R191" s="829" t="s">
        <v>1314</v>
      </c>
      <c r="S191" s="830" t="s">
        <v>1268</v>
      </c>
      <c r="T191" s="831" t="s">
        <v>1262</v>
      </c>
      <c r="U191" s="440">
        <v>35.0</v>
      </c>
      <c r="V191" s="440">
        <v>26.0</v>
      </c>
      <c r="W191" s="440">
        <v>25.0</v>
      </c>
      <c r="X191" s="799">
        <v>109.0</v>
      </c>
      <c r="Y191" s="439"/>
      <c r="Z191" s="440">
        <v>-10.0</v>
      </c>
      <c r="AA191" s="440">
        <v>3.0</v>
      </c>
      <c r="AB191" s="439"/>
      <c r="AC191" s="440">
        <v>444.0</v>
      </c>
      <c r="AD191" s="440">
        <v>3.0</v>
      </c>
      <c r="AE191" s="440">
        <v>80.0</v>
      </c>
      <c r="AF191" s="440">
        <v>50.0</v>
      </c>
      <c r="AG191" s="440">
        <v>26.0</v>
      </c>
      <c r="AH191" s="440">
        <v>51.0</v>
      </c>
      <c r="AI191" s="832">
        <f t="shared" si="12"/>
        <v>38.5</v>
      </c>
      <c r="AJ191" s="439"/>
      <c r="AK191" s="439"/>
      <c r="AL191" s="439"/>
      <c r="AM191" s="439"/>
      <c r="AN191" s="439"/>
      <c r="AO191" s="439"/>
      <c r="AP191" s="439"/>
      <c r="AQ191" s="439"/>
      <c r="AR191" s="439"/>
      <c r="AS191" s="826"/>
      <c r="AT191" s="459">
        <f t="shared" si="13"/>
        <v>733</v>
      </c>
      <c r="AU191" s="459">
        <f t="shared" si="14"/>
        <v>1197</v>
      </c>
      <c r="AV191" s="833">
        <f t="shared" si="15"/>
        <v>965</v>
      </c>
      <c r="AW191" s="834">
        <f t="shared" si="276"/>
        <v>1856</v>
      </c>
      <c r="AX191" s="439"/>
      <c r="AY191" s="439"/>
      <c r="AZ191" s="439"/>
      <c r="BA191" s="439"/>
      <c r="BB191" s="439"/>
      <c r="BC191" s="439"/>
      <c r="BD191" s="439"/>
      <c r="BE191" s="439"/>
      <c r="BF191" s="439"/>
      <c r="BG191" s="439"/>
      <c r="BH191" s="834">
        <f t="shared" si="284"/>
        <v>1723</v>
      </c>
      <c r="BI191" s="439"/>
      <c r="BJ191" s="439"/>
      <c r="BK191" s="439"/>
      <c r="BL191" s="439"/>
      <c r="BM191" s="439"/>
      <c r="BN191" s="439"/>
      <c r="BO191" s="439"/>
      <c r="BP191" s="826" t="str">
        <f t="shared" si="33"/>
        <v/>
      </c>
      <c r="BQ191" s="440">
        <v>18.0</v>
      </c>
      <c r="BR191" s="440">
        <v>35.0</v>
      </c>
      <c r="BS191" s="440">
        <v>-10.0</v>
      </c>
      <c r="BT191" s="440">
        <v>80.0</v>
      </c>
      <c r="BU191" s="440">
        <v>50.0</v>
      </c>
      <c r="BV191" s="442">
        <f t="shared" si="34"/>
        <v>26.5</v>
      </c>
      <c r="BW191" s="835">
        <f t="shared" si="35"/>
        <v>895.7</v>
      </c>
      <c r="BX191" s="834">
        <f t="shared" si="289"/>
        <v>1722.5</v>
      </c>
      <c r="BY191" s="439"/>
      <c r="BZ191" s="439"/>
      <c r="CA191" s="439"/>
      <c r="CB191" s="439"/>
      <c r="CC191" s="439"/>
      <c r="CD191" s="439"/>
      <c r="CE191" s="843">
        <f t="shared" si="43"/>
        <v>45.3</v>
      </c>
      <c r="CF191" s="438">
        <f t="shared" si="248"/>
        <v>7.7</v>
      </c>
      <c r="CG191" s="825">
        <f t="shared" si="295"/>
        <v>7.8</v>
      </c>
      <c r="CH191" s="838" t="s">
        <v>1272</v>
      </c>
      <c r="CI191" s="834">
        <f t="shared" ref="CI191:DF191" si="372">FLOOR($AV191/(CI$3/25),1)</f>
        <v>965</v>
      </c>
      <c r="CJ191" s="834">
        <f t="shared" si="372"/>
        <v>1005</v>
      </c>
      <c r="CK191" s="834">
        <f t="shared" si="372"/>
        <v>1048</v>
      </c>
      <c r="CL191" s="834">
        <f t="shared" si="372"/>
        <v>1096</v>
      </c>
      <c r="CM191" s="834">
        <f t="shared" si="372"/>
        <v>1148</v>
      </c>
      <c r="CN191" s="834">
        <f t="shared" si="372"/>
        <v>1206</v>
      </c>
      <c r="CO191" s="834">
        <f t="shared" si="372"/>
        <v>1269</v>
      </c>
      <c r="CP191" s="834">
        <f t="shared" si="372"/>
        <v>1340</v>
      </c>
      <c r="CQ191" s="834">
        <f t="shared" si="372"/>
        <v>1419</v>
      </c>
      <c r="CR191" s="834">
        <f t="shared" si="372"/>
        <v>1507</v>
      </c>
      <c r="CS191" s="834">
        <f t="shared" si="372"/>
        <v>1608</v>
      </c>
      <c r="CT191" s="834">
        <f t="shared" si="372"/>
        <v>1723</v>
      </c>
      <c r="CU191" s="834">
        <f t="shared" si="372"/>
        <v>1855</v>
      </c>
      <c r="CV191" s="834">
        <f t="shared" si="372"/>
        <v>2010</v>
      </c>
      <c r="CW191" s="834">
        <f t="shared" si="372"/>
        <v>2193</v>
      </c>
      <c r="CX191" s="834">
        <f t="shared" si="372"/>
        <v>2412</v>
      </c>
      <c r="CY191" s="834">
        <f t="shared" si="372"/>
        <v>2680</v>
      </c>
      <c r="CZ191" s="834">
        <f t="shared" si="372"/>
        <v>3015</v>
      </c>
      <c r="DA191" s="834">
        <f t="shared" si="372"/>
        <v>3446</v>
      </c>
      <c r="DB191" s="834">
        <f t="shared" si="372"/>
        <v>4020</v>
      </c>
      <c r="DC191" s="834">
        <f t="shared" si="372"/>
        <v>4825</v>
      </c>
      <c r="DD191" s="834">
        <f t="shared" si="372"/>
        <v>6031</v>
      </c>
      <c r="DE191" s="834">
        <f t="shared" si="372"/>
        <v>8041</v>
      </c>
      <c r="DF191" s="839">
        <f t="shared" si="372"/>
        <v>12062</v>
      </c>
      <c r="DG191" s="826"/>
      <c r="DH191" s="826" t="str">
        <f t="shared" si="46"/>
        <v/>
      </c>
      <c r="DI191" s="439" t="str">
        <f t="shared" si="47"/>
        <v/>
      </c>
      <c r="DJ191" s="439" t="str">
        <f t="shared" si="48"/>
        <v/>
      </c>
      <c r="DK191" s="843">
        <f t="shared" si="49"/>
        <v>-9.1</v>
      </c>
      <c r="DL191" s="903">
        <v>35.0</v>
      </c>
      <c r="DM191" s="439"/>
      <c r="DN191" s="834">
        <f t="shared" ref="DN191:DN192" si="374">IF(ISBLANK(DL191),ROUND(AI191/IF(ISBLANK(DL190),AI190,DL190),1),ROUND(DL191/IF(ISBLANK(DL190),AI190,DL190),1))</f>
        <v>2.9</v>
      </c>
      <c r="DO191" s="826"/>
      <c r="DP191" s="904" t="s">
        <v>2355</v>
      </c>
    </row>
    <row r="192">
      <c r="A192" s="847">
        <v>186.0</v>
      </c>
      <c r="B192" s="848">
        <v>355.0</v>
      </c>
      <c r="C192" s="849">
        <v>30.0</v>
      </c>
      <c r="D192" s="849">
        <v>54.0</v>
      </c>
      <c r="E192" s="850"/>
      <c r="F192" s="851" t="s">
        <v>2344</v>
      </c>
      <c r="G192" s="851">
        <f t="shared" si="269"/>
        <v>15</v>
      </c>
      <c r="H192" s="850"/>
      <c r="I192" s="850"/>
      <c r="J192" s="850"/>
      <c r="K192" s="850"/>
      <c r="L192" s="850"/>
      <c r="M192" s="852"/>
      <c r="N192" s="853" t="s">
        <v>1273</v>
      </c>
      <c r="O192" s="854" t="s">
        <v>2033</v>
      </c>
      <c r="P192" s="856"/>
      <c r="Q192" s="856" t="s">
        <v>1676</v>
      </c>
      <c r="R192" s="856" t="s">
        <v>1314</v>
      </c>
      <c r="S192" s="857" t="s">
        <v>1268</v>
      </c>
      <c r="T192" s="858" t="s">
        <v>1266</v>
      </c>
      <c r="U192" s="849">
        <v>65.0</v>
      </c>
      <c r="V192" s="849">
        <v>48.0</v>
      </c>
      <c r="W192" s="849">
        <v>107.0</v>
      </c>
      <c r="X192" s="773">
        <v>151.0</v>
      </c>
      <c r="Y192" s="850"/>
      <c r="Z192" s="849">
        <v>-10.0</v>
      </c>
      <c r="AA192" s="849">
        <v>3.0</v>
      </c>
      <c r="AB192" s="850"/>
      <c r="AC192" s="849">
        <v>302.0</v>
      </c>
      <c r="AD192" s="849">
        <v>3.0</v>
      </c>
      <c r="AE192" s="849">
        <v>80.0</v>
      </c>
      <c r="AF192" s="849">
        <v>50.0</v>
      </c>
      <c r="AG192" s="849">
        <v>38.0</v>
      </c>
      <c r="AH192" s="849">
        <v>68.0</v>
      </c>
      <c r="AI192" s="859">
        <f t="shared" si="12"/>
        <v>53</v>
      </c>
      <c r="AJ192" s="850"/>
      <c r="AK192" s="850"/>
      <c r="AL192" s="850"/>
      <c r="AM192" s="850"/>
      <c r="AN192" s="850"/>
      <c r="AO192" s="850"/>
      <c r="AP192" s="850"/>
      <c r="AQ192" s="850"/>
      <c r="AR192" s="850"/>
      <c r="AS192" s="852"/>
      <c r="AT192" s="851">
        <f t="shared" si="13"/>
        <v>957</v>
      </c>
      <c r="AU192" s="851">
        <f t="shared" si="14"/>
        <v>1513</v>
      </c>
      <c r="AV192" s="861">
        <f t="shared" si="15"/>
        <v>1235</v>
      </c>
      <c r="AW192" s="862">
        <f t="shared" si="276"/>
        <v>2375</v>
      </c>
      <c r="AX192" s="850"/>
      <c r="AY192" s="850"/>
      <c r="AZ192" s="850"/>
      <c r="BA192" s="850"/>
      <c r="BB192" s="850"/>
      <c r="BC192" s="850"/>
      <c r="BD192" s="850"/>
      <c r="BE192" s="850"/>
      <c r="BF192" s="850"/>
      <c r="BG192" s="850"/>
      <c r="BH192" s="862">
        <f t="shared" si="284"/>
        <v>2205</v>
      </c>
      <c r="BI192" s="850"/>
      <c r="BJ192" s="850"/>
      <c r="BK192" s="850"/>
      <c r="BL192" s="850"/>
      <c r="BM192" s="850"/>
      <c r="BN192" s="850"/>
      <c r="BO192" s="850"/>
      <c r="BP192" s="852" t="str">
        <f t="shared" si="33"/>
        <v/>
      </c>
      <c r="BQ192" s="849">
        <v>30.0</v>
      </c>
      <c r="BR192" s="849">
        <v>54.0</v>
      </c>
      <c r="BS192" s="849">
        <v>-10.0</v>
      </c>
      <c r="BT192" s="849">
        <v>80.0</v>
      </c>
      <c r="BU192" s="849">
        <v>50.0</v>
      </c>
      <c r="BV192" s="863">
        <f t="shared" si="34"/>
        <v>42</v>
      </c>
      <c r="BW192" s="864">
        <f t="shared" si="35"/>
        <v>1240</v>
      </c>
      <c r="BX192" s="862">
        <f t="shared" si="289"/>
        <v>2384.6</v>
      </c>
      <c r="BY192" s="850"/>
      <c r="BZ192" s="850"/>
      <c r="CA192" s="850"/>
      <c r="CB192" s="850"/>
      <c r="CC192" s="850"/>
      <c r="CD192" s="850"/>
      <c r="CE192" s="865">
        <f t="shared" si="43"/>
        <v>26.2</v>
      </c>
      <c r="CF192" s="848">
        <f t="shared" si="248"/>
        <v>-0.4</v>
      </c>
      <c r="CG192" s="847">
        <f t="shared" si="295"/>
        <v>-0.4</v>
      </c>
      <c r="CH192" s="867" t="s">
        <v>1273</v>
      </c>
      <c r="CI192" s="862">
        <f t="shared" ref="CI192:DF192" si="373">FLOOR($AV192/(CI$3/25),1)</f>
        <v>1235</v>
      </c>
      <c r="CJ192" s="862">
        <f t="shared" si="373"/>
        <v>1286</v>
      </c>
      <c r="CK192" s="862">
        <f t="shared" si="373"/>
        <v>1342</v>
      </c>
      <c r="CL192" s="862">
        <f t="shared" si="373"/>
        <v>1403</v>
      </c>
      <c r="CM192" s="862">
        <f t="shared" si="373"/>
        <v>1470</v>
      </c>
      <c r="CN192" s="862">
        <f t="shared" si="373"/>
        <v>1543</v>
      </c>
      <c r="CO192" s="862">
        <f t="shared" si="373"/>
        <v>1625</v>
      </c>
      <c r="CP192" s="862">
        <f t="shared" si="373"/>
        <v>1715</v>
      </c>
      <c r="CQ192" s="862">
        <f t="shared" si="373"/>
        <v>1816</v>
      </c>
      <c r="CR192" s="862">
        <f t="shared" si="373"/>
        <v>1929</v>
      </c>
      <c r="CS192" s="862">
        <f t="shared" si="373"/>
        <v>2058</v>
      </c>
      <c r="CT192" s="862">
        <f t="shared" si="373"/>
        <v>2205</v>
      </c>
      <c r="CU192" s="862">
        <f t="shared" si="373"/>
        <v>2375</v>
      </c>
      <c r="CV192" s="862">
        <f t="shared" si="373"/>
        <v>2572</v>
      </c>
      <c r="CW192" s="862">
        <f t="shared" si="373"/>
        <v>2806</v>
      </c>
      <c r="CX192" s="862">
        <f t="shared" si="373"/>
        <v>3087</v>
      </c>
      <c r="CY192" s="862">
        <f t="shared" si="373"/>
        <v>3430</v>
      </c>
      <c r="CZ192" s="862">
        <f t="shared" si="373"/>
        <v>3859</v>
      </c>
      <c r="DA192" s="862">
        <f t="shared" si="373"/>
        <v>4410</v>
      </c>
      <c r="DB192" s="862">
        <f t="shared" si="373"/>
        <v>5145</v>
      </c>
      <c r="DC192" s="862">
        <f t="shared" si="373"/>
        <v>6175</v>
      </c>
      <c r="DD192" s="862">
        <f t="shared" si="373"/>
        <v>7718</v>
      </c>
      <c r="DE192" s="862">
        <f t="shared" si="373"/>
        <v>10291</v>
      </c>
      <c r="DF192" s="868">
        <f t="shared" si="373"/>
        <v>15437</v>
      </c>
      <c r="DG192" s="852"/>
      <c r="DH192" s="852" t="str">
        <f t="shared" si="46"/>
        <v/>
      </c>
      <c r="DI192" s="850" t="str">
        <f t="shared" si="47"/>
        <v/>
      </c>
      <c r="DJ192" s="850" t="str">
        <f t="shared" si="48"/>
        <v/>
      </c>
      <c r="DK192" s="865">
        <f t="shared" si="49"/>
        <v>-5.7</v>
      </c>
      <c r="DL192" s="789">
        <v>50.0</v>
      </c>
      <c r="DM192" s="850"/>
      <c r="DN192" s="862">
        <f t="shared" si="374"/>
        <v>1.4</v>
      </c>
      <c r="DO192" s="852"/>
      <c r="DP192" s="905" t="s">
        <v>2355</v>
      </c>
    </row>
    <row r="193">
      <c r="A193" s="552">
        <v>187.0</v>
      </c>
      <c r="B193" s="86">
        <v>330.0</v>
      </c>
      <c r="C193" s="54">
        <v>20.0</v>
      </c>
      <c r="D193" s="54">
        <v>26.0</v>
      </c>
      <c r="E193" s="74"/>
      <c r="F193" s="68" t="s">
        <v>2356</v>
      </c>
      <c r="G193" s="68">
        <f t="shared" si="269"/>
        <v>18</v>
      </c>
      <c r="H193" s="74"/>
      <c r="I193" s="74"/>
      <c r="J193" s="74"/>
      <c r="K193" s="74"/>
      <c r="L193" s="74"/>
      <c r="M193" s="575"/>
      <c r="N193" s="74" t="s">
        <v>1275</v>
      </c>
      <c r="O193" s="678"/>
      <c r="P193" s="571"/>
      <c r="Q193" s="571" t="s">
        <v>1313</v>
      </c>
      <c r="R193" s="571" t="s">
        <v>1685</v>
      </c>
      <c r="S193" s="791" t="s">
        <v>1282</v>
      </c>
      <c r="T193" s="572" t="s">
        <v>1276</v>
      </c>
      <c r="U193" s="54">
        <v>18.0</v>
      </c>
      <c r="V193" s="54">
        <v>14.0</v>
      </c>
      <c r="W193" s="54">
        <v>54.0</v>
      </c>
      <c r="X193" s="54">
        <v>40.0</v>
      </c>
      <c r="Y193" s="54">
        <v>6.0</v>
      </c>
      <c r="Z193" s="54">
        <v>-10.0</v>
      </c>
      <c r="AA193" s="54">
        <v>4.0</v>
      </c>
      <c r="AB193" s="54">
        <v>56.0</v>
      </c>
      <c r="AC193" s="54">
        <v>1672.0</v>
      </c>
      <c r="AD193" s="54">
        <v>3.0</v>
      </c>
      <c r="AE193" s="54">
        <v>80.0</v>
      </c>
      <c r="AF193" s="54">
        <v>50.0</v>
      </c>
      <c r="AG193" s="54">
        <v>20.0</v>
      </c>
      <c r="AH193" s="54">
        <v>26.0</v>
      </c>
      <c r="AI193" s="574">
        <f t="shared" si="12"/>
        <v>23</v>
      </c>
      <c r="AJ193" s="74"/>
      <c r="AK193" s="74"/>
      <c r="AL193" s="74"/>
      <c r="AM193" s="74"/>
      <c r="AN193" s="74"/>
      <c r="AO193" s="74"/>
      <c r="AP193" s="74"/>
      <c r="AQ193" s="74"/>
      <c r="AR193" s="74"/>
      <c r="AS193" s="575"/>
      <c r="AT193" s="68">
        <f t="shared" si="13"/>
        <v>625</v>
      </c>
      <c r="AU193" s="68">
        <f t="shared" si="14"/>
        <v>733</v>
      </c>
      <c r="AV193" s="581">
        <f t="shared" si="15"/>
        <v>679</v>
      </c>
      <c r="AW193" s="582">
        <f t="shared" si="276"/>
        <v>1061</v>
      </c>
      <c r="AX193" s="74"/>
      <c r="AY193" s="74"/>
      <c r="AZ193" s="74"/>
      <c r="BA193" s="74"/>
      <c r="BB193" s="74"/>
      <c r="BC193" s="74"/>
      <c r="BD193" s="74"/>
      <c r="BE193" s="74"/>
      <c r="BF193" s="74"/>
      <c r="BG193" s="74"/>
      <c r="BH193" s="582">
        <f t="shared" si="284"/>
        <v>999</v>
      </c>
      <c r="BI193" s="74"/>
      <c r="BJ193" s="74"/>
      <c r="BK193" s="74"/>
      <c r="BL193" s="74"/>
      <c r="BM193" s="74"/>
      <c r="BN193" s="74"/>
      <c r="BO193" s="74"/>
      <c r="BP193" s="575" t="str">
        <f t="shared" si="33"/>
        <v/>
      </c>
      <c r="BQ193" s="54">
        <v>18.0</v>
      </c>
      <c r="BR193" s="54">
        <v>24.0</v>
      </c>
      <c r="BS193" s="54">
        <v>0.0</v>
      </c>
      <c r="BT193" s="54">
        <v>80.0</v>
      </c>
      <c r="BU193" s="54">
        <v>50.0</v>
      </c>
      <c r="BV193" s="83">
        <f t="shared" si="34"/>
        <v>21</v>
      </c>
      <c r="BW193" s="608">
        <f t="shared" si="35"/>
        <v>773.5</v>
      </c>
      <c r="BX193" s="582">
        <f t="shared" si="289"/>
        <v>1137.5</v>
      </c>
      <c r="BY193" s="74"/>
      <c r="BZ193" s="74"/>
      <c r="CA193" s="74"/>
      <c r="CB193" s="74"/>
      <c r="CC193" s="74"/>
      <c r="CD193" s="74"/>
      <c r="CE193" s="664">
        <f t="shared" si="43"/>
        <v>9.5</v>
      </c>
      <c r="CF193" s="86">
        <f t="shared" si="248"/>
        <v>-12.2</v>
      </c>
      <c r="CG193" s="602">
        <f t="shared" si="295"/>
        <v>-6.7</v>
      </c>
      <c r="CH193" s="575" t="s">
        <v>1275</v>
      </c>
      <c r="CI193" s="582">
        <f t="shared" ref="CI193:DF193" si="375">FLOOR($AV193/(CI$3/25),1)</f>
        <v>679</v>
      </c>
      <c r="CJ193" s="582">
        <f t="shared" si="375"/>
        <v>707</v>
      </c>
      <c r="CK193" s="582">
        <f t="shared" si="375"/>
        <v>738</v>
      </c>
      <c r="CL193" s="582">
        <f t="shared" si="375"/>
        <v>771</v>
      </c>
      <c r="CM193" s="582">
        <f t="shared" si="375"/>
        <v>808</v>
      </c>
      <c r="CN193" s="582">
        <f t="shared" si="375"/>
        <v>848</v>
      </c>
      <c r="CO193" s="582">
        <f t="shared" si="375"/>
        <v>893</v>
      </c>
      <c r="CP193" s="582">
        <f t="shared" si="375"/>
        <v>943</v>
      </c>
      <c r="CQ193" s="582">
        <f t="shared" si="375"/>
        <v>998</v>
      </c>
      <c r="CR193" s="582">
        <f t="shared" si="375"/>
        <v>1060</v>
      </c>
      <c r="CS193" s="582">
        <f t="shared" si="375"/>
        <v>1131</v>
      </c>
      <c r="CT193" s="582">
        <f t="shared" si="375"/>
        <v>1212</v>
      </c>
      <c r="CU193" s="582">
        <f t="shared" si="375"/>
        <v>1305</v>
      </c>
      <c r="CV193" s="582">
        <f t="shared" si="375"/>
        <v>1414</v>
      </c>
      <c r="CW193" s="582">
        <f t="shared" si="375"/>
        <v>1543</v>
      </c>
      <c r="CX193" s="582">
        <f t="shared" si="375"/>
        <v>1697</v>
      </c>
      <c r="CY193" s="582">
        <f t="shared" si="375"/>
        <v>1886</v>
      </c>
      <c r="CZ193" s="582">
        <f t="shared" si="375"/>
        <v>2121</v>
      </c>
      <c r="DA193" s="582">
        <f t="shared" si="375"/>
        <v>2425</v>
      </c>
      <c r="DB193" s="582">
        <f t="shared" si="375"/>
        <v>2829</v>
      </c>
      <c r="DC193" s="582">
        <f t="shared" si="375"/>
        <v>3395</v>
      </c>
      <c r="DD193" s="582">
        <f t="shared" si="375"/>
        <v>4243</v>
      </c>
      <c r="DE193" s="582">
        <f t="shared" si="375"/>
        <v>5658</v>
      </c>
      <c r="DF193" s="602">
        <f t="shared" si="375"/>
        <v>8487</v>
      </c>
      <c r="DG193" s="575"/>
      <c r="DH193" s="575" t="str">
        <f t="shared" si="46"/>
        <v/>
      </c>
      <c r="DI193" s="74" t="str">
        <f t="shared" si="47"/>
        <v/>
      </c>
      <c r="DJ193" s="74" t="str">
        <f t="shared" si="48"/>
        <v/>
      </c>
      <c r="DK193" s="792" t="str">
        <f t="shared" si="49"/>
        <v/>
      </c>
      <c r="DL193" s="793"/>
      <c r="DM193" s="793"/>
      <c r="DN193" s="793"/>
      <c r="DO193" s="575"/>
      <c r="DP193" s="906" t="s">
        <v>1270</v>
      </c>
    </row>
    <row r="194">
      <c r="A194" s="647">
        <v>188.0</v>
      </c>
      <c r="B194" s="141">
        <v>331.0</v>
      </c>
      <c r="C194" s="129">
        <v>25.0</v>
      </c>
      <c r="D194" s="129">
        <v>60.0</v>
      </c>
      <c r="E194" s="134"/>
      <c r="F194" s="154" t="s">
        <v>2356</v>
      </c>
      <c r="G194" s="154">
        <f t="shared" si="269"/>
        <v>18</v>
      </c>
      <c r="H194" s="134"/>
      <c r="I194" s="134"/>
      <c r="J194" s="134"/>
      <c r="K194" s="134"/>
      <c r="L194" s="134"/>
      <c r="M194" s="653"/>
      <c r="N194" s="134" t="s">
        <v>1283</v>
      </c>
      <c r="O194" s="876"/>
      <c r="P194" s="650"/>
      <c r="Q194" s="650" t="s">
        <v>1313</v>
      </c>
      <c r="R194" s="650" t="s">
        <v>1685</v>
      </c>
      <c r="S194" s="796" t="s">
        <v>1282</v>
      </c>
      <c r="T194" s="651" t="s">
        <v>1284</v>
      </c>
      <c r="U194" s="129">
        <v>27.0</v>
      </c>
      <c r="V194" s="129">
        <v>20.0</v>
      </c>
      <c r="W194" s="129">
        <v>63.0</v>
      </c>
      <c r="X194" s="129">
        <v>52.0</v>
      </c>
      <c r="Y194" s="129">
        <v>6.0</v>
      </c>
      <c r="Z194" s="907">
        <v>0.0</v>
      </c>
      <c r="AA194" s="129">
        <v>4.0</v>
      </c>
      <c r="AB194" s="129">
        <v>50.0</v>
      </c>
      <c r="AC194" s="129">
        <v>2023.0</v>
      </c>
      <c r="AD194" s="129">
        <v>3.0</v>
      </c>
      <c r="AE194" s="129">
        <v>80.0</v>
      </c>
      <c r="AF194" s="129">
        <v>50.0</v>
      </c>
      <c r="AG194" s="129">
        <v>25.0</v>
      </c>
      <c r="AH194" s="129">
        <v>60.0</v>
      </c>
      <c r="AI194" s="652">
        <f t="shared" si="12"/>
        <v>42.5</v>
      </c>
      <c r="AJ194" s="134"/>
      <c r="AK194" s="134"/>
      <c r="AL194" s="134"/>
      <c r="AM194" s="134"/>
      <c r="AN194" s="134"/>
      <c r="AO194" s="134"/>
      <c r="AP194" s="134"/>
      <c r="AQ194" s="134"/>
      <c r="AR194" s="134"/>
      <c r="AS194" s="653"/>
      <c r="AT194" s="154">
        <f t="shared" si="13"/>
        <v>717</v>
      </c>
      <c r="AU194" s="154">
        <f t="shared" si="14"/>
        <v>1363</v>
      </c>
      <c r="AV194" s="654">
        <f t="shared" si="15"/>
        <v>1040</v>
      </c>
      <c r="AW194" s="655">
        <f t="shared" si="276"/>
        <v>1529</v>
      </c>
      <c r="AX194" s="134"/>
      <c r="AY194" s="134"/>
      <c r="AZ194" s="134"/>
      <c r="BA194" s="134"/>
      <c r="BB194" s="134"/>
      <c r="BC194" s="134"/>
      <c r="BD194" s="134"/>
      <c r="BE194" s="134"/>
      <c r="BF194" s="134"/>
      <c r="BG194" s="134"/>
      <c r="BH194" s="655">
        <f t="shared" si="284"/>
        <v>1238</v>
      </c>
      <c r="BI194" s="134"/>
      <c r="BJ194" s="134"/>
      <c r="BK194" s="134"/>
      <c r="BL194" s="134"/>
      <c r="BM194" s="134"/>
      <c r="BN194" s="134"/>
      <c r="BO194" s="134"/>
      <c r="BP194" s="653" t="str">
        <f t="shared" si="33"/>
        <v/>
      </c>
      <c r="BQ194" s="129">
        <v>23.0</v>
      </c>
      <c r="BR194" s="129">
        <v>55.0</v>
      </c>
      <c r="BS194" s="129">
        <v>10.0</v>
      </c>
      <c r="BT194" s="129">
        <v>80.0</v>
      </c>
      <c r="BU194" s="129">
        <v>50.0</v>
      </c>
      <c r="BV194" s="135">
        <f t="shared" si="34"/>
        <v>39</v>
      </c>
      <c r="BW194" s="657">
        <f t="shared" si="35"/>
        <v>1173.4</v>
      </c>
      <c r="BX194" s="655">
        <f t="shared" si="289"/>
        <v>1466.8</v>
      </c>
      <c r="BY194" s="134"/>
      <c r="BZ194" s="134"/>
      <c r="CA194" s="134"/>
      <c r="CB194" s="134"/>
      <c r="CC194" s="134"/>
      <c r="CD194" s="134"/>
      <c r="CE194" s="659">
        <f t="shared" si="43"/>
        <v>9</v>
      </c>
      <c r="CF194" s="141">
        <f t="shared" si="248"/>
        <v>-11.4</v>
      </c>
      <c r="CG194" s="656">
        <f t="shared" si="295"/>
        <v>4.2</v>
      </c>
      <c r="CH194" s="653" t="s">
        <v>1283</v>
      </c>
      <c r="CI194" s="655">
        <f t="shared" ref="CI194:DF194" si="376">FLOOR($AV194/(CI$3/25),1)</f>
        <v>1040</v>
      </c>
      <c r="CJ194" s="655">
        <f t="shared" si="376"/>
        <v>1083</v>
      </c>
      <c r="CK194" s="655">
        <f t="shared" si="376"/>
        <v>1130</v>
      </c>
      <c r="CL194" s="655">
        <f t="shared" si="376"/>
        <v>1181</v>
      </c>
      <c r="CM194" s="655">
        <f t="shared" si="376"/>
        <v>1238</v>
      </c>
      <c r="CN194" s="655">
        <f t="shared" si="376"/>
        <v>1300</v>
      </c>
      <c r="CO194" s="655">
        <f t="shared" si="376"/>
        <v>1368</v>
      </c>
      <c r="CP194" s="655">
        <f t="shared" si="376"/>
        <v>1444</v>
      </c>
      <c r="CQ194" s="655">
        <f t="shared" si="376"/>
        <v>1529</v>
      </c>
      <c r="CR194" s="655">
        <f t="shared" si="376"/>
        <v>1625</v>
      </c>
      <c r="CS194" s="655">
        <f t="shared" si="376"/>
        <v>1733</v>
      </c>
      <c r="CT194" s="655">
        <f t="shared" si="376"/>
        <v>1857</v>
      </c>
      <c r="CU194" s="655">
        <f t="shared" si="376"/>
        <v>2000</v>
      </c>
      <c r="CV194" s="655">
        <f t="shared" si="376"/>
        <v>2166</v>
      </c>
      <c r="CW194" s="655">
        <f t="shared" si="376"/>
        <v>2363</v>
      </c>
      <c r="CX194" s="655">
        <f t="shared" si="376"/>
        <v>2600</v>
      </c>
      <c r="CY194" s="655">
        <f t="shared" si="376"/>
        <v>2888</v>
      </c>
      <c r="CZ194" s="655">
        <f t="shared" si="376"/>
        <v>3250</v>
      </c>
      <c r="DA194" s="655">
        <f t="shared" si="376"/>
        <v>3714</v>
      </c>
      <c r="DB194" s="655">
        <f t="shared" si="376"/>
        <v>4333</v>
      </c>
      <c r="DC194" s="655">
        <f t="shared" si="376"/>
        <v>5200</v>
      </c>
      <c r="DD194" s="655">
        <f t="shared" si="376"/>
        <v>6500</v>
      </c>
      <c r="DE194" s="655">
        <f t="shared" si="376"/>
        <v>8666</v>
      </c>
      <c r="DF194" s="656">
        <f t="shared" si="376"/>
        <v>13000</v>
      </c>
      <c r="DG194" s="653"/>
      <c r="DH194" s="653" t="str">
        <f t="shared" si="46"/>
        <v/>
      </c>
      <c r="DI194" s="134" t="str">
        <f t="shared" si="47"/>
        <v/>
      </c>
      <c r="DJ194" s="134" t="str">
        <f t="shared" si="48"/>
        <v/>
      </c>
      <c r="DK194" s="662" t="str">
        <f t="shared" si="49"/>
        <v/>
      </c>
      <c r="DL194" s="134"/>
      <c r="DM194" s="134"/>
      <c r="DN194" s="134"/>
      <c r="DO194" s="653"/>
      <c r="DP194" s="901" t="s">
        <v>1270</v>
      </c>
    </row>
    <row r="195">
      <c r="A195" s="552">
        <v>189.0</v>
      </c>
      <c r="B195" s="86">
        <v>341.0</v>
      </c>
      <c r="C195" s="54">
        <v>43.0</v>
      </c>
      <c r="D195" s="54">
        <v>64.0</v>
      </c>
      <c r="E195" s="74"/>
      <c r="F195" s="68" t="s">
        <v>2356</v>
      </c>
      <c r="G195" s="68">
        <f t="shared" si="269"/>
        <v>18</v>
      </c>
      <c r="H195" s="74"/>
      <c r="I195" s="74"/>
      <c r="J195" s="74"/>
      <c r="K195" s="74"/>
      <c r="L195" s="74"/>
      <c r="M195" s="575"/>
      <c r="N195" s="74" t="s">
        <v>1278</v>
      </c>
      <c r="O195" s="678"/>
      <c r="P195" s="571"/>
      <c r="Q195" s="571" t="s">
        <v>1670</v>
      </c>
      <c r="R195" s="571" t="s">
        <v>1685</v>
      </c>
      <c r="S195" s="791" t="s">
        <v>1282</v>
      </c>
      <c r="T195" s="572" t="s">
        <v>1279</v>
      </c>
      <c r="U195" s="54">
        <v>43.0</v>
      </c>
      <c r="V195" s="54">
        <v>32.0</v>
      </c>
      <c r="W195" s="54">
        <v>101.0</v>
      </c>
      <c r="X195" s="54">
        <v>80.0</v>
      </c>
      <c r="Y195" s="54">
        <v>6.0</v>
      </c>
      <c r="Z195" s="54">
        <v>-10.0</v>
      </c>
      <c r="AA195" s="54">
        <v>4.0</v>
      </c>
      <c r="AB195" s="54">
        <v>56.0</v>
      </c>
      <c r="AC195" s="54">
        <v>5316.0</v>
      </c>
      <c r="AD195" s="54">
        <v>3.0</v>
      </c>
      <c r="AE195" s="54">
        <v>80.0</v>
      </c>
      <c r="AF195" s="54">
        <v>50.0</v>
      </c>
      <c r="AG195" s="54">
        <v>49.0</v>
      </c>
      <c r="AH195" s="54">
        <v>74.0</v>
      </c>
      <c r="AI195" s="574">
        <f t="shared" si="12"/>
        <v>61.5</v>
      </c>
      <c r="AJ195" s="74"/>
      <c r="AK195" s="74"/>
      <c r="AL195" s="74"/>
      <c r="AM195" s="74"/>
      <c r="AN195" s="74"/>
      <c r="AO195" s="74"/>
      <c r="AP195" s="74"/>
      <c r="AQ195" s="74"/>
      <c r="AR195" s="74"/>
      <c r="AS195" s="575"/>
      <c r="AT195" s="68">
        <f t="shared" si="13"/>
        <v>1160</v>
      </c>
      <c r="AU195" s="68">
        <f t="shared" si="14"/>
        <v>1623</v>
      </c>
      <c r="AV195" s="581">
        <f t="shared" si="15"/>
        <v>1391.5</v>
      </c>
      <c r="AW195" s="582">
        <f t="shared" si="276"/>
        <v>2174</v>
      </c>
      <c r="AX195" s="74"/>
      <c r="AY195" s="74"/>
      <c r="AZ195" s="74"/>
      <c r="BA195" s="74"/>
      <c r="BB195" s="74"/>
      <c r="BC195" s="74"/>
      <c r="BD195" s="74"/>
      <c r="BE195" s="74"/>
      <c r="BF195" s="74"/>
      <c r="BG195" s="74"/>
      <c r="BH195" s="582">
        <f t="shared" si="284"/>
        <v>2046</v>
      </c>
      <c r="BI195" s="74"/>
      <c r="BJ195" s="74"/>
      <c r="BK195" s="74"/>
      <c r="BL195" s="74"/>
      <c r="BM195" s="74"/>
      <c r="BN195" s="74"/>
      <c r="BO195" s="74"/>
      <c r="BP195" s="575" t="str">
        <f t="shared" si="33"/>
        <v/>
      </c>
      <c r="BQ195" s="54">
        <v>34.0</v>
      </c>
      <c r="BR195" s="54">
        <v>51.0</v>
      </c>
      <c r="BS195" s="54">
        <v>0.0</v>
      </c>
      <c r="BT195" s="54">
        <v>80.0</v>
      </c>
      <c r="BU195" s="54">
        <v>50.0</v>
      </c>
      <c r="BV195" s="83">
        <f t="shared" si="34"/>
        <v>42.5</v>
      </c>
      <c r="BW195" s="608">
        <f t="shared" si="35"/>
        <v>1251.1</v>
      </c>
      <c r="BX195" s="582">
        <f t="shared" si="289"/>
        <v>1839.9</v>
      </c>
      <c r="BY195" s="74"/>
      <c r="BZ195" s="74"/>
      <c r="CA195" s="74"/>
      <c r="CB195" s="74"/>
      <c r="CC195" s="74"/>
      <c r="CD195" s="74"/>
      <c r="CE195" s="664">
        <f t="shared" si="43"/>
        <v>44.7</v>
      </c>
      <c r="CF195" s="86">
        <f t="shared" si="248"/>
        <v>11.2</v>
      </c>
      <c r="CG195" s="602">
        <f t="shared" si="295"/>
        <v>18.2</v>
      </c>
      <c r="CH195" s="575" t="s">
        <v>1278</v>
      </c>
      <c r="CI195" s="582">
        <f t="shared" ref="CI195:DF195" si="377">FLOOR($AV195/(CI$3/25),1)</f>
        <v>1391</v>
      </c>
      <c r="CJ195" s="582">
        <f t="shared" si="377"/>
        <v>1449</v>
      </c>
      <c r="CK195" s="582">
        <f t="shared" si="377"/>
        <v>1512</v>
      </c>
      <c r="CL195" s="582">
        <f t="shared" si="377"/>
        <v>1581</v>
      </c>
      <c r="CM195" s="582">
        <f t="shared" si="377"/>
        <v>1656</v>
      </c>
      <c r="CN195" s="582">
        <f t="shared" si="377"/>
        <v>1739</v>
      </c>
      <c r="CO195" s="582">
        <f t="shared" si="377"/>
        <v>1830</v>
      </c>
      <c r="CP195" s="582">
        <f t="shared" si="377"/>
        <v>1932</v>
      </c>
      <c r="CQ195" s="582">
        <f t="shared" si="377"/>
        <v>2046</v>
      </c>
      <c r="CR195" s="582">
        <f t="shared" si="377"/>
        <v>2174</v>
      </c>
      <c r="CS195" s="582">
        <f t="shared" si="377"/>
        <v>2319</v>
      </c>
      <c r="CT195" s="582">
        <f t="shared" si="377"/>
        <v>2484</v>
      </c>
      <c r="CU195" s="582">
        <f t="shared" si="377"/>
        <v>2675</v>
      </c>
      <c r="CV195" s="582">
        <f t="shared" si="377"/>
        <v>2898</v>
      </c>
      <c r="CW195" s="582">
        <f t="shared" si="377"/>
        <v>3162</v>
      </c>
      <c r="CX195" s="582">
        <f t="shared" si="377"/>
        <v>3478</v>
      </c>
      <c r="CY195" s="582">
        <f t="shared" si="377"/>
        <v>3865</v>
      </c>
      <c r="CZ195" s="582">
        <f t="shared" si="377"/>
        <v>4348</v>
      </c>
      <c r="DA195" s="582">
        <f t="shared" si="377"/>
        <v>4969</v>
      </c>
      <c r="DB195" s="582">
        <f t="shared" si="377"/>
        <v>5797</v>
      </c>
      <c r="DC195" s="582">
        <f t="shared" si="377"/>
        <v>6957</v>
      </c>
      <c r="DD195" s="582">
        <f t="shared" si="377"/>
        <v>8696</v>
      </c>
      <c r="DE195" s="582">
        <f t="shared" si="377"/>
        <v>11595</v>
      </c>
      <c r="DF195" s="602">
        <f t="shared" si="377"/>
        <v>17393</v>
      </c>
      <c r="DG195" s="575"/>
      <c r="DH195" s="575" t="str">
        <f t="shared" si="46"/>
        <v/>
      </c>
      <c r="DI195" s="74" t="str">
        <f t="shared" si="47"/>
        <v/>
      </c>
      <c r="DJ195" s="74" t="str">
        <f t="shared" si="48"/>
        <v/>
      </c>
      <c r="DK195" s="623" t="str">
        <f t="shared" si="49"/>
        <v/>
      </c>
      <c r="DL195" s="74"/>
      <c r="DM195" s="74"/>
      <c r="DN195" s="582">
        <f t="shared" ref="DN195:DN198" si="379">IF(ISBLANK(DL195),ROUND(AI195/IF(ISBLANK(DL193),AI193,DL193),1),ROUND(DL195/IF(ISBLANK(DL193),AI193,DL193),1))</f>
        <v>2.7</v>
      </c>
      <c r="DO195" s="575"/>
      <c r="DP195" s="906" t="s">
        <v>1270</v>
      </c>
    </row>
    <row r="196">
      <c r="A196" s="647">
        <v>190.0</v>
      </c>
      <c r="B196" s="141">
        <v>342.0</v>
      </c>
      <c r="C196" s="129">
        <v>52.0</v>
      </c>
      <c r="D196" s="129">
        <v>122.0</v>
      </c>
      <c r="E196" s="134"/>
      <c r="F196" s="154" t="s">
        <v>2356</v>
      </c>
      <c r="G196" s="154">
        <f t="shared" si="269"/>
        <v>18</v>
      </c>
      <c r="H196" s="134"/>
      <c r="I196" s="134"/>
      <c r="J196" s="134"/>
      <c r="K196" s="134"/>
      <c r="L196" s="134"/>
      <c r="M196" s="653"/>
      <c r="N196" s="134" t="s">
        <v>1285</v>
      </c>
      <c r="O196" s="649" t="s">
        <v>2026</v>
      </c>
      <c r="P196" s="650"/>
      <c r="Q196" s="650" t="s">
        <v>1670</v>
      </c>
      <c r="R196" s="650" t="s">
        <v>1685</v>
      </c>
      <c r="S196" s="796" t="s">
        <v>1282</v>
      </c>
      <c r="T196" s="651" t="s">
        <v>1286</v>
      </c>
      <c r="U196" s="129">
        <v>51.0</v>
      </c>
      <c r="V196" s="129">
        <v>38.0</v>
      </c>
      <c r="W196" s="129">
        <v>115.0</v>
      </c>
      <c r="X196" s="799">
        <v>98.0</v>
      </c>
      <c r="Y196" s="129">
        <v>6.0</v>
      </c>
      <c r="Z196" s="129">
        <v>10.0</v>
      </c>
      <c r="AA196" s="129">
        <v>4.0</v>
      </c>
      <c r="AB196" s="129">
        <v>50.0</v>
      </c>
      <c r="AC196" s="129">
        <v>6369.0</v>
      </c>
      <c r="AD196" s="129">
        <v>3.0</v>
      </c>
      <c r="AE196" s="129">
        <v>80.0</v>
      </c>
      <c r="AF196" s="129">
        <v>50.0</v>
      </c>
      <c r="AG196" s="129">
        <v>60.0</v>
      </c>
      <c r="AH196" s="129">
        <v>140.0</v>
      </c>
      <c r="AI196" s="652">
        <f t="shared" si="12"/>
        <v>100</v>
      </c>
      <c r="AJ196" s="134"/>
      <c r="AK196" s="134"/>
      <c r="AL196" s="134"/>
      <c r="AM196" s="134"/>
      <c r="AN196" s="134"/>
      <c r="AO196" s="134"/>
      <c r="AP196" s="134"/>
      <c r="AQ196" s="134"/>
      <c r="AR196" s="134"/>
      <c r="AS196" s="653"/>
      <c r="AT196" s="154">
        <f t="shared" si="13"/>
        <v>1363</v>
      </c>
      <c r="AU196" s="154">
        <f t="shared" si="14"/>
        <v>2845</v>
      </c>
      <c r="AV196" s="654">
        <f t="shared" si="15"/>
        <v>2104</v>
      </c>
      <c r="AW196" s="655">
        <f t="shared" si="276"/>
        <v>2630</v>
      </c>
      <c r="AX196" s="134"/>
      <c r="AY196" s="134"/>
      <c r="AZ196" s="134"/>
      <c r="BA196" s="134"/>
      <c r="BB196" s="134"/>
      <c r="BC196" s="134"/>
      <c r="BD196" s="134"/>
      <c r="BE196" s="134"/>
      <c r="BF196" s="134"/>
      <c r="BG196" s="134"/>
      <c r="BH196" s="655">
        <f t="shared" si="284"/>
        <v>2023</v>
      </c>
      <c r="BI196" s="134"/>
      <c r="BJ196" s="134"/>
      <c r="BK196" s="134"/>
      <c r="BL196" s="134"/>
      <c r="BM196" s="134"/>
      <c r="BN196" s="134"/>
      <c r="BO196" s="134"/>
      <c r="BP196" s="653" t="str">
        <f t="shared" si="33"/>
        <v/>
      </c>
      <c r="BQ196" s="129">
        <v>42.0</v>
      </c>
      <c r="BR196" s="129">
        <v>101.0</v>
      </c>
      <c r="BS196" s="129">
        <v>20.0</v>
      </c>
      <c r="BT196" s="129">
        <v>80.0</v>
      </c>
      <c r="BU196" s="129">
        <v>50.0</v>
      </c>
      <c r="BV196" s="135">
        <f t="shared" si="34"/>
        <v>71.5</v>
      </c>
      <c r="BW196" s="657">
        <f t="shared" si="35"/>
        <v>1895.4</v>
      </c>
      <c r="BX196" s="655">
        <f t="shared" si="289"/>
        <v>2153.9</v>
      </c>
      <c r="BY196" s="134"/>
      <c r="BZ196" s="134"/>
      <c r="CA196" s="134"/>
      <c r="CB196" s="134"/>
      <c r="CC196" s="134"/>
      <c r="CD196" s="134"/>
      <c r="CE196" s="659">
        <f t="shared" si="43"/>
        <v>39.9</v>
      </c>
      <c r="CF196" s="141">
        <f t="shared" si="248"/>
        <v>11</v>
      </c>
      <c r="CG196" s="656">
        <f t="shared" si="295"/>
        <v>22.1</v>
      </c>
      <c r="CH196" s="653" t="s">
        <v>1285</v>
      </c>
      <c r="CI196" s="655">
        <f t="shared" ref="CI196:DF196" si="378">FLOOR($AV196/(CI$3/25),1)</f>
        <v>2104</v>
      </c>
      <c r="CJ196" s="655">
        <f t="shared" si="378"/>
        <v>2191</v>
      </c>
      <c r="CK196" s="655">
        <f t="shared" si="378"/>
        <v>2286</v>
      </c>
      <c r="CL196" s="655">
        <f t="shared" si="378"/>
        <v>2390</v>
      </c>
      <c r="CM196" s="655">
        <f t="shared" si="378"/>
        <v>2504</v>
      </c>
      <c r="CN196" s="655">
        <f t="shared" si="378"/>
        <v>2630</v>
      </c>
      <c r="CO196" s="655">
        <f t="shared" si="378"/>
        <v>2768</v>
      </c>
      <c r="CP196" s="655">
        <f t="shared" si="378"/>
        <v>2922</v>
      </c>
      <c r="CQ196" s="655">
        <f t="shared" si="378"/>
        <v>3094</v>
      </c>
      <c r="CR196" s="655">
        <f t="shared" si="378"/>
        <v>3287</v>
      </c>
      <c r="CS196" s="655">
        <f t="shared" si="378"/>
        <v>3506</v>
      </c>
      <c r="CT196" s="655">
        <f t="shared" si="378"/>
        <v>3757</v>
      </c>
      <c r="CU196" s="655">
        <f t="shared" si="378"/>
        <v>4046</v>
      </c>
      <c r="CV196" s="655">
        <f t="shared" si="378"/>
        <v>4383</v>
      </c>
      <c r="CW196" s="655">
        <f t="shared" si="378"/>
        <v>4781</v>
      </c>
      <c r="CX196" s="655">
        <f t="shared" si="378"/>
        <v>5260</v>
      </c>
      <c r="CY196" s="655">
        <f t="shared" si="378"/>
        <v>5844</v>
      </c>
      <c r="CZ196" s="655">
        <f t="shared" si="378"/>
        <v>6575</v>
      </c>
      <c r="DA196" s="655">
        <f t="shared" si="378"/>
        <v>7514</v>
      </c>
      <c r="DB196" s="655">
        <f t="shared" si="378"/>
        <v>8766</v>
      </c>
      <c r="DC196" s="655">
        <f t="shared" si="378"/>
        <v>10520</v>
      </c>
      <c r="DD196" s="655">
        <f t="shared" si="378"/>
        <v>13150</v>
      </c>
      <c r="DE196" s="655">
        <f t="shared" si="378"/>
        <v>17533</v>
      </c>
      <c r="DF196" s="656">
        <f t="shared" si="378"/>
        <v>26300</v>
      </c>
      <c r="DG196" s="653"/>
      <c r="DH196" s="653" t="str">
        <f t="shared" si="46"/>
        <v/>
      </c>
      <c r="DI196" s="134" t="str">
        <f t="shared" si="47"/>
        <v/>
      </c>
      <c r="DJ196" s="134" t="str">
        <f t="shared" si="48"/>
        <v/>
      </c>
      <c r="DK196" s="662" t="str">
        <f t="shared" si="49"/>
        <v/>
      </c>
      <c r="DL196" s="134"/>
      <c r="DM196" s="134"/>
      <c r="DN196" s="655">
        <f t="shared" si="379"/>
        <v>2.4</v>
      </c>
      <c r="DO196" s="653"/>
      <c r="DP196" s="901" t="s">
        <v>1270</v>
      </c>
    </row>
    <row r="197">
      <c r="A197" s="552">
        <v>191.0</v>
      </c>
      <c r="B197" s="86">
        <v>352.0</v>
      </c>
      <c r="C197" s="54">
        <v>72.0</v>
      </c>
      <c r="D197" s="54">
        <v>105.0</v>
      </c>
      <c r="E197" s="74"/>
      <c r="F197" s="68" t="s">
        <v>2356</v>
      </c>
      <c r="G197" s="68">
        <f t="shared" si="269"/>
        <v>18</v>
      </c>
      <c r="H197" s="74"/>
      <c r="I197" s="74"/>
      <c r="J197" s="74"/>
      <c r="K197" s="74"/>
      <c r="L197" s="74"/>
      <c r="M197" s="575"/>
      <c r="N197" s="74" t="s">
        <v>1280</v>
      </c>
      <c r="O197" s="570" t="s">
        <v>2027</v>
      </c>
      <c r="P197" s="571"/>
      <c r="Q197" s="571" t="s">
        <v>1676</v>
      </c>
      <c r="R197" s="571" t="s">
        <v>1685</v>
      </c>
      <c r="S197" s="791" t="s">
        <v>1282</v>
      </c>
      <c r="T197" s="572" t="s">
        <v>1281</v>
      </c>
      <c r="U197" s="54">
        <v>61.0</v>
      </c>
      <c r="V197" s="54">
        <v>45.0</v>
      </c>
      <c r="W197" s="54">
        <v>114.0</v>
      </c>
      <c r="X197" s="679">
        <v>142.0</v>
      </c>
      <c r="Y197" s="54">
        <v>6.0</v>
      </c>
      <c r="Z197" s="54">
        <v>-10.0</v>
      </c>
      <c r="AA197" s="54">
        <v>4.0</v>
      </c>
      <c r="AB197" s="54">
        <v>56.0</v>
      </c>
      <c r="AC197" s="54">
        <v>16248.0</v>
      </c>
      <c r="AD197" s="54">
        <v>3.0</v>
      </c>
      <c r="AE197" s="54">
        <v>80.0</v>
      </c>
      <c r="AF197" s="54">
        <v>50.0</v>
      </c>
      <c r="AG197" s="54">
        <v>79.0</v>
      </c>
      <c r="AH197" s="54">
        <v>116.0</v>
      </c>
      <c r="AI197" s="574">
        <f t="shared" si="12"/>
        <v>97.5</v>
      </c>
      <c r="AJ197" s="74"/>
      <c r="AK197" s="74"/>
      <c r="AL197" s="74"/>
      <c r="AM197" s="74"/>
      <c r="AN197" s="74"/>
      <c r="AO197" s="74"/>
      <c r="AP197" s="74"/>
      <c r="AQ197" s="74"/>
      <c r="AR197" s="74"/>
      <c r="AS197" s="575"/>
      <c r="AT197" s="68">
        <f t="shared" si="13"/>
        <v>1716</v>
      </c>
      <c r="AU197" s="68">
        <f t="shared" si="14"/>
        <v>2398</v>
      </c>
      <c r="AV197" s="581">
        <f t="shared" si="15"/>
        <v>2057</v>
      </c>
      <c r="AW197" s="582">
        <f t="shared" si="276"/>
        <v>3214</v>
      </c>
      <c r="AX197" s="74"/>
      <c r="AY197" s="74"/>
      <c r="AZ197" s="74"/>
      <c r="BA197" s="74"/>
      <c r="BB197" s="74"/>
      <c r="BC197" s="74"/>
      <c r="BD197" s="74"/>
      <c r="BE197" s="74"/>
      <c r="BF197" s="74"/>
      <c r="BG197" s="74"/>
      <c r="BH197" s="582">
        <f t="shared" si="284"/>
        <v>3025</v>
      </c>
      <c r="BI197" s="74"/>
      <c r="BJ197" s="74"/>
      <c r="BK197" s="74"/>
      <c r="BL197" s="74"/>
      <c r="BM197" s="74"/>
      <c r="BN197" s="74"/>
      <c r="BO197" s="74"/>
      <c r="BP197" s="575" t="str">
        <f t="shared" si="33"/>
        <v/>
      </c>
      <c r="BQ197" s="670">
        <v>65.0</v>
      </c>
      <c r="BR197" s="670">
        <v>95.0</v>
      </c>
      <c r="BS197" s="670">
        <v>0.0</v>
      </c>
      <c r="BT197" s="670">
        <v>80.0</v>
      </c>
      <c r="BU197" s="670">
        <v>50.0</v>
      </c>
      <c r="BV197" s="671">
        <f t="shared" si="34"/>
        <v>80</v>
      </c>
      <c r="BW197" s="672">
        <f t="shared" si="35"/>
        <v>2084.2</v>
      </c>
      <c r="BX197" s="673">
        <f t="shared" si="289"/>
        <v>3065</v>
      </c>
      <c r="BY197" s="365"/>
      <c r="BZ197" s="365"/>
      <c r="CA197" s="365"/>
      <c r="CB197" s="365"/>
      <c r="CC197" s="365"/>
      <c r="CD197" s="365"/>
      <c r="CE197" s="674">
        <f t="shared" si="43"/>
        <v>21.9</v>
      </c>
      <c r="CF197" s="675">
        <f t="shared" si="248"/>
        <v>-1.3</v>
      </c>
      <c r="CG197" s="878">
        <f t="shared" si="295"/>
        <v>4.9</v>
      </c>
      <c r="CH197" s="575" t="s">
        <v>1280</v>
      </c>
      <c r="CI197" s="582">
        <f t="shared" ref="CI197:DF197" si="380">FLOOR($AV197/(CI$3/25),1)</f>
        <v>2057</v>
      </c>
      <c r="CJ197" s="582">
        <f t="shared" si="380"/>
        <v>2142</v>
      </c>
      <c r="CK197" s="582">
        <f t="shared" si="380"/>
        <v>2235</v>
      </c>
      <c r="CL197" s="582">
        <f t="shared" si="380"/>
        <v>2337</v>
      </c>
      <c r="CM197" s="582">
        <f t="shared" si="380"/>
        <v>2448</v>
      </c>
      <c r="CN197" s="582">
        <f t="shared" si="380"/>
        <v>2571</v>
      </c>
      <c r="CO197" s="582">
        <f t="shared" si="380"/>
        <v>2706</v>
      </c>
      <c r="CP197" s="582">
        <f t="shared" si="380"/>
        <v>2856</v>
      </c>
      <c r="CQ197" s="582">
        <f t="shared" si="380"/>
        <v>3025</v>
      </c>
      <c r="CR197" s="582">
        <f t="shared" si="380"/>
        <v>3214</v>
      </c>
      <c r="CS197" s="582">
        <f t="shared" si="380"/>
        <v>3428</v>
      </c>
      <c r="CT197" s="582">
        <f t="shared" si="380"/>
        <v>3673</v>
      </c>
      <c r="CU197" s="582">
        <f t="shared" si="380"/>
        <v>3955</v>
      </c>
      <c r="CV197" s="582">
        <f t="shared" si="380"/>
        <v>4285</v>
      </c>
      <c r="CW197" s="582">
        <f t="shared" si="380"/>
        <v>4675</v>
      </c>
      <c r="CX197" s="582">
        <f t="shared" si="380"/>
        <v>5142</v>
      </c>
      <c r="CY197" s="582">
        <f t="shared" si="380"/>
        <v>5713</v>
      </c>
      <c r="CZ197" s="582">
        <f t="shared" si="380"/>
        <v>6428</v>
      </c>
      <c r="DA197" s="582">
        <f t="shared" si="380"/>
        <v>7346</v>
      </c>
      <c r="DB197" s="582">
        <f t="shared" si="380"/>
        <v>8570</v>
      </c>
      <c r="DC197" s="582">
        <f t="shared" si="380"/>
        <v>10285</v>
      </c>
      <c r="DD197" s="582">
        <f t="shared" si="380"/>
        <v>12856</v>
      </c>
      <c r="DE197" s="582">
        <f t="shared" si="380"/>
        <v>17141</v>
      </c>
      <c r="DF197" s="602">
        <f t="shared" si="380"/>
        <v>25712</v>
      </c>
      <c r="DG197" s="575"/>
      <c r="DH197" s="575" t="str">
        <f t="shared" si="46"/>
        <v/>
      </c>
      <c r="DI197" s="74" t="str">
        <f t="shared" si="47"/>
        <v/>
      </c>
      <c r="DJ197" s="74" t="str">
        <f t="shared" si="48"/>
        <v/>
      </c>
      <c r="DK197" s="623" t="str">
        <f t="shared" si="49"/>
        <v/>
      </c>
      <c r="DL197" s="74"/>
      <c r="DM197" s="74"/>
      <c r="DN197" s="582">
        <f t="shared" si="379"/>
        <v>1.6</v>
      </c>
      <c r="DO197" s="575"/>
      <c r="DP197" s="906" t="s">
        <v>1270</v>
      </c>
    </row>
    <row r="198">
      <c r="A198" s="764">
        <v>192.0</v>
      </c>
      <c r="B198" s="765">
        <v>353.0</v>
      </c>
      <c r="C198" s="766">
        <v>40.0</v>
      </c>
      <c r="D198" s="766">
        <v>168.0</v>
      </c>
      <c r="E198" s="767"/>
      <c r="F198" s="768" t="s">
        <v>2356</v>
      </c>
      <c r="G198" s="768">
        <f t="shared" si="269"/>
        <v>18</v>
      </c>
      <c r="H198" s="767"/>
      <c r="I198" s="767"/>
      <c r="J198" s="767"/>
      <c r="K198" s="767"/>
      <c r="L198" s="767"/>
      <c r="M198" s="776"/>
      <c r="N198" s="767" t="s">
        <v>1287</v>
      </c>
      <c r="O198" s="770" t="s">
        <v>2357</v>
      </c>
      <c r="P198" s="771"/>
      <c r="Q198" s="771" t="s">
        <v>1676</v>
      </c>
      <c r="R198" s="771" t="s">
        <v>1685</v>
      </c>
      <c r="S198" s="800" t="s">
        <v>1282</v>
      </c>
      <c r="T198" s="772" t="s">
        <v>1288</v>
      </c>
      <c r="U198" s="766">
        <v>81.0</v>
      </c>
      <c r="V198" s="766">
        <v>60.0</v>
      </c>
      <c r="W198" s="766">
        <v>132.0</v>
      </c>
      <c r="X198" s="773">
        <v>149.0</v>
      </c>
      <c r="Y198" s="766">
        <v>6.0</v>
      </c>
      <c r="Z198" s="766">
        <v>10.0</v>
      </c>
      <c r="AA198" s="766">
        <v>4.0</v>
      </c>
      <c r="AB198" s="766">
        <v>50.0</v>
      </c>
      <c r="AC198" s="766">
        <v>19407.0</v>
      </c>
      <c r="AD198" s="766">
        <v>3.0</v>
      </c>
      <c r="AE198" s="766">
        <v>80.0</v>
      </c>
      <c r="AF198" s="766">
        <v>50.0</v>
      </c>
      <c r="AG198" s="766">
        <v>44.0</v>
      </c>
      <c r="AH198" s="766">
        <v>185.0</v>
      </c>
      <c r="AI198" s="775">
        <f t="shared" si="12"/>
        <v>114.5</v>
      </c>
      <c r="AJ198" s="767"/>
      <c r="AK198" s="767"/>
      <c r="AL198" s="767"/>
      <c r="AM198" s="767"/>
      <c r="AN198" s="767"/>
      <c r="AO198" s="767"/>
      <c r="AP198" s="767"/>
      <c r="AQ198" s="767"/>
      <c r="AR198" s="767"/>
      <c r="AS198" s="776"/>
      <c r="AT198" s="768">
        <f t="shared" si="13"/>
        <v>1067</v>
      </c>
      <c r="AU198" s="768">
        <f t="shared" si="14"/>
        <v>3677</v>
      </c>
      <c r="AV198" s="777">
        <f t="shared" si="15"/>
        <v>2372</v>
      </c>
      <c r="AW198" s="778">
        <f t="shared" si="276"/>
        <v>2965</v>
      </c>
      <c r="AX198" s="767"/>
      <c r="AY198" s="767"/>
      <c r="AZ198" s="767"/>
      <c r="BA198" s="767"/>
      <c r="BB198" s="767"/>
      <c r="BC198" s="767"/>
      <c r="BD198" s="767"/>
      <c r="BE198" s="767"/>
      <c r="BF198" s="767"/>
      <c r="BG198" s="767"/>
      <c r="BH198" s="778">
        <f t="shared" si="284"/>
        <v>2281</v>
      </c>
      <c r="BI198" s="767"/>
      <c r="BJ198" s="767"/>
      <c r="BK198" s="767"/>
      <c r="BL198" s="767"/>
      <c r="BM198" s="767"/>
      <c r="BN198" s="767"/>
      <c r="BO198" s="767"/>
      <c r="BP198" s="776" t="str">
        <f t="shared" si="33"/>
        <v/>
      </c>
      <c r="BQ198" s="780">
        <v>37.0</v>
      </c>
      <c r="BR198" s="780">
        <v>153.0</v>
      </c>
      <c r="BS198" s="780">
        <v>20.0</v>
      </c>
      <c r="BT198" s="780">
        <v>80.0</v>
      </c>
      <c r="BU198" s="780">
        <v>50.0</v>
      </c>
      <c r="BV198" s="782">
        <f t="shared" si="34"/>
        <v>95</v>
      </c>
      <c r="BW198" s="783">
        <f t="shared" si="35"/>
        <v>2417.5</v>
      </c>
      <c r="BX198" s="784">
        <f t="shared" si="289"/>
        <v>2747.2</v>
      </c>
      <c r="BY198" s="781"/>
      <c r="BZ198" s="781"/>
      <c r="CA198" s="781"/>
      <c r="CB198" s="781"/>
      <c r="CC198" s="781"/>
      <c r="CD198" s="781"/>
      <c r="CE198" s="785">
        <f t="shared" si="43"/>
        <v>20.5</v>
      </c>
      <c r="CF198" s="802">
        <f t="shared" si="248"/>
        <v>-1.9</v>
      </c>
      <c r="CG198" s="894">
        <f t="shared" si="295"/>
        <v>7.9</v>
      </c>
      <c r="CH198" s="776" t="s">
        <v>1287</v>
      </c>
      <c r="CI198" s="778">
        <f t="shared" ref="CI198:DF198" si="381">FLOOR($AV198/(CI$3/25),1)</f>
        <v>2372</v>
      </c>
      <c r="CJ198" s="778">
        <f t="shared" si="381"/>
        <v>2470</v>
      </c>
      <c r="CK198" s="778">
        <f t="shared" si="381"/>
        <v>2578</v>
      </c>
      <c r="CL198" s="778">
        <f t="shared" si="381"/>
        <v>2695</v>
      </c>
      <c r="CM198" s="778">
        <f t="shared" si="381"/>
        <v>2823</v>
      </c>
      <c r="CN198" s="778">
        <f t="shared" si="381"/>
        <v>2965</v>
      </c>
      <c r="CO198" s="778">
        <f t="shared" si="381"/>
        <v>3121</v>
      </c>
      <c r="CP198" s="778">
        <f t="shared" si="381"/>
        <v>3294</v>
      </c>
      <c r="CQ198" s="778">
        <f t="shared" si="381"/>
        <v>3488</v>
      </c>
      <c r="CR198" s="778">
        <f t="shared" si="381"/>
        <v>3706</v>
      </c>
      <c r="CS198" s="778">
        <f t="shared" si="381"/>
        <v>3953</v>
      </c>
      <c r="CT198" s="778">
        <f t="shared" si="381"/>
        <v>4235</v>
      </c>
      <c r="CU198" s="778">
        <f t="shared" si="381"/>
        <v>4561</v>
      </c>
      <c r="CV198" s="778">
        <f t="shared" si="381"/>
        <v>4941</v>
      </c>
      <c r="CW198" s="778">
        <f t="shared" si="381"/>
        <v>5390</v>
      </c>
      <c r="CX198" s="778">
        <f t="shared" si="381"/>
        <v>5930</v>
      </c>
      <c r="CY198" s="778">
        <f t="shared" si="381"/>
        <v>6588</v>
      </c>
      <c r="CZ198" s="778">
        <f t="shared" si="381"/>
        <v>7412</v>
      </c>
      <c r="DA198" s="778">
        <f t="shared" si="381"/>
        <v>8471</v>
      </c>
      <c r="DB198" s="778">
        <f t="shared" si="381"/>
        <v>9883</v>
      </c>
      <c r="DC198" s="778">
        <f t="shared" si="381"/>
        <v>11860</v>
      </c>
      <c r="DD198" s="778">
        <f t="shared" si="381"/>
        <v>14825</v>
      </c>
      <c r="DE198" s="778">
        <f t="shared" si="381"/>
        <v>19766</v>
      </c>
      <c r="DF198" s="779">
        <f t="shared" si="381"/>
        <v>29650</v>
      </c>
      <c r="DG198" s="776"/>
      <c r="DH198" s="776" t="str">
        <f t="shared" si="46"/>
        <v/>
      </c>
      <c r="DI198" s="767" t="str">
        <f t="shared" si="47"/>
        <v/>
      </c>
      <c r="DJ198" s="767" t="str">
        <f t="shared" si="48"/>
        <v/>
      </c>
      <c r="DK198" s="803" t="str">
        <f t="shared" si="49"/>
        <v/>
      </c>
      <c r="DL198" s="767"/>
      <c r="DM198" s="767"/>
      <c r="DN198" s="778">
        <f t="shared" si="379"/>
        <v>1.1</v>
      </c>
      <c r="DO198" s="776"/>
      <c r="DP198" s="908" t="s">
        <v>1270</v>
      </c>
    </row>
    <row r="199">
      <c r="A199" s="552">
        <v>193.0</v>
      </c>
      <c r="B199" s="86">
        <v>68.0</v>
      </c>
      <c r="C199" s="54">
        <v>3.0</v>
      </c>
      <c r="D199" s="54">
        <v>15.0</v>
      </c>
      <c r="E199" s="74"/>
      <c r="F199" s="68" t="s">
        <v>2356</v>
      </c>
      <c r="G199" s="68">
        <f t="shared" si="269"/>
        <v>18</v>
      </c>
      <c r="H199" s="68">
        <f t="shared" ref="H199:H255" si="383">IF($E199=1,16,IF($F199="1hs",15,IF($F199="1ht",15,IF($F199="2hs",23,IF($F199="2ht",23,IF($F199="bow",16,IF($F199="hth",11.5,IF($F199="ht1",11.5,IF($F199="ht2",11.5,IF($F199="stf",19,IF($F199="xbw",21,0)))))))))))</f>
        <v>23</v>
      </c>
      <c r="I199" s="68">
        <f t="shared" ref="I199:I255" si="384">IF($E199=1,16,IF($F199="1hs",16,IF($F199="1ht",16,IF($F199="1js",16,IF($F199="1jt",16,IF($F199="1ss",16,IF($F199="1st",16,IF($F199="2hs",18,IF($F199="2ht",19,IF($F199="bow",15,IF($F199="hth",12,IF($F199="stf",19,IF($F199="xbw",20,0)))))))))))))</f>
        <v>19</v>
      </c>
      <c r="J199" s="68">
        <f t="shared" ref="J199:J255" si="385">IF($E199=1,18,IF($F199="1hs",19,IF($F199="1ht",19,IF($F199="2hs",21,IF($F199="2ht",23,IF($F199="bow",16,IF($F199="hth",16,IF($F199="stf",17,IF($F199="xbw",20,0)))))))))</f>
        <v>23</v>
      </c>
      <c r="K199" s="68">
        <f t="shared" ref="K199:K255" si="386">IF($E199=1,20,IF($F199="1hs",19,IF($F199="1ht",19,IF($F199="2hs",23,IF($F199="2ht",24,IF($F199="bow",18,IF($F199="hth",15,IF($F199="stf",20,IF($F199="xbw",20,0)))))))))</f>
        <v>24</v>
      </c>
      <c r="L199" s="68">
        <f t="shared" ref="L199:L255" si="387">IF($E199=1,16,IF($F199="1hs",15,IF($F199="1ht",17,IF($F199="2hs",18.5,IF($F199="2ht",20,IF($F199="bow",16,IF($F199="hth",14,IF($F199="stf",18,IF($F199="xbw",20,0)))))))))</f>
        <v>20</v>
      </c>
      <c r="M199" s="569">
        <f t="shared" ref="M199:M255" si="388">IF($E199=1,20,IF($F199="1hs",20,IF($F199="1ht",19,IF($F199="2hs",24,IF($F199="2ht",23,IF($F199="bow",17,IF($F199="hth",16,IF($F199="stf",18,IF($F199="xbw",20,0)))))))))</f>
        <v>23</v>
      </c>
      <c r="N199" s="74" t="s">
        <v>487</v>
      </c>
      <c r="O199" s="570" t="s">
        <v>2012</v>
      </c>
      <c r="P199" s="571"/>
      <c r="Q199" s="571" t="s">
        <v>1313</v>
      </c>
      <c r="R199" s="571" t="s">
        <v>1685</v>
      </c>
      <c r="S199" s="791" t="s">
        <v>1295</v>
      </c>
      <c r="T199" s="572" t="s">
        <v>1289</v>
      </c>
      <c r="U199" s="54">
        <v>5.0</v>
      </c>
      <c r="V199" s="54">
        <v>0.0</v>
      </c>
      <c r="W199" s="74"/>
      <c r="X199" s="54">
        <v>20.0</v>
      </c>
      <c r="Y199" s="54">
        <v>3.0</v>
      </c>
      <c r="Z199" s="54">
        <v>-10.0</v>
      </c>
      <c r="AA199" s="54">
        <v>4.0</v>
      </c>
      <c r="AB199" s="54">
        <v>60.0</v>
      </c>
      <c r="AC199" s="54">
        <v>300.0</v>
      </c>
      <c r="AD199" s="54">
        <v>4.0</v>
      </c>
      <c r="AE199" s="54">
        <v>75.0</v>
      </c>
      <c r="AF199" s="54">
        <v>75.0</v>
      </c>
      <c r="AG199" s="54">
        <v>3.0</v>
      </c>
      <c r="AH199" s="54">
        <v>15.0</v>
      </c>
      <c r="AI199" s="574">
        <f t="shared" si="12"/>
        <v>9</v>
      </c>
      <c r="AJ199" s="74"/>
      <c r="AK199" s="74"/>
      <c r="AL199" s="74"/>
      <c r="AM199" s="74"/>
      <c r="AN199" s="74"/>
      <c r="AO199" s="74"/>
      <c r="AP199" s="74"/>
      <c r="AQ199" s="74"/>
      <c r="AR199" s="74"/>
      <c r="AS199" s="575"/>
      <c r="AT199" s="68">
        <f t="shared" si="13"/>
        <v>331</v>
      </c>
      <c r="AU199" s="68">
        <f t="shared" si="14"/>
        <v>571</v>
      </c>
      <c r="AV199" s="581">
        <f t="shared" si="15"/>
        <v>451</v>
      </c>
      <c r="AW199" s="582">
        <f t="shared" si="276"/>
        <v>705</v>
      </c>
      <c r="AX199" s="582">
        <f t="shared" ref="AX199:AX255" si="389">ROUND($AV199*25/(CEILING(($H199*256)/FLOOR(IF($F199="ht1",208,IF($F199="ht2",208,256))*MIN(175,MAX(15,100+IF(AS199="",$AS$1,AS199)+FLOOR((120*IF(AQ199="",$AQ$1,AQ199))/(120+IF(AQ199="",$AQ$1,AQ199)),1)-$Z199))/100,1),1)-1),0)</f>
        <v>564</v>
      </c>
      <c r="AY199" s="582">
        <f t="shared" ref="AY199:AY255" si="390">ROUND($AV199*25/(CEILING(($I199*256)/FLOOR(256*MIN(175,MAX(15,100+IF(AS199="",$AS$1,AS199)+FLOOR((120*IF(AQ199="",$AQ$1,AQ199))/(120+IF(AQ199="",$AQ$1,AQ199)),1)-$Z199))/100,1),1)-1),0)</f>
        <v>663</v>
      </c>
      <c r="AZ199" s="582">
        <f t="shared" ref="AZ199:AZ255" si="391">ROUND($AV199*25/(CEILING(($L199*256)/FLOOR(256*MIN(175,MAX(15,100+IF(AS199="",$AS$1,AS199)+FLOOR((120*IF(AQ199="",$AQ$1,AQ199))/(120+IF(AQ199="",$AQ$1,AQ199)),1)-$Z199))/100,1),1)-1),0)</f>
        <v>626</v>
      </c>
      <c r="BA199" s="582">
        <f t="shared" ref="BA199:BA255" si="392">ROUND($AV199*25/(CEILING(($K199*256)/FLOOR(256*MIN(175,MAX(15,100+IF(AS199="",$AS$1,AS199)+FLOOR((120*IF(AQ199="",$AQ$1,AQ199))/(120+IF(AQ199="",$AQ$1,AQ199)),1)-$Z199))/100,1),1)-1),0)</f>
        <v>537</v>
      </c>
      <c r="BB199" s="582">
        <f t="shared" ref="BB199:BB255" si="393">ROUND($AV199*25/(CEILING(($M199*256)/FLOOR(256*MIN(175,MAX(15,100+IF(AS199="",$AS$1,AS199)+FLOOR((120*IF(AQ199="",$AQ$1,AQ199))/(120+IF(AQ199="",$AQ$1,AQ199)),1)-$Z199))/100,1),1)-1),0)</f>
        <v>564</v>
      </c>
      <c r="BC199" s="582">
        <f t="shared" ref="BC199:BC255" si="394">ROUND($AV199*25/(CEILING(($J199*256)/FLOOR(256*MIN(175,MAX(15,100+IF(AS199="",$AS$1,AS199)+FLOOR((120*IF(AQ199="",$AQ$1,AQ199))/(120+IF(AQ199="",$AQ$1,AQ199)),1)-$Z199))/100,1),1)-1),0)</f>
        <v>564</v>
      </c>
      <c r="BD199" s="582">
        <f t="shared" ref="BD199:BD255" si="395">ROUND($AV199*25/(CEILING((13*256)/FLOOR(FLOOR(256*9/FLOOR(256*IF($F199="2hs",19,J199)/FLOOR((100+IF($AR199="",$AR$1,$AR199)-$Z199)*256/100,1),1),1)*MIN(175,MAX(15,100+IF($AS199="",$AS$1,$AS199)+FLOOR((120*IF($AQ199="",$AQ$1,$AQ199))/(120+IF($AQ199="",$AQ$1,$AQ199)),1)-$Z199))/100,1),1)-1),0)</f>
        <v>434</v>
      </c>
      <c r="BE199" s="582">
        <f t="shared" ref="BE199:BE255" si="396">ROUND($AV199*25/(CEILING((12*256)/FLOOR(FLOOR(256*10/FLOOR(256*IF($F199="2hs",19,J199)/FLOOR((100+IF($AR199="",$AR$1,$AR199)-$Z199)*256/100,1),1),1)*MIN(175,MAX(15,100+IF($AS199="",$AS$1,$AS199)+FLOOR((120*IF($AQ199="",$AQ$1,$AQ199))/(120+IF($AQ199="",$AQ$1,$AQ199)),1)-$Z199))/100,1),1)-1),0)</f>
        <v>537</v>
      </c>
      <c r="BF199" s="582">
        <f t="shared" ref="BF199:BF255" si="397">ROUND($AV199*25/(CEILING((13*256)/FLOOR(FLOOR(256*9/FLOOR(256*IF($F199="2hs",16,I199)/FLOOR((100+IF($AR199="",$AR$1,$AR199)-$Z199)*256/100,1),1),1)*MIN(175,MAX(15,100+IF($AS199="",$AS$1,$AS199)+FLOOR((120*IF($AQ199="",$AQ$1,$AQ199))/(120+IF($AQ199="",$AQ$1,$AQ199)),1)-$Z199))/100,1),1)-1),0)</f>
        <v>513</v>
      </c>
      <c r="BG199" s="582">
        <f t="shared" ref="BG199:BG255" si="398">ROUND($AV199*25/(CEILING((12*256)/FLOOR(FLOOR(256*10/FLOOR(256*IF($F199="2hs",16,I199)/FLOOR((100+IF($AR199="",$AR$1,$AR199)-$Z199)*256/100,1),1),1)*MIN(175,MAX(15,100+IF($AS199="",$AS$1,$AS199)+FLOOR((120*IF($AQ199="",$AQ$1,$AQ199))/(120+IF($AQ199="",$AQ$1,$AQ199)),1)-$Z199))/100,1),1)-1),0)</f>
        <v>626</v>
      </c>
      <c r="BH199" s="582">
        <f t="shared" si="284"/>
        <v>663</v>
      </c>
      <c r="BI199" s="582">
        <f t="shared" ref="BI199:BI255" si="399">ROUND($AV199*25/(CEILING((12*256)/FLOOR(FLOOR(256*10/FLOOR(256*IF($F199="2hs",15,H199)/FLOOR((100+IF($AR199="",$AR$1,$AR199)-$Z199)*256/100,1),1),1)*MIN(175,MAX(15,100+IF($AS199="",$AS$1,$AS199)+FLOOR((120*IF($AQ199="",$AQ$1,$AQ199))/(120+IF($AQ199="",$AQ$1,$AQ199)),1)-$Z199))/100,1),1)-1),0)</f>
        <v>537</v>
      </c>
      <c r="BJ199" s="582">
        <f t="shared" ref="BJ199:BJ255" si="400">ROUND($AV199*25/(CEILING((12*256)/FLOOR(FLOOR(256*10/FLOOR(256*IF($F199="2hs",15,L199)/FLOOR((100+IF($AR199="",$AR$1,$AR199)-$Z199)*256/100,1),1),1)*MIN(175,MAX(15,100+IF($AS199="",$AS$1,$AS199)+FLOOR((120*IF($AQ199="",$AQ$1,$AQ199))/(120+IF($AQ199="",$AQ$1,$AQ199)),1)-$Z199))/100,1),1)-1),0)</f>
        <v>593</v>
      </c>
      <c r="BK199" s="582">
        <f t="shared" ref="BK199:BK255" si="401">ROUND($AV199*25/(CEILING((12*256)/FLOOR(FLOOR(256*10/FLOOR(256*IF($F199="2hs",19,K199)/FLOOR((100+IF($AR199="",$AR$1,$AR199)-$Z199)*256/100,1),1),1)*MIN(175,MAX(15,100+IF($AS199="",$AS$1,$AS199)+FLOOR((120*IF($AQ199="",$AQ$1,$AQ199))/(120+IF($AQ199="",$AQ$1,$AQ199)),1)-$Z199))/100,1),1)-1),0)</f>
        <v>490</v>
      </c>
      <c r="BL199" s="582">
        <f t="shared" ref="BL199:BL255" si="402">ROUND($AV199*25/(CEILING((12*256)/FLOOR(FLOOR(256*10/FLOOR(256*IF($F199="2hs",20,M199)/FLOOR((100+IF($AR199="",$AR$1,$AR199)-$Z199)*256/100,1),1),1)*MIN(175,MAX(15,100+IF($AS199="",$AS$1,$AS199)+FLOOR((120*IF($AQ199="",$AQ$1,$AQ199))/(120+IF($AQ199="",$AQ$1,$AQ199)),1)-$Z199))/100,1),1)-1),0)</f>
        <v>537</v>
      </c>
      <c r="BM199" s="74"/>
      <c r="BN199" s="582">
        <f t="shared" ref="BN199:BN231" si="403">ROUND(IF($F199="1ht",2*$AV199,$AV199)*25/(CEILING((16*256)/FLOOR(256*MIN(175,MAX(15,100+IF($AS199="",$AS$1,AS199)+FLOOR((120*IF($AQ199="",$AQ$1,$AQ199))/(120+IF($AQ199="",$AQ$1,$AQ199)),1)-$Z199))/100,1),1)-1),0)</f>
        <v>805</v>
      </c>
      <c r="BO199" s="74"/>
      <c r="BP199" s="602">
        <f t="shared" si="33"/>
        <v>805</v>
      </c>
      <c r="BQ199" s="54">
        <v>3.0</v>
      </c>
      <c r="BR199" s="54">
        <v>15.0</v>
      </c>
      <c r="BS199" s="54">
        <v>-10.0</v>
      </c>
      <c r="BT199" s="54">
        <v>100.0</v>
      </c>
      <c r="BU199" s="74"/>
      <c r="BV199" s="83">
        <f t="shared" si="34"/>
        <v>9</v>
      </c>
      <c r="BW199" s="608">
        <f t="shared" si="35"/>
        <v>461.9</v>
      </c>
      <c r="BX199" s="582">
        <f t="shared" si="289"/>
        <v>721.7</v>
      </c>
      <c r="BY199" s="582">
        <f t="shared" ref="BY199:BY255" si="404">ROUND($BW199*25/(CEILING(($H199*256)/FLOOR(IF($F199="ht1",208,IF($F199="ht2",208,256))*MIN(175,MAX(15,100+$AS$1+FLOOR((120*$AQ$1)/(120+$AQ$1),1)-$BS199-30*$E199))/100,1),1)-1),1)</f>
        <v>577.4</v>
      </c>
      <c r="BZ199" s="582">
        <f t="shared" ref="BZ199:BZ255" si="405">ROUND($BW199*25/(CEILING(($I199*256)/FLOOR(256*MIN(175,MAX(15,100+$AS$1+FLOOR((120*$AQ$1)/(120+$AQ$1),1)-$BS199-30*$E199))/100,1),1)-1),1)</f>
        <v>679.3</v>
      </c>
      <c r="CA199" s="582">
        <f t="shared" ref="CA199:CA255" si="406">ROUND($BW199*25/(CEILING(($J199*256)/FLOOR(256*MIN(175,MAX(15,100+$AS$1+FLOOR((120*$AQ$1)/(120+$AQ$1),1)-$BS199-30*$E199))/100,1),1)-1),1)</f>
        <v>577.4</v>
      </c>
      <c r="CB199" s="582">
        <f t="shared" ref="CB199:CB255" si="407">ROUND($BW199*25/(CEILING(($K199*256)/FLOOR(256*MIN(175,MAX(15,100+$AS$1+FLOOR((120*$AQ$1)/(120+$AQ$1),1)-$BS199-30*$E199))/100,1),1)-1),1)</f>
        <v>549.9</v>
      </c>
      <c r="CC199" s="582">
        <f t="shared" ref="CC199:CC255" si="408">ROUND($BW199*25/(CEILING(($L199*256)/FLOOR(256*MIN(175,MAX(15,100+$AS$1+FLOOR((120*$AQ$1)/(120+$AQ$1),1)-$BS199-30*$E199))/100,1),1)-1),1)</f>
        <v>641.5</v>
      </c>
      <c r="CD199" s="582">
        <f t="shared" ref="CD199:CD255" si="409">ROUND($BW199*25/(CEILING(($M199*256)/FLOOR(256*MIN(175,MAX(15,100+$AS$1+FLOOR((120*$AQ$1)/(120+$AQ$1),1)-$BS199-30*$E199))/100,1),1)-1),1)</f>
        <v>577.4</v>
      </c>
      <c r="CE199" s="623" t="str">
        <f t="shared" si="43"/>
        <v/>
      </c>
      <c r="CF199" s="706">
        <f t="shared" si="248"/>
        <v>-2.4</v>
      </c>
      <c r="CG199" s="552">
        <f t="shared" si="295"/>
        <v>-2.3</v>
      </c>
      <c r="CH199" s="575" t="s">
        <v>487</v>
      </c>
      <c r="CI199" s="582">
        <f t="shared" ref="CI199:DF199" si="382">FLOOR($AV199/(CI$3/25),1)</f>
        <v>451</v>
      </c>
      <c r="CJ199" s="582">
        <f t="shared" si="382"/>
        <v>469</v>
      </c>
      <c r="CK199" s="582">
        <f t="shared" si="382"/>
        <v>490</v>
      </c>
      <c r="CL199" s="582">
        <f t="shared" si="382"/>
        <v>512</v>
      </c>
      <c r="CM199" s="582">
        <f t="shared" si="382"/>
        <v>536</v>
      </c>
      <c r="CN199" s="582">
        <f t="shared" si="382"/>
        <v>563</v>
      </c>
      <c r="CO199" s="582">
        <f t="shared" si="382"/>
        <v>593</v>
      </c>
      <c r="CP199" s="582">
        <f t="shared" si="382"/>
        <v>626</v>
      </c>
      <c r="CQ199" s="582">
        <f t="shared" si="382"/>
        <v>663</v>
      </c>
      <c r="CR199" s="582">
        <f t="shared" si="382"/>
        <v>704</v>
      </c>
      <c r="CS199" s="582">
        <f t="shared" si="382"/>
        <v>751</v>
      </c>
      <c r="CT199" s="582">
        <f t="shared" si="382"/>
        <v>805</v>
      </c>
      <c r="CU199" s="582">
        <f t="shared" si="382"/>
        <v>867</v>
      </c>
      <c r="CV199" s="582">
        <f t="shared" si="382"/>
        <v>939</v>
      </c>
      <c r="CW199" s="582">
        <f t="shared" si="382"/>
        <v>1025</v>
      </c>
      <c r="CX199" s="582">
        <f t="shared" si="382"/>
        <v>1127</v>
      </c>
      <c r="CY199" s="582">
        <f t="shared" si="382"/>
        <v>1252</v>
      </c>
      <c r="CZ199" s="582">
        <f t="shared" si="382"/>
        <v>1409</v>
      </c>
      <c r="DA199" s="582">
        <f t="shared" si="382"/>
        <v>1610</v>
      </c>
      <c r="DB199" s="582">
        <f t="shared" si="382"/>
        <v>1879</v>
      </c>
      <c r="DC199" s="582">
        <f t="shared" si="382"/>
        <v>2255</v>
      </c>
      <c r="DD199" s="582">
        <f t="shared" si="382"/>
        <v>2818</v>
      </c>
      <c r="DE199" s="582">
        <f t="shared" si="382"/>
        <v>3758</v>
      </c>
      <c r="DF199" s="602">
        <f t="shared" si="382"/>
        <v>5637</v>
      </c>
      <c r="DG199" s="575"/>
      <c r="DH199" s="575" t="str">
        <f t="shared" si="46"/>
        <v/>
      </c>
      <c r="DI199" s="74" t="str">
        <f t="shared" si="47"/>
        <v/>
      </c>
      <c r="DJ199" s="74" t="str">
        <f t="shared" si="48"/>
        <v/>
      </c>
      <c r="DK199" s="792" t="str">
        <f t="shared" si="49"/>
        <v/>
      </c>
      <c r="DL199" s="793"/>
      <c r="DM199" s="793"/>
      <c r="DN199" s="793"/>
      <c r="DO199" s="575"/>
      <c r="DP199" s="297"/>
    </row>
    <row r="200">
      <c r="A200" s="552">
        <v>194.0</v>
      </c>
      <c r="B200" s="86">
        <v>69.0</v>
      </c>
      <c r="C200" s="54">
        <v>9.0</v>
      </c>
      <c r="D200" s="54">
        <v>15.0</v>
      </c>
      <c r="E200" s="74"/>
      <c r="F200" s="68" t="s">
        <v>2356</v>
      </c>
      <c r="G200" s="68">
        <f t="shared" si="269"/>
        <v>18</v>
      </c>
      <c r="H200" s="68">
        <f t="shared" si="383"/>
        <v>23</v>
      </c>
      <c r="I200" s="68">
        <f t="shared" si="384"/>
        <v>19</v>
      </c>
      <c r="J200" s="68">
        <f t="shared" si="385"/>
        <v>23</v>
      </c>
      <c r="K200" s="68">
        <f t="shared" si="386"/>
        <v>24</v>
      </c>
      <c r="L200" s="68">
        <f t="shared" si="387"/>
        <v>20</v>
      </c>
      <c r="M200" s="569">
        <f t="shared" si="388"/>
        <v>23</v>
      </c>
      <c r="N200" s="74" t="s">
        <v>1296</v>
      </c>
      <c r="O200" s="570" t="s">
        <v>2013</v>
      </c>
      <c r="P200" s="571"/>
      <c r="Q200" s="571" t="s">
        <v>1313</v>
      </c>
      <c r="R200" s="571" t="s">
        <v>1685</v>
      </c>
      <c r="S200" s="791" t="s">
        <v>1295</v>
      </c>
      <c r="T200" s="572" t="s">
        <v>1297</v>
      </c>
      <c r="U200" s="54">
        <v>9.0</v>
      </c>
      <c r="V200" s="54">
        <v>0.0</v>
      </c>
      <c r="W200" s="54">
        <v>38.0</v>
      </c>
      <c r="X200" s="54">
        <v>24.0</v>
      </c>
      <c r="Y200" s="54">
        <v>4.0</v>
      </c>
      <c r="Z200" s="54">
        <v>0.0</v>
      </c>
      <c r="AA200" s="54">
        <v>4.0</v>
      </c>
      <c r="AB200" s="54">
        <v>70.0</v>
      </c>
      <c r="AC200" s="54">
        <v>683.0</v>
      </c>
      <c r="AD200" s="54">
        <v>4.0</v>
      </c>
      <c r="AE200" s="54">
        <v>75.0</v>
      </c>
      <c r="AF200" s="54">
        <v>75.0</v>
      </c>
      <c r="AG200" s="54">
        <v>9.0</v>
      </c>
      <c r="AH200" s="54">
        <v>15.0</v>
      </c>
      <c r="AI200" s="574">
        <f t="shared" si="12"/>
        <v>12</v>
      </c>
      <c r="AJ200" s="74"/>
      <c r="AK200" s="74"/>
      <c r="AL200" s="74"/>
      <c r="AM200" s="74"/>
      <c r="AN200" s="74"/>
      <c r="AO200" s="74"/>
      <c r="AP200" s="74"/>
      <c r="AQ200" s="74"/>
      <c r="AR200" s="74"/>
      <c r="AS200" s="575"/>
      <c r="AT200" s="68">
        <f t="shared" si="13"/>
        <v>452</v>
      </c>
      <c r="AU200" s="68">
        <f t="shared" si="14"/>
        <v>571</v>
      </c>
      <c r="AV200" s="581">
        <f t="shared" si="15"/>
        <v>511.5</v>
      </c>
      <c r="AW200" s="582">
        <f t="shared" si="276"/>
        <v>752</v>
      </c>
      <c r="AX200" s="582">
        <f t="shared" si="389"/>
        <v>581</v>
      </c>
      <c r="AY200" s="582">
        <f t="shared" si="390"/>
        <v>710</v>
      </c>
      <c r="AZ200" s="582">
        <f t="shared" si="391"/>
        <v>673</v>
      </c>
      <c r="BA200" s="582">
        <f t="shared" si="392"/>
        <v>556</v>
      </c>
      <c r="BB200" s="582">
        <f t="shared" si="393"/>
        <v>581</v>
      </c>
      <c r="BC200" s="582">
        <f t="shared" si="394"/>
        <v>581</v>
      </c>
      <c r="BD200" s="582">
        <f t="shared" si="395"/>
        <v>388</v>
      </c>
      <c r="BE200" s="582">
        <f t="shared" si="396"/>
        <v>474</v>
      </c>
      <c r="BF200" s="582">
        <f t="shared" si="397"/>
        <v>474</v>
      </c>
      <c r="BG200" s="582">
        <f t="shared" si="398"/>
        <v>581</v>
      </c>
      <c r="BH200" s="582">
        <f t="shared" si="284"/>
        <v>609</v>
      </c>
      <c r="BI200" s="582">
        <f t="shared" si="399"/>
        <v>474</v>
      </c>
      <c r="BJ200" s="582">
        <f t="shared" si="400"/>
        <v>556</v>
      </c>
      <c r="BK200" s="582">
        <f t="shared" si="401"/>
        <v>457</v>
      </c>
      <c r="BL200" s="582">
        <f t="shared" si="402"/>
        <v>474</v>
      </c>
      <c r="BM200" s="74"/>
      <c r="BN200" s="582">
        <f t="shared" si="403"/>
        <v>853</v>
      </c>
      <c r="BO200" s="74"/>
      <c r="BP200" s="602">
        <f t="shared" si="33"/>
        <v>853</v>
      </c>
      <c r="BQ200" s="54">
        <v>9.0</v>
      </c>
      <c r="BR200" s="54">
        <v>15.0</v>
      </c>
      <c r="BS200" s="74"/>
      <c r="BT200" s="54">
        <v>100.0</v>
      </c>
      <c r="BU200" s="74"/>
      <c r="BV200" s="83">
        <f t="shared" si="34"/>
        <v>12</v>
      </c>
      <c r="BW200" s="608">
        <f t="shared" si="35"/>
        <v>522.7</v>
      </c>
      <c r="BX200" s="582">
        <f t="shared" si="289"/>
        <v>768.7</v>
      </c>
      <c r="BY200" s="582">
        <f t="shared" si="404"/>
        <v>594</v>
      </c>
      <c r="BZ200" s="582">
        <f t="shared" si="405"/>
        <v>726</v>
      </c>
      <c r="CA200" s="582">
        <f t="shared" si="406"/>
        <v>594</v>
      </c>
      <c r="CB200" s="582">
        <f t="shared" si="407"/>
        <v>568.2</v>
      </c>
      <c r="CC200" s="582">
        <f t="shared" si="408"/>
        <v>687.8</v>
      </c>
      <c r="CD200" s="582">
        <f t="shared" si="409"/>
        <v>594</v>
      </c>
      <c r="CE200" s="623" t="str">
        <f t="shared" si="43"/>
        <v/>
      </c>
      <c r="CF200" s="706">
        <f t="shared" si="248"/>
        <v>-2.1</v>
      </c>
      <c r="CG200" s="552">
        <f t="shared" si="295"/>
        <v>-2.2</v>
      </c>
      <c r="CH200" s="575" t="s">
        <v>1296</v>
      </c>
      <c r="CI200" s="582">
        <f t="shared" ref="CI200:DF200" si="410">FLOOR($AV200/(CI$3/25),1)</f>
        <v>511</v>
      </c>
      <c r="CJ200" s="582">
        <f t="shared" si="410"/>
        <v>532</v>
      </c>
      <c r="CK200" s="582">
        <f t="shared" si="410"/>
        <v>555</v>
      </c>
      <c r="CL200" s="582">
        <f t="shared" si="410"/>
        <v>581</v>
      </c>
      <c r="CM200" s="582">
        <f t="shared" si="410"/>
        <v>608</v>
      </c>
      <c r="CN200" s="582">
        <f t="shared" si="410"/>
        <v>639</v>
      </c>
      <c r="CO200" s="582">
        <f t="shared" si="410"/>
        <v>673</v>
      </c>
      <c r="CP200" s="582">
        <f t="shared" si="410"/>
        <v>710</v>
      </c>
      <c r="CQ200" s="582">
        <f t="shared" si="410"/>
        <v>752</v>
      </c>
      <c r="CR200" s="582">
        <f t="shared" si="410"/>
        <v>799</v>
      </c>
      <c r="CS200" s="582">
        <f t="shared" si="410"/>
        <v>852</v>
      </c>
      <c r="CT200" s="582">
        <f t="shared" si="410"/>
        <v>913</v>
      </c>
      <c r="CU200" s="582">
        <f t="shared" si="410"/>
        <v>983</v>
      </c>
      <c r="CV200" s="582">
        <f t="shared" si="410"/>
        <v>1065</v>
      </c>
      <c r="CW200" s="582">
        <f t="shared" si="410"/>
        <v>1162</v>
      </c>
      <c r="CX200" s="582">
        <f t="shared" si="410"/>
        <v>1278</v>
      </c>
      <c r="CY200" s="582">
        <f t="shared" si="410"/>
        <v>1420</v>
      </c>
      <c r="CZ200" s="582">
        <f t="shared" si="410"/>
        <v>1598</v>
      </c>
      <c r="DA200" s="582">
        <f t="shared" si="410"/>
        <v>1826</v>
      </c>
      <c r="DB200" s="582">
        <f t="shared" si="410"/>
        <v>2131</v>
      </c>
      <c r="DC200" s="582">
        <f t="shared" si="410"/>
        <v>2557</v>
      </c>
      <c r="DD200" s="582">
        <f t="shared" si="410"/>
        <v>3196</v>
      </c>
      <c r="DE200" s="582">
        <f t="shared" si="410"/>
        <v>4262</v>
      </c>
      <c r="DF200" s="602">
        <f t="shared" si="410"/>
        <v>6393</v>
      </c>
      <c r="DG200" s="575"/>
      <c r="DH200" s="575" t="str">
        <f t="shared" si="46"/>
        <v/>
      </c>
      <c r="DI200" s="74" t="str">
        <f t="shared" si="47"/>
        <v/>
      </c>
      <c r="DJ200" s="74" t="str">
        <f t="shared" si="48"/>
        <v/>
      </c>
      <c r="DK200" s="623" t="str">
        <f t="shared" si="49"/>
        <v/>
      </c>
      <c r="DL200" s="74"/>
      <c r="DM200" s="74"/>
      <c r="DN200" s="74"/>
      <c r="DO200" s="575"/>
      <c r="DP200" s="297"/>
    </row>
    <row r="201">
      <c r="A201" s="552">
        <v>195.0</v>
      </c>
      <c r="B201" s="86">
        <v>70.0</v>
      </c>
      <c r="C201" s="54">
        <v>7.0</v>
      </c>
      <c r="D201" s="54">
        <v>17.0</v>
      </c>
      <c r="E201" s="74"/>
      <c r="F201" s="68" t="s">
        <v>2356</v>
      </c>
      <c r="G201" s="68">
        <f t="shared" si="269"/>
        <v>18</v>
      </c>
      <c r="H201" s="68">
        <f t="shared" si="383"/>
        <v>23</v>
      </c>
      <c r="I201" s="68">
        <f t="shared" si="384"/>
        <v>19</v>
      </c>
      <c r="J201" s="68">
        <f t="shared" si="385"/>
        <v>23</v>
      </c>
      <c r="K201" s="68">
        <f t="shared" si="386"/>
        <v>24</v>
      </c>
      <c r="L201" s="68">
        <f t="shared" si="387"/>
        <v>20</v>
      </c>
      <c r="M201" s="569">
        <f t="shared" si="388"/>
        <v>23</v>
      </c>
      <c r="N201" s="74" t="s">
        <v>1302</v>
      </c>
      <c r="O201" s="570" t="s">
        <v>2014</v>
      </c>
      <c r="P201" s="571"/>
      <c r="Q201" s="571" t="s">
        <v>1313</v>
      </c>
      <c r="R201" s="571" t="s">
        <v>1685</v>
      </c>
      <c r="S201" s="791" t="s">
        <v>1295</v>
      </c>
      <c r="T201" s="572" t="s">
        <v>1303</v>
      </c>
      <c r="U201" s="54">
        <v>16.0</v>
      </c>
      <c r="V201" s="54">
        <v>0.0</v>
      </c>
      <c r="W201" s="54">
        <v>40.0</v>
      </c>
      <c r="X201" s="54">
        <v>50.0</v>
      </c>
      <c r="Y201" s="54">
        <v>5.0</v>
      </c>
      <c r="Z201" s="54">
        <v>-20.0</v>
      </c>
      <c r="AA201" s="54">
        <v>4.0</v>
      </c>
      <c r="AB201" s="54">
        <v>56.0</v>
      </c>
      <c r="AC201" s="54">
        <v>1162.0</v>
      </c>
      <c r="AD201" s="54">
        <v>4.0</v>
      </c>
      <c r="AE201" s="54">
        <v>75.0</v>
      </c>
      <c r="AF201" s="54">
        <v>75.0</v>
      </c>
      <c r="AG201" s="54">
        <v>7.0</v>
      </c>
      <c r="AH201" s="54">
        <v>17.0</v>
      </c>
      <c r="AI201" s="574">
        <f t="shared" si="12"/>
        <v>12</v>
      </c>
      <c r="AJ201" s="74"/>
      <c r="AK201" s="74"/>
      <c r="AL201" s="74"/>
      <c r="AM201" s="74"/>
      <c r="AN201" s="74"/>
      <c r="AO201" s="74"/>
      <c r="AP201" s="74"/>
      <c r="AQ201" s="74"/>
      <c r="AR201" s="74"/>
      <c r="AS201" s="575"/>
      <c r="AT201" s="68">
        <f t="shared" si="13"/>
        <v>410</v>
      </c>
      <c r="AU201" s="68">
        <f t="shared" si="14"/>
        <v>610</v>
      </c>
      <c r="AV201" s="581">
        <f t="shared" si="15"/>
        <v>510</v>
      </c>
      <c r="AW201" s="582">
        <f t="shared" si="276"/>
        <v>850</v>
      </c>
      <c r="AX201" s="582">
        <f t="shared" si="389"/>
        <v>671</v>
      </c>
      <c r="AY201" s="582">
        <f t="shared" si="390"/>
        <v>850</v>
      </c>
      <c r="AZ201" s="582">
        <f t="shared" si="391"/>
        <v>797</v>
      </c>
      <c r="BA201" s="582">
        <f t="shared" si="392"/>
        <v>638</v>
      </c>
      <c r="BB201" s="582">
        <f t="shared" si="393"/>
        <v>671</v>
      </c>
      <c r="BC201" s="582">
        <f t="shared" si="394"/>
        <v>671</v>
      </c>
      <c r="BD201" s="582">
        <f t="shared" si="395"/>
        <v>580</v>
      </c>
      <c r="BE201" s="582">
        <f t="shared" si="396"/>
        <v>671</v>
      </c>
      <c r="BF201" s="582">
        <f t="shared" si="397"/>
        <v>708</v>
      </c>
      <c r="BG201" s="582">
        <f t="shared" si="398"/>
        <v>850</v>
      </c>
      <c r="BH201" s="582">
        <f t="shared" si="284"/>
        <v>850</v>
      </c>
      <c r="BI201" s="582">
        <f t="shared" si="399"/>
        <v>671</v>
      </c>
      <c r="BJ201" s="582">
        <f t="shared" si="400"/>
        <v>850</v>
      </c>
      <c r="BK201" s="582">
        <f t="shared" si="401"/>
        <v>638</v>
      </c>
      <c r="BL201" s="582">
        <f t="shared" si="402"/>
        <v>671</v>
      </c>
      <c r="BM201" s="74"/>
      <c r="BN201" s="582">
        <f t="shared" si="403"/>
        <v>981</v>
      </c>
      <c r="BO201" s="74"/>
      <c r="BP201" s="602">
        <f t="shared" si="33"/>
        <v>981</v>
      </c>
      <c r="BQ201" s="54">
        <v>7.0</v>
      </c>
      <c r="BR201" s="54">
        <v>17.0</v>
      </c>
      <c r="BS201" s="54">
        <v>-20.0</v>
      </c>
      <c r="BT201" s="54">
        <v>100.0</v>
      </c>
      <c r="BU201" s="74"/>
      <c r="BV201" s="83">
        <f t="shared" si="34"/>
        <v>12</v>
      </c>
      <c r="BW201" s="608">
        <f t="shared" si="35"/>
        <v>522.7</v>
      </c>
      <c r="BX201" s="582">
        <f t="shared" si="289"/>
        <v>871.2</v>
      </c>
      <c r="BY201" s="582">
        <f t="shared" si="404"/>
        <v>687.8</v>
      </c>
      <c r="BZ201" s="582">
        <f t="shared" si="405"/>
        <v>871.2</v>
      </c>
      <c r="CA201" s="582">
        <f t="shared" si="406"/>
        <v>687.8</v>
      </c>
      <c r="CB201" s="582">
        <f t="shared" si="407"/>
        <v>653.4</v>
      </c>
      <c r="CC201" s="582">
        <f t="shared" si="408"/>
        <v>816.7</v>
      </c>
      <c r="CD201" s="582">
        <f t="shared" si="409"/>
        <v>687.8</v>
      </c>
      <c r="CE201" s="623" t="str">
        <f t="shared" si="43"/>
        <v/>
      </c>
      <c r="CF201" s="706">
        <f t="shared" si="248"/>
        <v>-2.4</v>
      </c>
      <c r="CG201" s="552">
        <f t="shared" si="295"/>
        <v>-2.4</v>
      </c>
      <c r="CH201" s="575" t="s">
        <v>1302</v>
      </c>
      <c r="CI201" s="582">
        <f t="shared" ref="CI201:DF201" si="411">FLOOR($AV201/(CI$3/25),1)</f>
        <v>510</v>
      </c>
      <c r="CJ201" s="582">
        <f t="shared" si="411"/>
        <v>531</v>
      </c>
      <c r="CK201" s="582">
        <f t="shared" si="411"/>
        <v>554</v>
      </c>
      <c r="CL201" s="582">
        <f t="shared" si="411"/>
        <v>579</v>
      </c>
      <c r="CM201" s="582">
        <f t="shared" si="411"/>
        <v>607</v>
      </c>
      <c r="CN201" s="582">
        <f t="shared" si="411"/>
        <v>637</v>
      </c>
      <c r="CO201" s="582">
        <f t="shared" si="411"/>
        <v>671</v>
      </c>
      <c r="CP201" s="582">
        <f t="shared" si="411"/>
        <v>708</v>
      </c>
      <c r="CQ201" s="582">
        <f t="shared" si="411"/>
        <v>750</v>
      </c>
      <c r="CR201" s="582">
        <f t="shared" si="411"/>
        <v>796</v>
      </c>
      <c r="CS201" s="582">
        <f t="shared" si="411"/>
        <v>850</v>
      </c>
      <c r="CT201" s="582">
        <f t="shared" si="411"/>
        <v>910</v>
      </c>
      <c r="CU201" s="582">
        <f t="shared" si="411"/>
        <v>980</v>
      </c>
      <c r="CV201" s="582">
        <f t="shared" si="411"/>
        <v>1062</v>
      </c>
      <c r="CW201" s="582">
        <f t="shared" si="411"/>
        <v>1159</v>
      </c>
      <c r="CX201" s="582">
        <f t="shared" si="411"/>
        <v>1275</v>
      </c>
      <c r="CY201" s="582">
        <f t="shared" si="411"/>
        <v>1416</v>
      </c>
      <c r="CZ201" s="582">
        <f t="shared" si="411"/>
        <v>1593</v>
      </c>
      <c r="DA201" s="582">
        <f t="shared" si="411"/>
        <v>1821</v>
      </c>
      <c r="DB201" s="582">
        <f t="shared" si="411"/>
        <v>2125</v>
      </c>
      <c r="DC201" s="582">
        <f t="shared" si="411"/>
        <v>2550</v>
      </c>
      <c r="DD201" s="582">
        <f t="shared" si="411"/>
        <v>3187</v>
      </c>
      <c r="DE201" s="582">
        <f t="shared" si="411"/>
        <v>4250</v>
      </c>
      <c r="DF201" s="602">
        <f t="shared" si="411"/>
        <v>6375</v>
      </c>
      <c r="DG201" s="575"/>
      <c r="DH201" s="575" t="str">
        <f t="shared" si="46"/>
        <v/>
      </c>
      <c r="DI201" s="74" t="str">
        <f t="shared" si="47"/>
        <v/>
      </c>
      <c r="DJ201" s="74" t="str">
        <f t="shared" si="48"/>
        <v/>
      </c>
      <c r="DK201" s="623" t="str">
        <f t="shared" si="49"/>
        <v/>
      </c>
      <c r="DL201" s="74"/>
      <c r="DM201" s="74"/>
      <c r="DN201" s="74"/>
      <c r="DO201" s="575"/>
      <c r="DP201" s="297"/>
    </row>
    <row r="202">
      <c r="A202" s="552">
        <v>196.0</v>
      </c>
      <c r="B202" s="86">
        <v>71.0</v>
      </c>
      <c r="C202" s="54">
        <v>15.0</v>
      </c>
      <c r="D202" s="54">
        <v>23.0</v>
      </c>
      <c r="E202" s="74"/>
      <c r="F202" s="68" t="s">
        <v>2356</v>
      </c>
      <c r="G202" s="68">
        <f t="shared" si="269"/>
        <v>18</v>
      </c>
      <c r="H202" s="68">
        <f t="shared" si="383"/>
        <v>23</v>
      </c>
      <c r="I202" s="68">
        <f t="shared" si="384"/>
        <v>19</v>
      </c>
      <c r="J202" s="68">
        <f t="shared" si="385"/>
        <v>23</v>
      </c>
      <c r="K202" s="68">
        <f t="shared" si="386"/>
        <v>24</v>
      </c>
      <c r="L202" s="68">
        <f t="shared" si="387"/>
        <v>20</v>
      </c>
      <c r="M202" s="569">
        <f t="shared" si="388"/>
        <v>23</v>
      </c>
      <c r="N202" s="74" t="s">
        <v>1311</v>
      </c>
      <c r="O202" s="570" t="s">
        <v>2015</v>
      </c>
      <c r="P202" s="571"/>
      <c r="Q202" s="571" t="s">
        <v>1313</v>
      </c>
      <c r="R202" s="571" t="s">
        <v>1685</v>
      </c>
      <c r="S202" s="791" t="s">
        <v>1295</v>
      </c>
      <c r="T202" s="572" t="s">
        <v>1312</v>
      </c>
      <c r="U202" s="54">
        <v>20.0</v>
      </c>
      <c r="V202" s="54">
        <v>0.0</v>
      </c>
      <c r="W202" s="54">
        <v>54.0</v>
      </c>
      <c r="X202" s="54">
        <v>35.0</v>
      </c>
      <c r="Y202" s="54">
        <v>6.0</v>
      </c>
      <c r="Z202" s="54">
        <v>0.0</v>
      </c>
      <c r="AA202" s="54">
        <v>4.0</v>
      </c>
      <c r="AB202" s="54">
        <v>56.0</v>
      </c>
      <c r="AC202" s="54">
        <v>1672.0</v>
      </c>
      <c r="AD202" s="54">
        <v>4.0</v>
      </c>
      <c r="AE202" s="54">
        <v>75.0</v>
      </c>
      <c r="AF202" s="54">
        <v>75.0</v>
      </c>
      <c r="AG202" s="54">
        <v>15.0</v>
      </c>
      <c r="AH202" s="54">
        <v>23.0</v>
      </c>
      <c r="AI202" s="574">
        <f t="shared" si="12"/>
        <v>19</v>
      </c>
      <c r="AJ202" s="74"/>
      <c r="AK202" s="74"/>
      <c r="AL202" s="74"/>
      <c r="AM202" s="74"/>
      <c r="AN202" s="74"/>
      <c r="AO202" s="74"/>
      <c r="AP202" s="74"/>
      <c r="AQ202" s="74"/>
      <c r="AR202" s="74"/>
      <c r="AS202" s="575"/>
      <c r="AT202" s="68">
        <f t="shared" si="13"/>
        <v>571</v>
      </c>
      <c r="AU202" s="68">
        <f t="shared" si="14"/>
        <v>727</v>
      </c>
      <c r="AV202" s="581">
        <f t="shared" si="15"/>
        <v>649</v>
      </c>
      <c r="AW202" s="582">
        <f t="shared" si="276"/>
        <v>954</v>
      </c>
      <c r="AX202" s="582">
        <f t="shared" si="389"/>
        <v>738</v>
      </c>
      <c r="AY202" s="582">
        <f t="shared" si="390"/>
        <v>901</v>
      </c>
      <c r="AZ202" s="582">
        <f t="shared" si="391"/>
        <v>854</v>
      </c>
      <c r="BA202" s="582">
        <f t="shared" si="392"/>
        <v>705</v>
      </c>
      <c r="BB202" s="582">
        <f t="shared" si="393"/>
        <v>738</v>
      </c>
      <c r="BC202" s="582">
        <f t="shared" si="394"/>
        <v>738</v>
      </c>
      <c r="BD202" s="582">
        <f t="shared" si="395"/>
        <v>492</v>
      </c>
      <c r="BE202" s="582">
        <f t="shared" si="396"/>
        <v>601</v>
      </c>
      <c r="BF202" s="582">
        <f t="shared" si="397"/>
        <v>601</v>
      </c>
      <c r="BG202" s="582">
        <f t="shared" si="398"/>
        <v>738</v>
      </c>
      <c r="BH202" s="582">
        <f t="shared" si="284"/>
        <v>773</v>
      </c>
      <c r="BI202" s="582">
        <f t="shared" si="399"/>
        <v>601</v>
      </c>
      <c r="BJ202" s="582">
        <f t="shared" si="400"/>
        <v>705</v>
      </c>
      <c r="BK202" s="582">
        <f t="shared" si="401"/>
        <v>579</v>
      </c>
      <c r="BL202" s="582">
        <f t="shared" si="402"/>
        <v>601</v>
      </c>
      <c r="BM202" s="74"/>
      <c r="BN202" s="582">
        <f t="shared" si="403"/>
        <v>1082</v>
      </c>
      <c r="BO202" s="74"/>
      <c r="BP202" s="602">
        <f t="shared" si="33"/>
        <v>1082</v>
      </c>
      <c r="BQ202" s="54">
        <v>15.0</v>
      </c>
      <c r="BR202" s="54">
        <v>23.0</v>
      </c>
      <c r="BS202" s="74"/>
      <c r="BT202" s="54">
        <v>100.0</v>
      </c>
      <c r="BU202" s="74"/>
      <c r="BV202" s="83">
        <f t="shared" si="34"/>
        <v>19</v>
      </c>
      <c r="BW202" s="608">
        <f t="shared" si="35"/>
        <v>664.4</v>
      </c>
      <c r="BX202" s="582">
        <f t="shared" si="289"/>
        <v>977.1</v>
      </c>
      <c r="BY202" s="582">
        <f t="shared" si="404"/>
        <v>755</v>
      </c>
      <c r="BZ202" s="582">
        <f t="shared" si="405"/>
        <v>922.8</v>
      </c>
      <c r="CA202" s="582">
        <f t="shared" si="406"/>
        <v>755</v>
      </c>
      <c r="CB202" s="582">
        <f t="shared" si="407"/>
        <v>722.2</v>
      </c>
      <c r="CC202" s="582">
        <f t="shared" si="408"/>
        <v>874.2</v>
      </c>
      <c r="CD202" s="582">
        <f t="shared" si="409"/>
        <v>755</v>
      </c>
      <c r="CE202" s="623" t="str">
        <f t="shared" si="43"/>
        <v/>
      </c>
      <c r="CF202" s="706">
        <f t="shared" si="248"/>
        <v>-2.3</v>
      </c>
      <c r="CG202" s="552">
        <f t="shared" si="295"/>
        <v>-2.4</v>
      </c>
      <c r="CH202" s="575" t="s">
        <v>1311</v>
      </c>
      <c r="CI202" s="582">
        <f t="shared" ref="CI202:DF202" si="412">FLOOR($AV202/(CI$3/25),1)</f>
        <v>649</v>
      </c>
      <c r="CJ202" s="582">
        <f t="shared" si="412"/>
        <v>676</v>
      </c>
      <c r="CK202" s="582">
        <f t="shared" si="412"/>
        <v>705</v>
      </c>
      <c r="CL202" s="582">
        <f t="shared" si="412"/>
        <v>737</v>
      </c>
      <c r="CM202" s="582">
        <f t="shared" si="412"/>
        <v>772</v>
      </c>
      <c r="CN202" s="582">
        <f t="shared" si="412"/>
        <v>811</v>
      </c>
      <c r="CO202" s="582">
        <f t="shared" si="412"/>
        <v>853</v>
      </c>
      <c r="CP202" s="582">
        <f t="shared" si="412"/>
        <v>901</v>
      </c>
      <c r="CQ202" s="582">
        <f t="shared" si="412"/>
        <v>954</v>
      </c>
      <c r="CR202" s="582">
        <f t="shared" si="412"/>
        <v>1014</v>
      </c>
      <c r="CS202" s="582">
        <f t="shared" si="412"/>
        <v>1081</v>
      </c>
      <c r="CT202" s="582">
        <f t="shared" si="412"/>
        <v>1158</v>
      </c>
      <c r="CU202" s="582">
        <f t="shared" si="412"/>
        <v>1248</v>
      </c>
      <c r="CV202" s="582">
        <f t="shared" si="412"/>
        <v>1352</v>
      </c>
      <c r="CW202" s="582">
        <f t="shared" si="412"/>
        <v>1475</v>
      </c>
      <c r="CX202" s="582">
        <f t="shared" si="412"/>
        <v>1622</v>
      </c>
      <c r="CY202" s="582">
        <f t="shared" si="412"/>
        <v>1802</v>
      </c>
      <c r="CZ202" s="582">
        <f t="shared" si="412"/>
        <v>2028</v>
      </c>
      <c r="DA202" s="582">
        <f t="shared" si="412"/>
        <v>2317</v>
      </c>
      <c r="DB202" s="582">
        <f t="shared" si="412"/>
        <v>2704</v>
      </c>
      <c r="DC202" s="582">
        <f t="shared" si="412"/>
        <v>3245</v>
      </c>
      <c r="DD202" s="582">
        <f t="shared" si="412"/>
        <v>4056</v>
      </c>
      <c r="DE202" s="582">
        <f t="shared" si="412"/>
        <v>5408</v>
      </c>
      <c r="DF202" s="602">
        <f t="shared" si="412"/>
        <v>8112</v>
      </c>
      <c r="DG202" s="575"/>
      <c r="DH202" s="575" t="str">
        <f t="shared" si="46"/>
        <v/>
      </c>
      <c r="DI202" s="74" t="str">
        <f t="shared" si="47"/>
        <v/>
      </c>
      <c r="DJ202" s="74" t="str">
        <f t="shared" si="48"/>
        <v/>
      </c>
      <c r="DK202" s="623" t="str">
        <f t="shared" si="49"/>
        <v/>
      </c>
      <c r="DL202" s="74"/>
      <c r="DM202" s="74"/>
      <c r="DN202" s="74"/>
      <c r="DO202" s="575"/>
      <c r="DP202" s="297"/>
    </row>
    <row r="203">
      <c r="A203" s="647">
        <v>197.0</v>
      </c>
      <c r="B203" s="141">
        <v>72.0</v>
      </c>
      <c r="C203" s="129">
        <v>14.0</v>
      </c>
      <c r="D203" s="129">
        <v>63.0</v>
      </c>
      <c r="E203" s="134"/>
      <c r="F203" s="154" t="s">
        <v>2356</v>
      </c>
      <c r="G203" s="154">
        <f t="shared" si="269"/>
        <v>18</v>
      </c>
      <c r="H203" s="154">
        <f t="shared" si="383"/>
        <v>23</v>
      </c>
      <c r="I203" s="154">
        <f t="shared" si="384"/>
        <v>19</v>
      </c>
      <c r="J203" s="154">
        <f t="shared" si="385"/>
        <v>23</v>
      </c>
      <c r="K203" s="154">
        <f t="shared" si="386"/>
        <v>24</v>
      </c>
      <c r="L203" s="154">
        <f t="shared" si="387"/>
        <v>20</v>
      </c>
      <c r="M203" s="648">
        <f t="shared" si="388"/>
        <v>23</v>
      </c>
      <c r="N203" s="134" t="s">
        <v>1320</v>
      </c>
      <c r="O203" s="649" t="s">
        <v>2016</v>
      </c>
      <c r="P203" s="650"/>
      <c r="Q203" s="650" t="s">
        <v>1313</v>
      </c>
      <c r="R203" s="650" t="s">
        <v>1685</v>
      </c>
      <c r="S203" s="796" t="s">
        <v>1295</v>
      </c>
      <c r="T203" s="651" t="s">
        <v>1321</v>
      </c>
      <c r="U203" s="129">
        <v>24.0</v>
      </c>
      <c r="V203" s="129">
        <v>0.0</v>
      </c>
      <c r="W203" s="129">
        <v>60.0</v>
      </c>
      <c r="X203" s="129">
        <v>45.0</v>
      </c>
      <c r="Y203" s="129">
        <v>6.0</v>
      </c>
      <c r="Z203" s="129">
        <v>20.0</v>
      </c>
      <c r="AA203" s="129">
        <v>4.0</v>
      </c>
      <c r="AB203" s="129">
        <v>50.0</v>
      </c>
      <c r="AC203" s="129">
        <v>2023.0</v>
      </c>
      <c r="AD203" s="129">
        <v>4.0</v>
      </c>
      <c r="AE203" s="129">
        <v>75.0</v>
      </c>
      <c r="AF203" s="129">
        <v>75.0</v>
      </c>
      <c r="AG203" s="129">
        <v>14.0</v>
      </c>
      <c r="AH203" s="129">
        <v>63.0</v>
      </c>
      <c r="AI203" s="652">
        <f t="shared" si="12"/>
        <v>38.5</v>
      </c>
      <c r="AJ203" s="134"/>
      <c r="AK203" s="134"/>
      <c r="AL203" s="134"/>
      <c r="AM203" s="134"/>
      <c r="AN203" s="134"/>
      <c r="AO203" s="134"/>
      <c r="AP203" s="134"/>
      <c r="AQ203" s="134"/>
      <c r="AR203" s="134"/>
      <c r="AS203" s="653"/>
      <c r="AT203" s="154">
        <f t="shared" si="13"/>
        <v>548</v>
      </c>
      <c r="AU203" s="154">
        <f t="shared" si="14"/>
        <v>1526</v>
      </c>
      <c r="AV203" s="654">
        <f t="shared" si="15"/>
        <v>1037</v>
      </c>
      <c r="AW203" s="655">
        <f t="shared" si="276"/>
        <v>1178</v>
      </c>
      <c r="AX203" s="655">
        <f t="shared" si="389"/>
        <v>926</v>
      </c>
      <c r="AY203" s="655">
        <f t="shared" si="390"/>
        <v>1127</v>
      </c>
      <c r="AZ203" s="655">
        <f t="shared" si="391"/>
        <v>1037</v>
      </c>
      <c r="BA203" s="655">
        <f t="shared" si="392"/>
        <v>864</v>
      </c>
      <c r="BB203" s="655">
        <f t="shared" si="393"/>
        <v>926</v>
      </c>
      <c r="BC203" s="655">
        <f t="shared" si="394"/>
        <v>926</v>
      </c>
      <c r="BD203" s="655">
        <f t="shared" si="395"/>
        <v>508</v>
      </c>
      <c r="BE203" s="655">
        <f t="shared" si="396"/>
        <v>617</v>
      </c>
      <c r="BF203" s="655">
        <f t="shared" si="397"/>
        <v>632</v>
      </c>
      <c r="BG203" s="655">
        <f t="shared" si="398"/>
        <v>763</v>
      </c>
      <c r="BH203" s="655">
        <f t="shared" si="284"/>
        <v>786</v>
      </c>
      <c r="BI203" s="655">
        <f t="shared" si="399"/>
        <v>617</v>
      </c>
      <c r="BJ203" s="655">
        <f t="shared" si="400"/>
        <v>701</v>
      </c>
      <c r="BK203" s="655">
        <f t="shared" si="401"/>
        <v>576</v>
      </c>
      <c r="BL203" s="655">
        <f t="shared" si="402"/>
        <v>617</v>
      </c>
      <c r="BM203" s="134"/>
      <c r="BN203" s="655">
        <f t="shared" si="403"/>
        <v>1296</v>
      </c>
      <c r="BO203" s="134"/>
      <c r="BP203" s="656">
        <f t="shared" si="33"/>
        <v>1296</v>
      </c>
      <c r="BQ203" s="129">
        <v>14.0</v>
      </c>
      <c r="BR203" s="129">
        <v>63.0</v>
      </c>
      <c r="BS203" s="129">
        <v>20.0</v>
      </c>
      <c r="BT203" s="129">
        <v>100.0</v>
      </c>
      <c r="BU203" s="134"/>
      <c r="BV203" s="135">
        <f t="shared" si="34"/>
        <v>38.5</v>
      </c>
      <c r="BW203" s="657">
        <f t="shared" si="35"/>
        <v>1059.2</v>
      </c>
      <c r="BX203" s="655">
        <f t="shared" si="289"/>
        <v>1203.6</v>
      </c>
      <c r="BY203" s="655">
        <f t="shared" si="404"/>
        <v>945.7</v>
      </c>
      <c r="BZ203" s="655">
        <f t="shared" si="405"/>
        <v>1151.3</v>
      </c>
      <c r="CA203" s="655">
        <f t="shared" si="406"/>
        <v>945.7</v>
      </c>
      <c r="CB203" s="655">
        <f t="shared" si="407"/>
        <v>882.7</v>
      </c>
      <c r="CC203" s="655">
        <f t="shared" si="408"/>
        <v>1059.2</v>
      </c>
      <c r="CD203" s="655">
        <f t="shared" si="409"/>
        <v>945.7</v>
      </c>
      <c r="CE203" s="662" t="str">
        <f t="shared" si="43"/>
        <v/>
      </c>
      <c r="CF203" s="712">
        <f t="shared" si="248"/>
        <v>-2.1</v>
      </c>
      <c r="CG203" s="647">
        <f t="shared" si="295"/>
        <v>-2.1</v>
      </c>
      <c r="CH203" s="653" t="s">
        <v>1320</v>
      </c>
      <c r="CI203" s="655">
        <f t="shared" ref="CI203:DF203" si="413">FLOOR($AV203/(CI$3/25),1)</f>
        <v>1037</v>
      </c>
      <c r="CJ203" s="655">
        <f t="shared" si="413"/>
        <v>1080</v>
      </c>
      <c r="CK203" s="655">
        <f t="shared" si="413"/>
        <v>1127</v>
      </c>
      <c r="CL203" s="655">
        <f t="shared" si="413"/>
        <v>1178</v>
      </c>
      <c r="CM203" s="655">
        <f t="shared" si="413"/>
        <v>1234</v>
      </c>
      <c r="CN203" s="655">
        <f t="shared" si="413"/>
        <v>1296</v>
      </c>
      <c r="CO203" s="655">
        <f t="shared" si="413"/>
        <v>1364</v>
      </c>
      <c r="CP203" s="655">
        <f t="shared" si="413"/>
        <v>1440</v>
      </c>
      <c r="CQ203" s="655">
        <f t="shared" si="413"/>
        <v>1525</v>
      </c>
      <c r="CR203" s="655">
        <f t="shared" si="413"/>
        <v>1620</v>
      </c>
      <c r="CS203" s="655">
        <f t="shared" si="413"/>
        <v>1728</v>
      </c>
      <c r="CT203" s="655">
        <f t="shared" si="413"/>
        <v>1851</v>
      </c>
      <c r="CU203" s="655">
        <f t="shared" si="413"/>
        <v>1994</v>
      </c>
      <c r="CV203" s="655">
        <f t="shared" si="413"/>
        <v>2160</v>
      </c>
      <c r="CW203" s="655">
        <f t="shared" si="413"/>
        <v>2356</v>
      </c>
      <c r="CX203" s="655">
        <f t="shared" si="413"/>
        <v>2592</v>
      </c>
      <c r="CY203" s="655">
        <f t="shared" si="413"/>
        <v>2880</v>
      </c>
      <c r="CZ203" s="655">
        <f t="shared" si="413"/>
        <v>3240</v>
      </c>
      <c r="DA203" s="655">
        <f t="shared" si="413"/>
        <v>3703</v>
      </c>
      <c r="DB203" s="655">
        <f t="shared" si="413"/>
        <v>4320</v>
      </c>
      <c r="DC203" s="655">
        <f t="shared" si="413"/>
        <v>5185</v>
      </c>
      <c r="DD203" s="655">
        <f t="shared" si="413"/>
        <v>6481</v>
      </c>
      <c r="DE203" s="655">
        <f t="shared" si="413"/>
        <v>8641</v>
      </c>
      <c r="DF203" s="656">
        <f t="shared" si="413"/>
        <v>12962</v>
      </c>
      <c r="DG203" s="653"/>
      <c r="DH203" s="653" t="str">
        <f t="shared" si="46"/>
        <v/>
      </c>
      <c r="DI203" s="134" t="str">
        <f t="shared" si="47"/>
        <v/>
      </c>
      <c r="DJ203" s="134" t="str">
        <f t="shared" si="48"/>
        <v/>
      </c>
      <c r="DK203" s="662" t="str">
        <f t="shared" si="49"/>
        <v/>
      </c>
      <c r="DL203" s="134"/>
      <c r="DM203" s="134"/>
      <c r="DN203" s="134"/>
      <c r="DO203" s="653"/>
      <c r="DP203" s="663"/>
    </row>
    <row r="204">
      <c r="A204" s="552">
        <v>198.0</v>
      </c>
      <c r="B204" s="86">
        <v>176.0</v>
      </c>
      <c r="C204" s="54">
        <v>13.0</v>
      </c>
      <c r="D204" s="54">
        <v>47.0</v>
      </c>
      <c r="E204" s="74"/>
      <c r="F204" s="68" t="s">
        <v>2356</v>
      </c>
      <c r="G204" s="68">
        <f t="shared" si="269"/>
        <v>18</v>
      </c>
      <c r="H204" s="68">
        <f t="shared" si="383"/>
        <v>23</v>
      </c>
      <c r="I204" s="68">
        <f t="shared" si="384"/>
        <v>19</v>
      </c>
      <c r="J204" s="68">
        <f t="shared" si="385"/>
        <v>23</v>
      </c>
      <c r="K204" s="68">
        <f t="shared" si="386"/>
        <v>24</v>
      </c>
      <c r="L204" s="68">
        <f t="shared" si="387"/>
        <v>20</v>
      </c>
      <c r="M204" s="569">
        <f t="shared" si="388"/>
        <v>23</v>
      </c>
      <c r="N204" s="74" t="s">
        <v>1291</v>
      </c>
      <c r="O204" s="570" t="s">
        <v>2017</v>
      </c>
      <c r="P204" s="571"/>
      <c r="Q204" s="571" t="s">
        <v>1670</v>
      </c>
      <c r="R204" s="571" t="s">
        <v>1685</v>
      </c>
      <c r="S204" s="791" t="s">
        <v>1295</v>
      </c>
      <c r="T204" s="572" t="s">
        <v>1292</v>
      </c>
      <c r="U204" s="54">
        <v>33.0</v>
      </c>
      <c r="V204" s="54">
        <v>21.0</v>
      </c>
      <c r="W204" s="54">
        <v>25.0</v>
      </c>
      <c r="X204" s="54">
        <v>25.0</v>
      </c>
      <c r="Y204" s="54">
        <v>3.0</v>
      </c>
      <c r="Z204" s="54">
        <v>-10.0</v>
      </c>
      <c r="AA204" s="54">
        <v>4.0</v>
      </c>
      <c r="AB204" s="54">
        <v>60.0</v>
      </c>
      <c r="AC204" s="54">
        <v>1200.0</v>
      </c>
      <c r="AD204" s="54">
        <v>4.0</v>
      </c>
      <c r="AE204" s="54">
        <v>75.0</v>
      </c>
      <c r="AF204" s="54">
        <v>75.0</v>
      </c>
      <c r="AG204" s="54">
        <v>15.0</v>
      </c>
      <c r="AH204" s="54">
        <v>54.0</v>
      </c>
      <c r="AI204" s="574">
        <f t="shared" si="12"/>
        <v>34.5</v>
      </c>
      <c r="AJ204" s="74"/>
      <c r="AK204" s="74"/>
      <c r="AL204" s="74"/>
      <c r="AM204" s="74"/>
      <c r="AN204" s="74"/>
      <c r="AO204" s="74"/>
      <c r="AP204" s="74"/>
      <c r="AQ204" s="74"/>
      <c r="AR204" s="74"/>
      <c r="AS204" s="575"/>
      <c r="AT204" s="68">
        <f t="shared" si="13"/>
        <v>571</v>
      </c>
      <c r="AU204" s="68">
        <f t="shared" si="14"/>
        <v>1347</v>
      </c>
      <c r="AV204" s="581">
        <f t="shared" si="15"/>
        <v>959</v>
      </c>
      <c r="AW204" s="582">
        <f t="shared" si="276"/>
        <v>1498</v>
      </c>
      <c r="AX204" s="582">
        <f t="shared" si="389"/>
        <v>1199</v>
      </c>
      <c r="AY204" s="582">
        <f t="shared" si="390"/>
        <v>1410</v>
      </c>
      <c r="AZ204" s="582">
        <f t="shared" si="391"/>
        <v>1332</v>
      </c>
      <c r="BA204" s="582">
        <f t="shared" si="392"/>
        <v>1142</v>
      </c>
      <c r="BB204" s="582">
        <f t="shared" si="393"/>
        <v>1199</v>
      </c>
      <c r="BC204" s="582">
        <f t="shared" si="394"/>
        <v>1199</v>
      </c>
      <c r="BD204" s="582">
        <f t="shared" si="395"/>
        <v>922</v>
      </c>
      <c r="BE204" s="582">
        <f t="shared" si="396"/>
        <v>1142</v>
      </c>
      <c r="BF204" s="582">
        <f t="shared" si="397"/>
        <v>1090</v>
      </c>
      <c r="BG204" s="582">
        <f t="shared" si="398"/>
        <v>1332</v>
      </c>
      <c r="BH204" s="582">
        <f t="shared" si="284"/>
        <v>1410</v>
      </c>
      <c r="BI204" s="582">
        <f t="shared" si="399"/>
        <v>1142</v>
      </c>
      <c r="BJ204" s="582">
        <f t="shared" si="400"/>
        <v>1262</v>
      </c>
      <c r="BK204" s="582">
        <f t="shared" si="401"/>
        <v>1042</v>
      </c>
      <c r="BL204" s="582">
        <f t="shared" si="402"/>
        <v>1142</v>
      </c>
      <c r="BM204" s="74"/>
      <c r="BN204" s="582">
        <f t="shared" si="403"/>
        <v>1713</v>
      </c>
      <c r="BO204" s="74"/>
      <c r="BP204" s="602">
        <f t="shared" si="33"/>
        <v>1713</v>
      </c>
      <c r="BQ204" s="54">
        <v>10.0</v>
      </c>
      <c r="BR204" s="54">
        <v>37.0</v>
      </c>
      <c r="BS204" s="54">
        <v>-10.0</v>
      </c>
      <c r="BT204" s="54">
        <v>100.0</v>
      </c>
      <c r="BU204" s="74"/>
      <c r="BV204" s="83">
        <f t="shared" si="34"/>
        <v>23.5</v>
      </c>
      <c r="BW204" s="608">
        <f t="shared" si="35"/>
        <v>755.5</v>
      </c>
      <c r="BX204" s="582">
        <f t="shared" si="289"/>
        <v>1180.5</v>
      </c>
      <c r="BY204" s="582">
        <f t="shared" si="404"/>
        <v>944.4</v>
      </c>
      <c r="BZ204" s="582">
        <f t="shared" si="405"/>
        <v>1111</v>
      </c>
      <c r="CA204" s="582">
        <f t="shared" si="406"/>
        <v>944.4</v>
      </c>
      <c r="CB204" s="582">
        <f t="shared" si="407"/>
        <v>899.4</v>
      </c>
      <c r="CC204" s="582">
        <f t="shared" si="408"/>
        <v>1049.3</v>
      </c>
      <c r="CD204" s="582">
        <f t="shared" si="409"/>
        <v>944.4</v>
      </c>
      <c r="CE204" s="664">
        <f t="shared" si="43"/>
        <v>46.8</v>
      </c>
      <c r="CF204" s="706">
        <f t="shared" si="248"/>
        <v>26.9</v>
      </c>
      <c r="CG204" s="552">
        <f t="shared" si="295"/>
        <v>26.9</v>
      </c>
      <c r="CH204" s="575" t="s">
        <v>1291</v>
      </c>
      <c r="CI204" s="582">
        <f t="shared" ref="CI204:DF204" si="414">FLOOR($AV204/(CI$3/25),1)</f>
        <v>959</v>
      </c>
      <c r="CJ204" s="582">
        <f t="shared" si="414"/>
        <v>998</v>
      </c>
      <c r="CK204" s="582">
        <f t="shared" si="414"/>
        <v>1042</v>
      </c>
      <c r="CL204" s="582">
        <f t="shared" si="414"/>
        <v>1089</v>
      </c>
      <c r="CM204" s="582">
        <f t="shared" si="414"/>
        <v>1141</v>
      </c>
      <c r="CN204" s="582">
        <f t="shared" si="414"/>
        <v>1198</v>
      </c>
      <c r="CO204" s="582">
        <f t="shared" si="414"/>
        <v>1261</v>
      </c>
      <c r="CP204" s="582">
        <f t="shared" si="414"/>
        <v>1331</v>
      </c>
      <c r="CQ204" s="582">
        <f t="shared" si="414"/>
        <v>1410</v>
      </c>
      <c r="CR204" s="582">
        <f t="shared" si="414"/>
        <v>1498</v>
      </c>
      <c r="CS204" s="582">
        <f t="shared" si="414"/>
        <v>1598</v>
      </c>
      <c r="CT204" s="582">
        <f t="shared" si="414"/>
        <v>1712</v>
      </c>
      <c r="CU204" s="582">
        <f t="shared" si="414"/>
        <v>1844</v>
      </c>
      <c r="CV204" s="582">
        <f t="shared" si="414"/>
        <v>1997</v>
      </c>
      <c r="CW204" s="582">
        <f t="shared" si="414"/>
        <v>2179</v>
      </c>
      <c r="CX204" s="582">
        <f t="shared" si="414"/>
        <v>2397</v>
      </c>
      <c r="CY204" s="582">
        <f t="shared" si="414"/>
        <v>2663</v>
      </c>
      <c r="CZ204" s="582">
        <f t="shared" si="414"/>
        <v>2996</v>
      </c>
      <c r="DA204" s="582">
        <f t="shared" si="414"/>
        <v>3425</v>
      </c>
      <c r="DB204" s="582">
        <f t="shared" si="414"/>
        <v>3995</v>
      </c>
      <c r="DC204" s="582">
        <f t="shared" si="414"/>
        <v>4795</v>
      </c>
      <c r="DD204" s="582">
        <f t="shared" si="414"/>
        <v>5993</v>
      </c>
      <c r="DE204" s="582">
        <f t="shared" si="414"/>
        <v>7991</v>
      </c>
      <c r="DF204" s="602">
        <f t="shared" si="414"/>
        <v>11987</v>
      </c>
      <c r="DG204" s="575"/>
      <c r="DH204" s="575" t="str">
        <f t="shared" si="46"/>
        <v/>
      </c>
      <c r="DI204" s="74" t="str">
        <f t="shared" si="47"/>
        <v/>
      </c>
      <c r="DJ204" s="74" t="str">
        <f t="shared" si="48"/>
        <v/>
      </c>
      <c r="DK204" s="623" t="str">
        <f t="shared" si="49"/>
        <v/>
      </c>
      <c r="DL204" s="74"/>
      <c r="DM204" s="74"/>
      <c r="DN204" s="582">
        <f t="shared" ref="DN204:DN213" si="416">IF(ISBLANK(DL204),ROUND(AI204/IF(ISBLANK(DL199),AI199,DL199),1),ROUND(DL204/IF(ISBLANK(DL199),AI199,DL199),1))</f>
        <v>3.8</v>
      </c>
      <c r="DO204" s="575"/>
      <c r="DP204" s="297"/>
    </row>
    <row r="205">
      <c r="A205" s="552">
        <v>199.0</v>
      </c>
      <c r="B205" s="86">
        <v>177.0</v>
      </c>
      <c r="C205" s="54">
        <v>21.0</v>
      </c>
      <c r="D205" s="54">
        <v>46.0</v>
      </c>
      <c r="E205" s="74"/>
      <c r="F205" s="68" t="s">
        <v>2356</v>
      </c>
      <c r="G205" s="68">
        <f t="shared" si="269"/>
        <v>18</v>
      </c>
      <c r="H205" s="68">
        <f t="shared" si="383"/>
        <v>23</v>
      </c>
      <c r="I205" s="68">
        <f t="shared" si="384"/>
        <v>19</v>
      </c>
      <c r="J205" s="68">
        <f t="shared" si="385"/>
        <v>23</v>
      </c>
      <c r="K205" s="68">
        <f t="shared" si="386"/>
        <v>24</v>
      </c>
      <c r="L205" s="68">
        <f t="shared" si="387"/>
        <v>20</v>
      </c>
      <c r="M205" s="569">
        <f t="shared" si="388"/>
        <v>23</v>
      </c>
      <c r="N205" s="74" t="s">
        <v>1298</v>
      </c>
      <c r="O205" s="570" t="s">
        <v>2018</v>
      </c>
      <c r="P205" s="571"/>
      <c r="Q205" s="571" t="s">
        <v>1670</v>
      </c>
      <c r="R205" s="571" t="s">
        <v>1685</v>
      </c>
      <c r="S205" s="791" t="s">
        <v>1295</v>
      </c>
      <c r="T205" s="572" t="s">
        <v>1299</v>
      </c>
      <c r="U205" s="54">
        <v>36.0</v>
      </c>
      <c r="V205" s="54">
        <v>24.0</v>
      </c>
      <c r="W205" s="54">
        <v>77.0</v>
      </c>
      <c r="X205" s="54">
        <v>25.0</v>
      </c>
      <c r="Y205" s="54">
        <v>4.0</v>
      </c>
      <c r="Z205" s="54">
        <v>0.0</v>
      </c>
      <c r="AA205" s="54">
        <v>4.0</v>
      </c>
      <c r="AB205" s="54">
        <v>70.0</v>
      </c>
      <c r="AC205" s="54">
        <v>2349.0</v>
      </c>
      <c r="AD205" s="54">
        <v>4.0</v>
      </c>
      <c r="AE205" s="54">
        <v>75.0</v>
      </c>
      <c r="AF205" s="54">
        <v>75.0</v>
      </c>
      <c r="AG205" s="54">
        <v>24.0</v>
      </c>
      <c r="AH205" s="54">
        <v>53.0</v>
      </c>
      <c r="AI205" s="574">
        <f t="shared" si="12"/>
        <v>38.5</v>
      </c>
      <c r="AJ205" s="74"/>
      <c r="AK205" s="74"/>
      <c r="AL205" s="74"/>
      <c r="AM205" s="74"/>
      <c r="AN205" s="74"/>
      <c r="AO205" s="74"/>
      <c r="AP205" s="74"/>
      <c r="AQ205" s="74"/>
      <c r="AR205" s="74"/>
      <c r="AS205" s="575"/>
      <c r="AT205" s="68">
        <f t="shared" si="13"/>
        <v>750</v>
      </c>
      <c r="AU205" s="68">
        <f t="shared" si="14"/>
        <v>1325</v>
      </c>
      <c r="AV205" s="581">
        <f t="shared" si="15"/>
        <v>1037.5</v>
      </c>
      <c r="AW205" s="582">
        <f t="shared" si="276"/>
        <v>1526</v>
      </c>
      <c r="AX205" s="582">
        <f t="shared" si="389"/>
        <v>1179</v>
      </c>
      <c r="AY205" s="582">
        <f t="shared" si="390"/>
        <v>1441</v>
      </c>
      <c r="AZ205" s="582">
        <f t="shared" si="391"/>
        <v>1365</v>
      </c>
      <c r="BA205" s="582">
        <f t="shared" si="392"/>
        <v>1128</v>
      </c>
      <c r="BB205" s="582">
        <f t="shared" si="393"/>
        <v>1179</v>
      </c>
      <c r="BC205" s="582">
        <f t="shared" si="394"/>
        <v>1179</v>
      </c>
      <c r="BD205" s="582">
        <f t="shared" si="395"/>
        <v>786</v>
      </c>
      <c r="BE205" s="582">
        <f t="shared" si="396"/>
        <v>961</v>
      </c>
      <c r="BF205" s="582">
        <f t="shared" si="397"/>
        <v>961</v>
      </c>
      <c r="BG205" s="582">
        <f t="shared" si="398"/>
        <v>1179</v>
      </c>
      <c r="BH205" s="582">
        <f t="shared" si="284"/>
        <v>1235</v>
      </c>
      <c r="BI205" s="582">
        <f t="shared" si="399"/>
        <v>961</v>
      </c>
      <c r="BJ205" s="582">
        <f t="shared" si="400"/>
        <v>1128</v>
      </c>
      <c r="BK205" s="582">
        <f t="shared" si="401"/>
        <v>926</v>
      </c>
      <c r="BL205" s="582">
        <f t="shared" si="402"/>
        <v>961</v>
      </c>
      <c r="BM205" s="74"/>
      <c r="BN205" s="582">
        <f t="shared" si="403"/>
        <v>1729</v>
      </c>
      <c r="BO205" s="74"/>
      <c r="BP205" s="602">
        <f t="shared" si="33"/>
        <v>1729</v>
      </c>
      <c r="BQ205" s="54">
        <v>19.0</v>
      </c>
      <c r="BR205" s="54">
        <v>37.0</v>
      </c>
      <c r="BS205" s="74"/>
      <c r="BT205" s="54">
        <v>100.0</v>
      </c>
      <c r="BU205" s="74"/>
      <c r="BV205" s="83">
        <f t="shared" si="34"/>
        <v>28</v>
      </c>
      <c r="BW205" s="608">
        <f t="shared" si="35"/>
        <v>846.6</v>
      </c>
      <c r="BX205" s="582">
        <f t="shared" si="289"/>
        <v>1245</v>
      </c>
      <c r="BY205" s="582">
        <f t="shared" si="404"/>
        <v>962</v>
      </c>
      <c r="BZ205" s="582">
        <f t="shared" si="405"/>
        <v>1175.8</v>
      </c>
      <c r="CA205" s="582">
        <f t="shared" si="406"/>
        <v>962</v>
      </c>
      <c r="CB205" s="582">
        <f t="shared" si="407"/>
        <v>920.2</v>
      </c>
      <c r="CC205" s="582">
        <f t="shared" si="408"/>
        <v>1113.9</v>
      </c>
      <c r="CD205" s="582">
        <f t="shared" si="409"/>
        <v>962</v>
      </c>
      <c r="CE205" s="664">
        <f t="shared" si="43"/>
        <v>37.5</v>
      </c>
      <c r="CF205" s="706">
        <f t="shared" si="248"/>
        <v>22.5</v>
      </c>
      <c r="CG205" s="552">
        <f t="shared" si="295"/>
        <v>22.6</v>
      </c>
      <c r="CH205" s="575" t="s">
        <v>1298</v>
      </c>
      <c r="CI205" s="582">
        <f t="shared" ref="CI205:DF205" si="415">FLOOR($AV205/(CI$3/25),1)</f>
        <v>1037</v>
      </c>
      <c r="CJ205" s="582">
        <f t="shared" si="415"/>
        <v>1080</v>
      </c>
      <c r="CK205" s="582">
        <f t="shared" si="415"/>
        <v>1127</v>
      </c>
      <c r="CL205" s="582">
        <f t="shared" si="415"/>
        <v>1178</v>
      </c>
      <c r="CM205" s="582">
        <f t="shared" si="415"/>
        <v>1235</v>
      </c>
      <c r="CN205" s="582">
        <f t="shared" si="415"/>
        <v>1296</v>
      </c>
      <c r="CO205" s="582">
        <f t="shared" si="415"/>
        <v>1365</v>
      </c>
      <c r="CP205" s="582">
        <f t="shared" si="415"/>
        <v>1440</v>
      </c>
      <c r="CQ205" s="582">
        <f t="shared" si="415"/>
        <v>1525</v>
      </c>
      <c r="CR205" s="582">
        <f t="shared" si="415"/>
        <v>1621</v>
      </c>
      <c r="CS205" s="582">
        <f t="shared" si="415"/>
        <v>1729</v>
      </c>
      <c r="CT205" s="582">
        <f t="shared" si="415"/>
        <v>1852</v>
      </c>
      <c r="CU205" s="582">
        <f t="shared" si="415"/>
        <v>1995</v>
      </c>
      <c r="CV205" s="582">
        <f t="shared" si="415"/>
        <v>2161</v>
      </c>
      <c r="CW205" s="582">
        <f t="shared" si="415"/>
        <v>2357</v>
      </c>
      <c r="CX205" s="582">
        <f t="shared" si="415"/>
        <v>2593</v>
      </c>
      <c r="CY205" s="582">
        <f t="shared" si="415"/>
        <v>2881</v>
      </c>
      <c r="CZ205" s="582">
        <f t="shared" si="415"/>
        <v>3242</v>
      </c>
      <c r="DA205" s="582">
        <f t="shared" si="415"/>
        <v>3705</v>
      </c>
      <c r="DB205" s="582">
        <f t="shared" si="415"/>
        <v>4322</v>
      </c>
      <c r="DC205" s="582">
        <f t="shared" si="415"/>
        <v>5187</v>
      </c>
      <c r="DD205" s="582">
        <f t="shared" si="415"/>
        <v>6484</v>
      </c>
      <c r="DE205" s="582">
        <f t="shared" si="415"/>
        <v>8645</v>
      </c>
      <c r="DF205" s="602">
        <f t="shared" si="415"/>
        <v>12968</v>
      </c>
      <c r="DG205" s="575"/>
      <c r="DH205" s="575" t="str">
        <f t="shared" si="46"/>
        <v/>
      </c>
      <c r="DI205" s="74" t="str">
        <f t="shared" si="47"/>
        <v/>
      </c>
      <c r="DJ205" s="74" t="str">
        <f t="shared" si="48"/>
        <v/>
      </c>
      <c r="DK205" s="664">
        <f t="shared" si="49"/>
        <v>-10.4</v>
      </c>
      <c r="DL205" s="685">
        <v>34.5</v>
      </c>
      <c r="DM205" s="74"/>
      <c r="DN205" s="582">
        <f t="shared" si="416"/>
        <v>2.9</v>
      </c>
      <c r="DO205" s="575"/>
      <c r="DP205" s="297"/>
    </row>
    <row r="206">
      <c r="A206" s="552">
        <v>200.0</v>
      </c>
      <c r="B206" s="86">
        <v>178.0</v>
      </c>
      <c r="C206" s="54">
        <v>20.0</v>
      </c>
      <c r="D206" s="54">
        <v>50.0</v>
      </c>
      <c r="E206" s="74"/>
      <c r="F206" s="68" t="s">
        <v>2356</v>
      </c>
      <c r="G206" s="68">
        <f t="shared" si="269"/>
        <v>18</v>
      </c>
      <c r="H206" s="68">
        <f t="shared" si="383"/>
        <v>23</v>
      </c>
      <c r="I206" s="68">
        <f t="shared" si="384"/>
        <v>19</v>
      </c>
      <c r="J206" s="68">
        <f t="shared" si="385"/>
        <v>23</v>
      </c>
      <c r="K206" s="68">
        <f t="shared" si="386"/>
        <v>24</v>
      </c>
      <c r="L206" s="68">
        <f t="shared" si="387"/>
        <v>20</v>
      </c>
      <c r="M206" s="569">
        <f t="shared" si="388"/>
        <v>23</v>
      </c>
      <c r="N206" s="74" t="s">
        <v>1306</v>
      </c>
      <c r="O206" s="570" t="s">
        <v>2019</v>
      </c>
      <c r="P206" s="571"/>
      <c r="Q206" s="571" t="s">
        <v>1670</v>
      </c>
      <c r="R206" s="571" t="s">
        <v>1685</v>
      </c>
      <c r="S206" s="791" t="s">
        <v>1295</v>
      </c>
      <c r="T206" s="572" t="s">
        <v>1307</v>
      </c>
      <c r="U206" s="54">
        <v>41.0</v>
      </c>
      <c r="V206" s="54">
        <v>25.0</v>
      </c>
      <c r="W206" s="54">
        <v>80.0</v>
      </c>
      <c r="X206" s="679">
        <v>95.0</v>
      </c>
      <c r="Y206" s="54">
        <v>5.0</v>
      </c>
      <c r="Z206" s="54">
        <v>-20.0</v>
      </c>
      <c r="AA206" s="54">
        <v>4.0</v>
      </c>
      <c r="AB206" s="54">
        <v>56.0</v>
      </c>
      <c r="AC206" s="54">
        <v>3786.0</v>
      </c>
      <c r="AD206" s="54">
        <v>4.0</v>
      </c>
      <c r="AE206" s="54">
        <v>75.0</v>
      </c>
      <c r="AF206" s="54">
        <v>75.0</v>
      </c>
      <c r="AG206" s="54">
        <v>23.0</v>
      </c>
      <c r="AH206" s="54">
        <v>58.0</v>
      </c>
      <c r="AI206" s="574">
        <f t="shared" si="12"/>
        <v>40.5</v>
      </c>
      <c r="AJ206" s="74"/>
      <c r="AK206" s="74"/>
      <c r="AL206" s="74"/>
      <c r="AM206" s="74"/>
      <c r="AN206" s="74"/>
      <c r="AO206" s="74"/>
      <c r="AP206" s="74"/>
      <c r="AQ206" s="74"/>
      <c r="AR206" s="74"/>
      <c r="AS206" s="575"/>
      <c r="AT206" s="68">
        <f t="shared" si="13"/>
        <v>727</v>
      </c>
      <c r="AU206" s="68">
        <f t="shared" si="14"/>
        <v>1426</v>
      </c>
      <c r="AV206" s="581">
        <f t="shared" si="15"/>
        <v>1076.5</v>
      </c>
      <c r="AW206" s="582">
        <f t="shared" si="276"/>
        <v>1794</v>
      </c>
      <c r="AX206" s="582">
        <f t="shared" si="389"/>
        <v>1416</v>
      </c>
      <c r="AY206" s="582">
        <f t="shared" si="390"/>
        <v>1794</v>
      </c>
      <c r="AZ206" s="582">
        <f t="shared" si="391"/>
        <v>1682</v>
      </c>
      <c r="BA206" s="582">
        <f t="shared" si="392"/>
        <v>1346</v>
      </c>
      <c r="BB206" s="582">
        <f t="shared" si="393"/>
        <v>1416</v>
      </c>
      <c r="BC206" s="582">
        <f t="shared" si="394"/>
        <v>1416</v>
      </c>
      <c r="BD206" s="582">
        <f t="shared" si="395"/>
        <v>1223</v>
      </c>
      <c r="BE206" s="582">
        <f t="shared" si="396"/>
        <v>1416</v>
      </c>
      <c r="BF206" s="582">
        <f t="shared" si="397"/>
        <v>1495</v>
      </c>
      <c r="BG206" s="582">
        <f t="shared" si="398"/>
        <v>1794</v>
      </c>
      <c r="BH206" s="582">
        <f t="shared" si="284"/>
        <v>1794</v>
      </c>
      <c r="BI206" s="582">
        <f t="shared" si="399"/>
        <v>1416</v>
      </c>
      <c r="BJ206" s="582">
        <f t="shared" si="400"/>
        <v>1794</v>
      </c>
      <c r="BK206" s="582">
        <f t="shared" si="401"/>
        <v>1346</v>
      </c>
      <c r="BL206" s="582">
        <f t="shared" si="402"/>
        <v>1416</v>
      </c>
      <c r="BM206" s="74"/>
      <c r="BN206" s="582">
        <f t="shared" si="403"/>
        <v>2070</v>
      </c>
      <c r="BO206" s="74"/>
      <c r="BP206" s="602">
        <f t="shared" si="33"/>
        <v>2070</v>
      </c>
      <c r="BQ206" s="54">
        <v>16.0</v>
      </c>
      <c r="BR206" s="54">
        <v>40.0</v>
      </c>
      <c r="BS206" s="54">
        <v>-20.0</v>
      </c>
      <c r="BT206" s="54">
        <v>100.0</v>
      </c>
      <c r="BU206" s="74"/>
      <c r="BV206" s="83">
        <f t="shared" si="34"/>
        <v>28</v>
      </c>
      <c r="BW206" s="608">
        <f t="shared" si="35"/>
        <v>846.6</v>
      </c>
      <c r="BX206" s="582">
        <f t="shared" si="289"/>
        <v>1411</v>
      </c>
      <c r="BY206" s="582">
        <f t="shared" si="404"/>
        <v>1113.9</v>
      </c>
      <c r="BZ206" s="582">
        <f t="shared" si="405"/>
        <v>1411</v>
      </c>
      <c r="CA206" s="582">
        <f t="shared" si="406"/>
        <v>1113.9</v>
      </c>
      <c r="CB206" s="582">
        <f t="shared" si="407"/>
        <v>1058.3</v>
      </c>
      <c r="CC206" s="582">
        <f t="shared" si="408"/>
        <v>1322.8</v>
      </c>
      <c r="CD206" s="582">
        <f t="shared" si="409"/>
        <v>1113.9</v>
      </c>
      <c r="CE206" s="664">
        <f t="shared" si="43"/>
        <v>44.6</v>
      </c>
      <c r="CF206" s="706">
        <f t="shared" si="248"/>
        <v>27.2</v>
      </c>
      <c r="CG206" s="552">
        <f t="shared" si="295"/>
        <v>27.1</v>
      </c>
      <c r="CH206" s="575" t="s">
        <v>1306</v>
      </c>
      <c r="CI206" s="582">
        <f t="shared" ref="CI206:DF206" si="417">FLOOR($AV206/(CI$3/25),1)</f>
        <v>1076</v>
      </c>
      <c r="CJ206" s="582">
        <f t="shared" si="417"/>
        <v>1121</v>
      </c>
      <c r="CK206" s="582">
        <f t="shared" si="417"/>
        <v>1170</v>
      </c>
      <c r="CL206" s="582">
        <f t="shared" si="417"/>
        <v>1223</v>
      </c>
      <c r="CM206" s="582">
        <f t="shared" si="417"/>
        <v>1281</v>
      </c>
      <c r="CN206" s="582">
        <f t="shared" si="417"/>
        <v>1345</v>
      </c>
      <c r="CO206" s="582">
        <f t="shared" si="417"/>
        <v>1416</v>
      </c>
      <c r="CP206" s="582">
        <f t="shared" si="417"/>
        <v>1495</v>
      </c>
      <c r="CQ206" s="582">
        <f t="shared" si="417"/>
        <v>1583</v>
      </c>
      <c r="CR206" s="582">
        <f t="shared" si="417"/>
        <v>1682</v>
      </c>
      <c r="CS206" s="582">
        <f t="shared" si="417"/>
        <v>1794</v>
      </c>
      <c r="CT206" s="582">
        <f t="shared" si="417"/>
        <v>1922</v>
      </c>
      <c r="CU206" s="582">
        <f t="shared" si="417"/>
        <v>2070</v>
      </c>
      <c r="CV206" s="582">
        <f t="shared" si="417"/>
        <v>2242</v>
      </c>
      <c r="CW206" s="582">
        <f t="shared" si="417"/>
        <v>2446</v>
      </c>
      <c r="CX206" s="582">
        <f t="shared" si="417"/>
        <v>2691</v>
      </c>
      <c r="CY206" s="582">
        <f t="shared" si="417"/>
        <v>2990</v>
      </c>
      <c r="CZ206" s="582">
        <f t="shared" si="417"/>
        <v>3364</v>
      </c>
      <c r="DA206" s="582">
        <f t="shared" si="417"/>
        <v>3844</v>
      </c>
      <c r="DB206" s="582">
        <f t="shared" si="417"/>
        <v>4485</v>
      </c>
      <c r="DC206" s="582">
        <f t="shared" si="417"/>
        <v>5382</v>
      </c>
      <c r="DD206" s="582">
        <f t="shared" si="417"/>
        <v>6728</v>
      </c>
      <c r="DE206" s="582">
        <f t="shared" si="417"/>
        <v>8970</v>
      </c>
      <c r="DF206" s="602">
        <f t="shared" si="417"/>
        <v>13456</v>
      </c>
      <c r="DG206" s="575"/>
      <c r="DH206" s="575" t="str">
        <f t="shared" si="46"/>
        <v/>
      </c>
      <c r="DI206" s="74" t="str">
        <f t="shared" si="47"/>
        <v/>
      </c>
      <c r="DJ206" s="74" t="str">
        <f t="shared" si="48"/>
        <v/>
      </c>
      <c r="DK206" s="623" t="str">
        <f t="shared" si="49"/>
        <v/>
      </c>
      <c r="DL206" s="74"/>
      <c r="DM206" s="74"/>
      <c r="DN206" s="582">
        <f t="shared" si="416"/>
        <v>3.4</v>
      </c>
      <c r="DO206" s="575"/>
      <c r="DP206" s="297"/>
    </row>
    <row r="207">
      <c r="A207" s="552">
        <v>201.0</v>
      </c>
      <c r="B207" s="86">
        <v>179.0</v>
      </c>
      <c r="C207" s="54">
        <v>36.0</v>
      </c>
      <c r="D207" s="54">
        <v>74.0</v>
      </c>
      <c r="E207" s="74"/>
      <c r="F207" s="68" t="s">
        <v>2356</v>
      </c>
      <c r="G207" s="68">
        <f t="shared" si="269"/>
        <v>18</v>
      </c>
      <c r="H207" s="68">
        <f t="shared" si="383"/>
        <v>23</v>
      </c>
      <c r="I207" s="68">
        <f t="shared" si="384"/>
        <v>19</v>
      </c>
      <c r="J207" s="68">
        <f t="shared" si="385"/>
        <v>23</v>
      </c>
      <c r="K207" s="68">
        <f t="shared" si="386"/>
        <v>24</v>
      </c>
      <c r="L207" s="68">
        <f t="shared" si="387"/>
        <v>20</v>
      </c>
      <c r="M207" s="569">
        <f t="shared" si="388"/>
        <v>23</v>
      </c>
      <c r="N207" s="74" t="s">
        <v>1315</v>
      </c>
      <c r="O207" s="570" t="s">
        <v>2020</v>
      </c>
      <c r="P207" s="571"/>
      <c r="Q207" s="571" t="s">
        <v>1670</v>
      </c>
      <c r="R207" s="571" t="s">
        <v>1685</v>
      </c>
      <c r="S207" s="791" t="s">
        <v>1295</v>
      </c>
      <c r="T207" s="572" t="s">
        <v>1316</v>
      </c>
      <c r="U207" s="54">
        <v>44.0</v>
      </c>
      <c r="V207" s="54">
        <v>25.0</v>
      </c>
      <c r="W207" s="54">
        <v>101.0</v>
      </c>
      <c r="X207" s="74"/>
      <c r="Y207" s="54">
        <v>6.0</v>
      </c>
      <c r="Z207" s="54">
        <v>0.0</v>
      </c>
      <c r="AA207" s="54">
        <v>4.0</v>
      </c>
      <c r="AB207" s="54">
        <v>56.0</v>
      </c>
      <c r="AC207" s="54">
        <v>5316.0</v>
      </c>
      <c r="AD207" s="54">
        <v>4.0</v>
      </c>
      <c r="AE207" s="54">
        <v>75.0</v>
      </c>
      <c r="AF207" s="54">
        <v>75.0</v>
      </c>
      <c r="AG207" s="54">
        <v>41.0</v>
      </c>
      <c r="AH207" s="54">
        <v>85.0</v>
      </c>
      <c r="AI207" s="574">
        <f t="shared" si="12"/>
        <v>63</v>
      </c>
      <c r="AJ207" s="74"/>
      <c r="AK207" s="74"/>
      <c r="AL207" s="74"/>
      <c r="AM207" s="74"/>
      <c r="AN207" s="74"/>
      <c r="AO207" s="74"/>
      <c r="AP207" s="74"/>
      <c r="AQ207" s="74"/>
      <c r="AR207" s="74"/>
      <c r="AS207" s="575"/>
      <c r="AT207" s="68">
        <f t="shared" si="13"/>
        <v>1086</v>
      </c>
      <c r="AU207" s="68">
        <f t="shared" si="14"/>
        <v>1962</v>
      </c>
      <c r="AV207" s="581">
        <f t="shared" si="15"/>
        <v>1524</v>
      </c>
      <c r="AW207" s="582">
        <f t="shared" si="276"/>
        <v>2241</v>
      </c>
      <c r="AX207" s="582">
        <f t="shared" si="389"/>
        <v>1732</v>
      </c>
      <c r="AY207" s="582">
        <f t="shared" si="390"/>
        <v>2117</v>
      </c>
      <c r="AZ207" s="582">
        <f t="shared" si="391"/>
        <v>2005</v>
      </c>
      <c r="BA207" s="582">
        <f t="shared" si="392"/>
        <v>1657</v>
      </c>
      <c r="BB207" s="582">
        <f t="shared" si="393"/>
        <v>1732</v>
      </c>
      <c r="BC207" s="582">
        <f t="shared" si="394"/>
        <v>1732</v>
      </c>
      <c r="BD207" s="582">
        <f t="shared" si="395"/>
        <v>1155</v>
      </c>
      <c r="BE207" s="582">
        <f t="shared" si="396"/>
        <v>1411</v>
      </c>
      <c r="BF207" s="582">
        <f t="shared" si="397"/>
        <v>1411</v>
      </c>
      <c r="BG207" s="582">
        <f t="shared" si="398"/>
        <v>1732</v>
      </c>
      <c r="BH207" s="582">
        <f t="shared" si="284"/>
        <v>1814</v>
      </c>
      <c r="BI207" s="582">
        <f t="shared" si="399"/>
        <v>1411</v>
      </c>
      <c r="BJ207" s="582">
        <f t="shared" si="400"/>
        <v>1657</v>
      </c>
      <c r="BK207" s="582">
        <f t="shared" si="401"/>
        <v>1361</v>
      </c>
      <c r="BL207" s="582">
        <f t="shared" si="402"/>
        <v>1411</v>
      </c>
      <c r="BM207" s="74"/>
      <c r="BN207" s="582">
        <f t="shared" si="403"/>
        <v>2540</v>
      </c>
      <c r="BO207" s="74"/>
      <c r="BP207" s="602">
        <f t="shared" si="33"/>
        <v>2540</v>
      </c>
      <c r="BQ207" s="54">
        <v>29.0</v>
      </c>
      <c r="BR207" s="54">
        <v>59.0</v>
      </c>
      <c r="BS207" s="74"/>
      <c r="BT207" s="54">
        <v>100.0</v>
      </c>
      <c r="BU207" s="74"/>
      <c r="BV207" s="83">
        <f t="shared" si="34"/>
        <v>44</v>
      </c>
      <c r="BW207" s="608">
        <f t="shared" si="35"/>
        <v>1170.6</v>
      </c>
      <c r="BX207" s="582">
        <f t="shared" si="289"/>
        <v>1721.5</v>
      </c>
      <c r="BY207" s="582">
        <f t="shared" si="404"/>
        <v>1330.2</v>
      </c>
      <c r="BZ207" s="582">
        <f t="shared" si="405"/>
        <v>1625.8</v>
      </c>
      <c r="CA207" s="582">
        <f t="shared" si="406"/>
        <v>1330.2</v>
      </c>
      <c r="CB207" s="582">
        <f t="shared" si="407"/>
        <v>1272.4</v>
      </c>
      <c r="CC207" s="582">
        <f t="shared" si="408"/>
        <v>1540.3</v>
      </c>
      <c r="CD207" s="582">
        <f t="shared" si="409"/>
        <v>1330.2</v>
      </c>
      <c r="CE207" s="664">
        <f t="shared" si="43"/>
        <v>43.2</v>
      </c>
      <c r="CF207" s="706">
        <f t="shared" si="248"/>
        <v>30.2</v>
      </c>
      <c r="CG207" s="552">
        <f t="shared" si="295"/>
        <v>30.2</v>
      </c>
      <c r="CH207" s="575" t="s">
        <v>1315</v>
      </c>
      <c r="CI207" s="582">
        <f t="shared" ref="CI207:DF207" si="418">FLOOR($AV207/(CI$3/25),1)</f>
        <v>1524</v>
      </c>
      <c r="CJ207" s="582">
        <f t="shared" si="418"/>
        <v>1587</v>
      </c>
      <c r="CK207" s="582">
        <f t="shared" si="418"/>
        <v>1656</v>
      </c>
      <c r="CL207" s="582">
        <f t="shared" si="418"/>
        <v>1731</v>
      </c>
      <c r="CM207" s="582">
        <f t="shared" si="418"/>
        <v>1814</v>
      </c>
      <c r="CN207" s="582">
        <f t="shared" si="418"/>
        <v>1905</v>
      </c>
      <c r="CO207" s="582">
        <f t="shared" si="418"/>
        <v>2005</v>
      </c>
      <c r="CP207" s="582">
        <f t="shared" si="418"/>
        <v>2116</v>
      </c>
      <c r="CQ207" s="582">
        <f t="shared" si="418"/>
        <v>2241</v>
      </c>
      <c r="CR207" s="582">
        <f t="shared" si="418"/>
        <v>2381</v>
      </c>
      <c r="CS207" s="582">
        <f t="shared" si="418"/>
        <v>2540</v>
      </c>
      <c r="CT207" s="582">
        <f t="shared" si="418"/>
        <v>2721</v>
      </c>
      <c r="CU207" s="582">
        <f t="shared" si="418"/>
        <v>2930</v>
      </c>
      <c r="CV207" s="582">
        <f t="shared" si="418"/>
        <v>3175</v>
      </c>
      <c r="CW207" s="582">
        <f t="shared" si="418"/>
        <v>3463</v>
      </c>
      <c r="CX207" s="582">
        <f t="shared" si="418"/>
        <v>3810</v>
      </c>
      <c r="CY207" s="582">
        <f t="shared" si="418"/>
        <v>4233</v>
      </c>
      <c r="CZ207" s="582">
        <f t="shared" si="418"/>
        <v>4762</v>
      </c>
      <c r="DA207" s="582">
        <f t="shared" si="418"/>
        <v>5442</v>
      </c>
      <c r="DB207" s="582">
        <f t="shared" si="418"/>
        <v>6350</v>
      </c>
      <c r="DC207" s="582">
        <f t="shared" si="418"/>
        <v>7620</v>
      </c>
      <c r="DD207" s="582">
        <f t="shared" si="418"/>
        <v>9525</v>
      </c>
      <c r="DE207" s="582">
        <f t="shared" si="418"/>
        <v>12700</v>
      </c>
      <c r="DF207" s="602">
        <f t="shared" si="418"/>
        <v>19050</v>
      </c>
      <c r="DG207" s="575"/>
      <c r="DH207" s="575" t="str">
        <f t="shared" si="46"/>
        <v/>
      </c>
      <c r="DI207" s="74" t="str">
        <f t="shared" si="47"/>
        <v/>
      </c>
      <c r="DJ207" s="74" t="str">
        <f t="shared" si="48"/>
        <v/>
      </c>
      <c r="DK207" s="623" t="str">
        <f t="shared" si="49"/>
        <v/>
      </c>
      <c r="DL207" s="74"/>
      <c r="DM207" s="74"/>
      <c r="DN207" s="582">
        <f t="shared" si="416"/>
        <v>3.3</v>
      </c>
      <c r="DO207" s="575"/>
      <c r="DP207" s="297"/>
    </row>
    <row r="208">
      <c r="A208" s="647">
        <v>202.0</v>
      </c>
      <c r="B208" s="141">
        <v>180.0</v>
      </c>
      <c r="C208" s="129">
        <v>29.0</v>
      </c>
      <c r="D208" s="129">
        <v>142.0</v>
      </c>
      <c r="E208" s="134"/>
      <c r="F208" s="154" t="s">
        <v>2356</v>
      </c>
      <c r="G208" s="154">
        <f t="shared" si="269"/>
        <v>18</v>
      </c>
      <c r="H208" s="154">
        <f t="shared" si="383"/>
        <v>23</v>
      </c>
      <c r="I208" s="154">
        <f t="shared" si="384"/>
        <v>19</v>
      </c>
      <c r="J208" s="154">
        <f t="shared" si="385"/>
        <v>23</v>
      </c>
      <c r="K208" s="154">
        <f t="shared" si="386"/>
        <v>24</v>
      </c>
      <c r="L208" s="154">
        <f t="shared" si="387"/>
        <v>20</v>
      </c>
      <c r="M208" s="648">
        <f t="shared" si="388"/>
        <v>23</v>
      </c>
      <c r="N208" s="134" t="s">
        <v>1322</v>
      </c>
      <c r="O208" s="649" t="s">
        <v>2021</v>
      </c>
      <c r="P208" s="650"/>
      <c r="Q208" s="650" t="s">
        <v>1670</v>
      </c>
      <c r="R208" s="650" t="s">
        <v>1685</v>
      </c>
      <c r="S208" s="796" t="s">
        <v>1295</v>
      </c>
      <c r="T208" s="651" t="s">
        <v>1323</v>
      </c>
      <c r="U208" s="129">
        <v>47.0</v>
      </c>
      <c r="V208" s="129">
        <v>25.0</v>
      </c>
      <c r="W208" s="129">
        <v>110.0</v>
      </c>
      <c r="X208" s="799">
        <v>88.0</v>
      </c>
      <c r="Y208" s="129">
        <v>6.0</v>
      </c>
      <c r="Z208" s="129">
        <v>20.0</v>
      </c>
      <c r="AA208" s="129">
        <v>4.0</v>
      </c>
      <c r="AB208" s="129">
        <v>50.0</v>
      </c>
      <c r="AC208" s="129">
        <v>6369.0</v>
      </c>
      <c r="AD208" s="129">
        <v>4.0</v>
      </c>
      <c r="AE208" s="129">
        <v>75.0</v>
      </c>
      <c r="AF208" s="129">
        <v>75.0</v>
      </c>
      <c r="AG208" s="129">
        <v>33.0</v>
      </c>
      <c r="AH208" s="129">
        <v>163.0</v>
      </c>
      <c r="AI208" s="652">
        <f t="shared" si="12"/>
        <v>98</v>
      </c>
      <c r="AJ208" s="127"/>
      <c r="AK208" s="134"/>
      <c r="AL208" s="134"/>
      <c r="AM208" s="134"/>
      <c r="AN208" s="134"/>
      <c r="AO208" s="134"/>
      <c r="AP208" s="134"/>
      <c r="AQ208" s="134"/>
      <c r="AR208" s="134"/>
      <c r="AS208" s="653"/>
      <c r="AT208" s="154">
        <f t="shared" si="13"/>
        <v>928</v>
      </c>
      <c r="AU208" s="154">
        <f t="shared" si="14"/>
        <v>3515</v>
      </c>
      <c r="AV208" s="654">
        <f t="shared" si="15"/>
        <v>2221.5</v>
      </c>
      <c r="AW208" s="655">
        <f t="shared" si="276"/>
        <v>2524</v>
      </c>
      <c r="AX208" s="655">
        <f t="shared" si="389"/>
        <v>1983</v>
      </c>
      <c r="AY208" s="655">
        <f t="shared" si="390"/>
        <v>2415</v>
      </c>
      <c r="AZ208" s="655">
        <f t="shared" si="391"/>
        <v>2222</v>
      </c>
      <c r="BA208" s="655">
        <f t="shared" si="392"/>
        <v>1851</v>
      </c>
      <c r="BB208" s="655">
        <f t="shared" si="393"/>
        <v>1983</v>
      </c>
      <c r="BC208" s="655">
        <f t="shared" si="394"/>
        <v>1983</v>
      </c>
      <c r="BD208" s="655">
        <f t="shared" si="395"/>
        <v>1089</v>
      </c>
      <c r="BE208" s="655">
        <f t="shared" si="396"/>
        <v>1322</v>
      </c>
      <c r="BF208" s="655">
        <f t="shared" si="397"/>
        <v>1355</v>
      </c>
      <c r="BG208" s="655">
        <f t="shared" si="398"/>
        <v>1633</v>
      </c>
      <c r="BH208" s="655">
        <f t="shared" si="284"/>
        <v>1683</v>
      </c>
      <c r="BI208" s="655">
        <f t="shared" si="399"/>
        <v>1322</v>
      </c>
      <c r="BJ208" s="655">
        <f t="shared" si="400"/>
        <v>1501</v>
      </c>
      <c r="BK208" s="655">
        <f t="shared" si="401"/>
        <v>1234</v>
      </c>
      <c r="BL208" s="655">
        <f t="shared" si="402"/>
        <v>1322</v>
      </c>
      <c r="BM208" s="134"/>
      <c r="BN208" s="655">
        <f t="shared" si="403"/>
        <v>2777</v>
      </c>
      <c r="BO208" s="134"/>
      <c r="BP208" s="656">
        <f t="shared" si="33"/>
        <v>2777</v>
      </c>
      <c r="BQ208" s="129">
        <v>27.0</v>
      </c>
      <c r="BR208" s="129">
        <v>114.0</v>
      </c>
      <c r="BS208" s="129">
        <v>20.0</v>
      </c>
      <c r="BT208" s="129">
        <v>100.0</v>
      </c>
      <c r="BU208" s="134"/>
      <c r="BV208" s="135">
        <f t="shared" si="34"/>
        <v>70.5</v>
      </c>
      <c r="BW208" s="657">
        <f t="shared" si="35"/>
        <v>1707.1</v>
      </c>
      <c r="BX208" s="655">
        <f t="shared" si="289"/>
        <v>1939.9</v>
      </c>
      <c r="BY208" s="655">
        <f t="shared" si="404"/>
        <v>1524.2</v>
      </c>
      <c r="BZ208" s="655">
        <f t="shared" si="405"/>
        <v>1855.5</v>
      </c>
      <c r="CA208" s="655">
        <f t="shared" si="406"/>
        <v>1524.2</v>
      </c>
      <c r="CB208" s="655">
        <f t="shared" si="407"/>
        <v>1422.6</v>
      </c>
      <c r="CC208" s="655">
        <f t="shared" si="408"/>
        <v>1707.1</v>
      </c>
      <c r="CD208" s="655">
        <f t="shared" si="409"/>
        <v>1524.2</v>
      </c>
      <c r="CE208" s="659">
        <f t="shared" si="43"/>
        <v>39</v>
      </c>
      <c r="CF208" s="712">
        <f t="shared" si="248"/>
        <v>30.1</v>
      </c>
      <c r="CG208" s="647">
        <f t="shared" si="295"/>
        <v>30.1</v>
      </c>
      <c r="CH208" s="653" t="s">
        <v>1322</v>
      </c>
      <c r="CI208" s="655">
        <f t="shared" ref="CI208:DF208" si="419">FLOOR($AV208/(CI$3/25),1)</f>
        <v>2221</v>
      </c>
      <c r="CJ208" s="655">
        <f t="shared" si="419"/>
        <v>2314</v>
      </c>
      <c r="CK208" s="655">
        <f t="shared" si="419"/>
        <v>2414</v>
      </c>
      <c r="CL208" s="655">
        <f t="shared" si="419"/>
        <v>2524</v>
      </c>
      <c r="CM208" s="655">
        <f t="shared" si="419"/>
        <v>2644</v>
      </c>
      <c r="CN208" s="655">
        <f t="shared" si="419"/>
        <v>2776</v>
      </c>
      <c r="CO208" s="655">
        <f t="shared" si="419"/>
        <v>2923</v>
      </c>
      <c r="CP208" s="655">
        <f t="shared" si="419"/>
        <v>3085</v>
      </c>
      <c r="CQ208" s="655">
        <f t="shared" si="419"/>
        <v>3266</v>
      </c>
      <c r="CR208" s="655">
        <f t="shared" si="419"/>
        <v>3471</v>
      </c>
      <c r="CS208" s="655">
        <f t="shared" si="419"/>
        <v>3702</v>
      </c>
      <c r="CT208" s="655">
        <f t="shared" si="419"/>
        <v>3966</v>
      </c>
      <c r="CU208" s="655">
        <f t="shared" si="419"/>
        <v>4272</v>
      </c>
      <c r="CV208" s="655">
        <f t="shared" si="419"/>
        <v>4628</v>
      </c>
      <c r="CW208" s="655">
        <f t="shared" si="419"/>
        <v>5048</v>
      </c>
      <c r="CX208" s="655">
        <f t="shared" si="419"/>
        <v>5553</v>
      </c>
      <c r="CY208" s="655">
        <f t="shared" si="419"/>
        <v>6170</v>
      </c>
      <c r="CZ208" s="655">
        <f t="shared" si="419"/>
        <v>6942</v>
      </c>
      <c r="DA208" s="655">
        <f t="shared" si="419"/>
        <v>7933</v>
      </c>
      <c r="DB208" s="655">
        <f t="shared" si="419"/>
        <v>9256</v>
      </c>
      <c r="DC208" s="655">
        <f t="shared" si="419"/>
        <v>11107</v>
      </c>
      <c r="DD208" s="655">
        <f t="shared" si="419"/>
        <v>13884</v>
      </c>
      <c r="DE208" s="655">
        <f t="shared" si="419"/>
        <v>18512</v>
      </c>
      <c r="DF208" s="656">
        <f t="shared" si="419"/>
        <v>27768</v>
      </c>
      <c r="DG208" s="653"/>
      <c r="DH208" s="653" t="str">
        <f t="shared" si="46"/>
        <v/>
      </c>
      <c r="DI208" s="134" t="str">
        <f t="shared" si="47"/>
        <v/>
      </c>
      <c r="DJ208" s="134" t="str">
        <f t="shared" si="48"/>
        <v/>
      </c>
      <c r="DK208" s="662" t="str">
        <f t="shared" si="49"/>
        <v/>
      </c>
      <c r="DL208" s="134"/>
      <c r="DM208" s="134"/>
      <c r="DN208" s="655">
        <f t="shared" si="416"/>
        <v>2.5</v>
      </c>
      <c r="DO208" s="653"/>
      <c r="DP208" s="663"/>
    </row>
    <row r="209">
      <c r="A209" s="552">
        <v>203.0</v>
      </c>
      <c r="B209" s="86">
        <v>295.0</v>
      </c>
      <c r="C209" s="54">
        <v>35.0</v>
      </c>
      <c r="D209" s="54">
        <v>119.0</v>
      </c>
      <c r="E209" s="74"/>
      <c r="F209" s="68" t="s">
        <v>2356</v>
      </c>
      <c r="G209" s="68">
        <f t="shared" si="269"/>
        <v>18</v>
      </c>
      <c r="H209" s="68">
        <f t="shared" si="383"/>
        <v>23</v>
      </c>
      <c r="I209" s="68">
        <f t="shared" si="384"/>
        <v>19</v>
      </c>
      <c r="J209" s="68">
        <f t="shared" si="385"/>
        <v>23</v>
      </c>
      <c r="K209" s="68">
        <f t="shared" si="386"/>
        <v>24</v>
      </c>
      <c r="L209" s="68">
        <f t="shared" si="387"/>
        <v>20</v>
      </c>
      <c r="M209" s="569">
        <f t="shared" si="388"/>
        <v>23</v>
      </c>
      <c r="N209" s="74" t="s">
        <v>1293</v>
      </c>
      <c r="O209" s="570" t="s">
        <v>2022</v>
      </c>
      <c r="P209" s="571"/>
      <c r="Q209" s="571" t="s">
        <v>1676</v>
      </c>
      <c r="R209" s="571" t="s">
        <v>1685</v>
      </c>
      <c r="S209" s="791" t="s">
        <v>1295</v>
      </c>
      <c r="T209" s="572" t="s">
        <v>1294</v>
      </c>
      <c r="U209" s="54">
        <v>58.0</v>
      </c>
      <c r="V209" s="54">
        <v>43.0</v>
      </c>
      <c r="W209" s="679">
        <v>155.0</v>
      </c>
      <c r="X209" s="679">
        <v>120.0</v>
      </c>
      <c r="Y209" s="54">
        <v>3.0</v>
      </c>
      <c r="Z209" s="54">
        <v>-10.0</v>
      </c>
      <c r="AA209" s="54">
        <v>4.0</v>
      </c>
      <c r="AB209" s="669">
        <v>90.0</v>
      </c>
      <c r="AC209" s="54">
        <v>15900.0</v>
      </c>
      <c r="AD209" s="54">
        <v>4.0</v>
      </c>
      <c r="AE209" s="54">
        <v>75.0</v>
      </c>
      <c r="AF209" s="54">
        <v>75.0</v>
      </c>
      <c r="AG209" s="54">
        <v>44.0</v>
      </c>
      <c r="AH209" s="54">
        <v>149.0</v>
      </c>
      <c r="AI209" s="574">
        <f t="shared" si="12"/>
        <v>96.5</v>
      </c>
      <c r="AJ209" s="74"/>
      <c r="AK209" s="74"/>
      <c r="AL209" s="74"/>
      <c r="AM209" s="74"/>
      <c r="AN209" s="74"/>
      <c r="AO209" s="74"/>
      <c r="AP209" s="74"/>
      <c r="AQ209" s="74"/>
      <c r="AR209" s="74"/>
      <c r="AS209" s="575"/>
      <c r="AT209" s="68">
        <f t="shared" si="13"/>
        <v>1146</v>
      </c>
      <c r="AU209" s="68">
        <f t="shared" si="14"/>
        <v>3236</v>
      </c>
      <c r="AV209" s="581">
        <f t="shared" si="15"/>
        <v>2191</v>
      </c>
      <c r="AW209" s="582">
        <f t="shared" si="276"/>
        <v>3423</v>
      </c>
      <c r="AX209" s="582">
        <f t="shared" si="389"/>
        <v>2739</v>
      </c>
      <c r="AY209" s="582">
        <f t="shared" si="390"/>
        <v>3222</v>
      </c>
      <c r="AZ209" s="582">
        <f t="shared" si="391"/>
        <v>3043</v>
      </c>
      <c r="BA209" s="582">
        <f t="shared" si="392"/>
        <v>2608</v>
      </c>
      <c r="BB209" s="582">
        <f t="shared" si="393"/>
        <v>2739</v>
      </c>
      <c r="BC209" s="582">
        <f t="shared" si="394"/>
        <v>2739</v>
      </c>
      <c r="BD209" s="582">
        <f t="shared" si="395"/>
        <v>2107</v>
      </c>
      <c r="BE209" s="582">
        <f t="shared" si="396"/>
        <v>2608</v>
      </c>
      <c r="BF209" s="582">
        <f t="shared" si="397"/>
        <v>2490</v>
      </c>
      <c r="BG209" s="582">
        <f t="shared" si="398"/>
        <v>3043</v>
      </c>
      <c r="BH209" s="582">
        <f t="shared" si="284"/>
        <v>3222</v>
      </c>
      <c r="BI209" s="582">
        <f t="shared" si="399"/>
        <v>2608</v>
      </c>
      <c r="BJ209" s="582">
        <f t="shared" si="400"/>
        <v>2883</v>
      </c>
      <c r="BK209" s="582">
        <f t="shared" si="401"/>
        <v>2382</v>
      </c>
      <c r="BL209" s="582">
        <f t="shared" si="402"/>
        <v>2608</v>
      </c>
      <c r="BM209" s="74"/>
      <c r="BN209" s="582">
        <f t="shared" si="403"/>
        <v>3913</v>
      </c>
      <c r="BO209" s="74"/>
      <c r="BP209" s="602">
        <f t="shared" si="33"/>
        <v>3913</v>
      </c>
      <c r="BQ209" s="670">
        <v>35.0</v>
      </c>
      <c r="BR209" s="670">
        <v>119.0</v>
      </c>
      <c r="BS209" s="670">
        <v>-10.0</v>
      </c>
      <c r="BT209" s="670">
        <v>100.0</v>
      </c>
      <c r="BU209" s="365"/>
      <c r="BV209" s="671">
        <f t="shared" si="34"/>
        <v>77</v>
      </c>
      <c r="BW209" s="672">
        <f t="shared" si="35"/>
        <v>1838.7</v>
      </c>
      <c r="BX209" s="673">
        <f t="shared" si="289"/>
        <v>2873</v>
      </c>
      <c r="BY209" s="673">
        <f t="shared" si="404"/>
        <v>2298.4</v>
      </c>
      <c r="BZ209" s="673">
        <f t="shared" si="405"/>
        <v>2704</v>
      </c>
      <c r="CA209" s="673">
        <f t="shared" si="406"/>
        <v>2298.4</v>
      </c>
      <c r="CB209" s="673">
        <f t="shared" si="407"/>
        <v>2188.9</v>
      </c>
      <c r="CC209" s="673">
        <f t="shared" si="408"/>
        <v>2553.8</v>
      </c>
      <c r="CD209" s="673">
        <f t="shared" si="409"/>
        <v>2298.4</v>
      </c>
      <c r="CE209" s="674">
        <f t="shared" si="43"/>
        <v>25.3</v>
      </c>
      <c r="CF209" s="763">
        <f t="shared" si="248"/>
        <v>19.2</v>
      </c>
      <c r="CG209" s="676">
        <f t="shared" si="295"/>
        <v>19.1</v>
      </c>
      <c r="CH209" s="575" t="s">
        <v>1293</v>
      </c>
      <c r="CI209" s="582">
        <f t="shared" ref="CI209:DF209" si="420">FLOOR($AV209/(CI$3/25),1)</f>
        <v>2191</v>
      </c>
      <c r="CJ209" s="582">
        <f t="shared" si="420"/>
        <v>2282</v>
      </c>
      <c r="CK209" s="582">
        <f t="shared" si="420"/>
        <v>2381</v>
      </c>
      <c r="CL209" s="582">
        <f t="shared" si="420"/>
        <v>2489</v>
      </c>
      <c r="CM209" s="582">
        <f t="shared" si="420"/>
        <v>2608</v>
      </c>
      <c r="CN209" s="582">
        <f t="shared" si="420"/>
        <v>2738</v>
      </c>
      <c r="CO209" s="582">
        <f t="shared" si="420"/>
        <v>2882</v>
      </c>
      <c r="CP209" s="582">
        <f t="shared" si="420"/>
        <v>3043</v>
      </c>
      <c r="CQ209" s="582">
        <f t="shared" si="420"/>
        <v>3222</v>
      </c>
      <c r="CR209" s="582">
        <f t="shared" si="420"/>
        <v>3423</v>
      </c>
      <c r="CS209" s="582">
        <f t="shared" si="420"/>
        <v>3651</v>
      </c>
      <c r="CT209" s="582">
        <f t="shared" si="420"/>
        <v>3912</v>
      </c>
      <c r="CU209" s="582">
        <f t="shared" si="420"/>
        <v>4213</v>
      </c>
      <c r="CV209" s="582">
        <f t="shared" si="420"/>
        <v>4564</v>
      </c>
      <c r="CW209" s="582">
        <f t="shared" si="420"/>
        <v>4979</v>
      </c>
      <c r="CX209" s="582">
        <f t="shared" si="420"/>
        <v>5477</v>
      </c>
      <c r="CY209" s="582">
        <f t="shared" si="420"/>
        <v>6086</v>
      </c>
      <c r="CZ209" s="582">
        <f t="shared" si="420"/>
        <v>6846</v>
      </c>
      <c r="DA209" s="582">
        <f t="shared" si="420"/>
        <v>7825</v>
      </c>
      <c r="DB209" s="582">
        <f t="shared" si="420"/>
        <v>9129</v>
      </c>
      <c r="DC209" s="582">
        <f t="shared" si="420"/>
        <v>10955</v>
      </c>
      <c r="DD209" s="582">
        <f t="shared" si="420"/>
        <v>13693</v>
      </c>
      <c r="DE209" s="582">
        <f t="shared" si="420"/>
        <v>18258</v>
      </c>
      <c r="DF209" s="602">
        <f t="shared" si="420"/>
        <v>27387</v>
      </c>
      <c r="DG209" s="575"/>
      <c r="DH209" s="575" t="str">
        <f t="shared" si="46"/>
        <v/>
      </c>
      <c r="DI209" s="74" t="str">
        <f t="shared" si="47"/>
        <v/>
      </c>
      <c r="DJ209" s="74" t="str">
        <f t="shared" si="48"/>
        <v/>
      </c>
      <c r="DK209" s="623" t="str">
        <f t="shared" si="49"/>
        <v/>
      </c>
      <c r="DL209" s="74"/>
      <c r="DM209" s="74"/>
      <c r="DN209" s="582">
        <f t="shared" si="416"/>
        <v>2.8</v>
      </c>
      <c r="DO209" s="575"/>
      <c r="DP209" s="297"/>
    </row>
    <row r="210">
      <c r="A210" s="552">
        <v>204.0</v>
      </c>
      <c r="B210" s="86">
        <v>296.0</v>
      </c>
      <c r="C210" s="54">
        <v>29.0</v>
      </c>
      <c r="D210" s="54">
        <v>144.0</v>
      </c>
      <c r="E210" s="74"/>
      <c r="F210" s="68" t="s">
        <v>2356</v>
      </c>
      <c r="G210" s="68">
        <f t="shared" si="269"/>
        <v>18</v>
      </c>
      <c r="H210" s="68">
        <f t="shared" si="383"/>
        <v>23</v>
      </c>
      <c r="I210" s="68">
        <f t="shared" si="384"/>
        <v>19</v>
      </c>
      <c r="J210" s="68">
        <f t="shared" si="385"/>
        <v>23</v>
      </c>
      <c r="K210" s="68">
        <f t="shared" si="386"/>
        <v>24</v>
      </c>
      <c r="L210" s="68">
        <f t="shared" si="387"/>
        <v>20</v>
      </c>
      <c r="M210" s="569">
        <f t="shared" si="388"/>
        <v>23</v>
      </c>
      <c r="N210" s="74" t="s">
        <v>1300</v>
      </c>
      <c r="O210" s="678"/>
      <c r="P210" s="571"/>
      <c r="Q210" s="571" t="s">
        <v>1676</v>
      </c>
      <c r="R210" s="571" t="s">
        <v>1685</v>
      </c>
      <c r="S210" s="791" t="s">
        <v>1295</v>
      </c>
      <c r="T210" s="572" t="s">
        <v>1301</v>
      </c>
      <c r="U210" s="54">
        <v>66.0</v>
      </c>
      <c r="V210" s="54">
        <v>49.0</v>
      </c>
      <c r="W210" s="679">
        <v>168.0</v>
      </c>
      <c r="X210" s="679">
        <v>97.0</v>
      </c>
      <c r="Y210" s="54">
        <v>4.0</v>
      </c>
      <c r="Z210" s="54">
        <v>0.0</v>
      </c>
      <c r="AA210" s="54">
        <v>4.0</v>
      </c>
      <c r="AB210" s="669">
        <v>105.0</v>
      </c>
      <c r="AC210" s="54">
        <v>17347.0</v>
      </c>
      <c r="AD210" s="54">
        <v>4.0</v>
      </c>
      <c r="AE210" s="54">
        <v>75.0</v>
      </c>
      <c r="AF210" s="54">
        <v>75.0</v>
      </c>
      <c r="AG210" s="54">
        <v>36.0</v>
      </c>
      <c r="AH210" s="54">
        <v>180.0</v>
      </c>
      <c r="AI210" s="574">
        <f t="shared" si="12"/>
        <v>108</v>
      </c>
      <c r="AJ210" s="74"/>
      <c r="AK210" s="74"/>
      <c r="AL210" s="74"/>
      <c r="AM210" s="74"/>
      <c r="AN210" s="74"/>
      <c r="AO210" s="74"/>
      <c r="AP210" s="74"/>
      <c r="AQ210" s="74"/>
      <c r="AR210" s="74"/>
      <c r="AS210" s="575"/>
      <c r="AT210" s="68">
        <f t="shared" si="13"/>
        <v>990</v>
      </c>
      <c r="AU210" s="68">
        <f t="shared" si="14"/>
        <v>3851</v>
      </c>
      <c r="AV210" s="581">
        <f t="shared" si="15"/>
        <v>2420.5</v>
      </c>
      <c r="AW210" s="582">
        <f t="shared" si="276"/>
        <v>3560</v>
      </c>
      <c r="AX210" s="582">
        <f t="shared" si="389"/>
        <v>2751</v>
      </c>
      <c r="AY210" s="582">
        <f t="shared" si="390"/>
        <v>3362</v>
      </c>
      <c r="AZ210" s="582">
        <f t="shared" si="391"/>
        <v>3185</v>
      </c>
      <c r="BA210" s="582">
        <f t="shared" si="392"/>
        <v>2631</v>
      </c>
      <c r="BB210" s="582">
        <f t="shared" si="393"/>
        <v>2751</v>
      </c>
      <c r="BC210" s="582">
        <f t="shared" si="394"/>
        <v>2751</v>
      </c>
      <c r="BD210" s="582">
        <f t="shared" si="395"/>
        <v>1834</v>
      </c>
      <c r="BE210" s="582">
        <f t="shared" si="396"/>
        <v>2241</v>
      </c>
      <c r="BF210" s="582">
        <f t="shared" si="397"/>
        <v>2241</v>
      </c>
      <c r="BG210" s="582">
        <f t="shared" si="398"/>
        <v>2751</v>
      </c>
      <c r="BH210" s="582">
        <f t="shared" si="284"/>
        <v>2882</v>
      </c>
      <c r="BI210" s="582">
        <f t="shared" si="399"/>
        <v>2241</v>
      </c>
      <c r="BJ210" s="582">
        <f t="shared" si="400"/>
        <v>2631</v>
      </c>
      <c r="BK210" s="582">
        <f t="shared" si="401"/>
        <v>2161</v>
      </c>
      <c r="BL210" s="582">
        <f t="shared" si="402"/>
        <v>2241</v>
      </c>
      <c r="BM210" s="74"/>
      <c r="BN210" s="582">
        <f t="shared" si="403"/>
        <v>4034</v>
      </c>
      <c r="BO210" s="74"/>
      <c r="BP210" s="602">
        <f t="shared" si="33"/>
        <v>4034</v>
      </c>
      <c r="BQ210" s="670">
        <v>29.0</v>
      </c>
      <c r="BR210" s="670">
        <v>144.0</v>
      </c>
      <c r="BS210" s="365"/>
      <c r="BT210" s="670">
        <v>100.0</v>
      </c>
      <c r="BU210" s="365"/>
      <c r="BV210" s="671">
        <f t="shared" si="34"/>
        <v>86.5</v>
      </c>
      <c r="BW210" s="672">
        <f t="shared" si="35"/>
        <v>2031</v>
      </c>
      <c r="BX210" s="673">
        <f t="shared" si="289"/>
        <v>2986.8</v>
      </c>
      <c r="BY210" s="673">
        <f t="shared" si="404"/>
        <v>2308</v>
      </c>
      <c r="BZ210" s="673">
        <f t="shared" si="405"/>
        <v>2820.8</v>
      </c>
      <c r="CA210" s="673">
        <f t="shared" si="406"/>
        <v>2308</v>
      </c>
      <c r="CB210" s="673">
        <f t="shared" si="407"/>
        <v>2207.6</v>
      </c>
      <c r="CC210" s="673">
        <f t="shared" si="408"/>
        <v>2672.4</v>
      </c>
      <c r="CD210" s="673">
        <f t="shared" si="409"/>
        <v>2308</v>
      </c>
      <c r="CE210" s="674">
        <f t="shared" si="43"/>
        <v>24.9</v>
      </c>
      <c r="CF210" s="763">
        <f t="shared" si="248"/>
        <v>19.2</v>
      </c>
      <c r="CG210" s="676">
        <f t="shared" si="295"/>
        <v>19.2</v>
      </c>
      <c r="CH210" s="575" t="s">
        <v>1300</v>
      </c>
      <c r="CI210" s="582">
        <f t="shared" ref="CI210:DF210" si="421">FLOOR($AV210/(CI$3/25),1)</f>
        <v>2420</v>
      </c>
      <c r="CJ210" s="582">
        <f t="shared" si="421"/>
        <v>2521</v>
      </c>
      <c r="CK210" s="582">
        <f t="shared" si="421"/>
        <v>2630</v>
      </c>
      <c r="CL210" s="582">
        <f t="shared" si="421"/>
        <v>2750</v>
      </c>
      <c r="CM210" s="582">
        <f t="shared" si="421"/>
        <v>2881</v>
      </c>
      <c r="CN210" s="582">
        <f t="shared" si="421"/>
        <v>3025</v>
      </c>
      <c r="CO210" s="582">
        <f t="shared" si="421"/>
        <v>3184</v>
      </c>
      <c r="CP210" s="582">
        <f t="shared" si="421"/>
        <v>3361</v>
      </c>
      <c r="CQ210" s="582">
        <f t="shared" si="421"/>
        <v>3559</v>
      </c>
      <c r="CR210" s="582">
        <f t="shared" si="421"/>
        <v>3782</v>
      </c>
      <c r="CS210" s="582">
        <f t="shared" si="421"/>
        <v>4034</v>
      </c>
      <c r="CT210" s="582">
        <f t="shared" si="421"/>
        <v>4322</v>
      </c>
      <c r="CU210" s="582">
        <f t="shared" si="421"/>
        <v>4654</v>
      </c>
      <c r="CV210" s="582">
        <f t="shared" si="421"/>
        <v>5042</v>
      </c>
      <c r="CW210" s="582">
        <f t="shared" si="421"/>
        <v>5501</v>
      </c>
      <c r="CX210" s="582">
        <f t="shared" si="421"/>
        <v>6051</v>
      </c>
      <c r="CY210" s="582">
        <f t="shared" si="421"/>
        <v>6723</v>
      </c>
      <c r="CZ210" s="582">
        <f t="shared" si="421"/>
        <v>7564</v>
      </c>
      <c r="DA210" s="582">
        <f t="shared" si="421"/>
        <v>8644</v>
      </c>
      <c r="DB210" s="582">
        <f t="shared" si="421"/>
        <v>10085</v>
      </c>
      <c r="DC210" s="582">
        <f t="shared" si="421"/>
        <v>12102</v>
      </c>
      <c r="DD210" s="582">
        <f t="shared" si="421"/>
        <v>15128</v>
      </c>
      <c r="DE210" s="582">
        <f t="shared" si="421"/>
        <v>20170</v>
      </c>
      <c r="DF210" s="602">
        <f t="shared" si="421"/>
        <v>30256</v>
      </c>
      <c r="DG210" s="575"/>
      <c r="DH210" s="575" t="str">
        <f t="shared" si="46"/>
        <v/>
      </c>
      <c r="DI210" s="74" t="str">
        <f t="shared" si="47"/>
        <v/>
      </c>
      <c r="DJ210" s="74" t="str">
        <f t="shared" si="48"/>
        <v/>
      </c>
      <c r="DK210" s="623" t="str">
        <f t="shared" si="49"/>
        <v/>
      </c>
      <c r="DL210" s="74"/>
      <c r="DM210" s="74"/>
      <c r="DN210" s="582">
        <f t="shared" si="416"/>
        <v>3.1</v>
      </c>
      <c r="DO210" s="575"/>
      <c r="DP210" s="297"/>
    </row>
    <row r="211">
      <c r="A211" s="552">
        <v>205.0</v>
      </c>
      <c r="B211" s="86">
        <v>297.0</v>
      </c>
      <c r="C211" s="54">
        <v>42.0</v>
      </c>
      <c r="D211" s="54">
        <v>92.0</v>
      </c>
      <c r="E211" s="74"/>
      <c r="F211" s="68" t="s">
        <v>2356</v>
      </c>
      <c r="G211" s="68">
        <f t="shared" si="269"/>
        <v>18</v>
      </c>
      <c r="H211" s="68">
        <f t="shared" si="383"/>
        <v>23</v>
      </c>
      <c r="I211" s="68">
        <f t="shared" si="384"/>
        <v>19</v>
      </c>
      <c r="J211" s="68">
        <f t="shared" si="385"/>
        <v>23</v>
      </c>
      <c r="K211" s="68">
        <f t="shared" si="386"/>
        <v>24</v>
      </c>
      <c r="L211" s="68">
        <f t="shared" si="387"/>
        <v>20</v>
      </c>
      <c r="M211" s="569">
        <f t="shared" si="388"/>
        <v>23</v>
      </c>
      <c r="N211" s="74" t="s">
        <v>1308</v>
      </c>
      <c r="O211" s="570" t="s">
        <v>2023</v>
      </c>
      <c r="P211" s="571"/>
      <c r="Q211" s="571" t="s">
        <v>1676</v>
      </c>
      <c r="R211" s="571" t="s">
        <v>1685</v>
      </c>
      <c r="S211" s="791" t="s">
        <v>1295</v>
      </c>
      <c r="T211" s="572" t="s">
        <v>1309</v>
      </c>
      <c r="U211" s="54">
        <v>74.0</v>
      </c>
      <c r="V211" s="54">
        <v>55.0</v>
      </c>
      <c r="W211" s="54">
        <v>132.0</v>
      </c>
      <c r="X211" s="679">
        <v>134.0</v>
      </c>
      <c r="Y211" s="54">
        <v>5.0</v>
      </c>
      <c r="Z211" s="54">
        <v>-20.0</v>
      </c>
      <c r="AA211" s="54">
        <v>4.0</v>
      </c>
      <c r="AB211" s="669">
        <v>84.0</v>
      </c>
      <c r="AC211" s="54">
        <v>14658.0</v>
      </c>
      <c r="AD211" s="54">
        <v>4.0</v>
      </c>
      <c r="AE211" s="54">
        <v>75.0</v>
      </c>
      <c r="AF211" s="54">
        <v>75.0</v>
      </c>
      <c r="AG211" s="54">
        <v>52.0</v>
      </c>
      <c r="AH211" s="54">
        <v>115.0</v>
      </c>
      <c r="AI211" s="574">
        <f t="shared" si="12"/>
        <v>83.5</v>
      </c>
      <c r="AJ211" s="37"/>
      <c r="AK211" s="74"/>
      <c r="AL211" s="74"/>
      <c r="AM211" s="74"/>
      <c r="AN211" s="74"/>
      <c r="AO211" s="74"/>
      <c r="AP211" s="74"/>
      <c r="AQ211" s="74"/>
      <c r="AR211" s="74"/>
      <c r="AS211" s="575"/>
      <c r="AT211" s="68">
        <f t="shared" si="13"/>
        <v>1308</v>
      </c>
      <c r="AU211" s="68">
        <f t="shared" si="14"/>
        <v>2560</v>
      </c>
      <c r="AV211" s="581">
        <f t="shared" si="15"/>
        <v>1934</v>
      </c>
      <c r="AW211" s="582">
        <f t="shared" si="276"/>
        <v>3223</v>
      </c>
      <c r="AX211" s="582">
        <f t="shared" si="389"/>
        <v>2545</v>
      </c>
      <c r="AY211" s="582">
        <f t="shared" si="390"/>
        <v>3223</v>
      </c>
      <c r="AZ211" s="582">
        <f t="shared" si="391"/>
        <v>3022</v>
      </c>
      <c r="BA211" s="582">
        <f t="shared" si="392"/>
        <v>2418</v>
      </c>
      <c r="BB211" s="582">
        <f t="shared" si="393"/>
        <v>2545</v>
      </c>
      <c r="BC211" s="582">
        <f t="shared" si="394"/>
        <v>2545</v>
      </c>
      <c r="BD211" s="582">
        <f t="shared" si="395"/>
        <v>2198</v>
      </c>
      <c r="BE211" s="582">
        <f t="shared" si="396"/>
        <v>2545</v>
      </c>
      <c r="BF211" s="582">
        <f t="shared" si="397"/>
        <v>2686</v>
      </c>
      <c r="BG211" s="582">
        <f t="shared" si="398"/>
        <v>3223</v>
      </c>
      <c r="BH211" s="582">
        <f t="shared" si="284"/>
        <v>3223</v>
      </c>
      <c r="BI211" s="582">
        <f t="shared" si="399"/>
        <v>2545</v>
      </c>
      <c r="BJ211" s="582">
        <f t="shared" si="400"/>
        <v>3223</v>
      </c>
      <c r="BK211" s="582">
        <f t="shared" si="401"/>
        <v>2418</v>
      </c>
      <c r="BL211" s="582">
        <f t="shared" si="402"/>
        <v>2545</v>
      </c>
      <c r="BM211" s="74"/>
      <c r="BN211" s="582">
        <f t="shared" si="403"/>
        <v>3719</v>
      </c>
      <c r="BO211" s="74"/>
      <c r="BP211" s="602">
        <f t="shared" si="33"/>
        <v>3719</v>
      </c>
      <c r="BQ211" s="670">
        <v>42.0</v>
      </c>
      <c r="BR211" s="670">
        <v>92.0</v>
      </c>
      <c r="BS211" s="670">
        <v>-20.0</v>
      </c>
      <c r="BT211" s="670">
        <v>100.0</v>
      </c>
      <c r="BU211" s="365"/>
      <c r="BV211" s="671">
        <f t="shared" si="34"/>
        <v>67</v>
      </c>
      <c r="BW211" s="672">
        <f t="shared" si="35"/>
        <v>1636.2</v>
      </c>
      <c r="BX211" s="673">
        <f t="shared" si="289"/>
        <v>2727</v>
      </c>
      <c r="BY211" s="673">
        <f t="shared" si="404"/>
        <v>2152.9</v>
      </c>
      <c r="BZ211" s="673">
        <f t="shared" si="405"/>
        <v>2727</v>
      </c>
      <c r="CA211" s="673">
        <f t="shared" si="406"/>
        <v>2152.9</v>
      </c>
      <c r="CB211" s="673">
        <f t="shared" si="407"/>
        <v>2045.3</v>
      </c>
      <c r="CC211" s="673">
        <f t="shared" si="408"/>
        <v>2556.6</v>
      </c>
      <c r="CD211" s="673">
        <f t="shared" si="409"/>
        <v>2152.9</v>
      </c>
      <c r="CE211" s="674">
        <f t="shared" si="43"/>
        <v>24.6</v>
      </c>
      <c r="CF211" s="763">
        <f t="shared" si="248"/>
        <v>18.2</v>
      </c>
      <c r="CG211" s="676">
        <f t="shared" si="295"/>
        <v>18.2</v>
      </c>
      <c r="CH211" s="575" t="s">
        <v>1308</v>
      </c>
      <c r="CI211" s="582">
        <f t="shared" ref="CI211:DF211" si="422">FLOOR($AV211/(CI$3/25),1)</f>
        <v>1934</v>
      </c>
      <c r="CJ211" s="582">
        <f t="shared" si="422"/>
        <v>2014</v>
      </c>
      <c r="CK211" s="582">
        <f t="shared" si="422"/>
        <v>2102</v>
      </c>
      <c r="CL211" s="582">
        <f t="shared" si="422"/>
        <v>2197</v>
      </c>
      <c r="CM211" s="582">
        <f t="shared" si="422"/>
        <v>2302</v>
      </c>
      <c r="CN211" s="582">
        <f t="shared" si="422"/>
        <v>2417</v>
      </c>
      <c r="CO211" s="582">
        <f t="shared" si="422"/>
        <v>2544</v>
      </c>
      <c r="CP211" s="582">
        <f t="shared" si="422"/>
        <v>2686</v>
      </c>
      <c r="CQ211" s="582">
        <f t="shared" si="422"/>
        <v>2844</v>
      </c>
      <c r="CR211" s="582">
        <f t="shared" si="422"/>
        <v>3021</v>
      </c>
      <c r="CS211" s="582">
        <f t="shared" si="422"/>
        <v>3223</v>
      </c>
      <c r="CT211" s="582">
        <f t="shared" si="422"/>
        <v>3453</v>
      </c>
      <c r="CU211" s="582">
        <f t="shared" si="422"/>
        <v>3719</v>
      </c>
      <c r="CV211" s="582">
        <f t="shared" si="422"/>
        <v>4029</v>
      </c>
      <c r="CW211" s="582">
        <f t="shared" si="422"/>
        <v>4395</v>
      </c>
      <c r="CX211" s="582">
        <f t="shared" si="422"/>
        <v>4835</v>
      </c>
      <c r="CY211" s="582">
        <f t="shared" si="422"/>
        <v>5372</v>
      </c>
      <c r="CZ211" s="582">
        <f t="shared" si="422"/>
        <v>6043</v>
      </c>
      <c r="DA211" s="582">
        <f t="shared" si="422"/>
        <v>6907</v>
      </c>
      <c r="DB211" s="582">
        <f t="shared" si="422"/>
        <v>8058</v>
      </c>
      <c r="DC211" s="582">
        <f t="shared" si="422"/>
        <v>9670</v>
      </c>
      <c r="DD211" s="582">
        <f t="shared" si="422"/>
        <v>12087</v>
      </c>
      <c r="DE211" s="582">
        <f t="shared" si="422"/>
        <v>16116</v>
      </c>
      <c r="DF211" s="602">
        <f t="shared" si="422"/>
        <v>24175</v>
      </c>
      <c r="DG211" s="575"/>
      <c r="DH211" s="575" t="str">
        <f t="shared" si="46"/>
        <v/>
      </c>
      <c r="DI211" s="74" t="str">
        <f t="shared" si="47"/>
        <v/>
      </c>
      <c r="DJ211" s="74" t="str">
        <f t="shared" si="48"/>
        <v/>
      </c>
      <c r="DK211" s="623" t="str">
        <f t="shared" si="49"/>
        <v/>
      </c>
      <c r="DL211" s="74"/>
      <c r="DM211" s="74"/>
      <c r="DN211" s="582">
        <f t="shared" si="416"/>
        <v>2.1</v>
      </c>
      <c r="DO211" s="575"/>
      <c r="DP211" s="297"/>
    </row>
    <row r="212">
      <c r="A212" s="552">
        <v>206.0</v>
      </c>
      <c r="B212" s="86">
        <v>298.0</v>
      </c>
      <c r="C212" s="54">
        <v>18.0</v>
      </c>
      <c r="D212" s="54">
        <v>155.0</v>
      </c>
      <c r="E212" s="74"/>
      <c r="F212" s="68" t="s">
        <v>2356</v>
      </c>
      <c r="G212" s="68">
        <f t="shared" si="269"/>
        <v>18</v>
      </c>
      <c r="H212" s="68">
        <f t="shared" si="383"/>
        <v>23</v>
      </c>
      <c r="I212" s="68">
        <f t="shared" si="384"/>
        <v>19</v>
      </c>
      <c r="J212" s="68">
        <f t="shared" si="385"/>
        <v>23</v>
      </c>
      <c r="K212" s="68">
        <f t="shared" si="386"/>
        <v>24</v>
      </c>
      <c r="L212" s="68">
        <f t="shared" si="387"/>
        <v>20</v>
      </c>
      <c r="M212" s="569">
        <f t="shared" si="388"/>
        <v>23</v>
      </c>
      <c r="N212" s="74" t="s">
        <v>1317</v>
      </c>
      <c r="O212" s="570" t="s">
        <v>2358</v>
      </c>
      <c r="P212" s="571"/>
      <c r="Q212" s="571" t="s">
        <v>1676</v>
      </c>
      <c r="R212" s="571" t="s">
        <v>1685</v>
      </c>
      <c r="S212" s="791" t="s">
        <v>1295</v>
      </c>
      <c r="T212" s="572" t="s">
        <v>1318</v>
      </c>
      <c r="U212" s="54">
        <v>83.0</v>
      </c>
      <c r="V212" s="54">
        <v>62.0</v>
      </c>
      <c r="W212" s="54">
        <v>122.0</v>
      </c>
      <c r="X212" s="679">
        <v>163.0</v>
      </c>
      <c r="Y212" s="54">
        <v>6.0</v>
      </c>
      <c r="Z212" s="54">
        <v>0.0</v>
      </c>
      <c r="AA212" s="54">
        <v>4.0</v>
      </c>
      <c r="AB212" s="669">
        <v>75.0</v>
      </c>
      <c r="AC212" s="54">
        <v>17248.0</v>
      </c>
      <c r="AD212" s="54">
        <v>4.0</v>
      </c>
      <c r="AE212" s="54">
        <v>75.0</v>
      </c>
      <c r="AF212" s="54">
        <v>75.0</v>
      </c>
      <c r="AG212" s="54">
        <v>23.0</v>
      </c>
      <c r="AH212" s="54">
        <v>194.0</v>
      </c>
      <c r="AI212" s="574">
        <f t="shared" si="12"/>
        <v>108.5</v>
      </c>
      <c r="AJ212" s="37"/>
      <c r="AK212" s="74"/>
      <c r="AL212" s="74"/>
      <c r="AM212" s="74"/>
      <c r="AN212" s="74"/>
      <c r="AO212" s="74"/>
      <c r="AP212" s="74"/>
      <c r="AQ212" s="74"/>
      <c r="AR212" s="74"/>
      <c r="AS212" s="575"/>
      <c r="AT212" s="68">
        <f t="shared" si="13"/>
        <v>727</v>
      </c>
      <c r="AU212" s="68">
        <f t="shared" si="14"/>
        <v>4131</v>
      </c>
      <c r="AV212" s="581">
        <f t="shared" si="15"/>
        <v>2429</v>
      </c>
      <c r="AW212" s="582">
        <f t="shared" si="276"/>
        <v>3572</v>
      </c>
      <c r="AX212" s="582">
        <f t="shared" si="389"/>
        <v>2760</v>
      </c>
      <c r="AY212" s="582">
        <f t="shared" si="390"/>
        <v>3374</v>
      </c>
      <c r="AZ212" s="582">
        <f t="shared" si="391"/>
        <v>3196</v>
      </c>
      <c r="BA212" s="582">
        <f t="shared" si="392"/>
        <v>2640</v>
      </c>
      <c r="BB212" s="582">
        <f t="shared" si="393"/>
        <v>2760</v>
      </c>
      <c r="BC212" s="582">
        <f t="shared" si="394"/>
        <v>2760</v>
      </c>
      <c r="BD212" s="582">
        <f t="shared" si="395"/>
        <v>1840</v>
      </c>
      <c r="BE212" s="582">
        <f t="shared" si="396"/>
        <v>2249</v>
      </c>
      <c r="BF212" s="582">
        <f t="shared" si="397"/>
        <v>2249</v>
      </c>
      <c r="BG212" s="582">
        <f t="shared" si="398"/>
        <v>2760</v>
      </c>
      <c r="BH212" s="582">
        <f t="shared" si="284"/>
        <v>2892</v>
      </c>
      <c r="BI212" s="582">
        <f t="shared" si="399"/>
        <v>2249</v>
      </c>
      <c r="BJ212" s="582">
        <f t="shared" si="400"/>
        <v>2640</v>
      </c>
      <c r="BK212" s="582">
        <f t="shared" si="401"/>
        <v>2169</v>
      </c>
      <c r="BL212" s="582">
        <f t="shared" si="402"/>
        <v>2249</v>
      </c>
      <c r="BM212" s="74"/>
      <c r="BN212" s="582">
        <f t="shared" si="403"/>
        <v>4048</v>
      </c>
      <c r="BO212" s="74"/>
      <c r="BP212" s="602">
        <f t="shared" si="33"/>
        <v>4048</v>
      </c>
      <c r="BQ212" s="670">
        <v>18.0</v>
      </c>
      <c r="BR212" s="670">
        <v>155.0</v>
      </c>
      <c r="BS212" s="365"/>
      <c r="BT212" s="670">
        <v>100.0</v>
      </c>
      <c r="BU212" s="365"/>
      <c r="BV212" s="671">
        <f t="shared" si="34"/>
        <v>86.5</v>
      </c>
      <c r="BW212" s="672">
        <f t="shared" si="35"/>
        <v>2031</v>
      </c>
      <c r="BX212" s="673">
        <f t="shared" si="289"/>
        <v>2986.8</v>
      </c>
      <c r="BY212" s="673">
        <f t="shared" si="404"/>
        <v>2308</v>
      </c>
      <c r="BZ212" s="673">
        <f t="shared" si="405"/>
        <v>2820.8</v>
      </c>
      <c r="CA212" s="673">
        <f t="shared" si="406"/>
        <v>2308</v>
      </c>
      <c r="CB212" s="673">
        <f t="shared" si="407"/>
        <v>2207.6</v>
      </c>
      <c r="CC212" s="673">
        <f t="shared" si="408"/>
        <v>2672.4</v>
      </c>
      <c r="CD212" s="673">
        <f t="shared" si="409"/>
        <v>2308</v>
      </c>
      <c r="CE212" s="674">
        <f t="shared" si="43"/>
        <v>25.4</v>
      </c>
      <c r="CF212" s="763">
        <f t="shared" si="248"/>
        <v>19.6</v>
      </c>
      <c r="CG212" s="676">
        <f t="shared" si="295"/>
        <v>19.6</v>
      </c>
      <c r="CH212" s="575" t="s">
        <v>1317</v>
      </c>
      <c r="CI212" s="582">
        <f t="shared" ref="CI212:DF212" si="423">FLOOR($AV212/(CI$3/25),1)</f>
        <v>2429</v>
      </c>
      <c r="CJ212" s="582">
        <f t="shared" si="423"/>
        <v>2530</v>
      </c>
      <c r="CK212" s="582">
        <f t="shared" si="423"/>
        <v>2640</v>
      </c>
      <c r="CL212" s="582">
        <f t="shared" si="423"/>
        <v>2760</v>
      </c>
      <c r="CM212" s="582">
        <f t="shared" si="423"/>
        <v>2891</v>
      </c>
      <c r="CN212" s="582">
        <f t="shared" si="423"/>
        <v>3036</v>
      </c>
      <c r="CO212" s="582">
        <f t="shared" si="423"/>
        <v>3196</v>
      </c>
      <c r="CP212" s="582">
        <f t="shared" si="423"/>
        <v>3373</v>
      </c>
      <c r="CQ212" s="582">
        <f t="shared" si="423"/>
        <v>3572</v>
      </c>
      <c r="CR212" s="582">
        <f t="shared" si="423"/>
        <v>3795</v>
      </c>
      <c r="CS212" s="582">
        <f t="shared" si="423"/>
        <v>4048</v>
      </c>
      <c r="CT212" s="582">
        <f t="shared" si="423"/>
        <v>4337</v>
      </c>
      <c r="CU212" s="582">
        <f t="shared" si="423"/>
        <v>4671</v>
      </c>
      <c r="CV212" s="582">
        <f t="shared" si="423"/>
        <v>5060</v>
      </c>
      <c r="CW212" s="582">
        <f t="shared" si="423"/>
        <v>5520</v>
      </c>
      <c r="CX212" s="582">
        <f t="shared" si="423"/>
        <v>6072</v>
      </c>
      <c r="CY212" s="582">
        <f t="shared" si="423"/>
        <v>6747</v>
      </c>
      <c r="CZ212" s="582">
        <f t="shared" si="423"/>
        <v>7590</v>
      </c>
      <c r="DA212" s="582">
        <f t="shared" si="423"/>
        <v>8675</v>
      </c>
      <c r="DB212" s="582">
        <f t="shared" si="423"/>
        <v>10120</v>
      </c>
      <c r="DC212" s="582">
        <f t="shared" si="423"/>
        <v>12145</v>
      </c>
      <c r="DD212" s="582">
        <f t="shared" si="423"/>
        <v>15181</v>
      </c>
      <c r="DE212" s="582">
        <f t="shared" si="423"/>
        <v>20241</v>
      </c>
      <c r="DF212" s="602">
        <f t="shared" si="423"/>
        <v>30362</v>
      </c>
      <c r="DG212" s="575"/>
      <c r="DH212" s="575" t="str">
        <f t="shared" si="46"/>
        <v/>
      </c>
      <c r="DI212" s="74" t="str">
        <f t="shared" si="47"/>
        <v/>
      </c>
      <c r="DJ212" s="74" t="str">
        <f t="shared" si="48"/>
        <v/>
      </c>
      <c r="DK212" s="623" t="str">
        <f t="shared" si="49"/>
        <v/>
      </c>
      <c r="DL212" s="74"/>
      <c r="DM212" s="74"/>
      <c r="DN212" s="582">
        <f t="shared" si="416"/>
        <v>1.7</v>
      </c>
      <c r="DO212" s="575"/>
      <c r="DP212" s="297"/>
    </row>
    <row r="213">
      <c r="A213" s="764">
        <v>207.0</v>
      </c>
      <c r="B213" s="765">
        <v>299.0</v>
      </c>
      <c r="C213" s="766">
        <v>33.0</v>
      </c>
      <c r="D213" s="766">
        <v>178.0</v>
      </c>
      <c r="E213" s="767"/>
      <c r="F213" s="768" t="s">
        <v>2356</v>
      </c>
      <c r="G213" s="768">
        <f t="shared" si="269"/>
        <v>18</v>
      </c>
      <c r="H213" s="768">
        <f t="shared" si="383"/>
        <v>23</v>
      </c>
      <c r="I213" s="768">
        <f t="shared" si="384"/>
        <v>19</v>
      </c>
      <c r="J213" s="768">
        <f t="shared" si="385"/>
        <v>23</v>
      </c>
      <c r="K213" s="768">
        <f t="shared" si="386"/>
        <v>24</v>
      </c>
      <c r="L213" s="768">
        <f t="shared" si="387"/>
        <v>20</v>
      </c>
      <c r="M213" s="769">
        <f t="shared" si="388"/>
        <v>23</v>
      </c>
      <c r="N213" s="767" t="s">
        <v>1325</v>
      </c>
      <c r="O213" s="770" t="s">
        <v>2025</v>
      </c>
      <c r="P213" s="771"/>
      <c r="Q213" s="771" t="s">
        <v>1676</v>
      </c>
      <c r="R213" s="771" t="s">
        <v>1685</v>
      </c>
      <c r="S213" s="800" t="s">
        <v>1295</v>
      </c>
      <c r="T213" s="772" t="s">
        <v>1326</v>
      </c>
      <c r="U213" s="766">
        <v>85.0</v>
      </c>
      <c r="V213" s="766">
        <v>66.0</v>
      </c>
      <c r="W213" s="773">
        <v>165.0</v>
      </c>
      <c r="X213" s="773">
        <v>106.0</v>
      </c>
      <c r="Y213" s="766">
        <v>6.0</v>
      </c>
      <c r="Z213" s="766">
        <v>20.0</v>
      </c>
      <c r="AA213" s="766">
        <v>4.0</v>
      </c>
      <c r="AB213" s="774">
        <v>75.0</v>
      </c>
      <c r="AC213" s="766">
        <v>16070.0</v>
      </c>
      <c r="AD213" s="766">
        <v>4.0</v>
      </c>
      <c r="AE213" s="766">
        <v>75.0</v>
      </c>
      <c r="AF213" s="766">
        <v>75.0</v>
      </c>
      <c r="AG213" s="766">
        <v>41.0</v>
      </c>
      <c r="AH213" s="766">
        <v>223.0</v>
      </c>
      <c r="AI213" s="775">
        <f t="shared" si="12"/>
        <v>132</v>
      </c>
      <c r="AJ213" s="767"/>
      <c r="AK213" s="801"/>
      <c r="AL213" s="767"/>
      <c r="AM213" s="767"/>
      <c r="AN213" s="767"/>
      <c r="AO213" s="767"/>
      <c r="AP213" s="767"/>
      <c r="AQ213" s="801"/>
      <c r="AR213" s="767"/>
      <c r="AS213" s="776"/>
      <c r="AT213" s="768">
        <f t="shared" si="13"/>
        <v>1086</v>
      </c>
      <c r="AU213" s="768">
        <f t="shared" si="14"/>
        <v>4706</v>
      </c>
      <c r="AV213" s="777">
        <f t="shared" si="15"/>
        <v>2896</v>
      </c>
      <c r="AW213" s="778">
        <f t="shared" si="276"/>
        <v>3291</v>
      </c>
      <c r="AX213" s="778">
        <f t="shared" si="389"/>
        <v>2586</v>
      </c>
      <c r="AY213" s="778">
        <f t="shared" si="390"/>
        <v>3148</v>
      </c>
      <c r="AZ213" s="778">
        <f t="shared" si="391"/>
        <v>2896</v>
      </c>
      <c r="BA213" s="778">
        <f t="shared" si="392"/>
        <v>2413</v>
      </c>
      <c r="BB213" s="778">
        <f t="shared" si="393"/>
        <v>2586</v>
      </c>
      <c r="BC213" s="778">
        <f t="shared" si="394"/>
        <v>2586</v>
      </c>
      <c r="BD213" s="778">
        <f t="shared" si="395"/>
        <v>1420</v>
      </c>
      <c r="BE213" s="778">
        <f t="shared" si="396"/>
        <v>1724</v>
      </c>
      <c r="BF213" s="778">
        <f t="shared" si="397"/>
        <v>1766</v>
      </c>
      <c r="BG213" s="778">
        <f t="shared" si="398"/>
        <v>2129</v>
      </c>
      <c r="BH213" s="778">
        <f t="shared" si="284"/>
        <v>2194</v>
      </c>
      <c r="BI213" s="778">
        <f t="shared" si="399"/>
        <v>1724</v>
      </c>
      <c r="BJ213" s="778">
        <f t="shared" si="400"/>
        <v>1957</v>
      </c>
      <c r="BK213" s="778">
        <f t="shared" si="401"/>
        <v>1609</v>
      </c>
      <c r="BL213" s="778">
        <f t="shared" si="402"/>
        <v>1724</v>
      </c>
      <c r="BM213" s="767"/>
      <c r="BN213" s="778">
        <f t="shared" si="403"/>
        <v>3620</v>
      </c>
      <c r="BO213" s="767"/>
      <c r="BP213" s="779">
        <f t="shared" si="33"/>
        <v>3620</v>
      </c>
      <c r="BQ213" s="780">
        <v>33.0</v>
      </c>
      <c r="BR213" s="780">
        <v>178.0</v>
      </c>
      <c r="BS213" s="780">
        <v>20.0</v>
      </c>
      <c r="BT213" s="780">
        <v>100.0</v>
      </c>
      <c r="BU213" s="781"/>
      <c r="BV213" s="782">
        <f t="shared" si="34"/>
        <v>105.5</v>
      </c>
      <c r="BW213" s="783">
        <f t="shared" si="35"/>
        <v>2415.7</v>
      </c>
      <c r="BX213" s="784">
        <f t="shared" si="289"/>
        <v>2745.1</v>
      </c>
      <c r="BY213" s="784">
        <f t="shared" si="404"/>
        <v>2156.9</v>
      </c>
      <c r="BZ213" s="784">
        <f t="shared" si="405"/>
        <v>2625.8</v>
      </c>
      <c r="CA213" s="784">
        <f t="shared" si="406"/>
        <v>2156.9</v>
      </c>
      <c r="CB213" s="784">
        <f t="shared" si="407"/>
        <v>2013.1</v>
      </c>
      <c r="CC213" s="784">
        <f t="shared" si="408"/>
        <v>2415.7</v>
      </c>
      <c r="CD213" s="784">
        <f t="shared" si="409"/>
        <v>2156.9</v>
      </c>
      <c r="CE213" s="785">
        <f t="shared" si="43"/>
        <v>25.1</v>
      </c>
      <c r="CF213" s="786">
        <f t="shared" si="248"/>
        <v>19.9</v>
      </c>
      <c r="CG213" s="787">
        <f t="shared" si="295"/>
        <v>19.9</v>
      </c>
      <c r="CH213" s="776" t="s">
        <v>1325</v>
      </c>
      <c r="CI213" s="778">
        <f t="shared" ref="CI213:DF213" si="424">FLOOR($AV213/(CI$3/25),1)</f>
        <v>2896</v>
      </c>
      <c r="CJ213" s="778">
        <f t="shared" si="424"/>
        <v>3016</v>
      </c>
      <c r="CK213" s="778">
        <f t="shared" si="424"/>
        <v>3147</v>
      </c>
      <c r="CL213" s="778">
        <f t="shared" si="424"/>
        <v>3290</v>
      </c>
      <c r="CM213" s="778">
        <f t="shared" si="424"/>
        <v>3447</v>
      </c>
      <c r="CN213" s="778">
        <f t="shared" si="424"/>
        <v>3620</v>
      </c>
      <c r="CO213" s="778">
        <f t="shared" si="424"/>
        <v>3810</v>
      </c>
      <c r="CP213" s="778">
        <f t="shared" si="424"/>
        <v>4022</v>
      </c>
      <c r="CQ213" s="778">
        <f t="shared" si="424"/>
        <v>4258</v>
      </c>
      <c r="CR213" s="778">
        <f t="shared" si="424"/>
        <v>4525</v>
      </c>
      <c r="CS213" s="778">
        <f t="shared" si="424"/>
        <v>4826</v>
      </c>
      <c r="CT213" s="778">
        <f t="shared" si="424"/>
        <v>5171</v>
      </c>
      <c r="CU213" s="778">
        <f t="shared" si="424"/>
        <v>5569</v>
      </c>
      <c r="CV213" s="778">
        <f t="shared" si="424"/>
        <v>6033</v>
      </c>
      <c r="CW213" s="778">
        <f t="shared" si="424"/>
        <v>6581</v>
      </c>
      <c r="CX213" s="778">
        <f t="shared" si="424"/>
        <v>7240</v>
      </c>
      <c r="CY213" s="778">
        <f t="shared" si="424"/>
        <v>8044</v>
      </c>
      <c r="CZ213" s="778">
        <f t="shared" si="424"/>
        <v>9050</v>
      </c>
      <c r="DA213" s="778">
        <f t="shared" si="424"/>
        <v>10342</v>
      </c>
      <c r="DB213" s="778">
        <f t="shared" si="424"/>
        <v>12066</v>
      </c>
      <c r="DC213" s="778">
        <f t="shared" si="424"/>
        <v>14480</v>
      </c>
      <c r="DD213" s="778">
        <f t="shared" si="424"/>
        <v>18100</v>
      </c>
      <c r="DE213" s="778">
        <f t="shared" si="424"/>
        <v>24133</v>
      </c>
      <c r="DF213" s="779">
        <f t="shared" si="424"/>
        <v>36200</v>
      </c>
      <c r="DG213" s="776"/>
      <c r="DH213" s="776" t="str">
        <f t="shared" si="46"/>
        <v/>
      </c>
      <c r="DI213" s="767" t="str">
        <f t="shared" si="47"/>
        <v/>
      </c>
      <c r="DJ213" s="767" t="str">
        <f t="shared" si="48"/>
        <v/>
      </c>
      <c r="DK213" s="803" t="str">
        <f t="shared" si="49"/>
        <v/>
      </c>
      <c r="DL213" s="767"/>
      <c r="DM213" s="767"/>
      <c r="DN213" s="778">
        <f t="shared" si="416"/>
        <v>1.3</v>
      </c>
      <c r="DO213" s="776"/>
      <c r="DP213" s="790"/>
    </row>
    <row r="214">
      <c r="A214" s="552">
        <v>208.0</v>
      </c>
      <c r="B214" s="86">
        <v>73.0</v>
      </c>
      <c r="C214" s="54">
        <v>1.0</v>
      </c>
      <c r="D214" s="54">
        <v>27.0</v>
      </c>
      <c r="E214" s="74"/>
      <c r="F214" s="68" t="s">
        <v>1683</v>
      </c>
      <c r="G214" s="68">
        <f t="shared" si="269"/>
        <v>20</v>
      </c>
      <c r="H214" s="68">
        <f t="shared" si="383"/>
        <v>19</v>
      </c>
      <c r="I214" s="68">
        <f t="shared" si="384"/>
        <v>19</v>
      </c>
      <c r="J214" s="68">
        <f t="shared" si="385"/>
        <v>17</v>
      </c>
      <c r="K214" s="68">
        <f t="shared" si="386"/>
        <v>20</v>
      </c>
      <c r="L214" s="68">
        <f t="shared" si="387"/>
        <v>18</v>
      </c>
      <c r="M214" s="569">
        <f t="shared" si="388"/>
        <v>18</v>
      </c>
      <c r="N214" s="74" t="s">
        <v>1327</v>
      </c>
      <c r="O214" s="570" t="s">
        <v>1996</v>
      </c>
      <c r="P214" s="571"/>
      <c r="Q214" s="571" t="s">
        <v>1313</v>
      </c>
      <c r="R214" s="571" t="s">
        <v>1685</v>
      </c>
      <c r="S214" s="791" t="s">
        <v>1332</v>
      </c>
      <c r="T214" s="572" t="s">
        <v>1038</v>
      </c>
      <c r="U214" s="54">
        <v>5.0</v>
      </c>
      <c r="V214" s="54">
        <v>0.0</v>
      </c>
      <c r="W214" s="54">
        <v>40.0</v>
      </c>
      <c r="X214" s="74"/>
      <c r="Y214" s="573">
        <v>3.0</v>
      </c>
      <c r="Z214" s="54">
        <v>10.0</v>
      </c>
      <c r="AA214" s="54">
        <v>3.0</v>
      </c>
      <c r="AB214" s="54">
        <v>100.0</v>
      </c>
      <c r="AC214" s="54">
        <v>302.0</v>
      </c>
      <c r="AD214" s="54">
        <v>4.0</v>
      </c>
      <c r="AE214" s="54">
        <v>75.0</v>
      </c>
      <c r="AF214" s="54">
        <v>75.0</v>
      </c>
      <c r="AG214" s="54">
        <v>1.0</v>
      </c>
      <c r="AH214" s="54">
        <v>27.0</v>
      </c>
      <c r="AI214" s="574">
        <f t="shared" si="12"/>
        <v>14</v>
      </c>
      <c r="AJ214" s="74"/>
      <c r="AK214" s="74"/>
      <c r="AL214" s="74"/>
      <c r="AM214" s="74"/>
      <c r="AN214" s="74"/>
      <c r="AO214" s="74"/>
      <c r="AP214" s="74"/>
      <c r="AQ214" s="74"/>
      <c r="AR214" s="74"/>
      <c r="AS214" s="575"/>
      <c r="AT214" s="68">
        <f t="shared" si="13"/>
        <v>291</v>
      </c>
      <c r="AU214" s="68">
        <f t="shared" si="14"/>
        <v>811</v>
      </c>
      <c r="AV214" s="581">
        <f t="shared" si="15"/>
        <v>551</v>
      </c>
      <c r="AW214" s="582">
        <f t="shared" si="276"/>
        <v>626</v>
      </c>
      <c r="AX214" s="582">
        <f t="shared" si="389"/>
        <v>656</v>
      </c>
      <c r="AY214" s="582">
        <f t="shared" si="390"/>
        <v>656</v>
      </c>
      <c r="AZ214" s="582">
        <f t="shared" si="391"/>
        <v>689</v>
      </c>
      <c r="BA214" s="582">
        <f t="shared" si="392"/>
        <v>626</v>
      </c>
      <c r="BB214" s="582">
        <f t="shared" si="393"/>
        <v>689</v>
      </c>
      <c r="BC214" s="582">
        <f t="shared" si="394"/>
        <v>765</v>
      </c>
      <c r="BD214" s="582">
        <f t="shared" si="395"/>
        <v>492</v>
      </c>
      <c r="BE214" s="582">
        <f t="shared" si="396"/>
        <v>574</v>
      </c>
      <c r="BF214" s="582">
        <f t="shared" si="397"/>
        <v>417</v>
      </c>
      <c r="BG214" s="582">
        <f t="shared" si="398"/>
        <v>492</v>
      </c>
      <c r="BH214" s="582">
        <f t="shared" si="284"/>
        <v>475</v>
      </c>
      <c r="BI214" s="582">
        <f t="shared" si="399"/>
        <v>492</v>
      </c>
      <c r="BJ214" s="582">
        <f t="shared" si="400"/>
        <v>530</v>
      </c>
      <c r="BK214" s="582">
        <f t="shared" si="401"/>
        <v>475</v>
      </c>
      <c r="BL214" s="582">
        <f t="shared" si="402"/>
        <v>530</v>
      </c>
      <c r="BM214" s="74"/>
      <c r="BN214" s="582">
        <f t="shared" si="403"/>
        <v>810</v>
      </c>
      <c r="BO214" s="74"/>
      <c r="BP214" s="602">
        <f t="shared" si="33"/>
        <v>810</v>
      </c>
      <c r="BQ214" s="54">
        <v>1.0</v>
      </c>
      <c r="BR214" s="54">
        <v>27.0</v>
      </c>
      <c r="BS214" s="54">
        <v>10.0</v>
      </c>
      <c r="BT214" s="54">
        <v>100.0</v>
      </c>
      <c r="BU214" s="74"/>
      <c r="BV214" s="83">
        <f t="shared" si="34"/>
        <v>14</v>
      </c>
      <c r="BW214" s="608">
        <f t="shared" si="35"/>
        <v>563.2</v>
      </c>
      <c r="BX214" s="582">
        <f t="shared" si="289"/>
        <v>640</v>
      </c>
      <c r="BY214" s="582">
        <f t="shared" si="404"/>
        <v>670.5</v>
      </c>
      <c r="BZ214" s="582">
        <f t="shared" si="405"/>
        <v>670.5</v>
      </c>
      <c r="CA214" s="582">
        <f t="shared" si="406"/>
        <v>782.2</v>
      </c>
      <c r="CB214" s="582">
        <f t="shared" si="407"/>
        <v>640</v>
      </c>
      <c r="CC214" s="582">
        <f t="shared" si="408"/>
        <v>704</v>
      </c>
      <c r="CD214" s="582">
        <f t="shared" si="409"/>
        <v>704</v>
      </c>
      <c r="CE214" s="623" t="str">
        <f t="shared" si="43"/>
        <v/>
      </c>
      <c r="CF214" s="706">
        <f t="shared" si="248"/>
        <v>-2.2</v>
      </c>
      <c r="CG214" s="552">
        <f t="shared" si="295"/>
        <v>-2.2</v>
      </c>
      <c r="CH214" s="575" t="s">
        <v>1327</v>
      </c>
      <c r="CI214" s="582">
        <f t="shared" ref="CI214:DF214" si="425">FLOOR($AV214/(CI$3/25),1)</f>
        <v>551</v>
      </c>
      <c r="CJ214" s="582">
        <f t="shared" si="425"/>
        <v>573</v>
      </c>
      <c r="CK214" s="582">
        <f t="shared" si="425"/>
        <v>598</v>
      </c>
      <c r="CL214" s="582">
        <f t="shared" si="425"/>
        <v>626</v>
      </c>
      <c r="CM214" s="582">
        <f t="shared" si="425"/>
        <v>655</v>
      </c>
      <c r="CN214" s="582">
        <f t="shared" si="425"/>
        <v>688</v>
      </c>
      <c r="CO214" s="582">
        <f t="shared" si="425"/>
        <v>725</v>
      </c>
      <c r="CP214" s="582">
        <f t="shared" si="425"/>
        <v>765</v>
      </c>
      <c r="CQ214" s="582">
        <f t="shared" si="425"/>
        <v>810</v>
      </c>
      <c r="CR214" s="582">
        <f t="shared" si="425"/>
        <v>860</v>
      </c>
      <c r="CS214" s="582">
        <f t="shared" si="425"/>
        <v>918</v>
      </c>
      <c r="CT214" s="582">
        <f t="shared" si="425"/>
        <v>983</v>
      </c>
      <c r="CU214" s="582">
        <f t="shared" si="425"/>
        <v>1059</v>
      </c>
      <c r="CV214" s="582">
        <f t="shared" si="425"/>
        <v>1147</v>
      </c>
      <c r="CW214" s="582">
        <f t="shared" si="425"/>
        <v>1252</v>
      </c>
      <c r="CX214" s="582">
        <f t="shared" si="425"/>
        <v>1377</v>
      </c>
      <c r="CY214" s="582">
        <f t="shared" si="425"/>
        <v>1530</v>
      </c>
      <c r="CZ214" s="582">
        <f t="shared" si="425"/>
        <v>1721</v>
      </c>
      <c r="DA214" s="582">
        <f t="shared" si="425"/>
        <v>1967</v>
      </c>
      <c r="DB214" s="582">
        <f t="shared" si="425"/>
        <v>2295</v>
      </c>
      <c r="DC214" s="582">
        <f t="shared" si="425"/>
        <v>2755</v>
      </c>
      <c r="DD214" s="582">
        <f t="shared" si="425"/>
        <v>3443</v>
      </c>
      <c r="DE214" s="582">
        <f t="shared" si="425"/>
        <v>4591</v>
      </c>
      <c r="DF214" s="602">
        <f t="shared" si="425"/>
        <v>6887</v>
      </c>
      <c r="DG214" s="575"/>
      <c r="DH214" s="575" t="str">
        <f t="shared" si="46"/>
        <v/>
      </c>
      <c r="DI214" s="74" t="str">
        <f t="shared" si="47"/>
        <v/>
      </c>
      <c r="DJ214" s="74" t="str">
        <f t="shared" si="48"/>
        <v/>
      </c>
      <c r="DK214" s="792" t="str">
        <f t="shared" si="49"/>
        <v/>
      </c>
      <c r="DL214" s="793"/>
      <c r="DM214" s="793"/>
      <c r="DN214" s="793"/>
      <c r="DO214" s="575"/>
      <c r="DP214" s="297"/>
    </row>
    <row r="215">
      <c r="A215" s="552">
        <v>209.0</v>
      </c>
      <c r="B215" s="86">
        <v>74.0</v>
      </c>
      <c r="C215" s="54">
        <v>6.0</v>
      </c>
      <c r="D215" s="54">
        <v>21.0</v>
      </c>
      <c r="E215" s="74"/>
      <c r="F215" s="68" t="s">
        <v>1683</v>
      </c>
      <c r="G215" s="68">
        <f t="shared" si="269"/>
        <v>20</v>
      </c>
      <c r="H215" s="68">
        <f t="shared" si="383"/>
        <v>19</v>
      </c>
      <c r="I215" s="68">
        <f t="shared" si="384"/>
        <v>19</v>
      </c>
      <c r="J215" s="68">
        <f t="shared" si="385"/>
        <v>17</v>
      </c>
      <c r="K215" s="68">
        <f t="shared" si="386"/>
        <v>20</v>
      </c>
      <c r="L215" s="68">
        <f t="shared" si="387"/>
        <v>18</v>
      </c>
      <c r="M215" s="569">
        <f t="shared" si="388"/>
        <v>18</v>
      </c>
      <c r="N215" s="74" t="s">
        <v>1333</v>
      </c>
      <c r="O215" s="570" t="s">
        <v>1997</v>
      </c>
      <c r="P215" s="571"/>
      <c r="Q215" s="571" t="s">
        <v>1313</v>
      </c>
      <c r="R215" s="571" t="s">
        <v>1685</v>
      </c>
      <c r="S215" s="791" t="s">
        <v>1332</v>
      </c>
      <c r="T215" s="572" t="s">
        <v>1334</v>
      </c>
      <c r="U215" s="54">
        <v>11.0</v>
      </c>
      <c r="V215" s="54">
        <v>0.0</v>
      </c>
      <c r="W215" s="54">
        <v>50.0</v>
      </c>
      <c r="X215" s="74"/>
      <c r="Y215" s="54">
        <v>4.0</v>
      </c>
      <c r="Z215" s="54">
        <v>0.0</v>
      </c>
      <c r="AA215" s="54">
        <v>3.0</v>
      </c>
      <c r="AB215" s="54">
        <v>100.0</v>
      </c>
      <c r="AC215" s="54">
        <v>611.0</v>
      </c>
      <c r="AD215" s="54">
        <v>4.0</v>
      </c>
      <c r="AE215" s="54">
        <v>75.0</v>
      </c>
      <c r="AF215" s="54">
        <v>75.0</v>
      </c>
      <c r="AG215" s="54">
        <v>6.0</v>
      </c>
      <c r="AH215" s="54">
        <v>21.0</v>
      </c>
      <c r="AI215" s="574">
        <f t="shared" si="12"/>
        <v>13.5</v>
      </c>
      <c r="AJ215" s="74"/>
      <c r="AK215" s="74"/>
      <c r="AL215" s="74"/>
      <c r="AM215" s="74"/>
      <c r="AN215" s="74"/>
      <c r="AO215" s="74"/>
      <c r="AP215" s="74"/>
      <c r="AQ215" s="74"/>
      <c r="AR215" s="74"/>
      <c r="AS215" s="575"/>
      <c r="AT215" s="68">
        <f t="shared" si="13"/>
        <v>392</v>
      </c>
      <c r="AU215" s="68">
        <f t="shared" si="14"/>
        <v>688</v>
      </c>
      <c r="AV215" s="581">
        <f t="shared" si="15"/>
        <v>540</v>
      </c>
      <c r="AW215" s="582">
        <f t="shared" si="276"/>
        <v>711</v>
      </c>
      <c r="AX215" s="582">
        <f t="shared" si="389"/>
        <v>750</v>
      </c>
      <c r="AY215" s="582">
        <f t="shared" si="390"/>
        <v>750</v>
      </c>
      <c r="AZ215" s="582">
        <f t="shared" si="391"/>
        <v>794</v>
      </c>
      <c r="BA215" s="582">
        <f t="shared" si="392"/>
        <v>711</v>
      </c>
      <c r="BB215" s="582">
        <f t="shared" si="393"/>
        <v>794</v>
      </c>
      <c r="BC215" s="582">
        <f t="shared" si="394"/>
        <v>844</v>
      </c>
      <c r="BD215" s="582">
        <f t="shared" si="395"/>
        <v>563</v>
      </c>
      <c r="BE215" s="582">
        <f t="shared" si="396"/>
        <v>675</v>
      </c>
      <c r="BF215" s="582">
        <f t="shared" si="397"/>
        <v>500</v>
      </c>
      <c r="BG215" s="582">
        <f t="shared" si="398"/>
        <v>614</v>
      </c>
      <c r="BH215" s="582">
        <f t="shared" si="284"/>
        <v>587</v>
      </c>
      <c r="BI215" s="582">
        <f t="shared" si="399"/>
        <v>614</v>
      </c>
      <c r="BJ215" s="582">
        <f t="shared" si="400"/>
        <v>643</v>
      </c>
      <c r="BK215" s="582">
        <f t="shared" si="401"/>
        <v>587</v>
      </c>
      <c r="BL215" s="582">
        <f t="shared" si="402"/>
        <v>643</v>
      </c>
      <c r="BM215" s="74"/>
      <c r="BN215" s="582">
        <f t="shared" si="403"/>
        <v>900</v>
      </c>
      <c r="BO215" s="74"/>
      <c r="BP215" s="602">
        <f t="shared" si="33"/>
        <v>900</v>
      </c>
      <c r="BQ215" s="54">
        <v>6.0</v>
      </c>
      <c r="BR215" s="54">
        <v>21.0</v>
      </c>
      <c r="BS215" s="74"/>
      <c r="BT215" s="54">
        <v>100.0</v>
      </c>
      <c r="BU215" s="74"/>
      <c r="BV215" s="83">
        <f t="shared" si="34"/>
        <v>13.5</v>
      </c>
      <c r="BW215" s="608">
        <f t="shared" si="35"/>
        <v>553</v>
      </c>
      <c r="BX215" s="582">
        <f t="shared" si="289"/>
        <v>727.6</v>
      </c>
      <c r="BY215" s="582">
        <f t="shared" si="404"/>
        <v>768.1</v>
      </c>
      <c r="BZ215" s="582">
        <f t="shared" si="405"/>
        <v>768.1</v>
      </c>
      <c r="CA215" s="582">
        <f t="shared" si="406"/>
        <v>864.1</v>
      </c>
      <c r="CB215" s="582">
        <f t="shared" si="407"/>
        <v>727.6</v>
      </c>
      <c r="CC215" s="582">
        <f t="shared" si="408"/>
        <v>813.2</v>
      </c>
      <c r="CD215" s="582">
        <f t="shared" si="409"/>
        <v>813.2</v>
      </c>
      <c r="CE215" s="623" t="str">
        <f t="shared" si="43"/>
        <v/>
      </c>
      <c r="CF215" s="706">
        <f t="shared" si="248"/>
        <v>-2.4</v>
      </c>
      <c r="CG215" s="552">
        <f t="shared" si="295"/>
        <v>-2.3</v>
      </c>
      <c r="CH215" s="575" t="s">
        <v>1333</v>
      </c>
      <c r="CI215" s="582">
        <f t="shared" ref="CI215:DF215" si="426">FLOOR($AV215/(CI$3/25),1)</f>
        <v>540</v>
      </c>
      <c r="CJ215" s="582">
        <f t="shared" si="426"/>
        <v>562</v>
      </c>
      <c r="CK215" s="582">
        <f t="shared" si="426"/>
        <v>586</v>
      </c>
      <c r="CL215" s="582">
        <f t="shared" si="426"/>
        <v>613</v>
      </c>
      <c r="CM215" s="582">
        <f t="shared" si="426"/>
        <v>642</v>
      </c>
      <c r="CN215" s="582">
        <f t="shared" si="426"/>
        <v>675</v>
      </c>
      <c r="CO215" s="582">
        <f t="shared" si="426"/>
        <v>710</v>
      </c>
      <c r="CP215" s="582">
        <f t="shared" si="426"/>
        <v>750</v>
      </c>
      <c r="CQ215" s="582">
        <f t="shared" si="426"/>
        <v>794</v>
      </c>
      <c r="CR215" s="582">
        <f t="shared" si="426"/>
        <v>843</v>
      </c>
      <c r="CS215" s="582">
        <f t="shared" si="426"/>
        <v>900</v>
      </c>
      <c r="CT215" s="582">
        <f t="shared" si="426"/>
        <v>964</v>
      </c>
      <c r="CU215" s="582">
        <f t="shared" si="426"/>
        <v>1038</v>
      </c>
      <c r="CV215" s="582">
        <f t="shared" si="426"/>
        <v>1125</v>
      </c>
      <c r="CW215" s="582">
        <f t="shared" si="426"/>
        <v>1227</v>
      </c>
      <c r="CX215" s="582">
        <f t="shared" si="426"/>
        <v>1350</v>
      </c>
      <c r="CY215" s="582">
        <f t="shared" si="426"/>
        <v>1500</v>
      </c>
      <c r="CZ215" s="582">
        <f t="shared" si="426"/>
        <v>1687</v>
      </c>
      <c r="DA215" s="582">
        <f t="shared" si="426"/>
        <v>1928</v>
      </c>
      <c r="DB215" s="582">
        <f t="shared" si="426"/>
        <v>2250</v>
      </c>
      <c r="DC215" s="582">
        <f t="shared" si="426"/>
        <v>2700</v>
      </c>
      <c r="DD215" s="582">
        <f t="shared" si="426"/>
        <v>3375</v>
      </c>
      <c r="DE215" s="582">
        <f t="shared" si="426"/>
        <v>4500</v>
      </c>
      <c r="DF215" s="602">
        <f t="shared" si="426"/>
        <v>6750</v>
      </c>
      <c r="DG215" s="575"/>
      <c r="DH215" s="575" t="str">
        <f t="shared" si="46"/>
        <v/>
      </c>
      <c r="DI215" s="74" t="str">
        <f t="shared" si="47"/>
        <v/>
      </c>
      <c r="DJ215" s="74" t="str">
        <f t="shared" si="48"/>
        <v/>
      </c>
      <c r="DK215" s="623" t="str">
        <f t="shared" si="49"/>
        <v/>
      </c>
      <c r="DL215" s="74"/>
      <c r="DM215" s="74"/>
      <c r="DN215" s="74"/>
      <c r="DO215" s="575"/>
      <c r="DP215" s="297"/>
    </row>
    <row r="216">
      <c r="A216" s="552">
        <v>210.0</v>
      </c>
      <c r="B216" s="86">
        <v>75.0</v>
      </c>
      <c r="C216" s="54">
        <v>8.0</v>
      </c>
      <c r="D216" s="54">
        <v>20.0</v>
      </c>
      <c r="E216" s="74"/>
      <c r="F216" s="68" t="s">
        <v>1683</v>
      </c>
      <c r="G216" s="68">
        <f t="shared" si="269"/>
        <v>20</v>
      </c>
      <c r="H216" s="68">
        <f t="shared" si="383"/>
        <v>19</v>
      </c>
      <c r="I216" s="68">
        <f t="shared" si="384"/>
        <v>19</v>
      </c>
      <c r="J216" s="68">
        <f t="shared" si="385"/>
        <v>17</v>
      </c>
      <c r="K216" s="68">
        <f t="shared" si="386"/>
        <v>20</v>
      </c>
      <c r="L216" s="68">
        <f t="shared" si="387"/>
        <v>18</v>
      </c>
      <c r="M216" s="569">
        <f t="shared" si="388"/>
        <v>18</v>
      </c>
      <c r="N216" s="74" t="s">
        <v>1339</v>
      </c>
      <c r="O216" s="570" t="s">
        <v>1998</v>
      </c>
      <c r="P216" s="571"/>
      <c r="Q216" s="571" t="s">
        <v>1313</v>
      </c>
      <c r="R216" s="571" t="s">
        <v>1685</v>
      </c>
      <c r="S216" s="571" t="s">
        <v>1347</v>
      </c>
      <c r="T216" s="572" t="s">
        <v>1340</v>
      </c>
      <c r="U216" s="54">
        <v>15.0</v>
      </c>
      <c r="V216" s="54">
        <v>0.0</v>
      </c>
      <c r="W216" s="54">
        <v>41.0</v>
      </c>
      <c r="X216" s="54">
        <v>41.0</v>
      </c>
      <c r="Y216" s="54">
        <v>5.0</v>
      </c>
      <c r="Z216" s="54">
        <v>-10.0</v>
      </c>
      <c r="AA216" s="54">
        <v>3.0</v>
      </c>
      <c r="AB216" s="54">
        <v>130.0</v>
      </c>
      <c r="AC216" s="54">
        <v>848.0</v>
      </c>
      <c r="AD216" s="54">
        <v>4.0</v>
      </c>
      <c r="AE216" s="54">
        <v>75.0</v>
      </c>
      <c r="AF216" s="54">
        <v>75.0</v>
      </c>
      <c r="AG216" s="54">
        <v>8.0</v>
      </c>
      <c r="AH216" s="54">
        <v>20.0</v>
      </c>
      <c r="AI216" s="574">
        <f t="shared" si="12"/>
        <v>14</v>
      </c>
      <c r="AJ216" s="74"/>
      <c r="AK216" s="74"/>
      <c r="AL216" s="74"/>
      <c r="AM216" s="74"/>
      <c r="AN216" s="74"/>
      <c r="AO216" s="74"/>
      <c r="AP216" s="74"/>
      <c r="AQ216" s="74"/>
      <c r="AR216" s="74"/>
      <c r="AS216" s="575"/>
      <c r="AT216" s="68">
        <f t="shared" si="13"/>
        <v>431</v>
      </c>
      <c r="AU216" s="68">
        <f t="shared" si="14"/>
        <v>671</v>
      </c>
      <c r="AV216" s="581">
        <f t="shared" si="15"/>
        <v>551</v>
      </c>
      <c r="AW216" s="582">
        <f t="shared" si="276"/>
        <v>765</v>
      </c>
      <c r="AX216" s="582">
        <f t="shared" si="389"/>
        <v>810</v>
      </c>
      <c r="AY216" s="582">
        <f t="shared" si="390"/>
        <v>810</v>
      </c>
      <c r="AZ216" s="582">
        <f t="shared" si="391"/>
        <v>861</v>
      </c>
      <c r="BA216" s="582">
        <f t="shared" si="392"/>
        <v>765</v>
      </c>
      <c r="BB216" s="582">
        <f t="shared" si="393"/>
        <v>861</v>
      </c>
      <c r="BC216" s="582">
        <f t="shared" si="394"/>
        <v>918</v>
      </c>
      <c r="BD216" s="582">
        <f t="shared" si="395"/>
        <v>725</v>
      </c>
      <c r="BE216" s="582">
        <f t="shared" si="396"/>
        <v>861</v>
      </c>
      <c r="BF216" s="582">
        <f t="shared" si="397"/>
        <v>626</v>
      </c>
      <c r="BG216" s="582">
        <f t="shared" si="398"/>
        <v>765</v>
      </c>
      <c r="BH216" s="582">
        <f t="shared" si="284"/>
        <v>725</v>
      </c>
      <c r="BI216" s="582">
        <f t="shared" si="399"/>
        <v>765</v>
      </c>
      <c r="BJ216" s="582">
        <f t="shared" si="400"/>
        <v>810</v>
      </c>
      <c r="BK216" s="582">
        <f t="shared" si="401"/>
        <v>725</v>
      </c>
      <c r="BL216" s="582">
        <f t="shared" si="402"/>
        <v>810</v>
      </c>
      <c r="BM216" s="74"/>
      <c r="BN216" s="582">
        <f t="shared" si="403"/>
        <v>984</v>
      </c>
      <c r="BO216" s="74"/>
      <c r="BP216" s="602">
        <f t="shared" si="33"/>
        <v>984</v>
      </c>
      <c r="BQ216" s="54">
        <v>8.0</v>
      </c>
      <c r="BR216" s="54">
        <v>20.0</v>
      </c>
      <c r="BS216" s="54">
        <v>-10.0</v>
      </c>
      <c r="BT216" s="54">
        <v>100.0</v>
      </c>
      <c r="BU216" s="74"/>
      <c r="BV216" s="83">
        <f t="shared" si="34"/>
        <v>14</v>
      </c>
      <c r="BW216" s="608">
        <f t="shared" si="35"/>
        <v>563.2</v>
      </c>
      <c r="BX216" s="582">
        <f t="shared" si="289"/>
        <v>782.2</v>
      </c>
      <c r="BY216" s="582">
        <f t="shared" si="404"/>
        <v>828.2</v>
      </c>
      <c r="BZ216" s="582">
        <f t="shared" si="405"/>
        <v>828.2</v>
      </c>
      <c r="CA216" s="582">
        <f t="shared" si="406"/>
        <v>938.7</v>
      </c>
      <c r="CB216" s="582">
        <f t="shared" si="407"/>
        <v>782.2</v>
      </c>
      <c r="CC216" s="582">
        <f t="shared" si="408"/>
        <v>880</v>
      </c>
      <c r="CD216" s="582">
        <f t="shared" si="409"/>
        <v>880</v>
      </c>
      <c r="CE216" s="623" t="str">
        <f t="shared" si="43"/>
        <v/>
      </c>
      <c r="CF216" s="706">
        <f t="shared" si="248"/>
        <v>-2.2</v>
      </c>
      <c r="CG216" s="552">
        <f t="shared" si="295"/>
        <v>-2.2</v>
      </c>
      <c r="CH216" s="575" t="s">
        <v>1339</v>
      </c>
      <c r="CI216" s="582">
        <f t="shared" ref="CI216:DF216" si="427">FLOOR($AV216/(CI$3/25),1)</f>
        <v>551</v>
      </c>
      <c r="CJ216" s="582">
        <f t="shared" si="427"/>
        <v>573</v>
      </c>
      <c r="CK216" s="582">
        <f t="shared" si="427"/>
        <v>598</v>
      </c>
      <c r="CL216" s="582">
        <f t="shared" si="427"/>
        <v>626</v>
      </c>
      <c r="CM216" s="582">
        <f t="shared" si="427"/>
        <v>655</v>
      </c>
      <c r="CN216" s="582">
        <f t="shared" si="427"/>
        <v>688</v>
      </c>
      <c r="CO216" s="582">
        <f t="shared" si="427"/>
        <v>725</v>
      </c>
      <c r="CP216" s="582">
        <f t="shared" si="427"/>
        <v>765</v>
      </c>
      <c r="CQ216" s="582">
        <f t="shared" si="427"/>
        <v>810</v>
      </c>
      <c r="CR216" s="582">
        <f t="shared" si="427"/>
        <v>860</v>
      </c>
      <c r="CS216" s="582">
        <f t="shared" si="427"/>
        <v>918</v>
      </c>
      <c r="CT216" s="582">
        <f t="shared" si="427"/>
        <v>983</v>
      </c>
      <c r="CU216" s="582">
        <f t="shared" si="427"/>
        <v>1059</v>
      </c>
      <c r="CV216" s="582">
        <f t="shared" si="427"/>
        <v>1147</v>
      </c>
      <c r="CW216" s="582">
        <f t="shared" si="427"/>
        <v>1252</v>
      </c>
      <c r="CX216" s="582">
        <f t="shared" si="427"/>
        <v>1377</v>
      </c>
      <c r="CY216" s="582">
        <f t="shared" si="427"/>
        <v>1530</v>
      </c>
      <c r="CZ216" s="582">
        <f t="shared" si="427"/>
        <v>1721</v>
      </c>
      <c r="DA216" s="582">
        <f t="shared" si="427"/>
        <v>1967</v>
      </c>
      <c r="DB216" s="582">
        <f t="shared" si="427"/>
        <v>2295</v>
      </c>
      <c r="DC216" s="582">
        <f t="shared" si="427"/>
        <v>2755</v>
      </c>
      <c r="DD216" s="582">
        <f t="shared" si="427"/>
        <v>3443</v>
      </c>
      <c r="DE216" s="582">
        <f t="shared" si="427"/>
        <v>4591</v>
      </c>
      <c r="DF216" s="602">
        <f t="shared" si="427"/>
        <v>6887</v>
      </c>
      <c r="DG216" s="575"/>
      <c r="DH216" s="575" t="str">
        <f t="shared" si="46"/>
        <v/>
      </c>
      <c r="DI216" s="74" t="str">
        <f t="shared" si="47"/>
        <v/>
      </c>
      <c r="DJ216" s="74" t="str">
        <f t="shared" si="48"/>
        <v/>
      </c>
      <c r="DK216" s="623" t="str">
        <f t="shared" si="49"/>
        <v/>
      </c>
      <c r="DL216" s="74"/>
      <c r="DM216" s="74"/>
      <c r="DN216" s="74"/>
      <c r="DO216" s="575"/>
      <c r="DP216" s="297"/>
    </row>
    <row r="217">
      <c r="A217" s="552">
        <v>211.0</v>
      </c>
      <c r="B217" s="86">
        <v>76.0</v>
      </c>
      <c r="C217" s="54">
        <v>18.0</v>
      </c>
      <c r="D217" s="54">
        <v>39.0</v>
      </c>
      <c r="E217" s="74"/>
      <c r="F217" s="68" t="s">
        <v>1683</v>
      </c>
      <c r="G217" s="68">
        <f t="shared" si="269"/>
        <v>20</v>
      </c>
      <c r="H217" s="68">
        <f t="shared" si="383"/>
        <v>19</v>
      </c>
      <c r="I217" s="68">
        <f t="shared" si="384"/>
        <v>19</v>
      </c>
      <c r="J217" s="68">
        <f t="shared" si="385"/>
        <v>17</v>
      </c>
      <c r="K217" s="68">
        <f t="shared" si="386"/>
        <v>20</v>
      </c>
      <c r="L217" s="68">
        <f t="shared" si="387"/>
        <v>18</v>
      </c>
      <c r="M217" s="569">
        <f t="shared" si="388"/>
        <v>18</v>
      </c>
      <c r="N217" s="74" t="s">
        <v>1348</v>
      </c>
      <c r="O217" s="570" t="s">
        <v>1999</v>
      </c>
      <c r="P217" s="571"/>
      <c r="Q217" s="571" t="s">
        <v>1313</v>
      </c>
      <c r="R217" s="571" t="s">
        <v>1685</v>
      </c>
      <c r="S217" s="791" t="s">
        <v>1332</v>
      </c>
      <c r="T217" s="572" t="s">
        <v>1349</v>
      </c>
      <c r="U217" s="54">
        <v>21.0</v>
      </c>
      <c r="V217" s="54">
        <v>0.0</v>
      </c>
      <c r="W217" s="54">
        <v>62.0</v>
      </c>
      <c r="X217" s="74"/>
      <c r="Y217" s="54">
        <v>5.0</v>
      </c>
      <c r="Z217" s="54">
        <v>10.0</v>
      </c>
      <c r="AA217" s="54">
        <v>3.0</v>
      </c>
      <c r="AB217" s="54">
        <v>130.0</v>
      </c>
      <c r="AC217" s="54">
        <v>1701.0</v>
      </c>
      <c r="AD217" s="54">
        <v>4.0</v>
      </c>
      <c r="AE217" s="54">
        <v>75.0</v>
      </c>
      <c r="AF217" s="54">
        <v>75.0</v>
      </c>
      <c r="AG217" s="54">
        <v>18.0</v>
      </c>
      <c r="AH217" s="54">
        <v>39.0</v>
      </c>
      <c r="AI217" s="574">
        <f t="shared" si="12"/>
        <v>28.5</v>
      </c>
      <c r="AJ217" s="74"/>
      <c r="AK217" s="74"/>
      <c r="AL217" s="74"/>
      <c r="AM217" s="74"/>
      <c r="AN217" s="74"/>
      <c r="AO217" s="74"/>
      <c r="AP217" s="74"/>
      <c r="AQ217" s="74"/>
      <c r="AR217" s="74"/>
      <c r="AS217" s="575"/>
      <c r="AT217" s="68">
        <f t="shared" si="13"/>
        <v>632</v>
      </c>
      <c r="AU217" s="68">
        <f t="shared" si="14"/>
        <v>1046</v>
      </c>
      <c r="AV217" s="581">
        <f t="shared" si="15"/>
        <v>839</v>
      </c>
      <c r="AW217" s="582">
        <f t="shared" si="276"/>
        <v>953</v>
      </c>
      <c r="AX217" s="582">
        <f t="shared" si="389"/>
        <v>999</v>
      </c>
      <c r="AY217" s="582">
        <f t="shared" si="390"/>
        <v>999</v>
      </c>
      <c r="AZ217" s="582">
        <f t="shared" si="391"/>
        <v>1049</v>
      </c>
      <c r="BA217" s="582">
        <f t="shared" si="392"/>
        <v>953</v>
      </c>
      <c r="BB217" s="582">
        <f t="shared" si="393"/>
        <v>1049</v>
      </c>
      <c r="BC217" s="582">
        <f t="shared" si="394"/>
        <v>1165</v>
      </c>
      <c r="BD217" s="582">
        <f t="shared" si="395"/>
        <v>749</v>
      </c>
      <c r="BE217" s="582">
        <f t="shared" si="396"/>
        <v>874</v>
      </c>
      <c r="BF217" s="582">
        <f t="shared" si="397"/>
        <v>636</v>
      </c>
      <c r="BG217" s="582">
        <f t="shared" si="398"/>
        <v>749</v>
      </c>
      <c r="BH217" s="582">
        <f t="shared" si="284"/>
        <v>723</v>
      </c>
      <c r="BI217" s="582">
        <f t="shared" si="399"/>
        <v>749</v>
      </c>
      <c r="BJ217" s="582">
        <f t="shared" si="400"/>
        <v>807</v>
      </c>
      <c r="BK217" s="582">
        <f t="shared" si="401"/>
        <v>723</v>
      </c>
      <c r="BL217" s="582">
        <f t="shared" si="402"/>
        <v>807</v>
      </c>
      <c r="BM217" s="74"/>
      <c r="BN217" s="582">
        <f t="shared" si="403"/>
        <v>1234</v>
      </c>
      <c r="BO217" s="74"/>
      <c r="BP217" s="602">
        <f t="shared" si="33"/>
        <v>1234</v>
      </c>
      <c r="BQ217" s="54">
        <v>18.0</v>
      </c>
      <c r="BR217" s="54">
        <v>39.0</v>
      </c>
      <c r="BS217" s="54">
        <v>10.0</v>
      </c>
      <c r="BT217" s="54">
        <v>100.0</v>
      </c>
      <c r="BU217" s="74"/>
      <c r="BV217" s="83">
        <f t="shared" si="34"/>
        <v>28.5</v>
      </c>
      <c r="BW217" s="608">
        <f t="shared" si="35"/>
        <v>856.7</v>
      </c>
      <c r="BX217" s="582">
        <f t="shared" si="289"/>
        <v>973.5</v>
      </c>
      <c r="BY217" s="582">
        <f t="shared" si="404"/>
        <v>1019.9</v>
      </c>
      <c r="BZ217" s="582">
        <f t="shared" si="405"/>
        <v>1019.9</v>
      </c>
      <c r="CA217" s="582">
        <f t="shared" si="406"/>
        <v>1189.9</v>
      </c>
      <c r="CB217" s="582">
        <f t="shared" si="407"/>
        <v>973.5</v>
      </c>
      <c r="CC217" s="582">
        <f t="shared" si="408"/>
        <v>1070.9</v>
      </c>
      <c r="CD217" s="582">
        <f t="shared" si="409"/>
        <v>1070.9</v>
      </c>
      <c r="CE217" s="623" t="str">
        <f t="shared" si="43"/>
        <v/>
      </c>
      <c r="CF217" s="706">
        <f t="shared" si="248"/>
        <v>-2.1</v>
      </c>
      <c r="CG217" s="552">
        <f t="shared" si="295"/>
        <v>-2.1</v>
      </c>
      <c r="CH217" s="575" t="s">
        <v>1348</v>
      </c>
      <c r="CI217" s="582">
        <f t="shared" ref="CI217:DF217" si="428">FLOOR($AV217/(CI$3/25),1)</f>
        <v>839</v>
      </c>
      <c r="CJ217" s="582">
        <f t="shared" si="428"/>
        <v>873</v>
      </c>
      <c r="CK217" s="582">
        <f t="shared" si="428"/>
        <v>911</v>
      </c>
      <c r="CL217" s="582">
        <f t="shared" si="428"/>
        <v>953</v>
      </c>
      <c r="CM217" s="582">
        <f t="shared" si="428"/>
        <v>998</v>
      </c>
      <c r="CN217" s="582">
        <f t="shared" si="428"/>
        <v>1048</v>
      </c>
      <c r="CO217" s="582">
        <f t="shared" si="428"/>
        <v>1103</v>
      </c>
      <c r="CP217" s="582">
        <f t="shared" si="428"/>
        <v>1165</v>
      </c>
      <c r="CQ217" s="582">
        <f t="shared" si="428"/>
        <v>1233</v>
      </c>
      <c r="CR217" s="582">
        <f t="shared" si="428"/>
        <v>1310</v>
      </c>
      <c r="CS217" s="582">
        <f t="shared" si="428"/>
        <v>1398</v>
      </c>
      <c r="CT217" s="582">
        <f t="shared" si="428"/>
        <v>1498</v>
      </c>
      <c r="CU217" s="582">
        <f t="shared" si="428"/>
        <v>1613</v>
      </c>
      <c r="CV217" s="582">
        <f t="shared" si="428"/>
        <v>1747</v>
      </c>
      <c r="CW217" s="582">
        <f t="shared" si="428"/>
        <v>1906</v>
      </c>
      <c r="CX217" s="582">
        <f t="shared" si="428"/>
        <v>2097</v>
      </c>
      <c r="CY217" s="582">
        <f t="shared" si="428"/>
        <v>2330</v>
      </c>
      <c r="CZ217" s="582">
        <f t="shared" si="428"/>
        <v>2621</v>
      </c>
      <c r="DA217" s="582">
        <f t="shared" si="428"/>
        <v>2996</v>
      </c>
      <c r="DB217" s="582">
        <f t="shared" si="428"/>
        <v>3495</v>
      </c>
      <c r="DC217" s="582">
        <f t="shared" si="428"/>
        <v>4195</v>
      </c>
      <c r="DD217" s="582">
        <f t="shared" si="428"/>
        <v>5243</v>
      </c>
      <c r="DE217" s="582">
        <f t="shared" si="428"/>
        <v>6991</v>
      </c>
      <c r="DF217" s="602">
        <f t="shared" si="428"/>
        <v>10487</v>
      </c>
      <c r="DG217" s="575"/>
      <c r="DH217" s="575" t="str">
        <f t="shared" si="46"/>
        <v/>
      </c>
      <c r="DI217" s="74" t="str">
        <f t="shared" si="47"/>
        <v/>
      </c>
      <c r="DJ217" s="74" t="str">
        <f t="shared" si="48"/>
        <v/>
      </c>
      <c r="DK217" s="623" t="str">
        <f t="shared" si="49"/>
        <v/>
      </c>
      <c r="DL217" s="74"/>
      <c r="DM217" s="74"/>
      <c r="DN217" s="74"/>
      <c r="DO217" s="575"/>
      <c r="DP217" s="297"/>
    </row>
    <row r="218">
      <c r="A218" s="552">
        <v>212.0</v>
      </c>
      <c r="B218" s="86">
        <v>77.0</v>
      </c>
      <c r="C218" s="54">
        <v>12.0</v>
      </c>
      <c r="D218" s="54">
        <v>45.0</v>
      </c>
      <c r="E218" s="74"/>
      <c r="F218" s="68" t="s">
        <v>1683</v>
      </c>
      <c r="G218" s="68">
        <f t="shared" si="269"/>
        <v>20</v>
      </c>
      <c r="H218" s="68">
        <f t="shared" si="383"/>
        <v>19</v>
      </c>
      <c r="I218" s="68">
        <f t="shared" si="384"/>
        <v>19</v>
      </c>
      <c r="J218" s="68">
        <f t="shared" si="385"/>
        <v>17</v>
      </c>
      <c r="K218" s="68">
        <f t="shared" si="386"/>
        <v>20</v>
      </c>
      <c r="L218" s="68">
        <f t="shared" si="387"/>
        <v>18</v>
      </c>
      <c r="M218" s="569">
        <f t="shared" si="388"/>
        <v>18</v>
      </c>
      <c r="N218" s="74" t="s">
        <v>1355</v>
      </c>
      <c r="O218" s="570" t="s">
        <v>2000</v>
      </c>
      <c r="P218" s="571"/>
      <c r="Q218" s="571" t="s">
        <v>1313</v>
      </c>
      <c r="R218" s="571" t="s">
        <v>1685</v>
      </c>
      <c r="S218" s="791" t="s">
        <v>1332</v>
      </c>
      <c r="T218" s="572" t="s">
        <v>1356</v>
      </c>
      <c r="U218" s="54">
        <v>29.0</v>
      </c>
      <c r="V218" s="54">
        <v>0.0</v>
      </c>
      <c r="W218" s="54">
        <v>75.0</v>
      </c>
      <c r="X218" s="54">
        <v>47.0</v>
      </c>
      <c r="Y218" s="54">
        <v>6.0</v>
      </c>
      <c r="Z218" s="54">
        <v>0.0</v>
      </c>
      <c r="AA218" s="54">
        <v>4.0</v>
      </c>
      <c r="AB218" s="54">
        <v>110.0</v>
      </c>
      <c r="AC218" s="54">
        <v>2706.0</v>
      </c>
      <c r="AD218" s="54">
        <v>4.0</v>
      </c>
      <c r="AE218" s="54">
        <v>75.0</v>
      </c>
      <c r="AF218" s="54">
        <v>75.0</v>
      </c>
      <c r="AG218" s="54">
        <v>12.0</v>
      </c>
      <c r="AH218" s="54">
        <v>45.0</v>
      </c>
      <c r="AI218" s="574">
        <f t="shared" si="12"/>
        <v>28.5</v>
      </c>
      <c r="AJ218" s="74"/>
      <c r="AK218" s="74"/>
      <c r="AL218" s="74"/>
      <c r="AM218" s="74"/>
      <c r="AN218" s="74"/>
      <c r="AO218" s="74"/>
      <c r="AP218" s="74"/>
      <c r="AQ218" s="74"/>
      <c r="AR218" s="74"/>
      <c r="AS218" s="575"/>
      <c r="AT218" s="68">
        <f t="shared" si="13"/>
        <v>510</v>
      </c>
      <c r="AU218" s="68">
        <f t="shared" si="14"/>
        <v>1168</v>
      </c>
      <c r="AV218" s="581">
        <f t="shared" si="15"/>
        <v>839</v>
      </c>
      <c r="AW218" s="582">
        <f t="shared" si="276"/>
        <v>1104</v>
      </c>
      <c r="AX218" s="582">
        <f t="shared" si="389"/>
        <v>1165</v>
      </c>
      <c r="AY218" s="582">
        <f t="shared" si="390"/>
        <v>1165</v>
      </c>
      <c r="AZ218" s="582">
        <f t="shared" si="391"/>
        <v>1234</v>
      </c>
      <c r="BA218" s="582">
        <f t="shared" si="392"/>
        <v>1104</v>
      </c>
      <c r="BB218" s="582">
        <f t="shared" si="393"/>
        <v>1234</v>
      </c>
      <c r="BC218" s="582">
        <f t="shared" si="394"/>
        <v>1311</v>
      </c>
      <c r="BD218" s="582">
        <f t="shared" si="395"/>
        <v>874</v>
      </c>
      <c r="BE218" s="582">
        <f t="shared" si="396"/>
        <v>1049</v>
      </c>
      <c r="BF218" s="582">
        <f t="shared" si="397"/>
        <v>777</v>
      </c>
      <c r="BG218" s="582">
        <f t="shared" si="398"/>
        <v>953</v>
      </c>
      <c r="BH218" s="582">
        <f t="shared" si="284"/>
        <v>912</v>
      </c>
      <c r="BI218" s="582">
        <f t="shared" si="399"/>
        <v>953</v>
      </c>
      <c r="BJ218" s="582">
        <f t="shared" si="400"/>
        <v>999</v>
      </c>
      <c r="BK218" s="582">
        <f t="shared" si="401"/>
        <v>912</v>
      </c>
      <c r="BL218" s="582">
        <f t="shared" si="402"/>
        <v>999</v>
      </c>
      <c r="BM218" s="74"/>
      <c r="BN218" s="582">
        <f t="shared" si="403"/>
        <v>1398</v>
      </c>
      <c r="BO218" s="74"/>
      <c r="BP218" s="602">
        <f t="shared" si="33"/>
        <v>1398</v>
      </c>
      <c r="BQ218" s="54">
        <v>12.0</v>
      </c>
      <c r="BR218" s="54">
        <v>45.0</v>
      </c>
      <c r="BS218" s="74"/>
      <c r="BT218" s="54">
        <v>100.0</v>
      </c>
      <c r="BU218" s="74"/>
      <c r="BV218" s="83">
        <f t="shared" si="34"/>
        <v>28.5</v>
      </c>
      <c r="BW218" s="608">
        <f t="shared" si="35"/>
        <v>856.7</v>
      </c>
      <c r="BX218" s="582">
        <f t="shared" si="289"/>
        <v>1127.2</v>
      </c>
      <c r="BY218" s="582">
        <f t="shared" si="404"/>
        <v>1189.9</v>
      </c>
      <c r="BZ218" s="582">
        <f t="shared" si="405"/>
        <v>1189.9</v>
      </c>
      <c r="CA218" s="582">
        <f t="shared" si="406"/>
        <v>1338.6</v>
      </c>
      <c r="CB218" s="582">
        <f t="shared" si="407"/>
        <v>1127.2</v>
      </c>
      <c r="CC218" s="582">
        <f t="shared" si="408"/>
        <v>1259.9</v>
      </c>
      <c r="CD218" s="582">
        <f t="shared" si="409"/>
        <v>1259.9</v>
      </c>
      <c r="CE218" s="623" t="str">
        <f t="shared" si="43"/>
        <v/>
      </c>
      <c r="CF218" s="706">
        <f t="shared" si="248"/>
        <v>-2.1</v>
      </c>
      <c r="CG218" s="552">
        <f t="shared" si="295"/>
        <v>-2.1</v>
      </c>
      <c r="CH218" s="575" t="s">
        <v>1355</v>
      </c>
      <c r="CI218" s="582">
        <f t="shared" ref="CI218:DF218" si="429">FLOOR($AV218/(CI$3/25),1)</f>
        <v>839</v>
      </c>
      <c r="CJ218" s="582">
        <f t="shared" si="429"/>
        <v>873</v>
      </c>
      <c r="CK218" s="582">
        <f t="shared" si="429"/>
        <v>911</v>
      </c>
      <c r="CL218" s="582">
        <f t="shared" si="429"/>
        <v>953</v>
      </c>
      <c r="CM218" s="582">
        <f t="shared" si="429"/>
        <v>998</v>
      </c>
      <c r="CN218" s="582">
        <f t="shared" si="429"/>
        <v>1048</v>
      </c>
      <c r="CO218" s="582">
        <f t="shared" si="429"/>
        <v>1103</v>
      </c>
      <c r="CP218" s="582">
        <f t="shared" si="429"/>
        <v>1165</v>
      </c>
      <c r="CQ218" s="582">
        <f t="shared" si="429"/>
        <v>1233</v>
      </c>
      <c r="CR218" s="582">
        <f t="shared" si="429"/>
        <v>1310</v>
      </c>
      <c r="CS218" s="582">
        <f t="shared" si="429"/>
        <v>1398</v>
      </c>
      <c r="CT218" s="582">
        <f t="shared" si="429"/>
        <v>1498</v>
      </c>
      <c r="CU218" s="582">
        <f t="shared" si="429"/>
        <v>1613</v>
      </c>
      <c r="CV218" s="582">
        <f t="shared" si="429"/>
        <v>1747</v>
      </c>
      <c r="CW218" s="582">
        <f t="shared" si="429"/>
        <v>1906</v>
      </c>
      <c r="CX218" s="582">
        <f t="shared" si="429"/>
        <v>2097</v>
      </c>
      <c r="CY218" s="582">
        <f t="shared" si="429"/>
        <v>2330</v>
      </c>
      <c r="CZ218" s="582">
        <f t="shared" si="429"/>
        <v>2621</v>
      </c>
      <c r="DA218" s="582">
        <f t="shared" si="429"/>
        <v>2996</v>
      </c>
      <c r="DB218" s="582">
        <f t="shared" si="429"/>
        <v>3495</v>
      </c>
      <c r="DC218" s="582">
        <f t="shared" si="429"/>
        <v>4195</v>
      </c>
      <c r="DD218" s="582">
        <f t="shared" si="429"/>
        <v>5243</v>
      </c>
      <c r="DE218" s="582">
        <f t="shared" si="429"/>
        <v>6991</v>
      </c>
      <c r="DF218" s="602">
        <f t="shared" si="429"/>
        <v>10487</v>
      </c>
      <c r="DG218" s="575"/>
      <c r="DH218" s="575" t="str">
        <f t="shared" si="46"/>
        <v/>
      </c>
      <c r="DI218" s="74" t="str">
        <f t="shared" si="47"/>
        <v/>
      </c>
      <c r="DJ218" s="74" t="str">
        <f t="shared" si="48"/>
        <v/>
      </c>
      <c r="DK218" s="623" t="str">
        <f t="shared" si="49"/>
        <v/>
      </c>
      <c r="DL218" s="74"/>
      <c r="DM218" s="74"/>
      <c r="DN218" s="74"/>
      <c r="DO218" s="575"/>
      <c r="DP218" s="297"/>
    </row>
    <row r="219">
      <c r="A219" s="647">
        <v>213.0</v>
      </c>
      <c r="B219" s="141">
        <v>78.0</v>
      </c>
      <c r="C219" s="129">
        <v>15.0</v>
      </c>
      <c r="D219" s="129">
        <v>36.0</v>
      </c>
      <c r="E219" s="134"/>
      <c r="F219" s="154" t="s">
        <v>1683</v>
      </c>
      <c r="G219" s="154">
        <f t="shared" si="269"/>
        <v>20</v>
      </c>
      <c r="H219" s="154">
        <f t="shared" si="383"/>
        <v>19</v>
      </c>
      <c r="I219" s="154">
        <f t="shared" si="384"/>
        <v>19</v>
      </c>
      <c r="J219" s="154">
        <f t="shared" si="385"/>
        <v>17</v>
      </c>
      <c r="K219" s="154">
        <f t="shared" si="386"/>
        <v>20</v>
      </c>
      <c r="L219" s="154">
        <f t="shared" si="387"/>
        <v>18</v>
      </c>
      <c r="M219" s="648">
        <f t="shared" si="388"/>
        <v>18</v>
      </c>
      <c r="N219" s="134" t="s">
        <v>1363</v>
      </c>
      <c r="O219" s="649" t="s">
        <v>2001</v>
      </c>
      <c r="P219" s="650"/>
      <c r="Q219" s="650" t="s">
        <v>1313</v>
      </c>
      <c r="R219" s="650" t="s">
        <v>1685</v>
      </c>
      <c r="S219" s="650" t="s">
        <v>1347</v>
      </c>
      <c r="T219" s="651" t="s">
        <v>1364</v>
      </c>
      <c r="U219" s="129">
        <v>34.0</v>
      </c>
      <c r="V219" s="129">
        <v>0.0</v>
      </c>
      <c r="W219" s="129">
        <v>80.0</v>
      </c>
      <c r="X219" s="129">
        <v>80.0</v>
      </c>
      <c r="Y219" s="129">
        <v>6.0</v>
      </c>
      <c r="Z219" s="129">
        <v>-10.0</v>
      </c>
      <c r="AA219" s="129">
        <v>4.0</v>
      </c>
      <c r="AB219" s="129">
        <v>110.0</v>
      </c>
      <c r="AC219" s="129">
        <v>3388.0</v>
      </c>
      <c r="AD219" s="129">
        <v>3.0</v>
      </c>
      <c r="AE219" s="129">
        <v>75.0</v>
      </c>
      <c r="AF219" s="129">
        <v>75.0</v>
      </c>
      <c r="AG219" s="129">
        <v>15.0</v>
      </c>
      <c r="AH219" s="129">
        <v>36.0</v>
      </c>
      <c r="AI219" s="652">
        <f t="shared" si="12"/>
        <v>25.5</v>
      </c>
      <c r="AJ219" s="134"/>
      <c r="AK219" s="134"/>
      <c r="AL219" s="134"/>
      <c r="AM219" s="134"/>
      <c r="AN219" s="134"/>
      <c r="AO219" s="134"/>
      <c r="AP219" s="134"/>
      <c r="AQ219" s="134"/>
      <c r="AR219" s="134"/>
      <c r="AS219" s="653"/>
      <c r="AT219" s="154">
        <f t="shared" si="13"/>
        <v>571</v>
      </c>
      <c r="AU219" s="154">
        <f t="shared" si="14"/>
        <v>990</v>
      </c>
      <c r="AV219" s="654">
        <f t="shared" si="15"/>
        <v>780.5</v>
      </c>
      <c r="AW219" s="655">
        <f t="shared" si="276"/>
        <v>1084</v>
      </c>
      <c r="AX219" s="655">
        <f t="shared" si="389"/>
        <v>1148</v>
      </c>
      <c r="AY219" s="655">
        <f t="shared" si="390"/>
        <v>1148</v>
      </c>
      <c r="AZ219" s="655">
        <f t="shared" si="391"/>
        <v>1220</v>
      </c>
      <c r="BA219" s="655">
        <f t="shared" si="392"/>
        <v>1084</v>
      </c>
      <c r="BB219" s="655">
        <f t="shared" si="393"/>
        <v>1220</v>
      </c>
      <c r="BC219" s="655">
        <f t="shared" si="394"/>
        <v>1301</v>
      </c>
      <c r="BD219" s="655">
        <f t="shared" si="395"/>
        <v>1027</v>
      </c>
      <c r="BE219" s="655">
        <f t="shared" si="396"/>
        <v>1220</v>
      </c>
      <c r="BF219" s="655">
        <f t="shared" si="397"/>
        <v>887</v>
      </c>
      <c r="BG219" s="655">
        <f t="shared" si="398"/>
        <v>1084</v>
      </c>
      <c r="BH219" s="655">
        <f t="shared" si="284"/>
        <v>1027</v>
      </c>
      <c r="BI219" s="655">
        <f t="shared" si="399"/>
        <v>1084</v>
      </c>
      <c r="BJ219" s="655">
        <f t="shared" si="400"/>
        <v>1148</v>
      </c>
      <c r="BK219" s="655">
        <f t="shared" si="401"/>
        <v>1027</v>
      </c>
      <c r="BL219" s="655">
        <f t="shared" si="402"/>
        <v>1148</v>
      </c>
      <c r="BM219" s="134"/>
      <c r="BN219" s="655">
        <f t="shared" si="403"/>
        <v>1394</v>
      </c>
      <c r="BO219" s="134"/>
      <c r="BP219" s="656">
        <f t="shared" si="33"/>
        <v>1394</v>
      </c>
      <c r="BQ219" s="129">
        <v>15.0</v>
      </c>
      <c r="BR219" s="129">
        <v>36.0</v>
      </c>
      <c r="BS219" s="129">
        <v>-10.0</v>
      </c>
      <c r="BT219" s="129">
        <v>100.0</v>
      </c>
      <c r="BU219" s="134"/>
      <c r="BV219" s="135">
        <f t="shared" si="34"/>
        <v>25.5</v>
      </c>
      <c r="BW219" s="657">
        <f t="shared" si="35"/>
        <v>796</v>
      </c>
      <c r="BX219" s="655">
        <f t="shared" si="289"/>
        <v>1105.6</v>
      </c>
      <c r="BY219" s="655">
        <f t="shared" si="404"/>
        <v>1170.6</v>
      </c>
      <c r="BZ219" s="655">
        <f t="shared" si="405"/>
        <v>1170.6</v>
      </c>
      <c r="CA219" s="655">
        <f t="shared" si="406"/>
        <v>1326.7</v>
      </c>
      <c r="CB219" s="655">
        <f t="shared" si="407"/>
        <v>1105.6</v>
      </c>
      <c r="CC219" s="655">
        <f t="shared" si="408"/>
        <v>1243.8</v>
      </c>
      <c r="CD219" s="655">
        <f t="shared" si="409"/>
        <v>1243.8</v>
      </c>
      <c r="CE219" s="662" t="str">
        <f t="shared" si="43"/>
        <v/>
      </c>
      <c r="CF219" s="712">
        <f t="shared" si="248"/>
        <v>-1.9</v>
      </c>
      <c r="CG219" s="647">
        <f t="shared" si="295"/>
        <v>-2</v>
      </c>
      <c r="CH219" s="653" t="s">
        <v>1363</v>
      </c>
      <c r="CI219" s="655">
        <f t="shared" ref="CI219:DF219" si="430">FLOOR($AV219/(CI$3/25),1)</f>
        <v>780</v>
      </c>
      <c r="CJ219" s="655">
        <f t="shared" si="430"/>
        <v>813</v>
      </c>
      <c r="CK219" s="655">
        <f t="shared" si="430"/>
        <v>848</v>
      </c>
      <c r="CL219" s="655">
        <f t="shared" si="430"/>
        <v>886</v>
      </c>
      <c r="CM219" s="655">
        <f t="shared" si="430"/>
        <v>929</v>
      </c>
      <c r="CN219" s="655">
        <f t="shared" si="430"/>
        <v>975</v>
      </c>
      <c r="CO219" s="655">
        <f t="shared" si="430"/>
        <v>1026</v>
      </c>
      <c r="CP219" s="655">
        <f t="shared" si="430"/>
        <v>1084</v>
      </c>
      <c r="CQ219" s="655">
        <f t="shared" si="430"/>
        <v>1147</v>
      </c>
      <c r="CR219" s="655">
        <f t="shared" si="430"/>
        <v>1219</v>
      </c>
      <c r="CS219" s="655">
        <f t="shared" si="430"/>
        <v>1300</v>
      </c>
      <c r="CT219" s="655">
        <f t="shared" si="430"/>
        <v>1393</v>
      </c>
      <c r="CU219" s="655">
        <f t="shared" si="430"/>
        <v>1500</v>
      </c>
      <c r="CV219" s="655">
        <f t="shared" si="430"/>
        <v>1626</v>
      </c>
      <c r="CW219" s="655">
        <f t="shared" si="430"/>
        <v>1773</v>
      </c>
      <c r="CX219" s="655">
        <f t="shared" si="430"/>
        <v>1951</v>
      </c>
      <c r="CY219" s="655">
        <f t="shared" si="430"/>
        <v>2168</v>
      </c>
      <c r="CZ219" s="655">
        <f t="shared" si="430"/>
        <v>2439</v>
      </c>
      <c r="DA219" s="655">
        <f t="shared" si="430"/>
        <v>2787</v>
      </c>
      <c r="DB219" s="655">
        <f t="shared" si="430"/>
        <v>3252</v>
      </c>
      <c r="DC219" s="655">
        <f t="shared" si="430"/>
        <v>3902</v>
      </c>
      <c r="DD219" s="655">
        <f t="shared" si="430"/>
        <v>4878</v>
      </c>
      <c r="DE219" s="655">
        <f t="shared" si="430"/>
        <v>6504</v>
      </c>
      <c r="DF219" s="656">
        <f t="shared" si="430"/>
        <v>9756</v>
      </c>
      <c r="DG219" s="653"/>
      <c r="DH219" s="653" t="str">
        <f t="shared" si="46"/>
        <v/>
      </c>
      <c r="DI219" s="134" t="str">
        <f t="shared" si="47"/>
        <v/>
      </c>
      <c r="DJ219" s="134" t="str">
        <f t="shared" si="48"/>
        <v/>
      </c>
      <c r="DK219" s="659">
        <f t="shared" si="49"/>
        <v>9.8</v>
      </c>
      <c r="DL219" s="903">
        <v>28.0</v>
      </c>
      <c r="DM219" s="134"/>
      <c r="DN219" s="134"/>
      <c r="DO219" s="653"/>
      <c r="DP219" s="663"/>
    </row>
    <row r="220">
      <c r="A220" s="552">
        <v>214.0</v>
      </c>
      <c r="B220" s="86">
        <v>181.0</v>
      </c>
      <c r="C220" s="54">
        <v>8.0</v>
      </c>
      <c r="D220" s="54">
        <v>72.0</v>
      </c>
      <c r="E220" s="74"/>
      <c r="F220" s="68" t="s">
        <v>1683</v>
      </c>
      <c r="G220" s="68">
        <f t="shared" si="269"/>
        <v>20</v>
      </c>
      <c r="H220" s="68">
        <f t="shared" si="383"/>
        <v>19</v>
      </c>
      <c r="I220" s="68">
        <f t="shared" si="384"/>
        <v>19</v>
      </c>
      <c r="J220" s="68">
        <f t="shared" si="385"/>
        <v>17</v>
      </c>
      <c r="K220" s="68">
        <f t="shared" si="386"/>
        <v>20</v>
      </c>
      <c r="L220" s="68">
        <f t="shared" si="387"/>
        <v>18</v>
      </c>
      <c r="M220" s="569">
        <f t="shared" si="388"/>
        <v>18</v>
      </c>
      <c r="N220" s="74" t="s">
        <v>1328</v>
      </c>
      <c r="O220" s="570" t="s">
        <v>2002</v>
      </c>
      <c r="P220" s="571"/>
      <c r="Q220" s="571" t="s">
        <v>1670</v>
      </c>
      <c r="R220" s="571" t="s">
        <v>1685</v>
      </c>
      <c r="S220" s="791" t="s">
        <v>1332</v>
      </c>
      <c r="T220" s="572" t="s">
        <v>1329</v>
      </c>
      <c r="U220" s="54">
        <v>33.0</v>
      </c>
      <c r="V220" s="54">
        <v>21.0</v>
      </c>
      <c r="W220" s="54">
        <v>80.0</v>
      </c>
      <c r="X220" s="74"/>
      <c r="Y220" s="54">
        <v>4.0</v>
      </c>
      <c r="Z220" s="54">
        <v>10.0</v>
      </c>
      <c r="AA220" s="54">
        <v>3.0</v>
      </c>
      <c r="AB220" s="54">
        <v>100.0</v>
      </c>
      <c r="AC220" s="54">
        <v>1206.0</v>
      </c>
      <c r="AD220" s="54">
        <v>4.0</v>
      </c>
      <c r="AE220" s="54">
        <v>75.0</v>
      </c>
      <c r="AF220" s="54">
        <v>75.0</v>
      </c>
      <c r="AG220" s="54">
        <v>9.0</v>
      </c>
      <c r="AH220" s="54">
        <v>83.0</v>
      </c>
      <c r="AI220" s="574">
        <f t="shared" si="12"/>
        <v>46</v>
      </c>
      <c r="AJ220" s="74"/>
      <c r="AK220" s="74"/>
      <c r="AL220" s="74"/>
      <c r="AM220" s="74"/>
      <c r="AN220" s="74"/>
      <c r="AO220" s="74"/>
      <c r="AP220" s="74"/>
      <c r="AQ220" s="74"/>
      <c r="AR220" s="74"/>
      <c r="AS220" s="575"/>
      <c r="AT220" s="68">
        <f t="shared" si="13"/>
        <v>452</v>
      </c>
      <c r="AU220" s="68">
        <f t="shared" si="14"/>
        <v>1923</v>
      </c>
      <c r="AV220" s="581">
        <f t="shared" si="15"/>
        <v>1187.5</v>
      </c>
      <c r="AW220" s="582">
        <f t="shared" si="276"/>
        <v>1349</v>
      </c>
      <c r="AX220" s="582">
        <f t="shared" si="389"/>
        <v>1414</v>
      </c>
      <c r="AY220" s="582">
        <f t="shared" si="390"/>
        <v>1414</v>
      </c>
      <c r="AZ220" s="582">
        <f t="shared" si="391"/>
        <v>1484</v>
      </c>
      <c r="BA220" s="582">
        <f t="shared" si="392"/>
        <v>1349</v>
      </c>
      <c r="BB220" s="582">
        <f t="shared" si="393"/>
        <v>1484</v>
      </c>
      <c r="BC220" s="582">
        <f t="shared" si="394"/>
        <v>1649</v>
      </c>
      <c r="BD220" s="582">
        <f t="shared" si="395"/>
        <v>1060</v>
      </c>
      <c r="BE220" s="582">
        <f t="shared" si="396"/>
        <v>1237</v>
      </c>
      <c r="BF220" s="582">
        <f t="shared" si="397"/>
        <v>900</v>
      </c>
      <c r="BG220" s="582">
        <f t="shared" si="398"/>
        <v>1060</v>
      </c>
      <c r="BH220" s="582">
        <f t="shared" si="284"/>
        <v>1024</v>
      </c>
      <c r="BI220" s="582">
        <f t="shared" si="399"/>
        <v>1060</v>
      </c>
      <c r="BJ220" s="582">
        <f t="shared" si="400"/>
        <v>1142</v>
      </c>
      <c r="BK220" s="582">
        <f t="shared" si="401"/>
        <v>1024</v>
      </c>
      <c r="BL220" s="582">
        <f t="shared" si="402"/>
        <v>1142</v>
      </c>
      <c r="BM220" s="74"/>
      <c r="BN220" s="582">
        <f t="shared" si="403"/>
        <v>1746</v>
      </c>
      <c r="BO220" s="74"/>
      <c r="BP220" s="602">
        <f t="shared" si="33"/>
        <v>1746</v>
      </c>
      <c r="BQ220" s="54">
        <v>6.0</v>
      </c>
      <c r="BR220" s="54">
        <v>58.0</v>
      </c>
      <c r="BS220" s="54">
        <v>10.0</v>
      </c>
      <c r="BT220" s="54">
        <v>100.0</v>
      </c>
      <c r="BU220" s="74"/>
      <c r="BV220" s="83">
        <f t="shared" si="34"/>
        <v>32</v>
      </c>
      <c r="BW220" s="608">
        <f t="shared" si="35"/>
        <v>927.6</v>
      </c>
      <c r="BX220" s="582">
        <f t="shared" si="289"/>
        <v>1054.1</v>
      </c>
      <c r="BY220" s="582">
        <f t="shared" si="404"/>
        <v>1104.3</v>
      </c>
      <c r="BZ220" s="582">
        <f t="shared" si="405"/>
        <v>1104.3</v>
      </c>
      <c r="CA220" s="582">
        <f t="shared" si="406"/>
        <v>1288.3</v>
      </c>
      <c r="CB220" s="582">
        <f t="shared" si="407"/>
        <v>1054.1</v>
      </c>
      <c r="CC220" s="582">
        <f t="shared" si="408"/>
        <v>1159.5</v>
      </c>
      <c r="CD220" s="582">
        <f t="shared" si="409"/>
        <v>1159.5</v>
      </c>
      <c r="CE220" s="664">
        <f t="shared" si="43"/>
        <v>43.8</v>
      </c>
      <c r="CF220" s="706">
        <f t="shared" si="248"/>
        <v>28</v>
      </c>
      <c r="CG220" s="552">
        <f t="shared" si="295"/>
        <v>28</v>
      </c>
      <c r="CH220" s="575" t="s">
        <v>1328</v>
      </c>
      <c r="CI220" s="582">
        <f t="shared" ref="CI220:DF220" si="431">FLOOR($AV220/(CI$3/25),1)</f>
        <v>1187</v>
      </c>
      <c r="CJ220" s="582">
        <f t="shared" si="431"/>
        <v>1236</v>
      </c>
      <c r="CK220" s="582">
        <f t="shared" si="431"/>
        <v>1290</v>
      </c>
      <c r="CL220" s="582">
        <f t="shared" si="431"/>
        <v>1349</v>
      </c>
      <c r="CM220" s="582">
        <f t="shared" si="431"/>
        <v>1413</v>
      </c>
      <c r="CN220" s="582">
        <f t="shared" si="431"/>
        <v>1484</v>
      </c>
      <c r="CO220" s="582">
        <f t="shared" si="431"/>
        <v>1562</v>
      </c>
      <c r="CP220" s="582">
        <f t="shared" si="431"/>
        <v>1649</v>
      </c>
      <c r="CQ220" s="582">
        <f t="shared" si="431"/>
        <v>1746</v>
      </c>
      <c r="CR220" s="582">
        <f t="shared" si="431"/>
        <v>1855</v>
      </c>
      <c r="CS220" s="582">
        <f t="shared" si="431"/>
        <v>1979</v>
      </c>
      <c r="CT220" s="582">
        <f t="shared" si="431"/>
        <v>2120</v>
      </c>
      <c r="CU220" s="582">
        <f t="shared" si="431"/>
        <v>2283</v>
      </c>
      <c r="CV220" s="582">
        <f t="shared" si="431"/>
        <v>2473</v>
      </c>
      <c r="CW220" s="582">
        <f t="shared" si="431"/>
        <v>2698</v>
      </c>
      <c r="CX220" s="582">
        <f t="shared" si="431"/>
        <v>2968</v>
      </c>
      <c r="CY220" s="582">
        <f t="shared" si="431"/>
        <v>3298</v>
      </c>
      <c r="CZ220" s="582">
        <f t="shared" si="431"/>
        <v>3710</v>
      </c>
      <c r="DA220" s="582">
        <f t="shared" si="431"/>
        <v>4241</v>
      </c>
      <c r="DB220" s="582">
        <f t="shared" si="431"/>
        <v>4947</v>
      </c>
      <c r="DC220" s="582">
        <f t="shared" si="431"/>
        <v>5937</v>
      </c>
      <c r="DD220" s="582">
        <f t="shared" si="431"/>
        <v>7421</v>
      </c>
      <c r="DE220" s="582">
        <f t="shared" si="431"/>
        <v>9895</v>
      </c>
      <c r="DF220" s="602">
        <f t="shared" si="431"/>
        <v>14843</v>
      </c>
      <c r="DG220" s="575"/>
      <c r="DH220" s="575" t="str">
        <f t="shared" si="46"/>
        <v/>
      </c>
      <c r="DI220" s="74" t="str">
        <f t="shared" si="47"/>
        <v/>
      </c>
      <c r="DJ220" s="74" t="str">
        <f t="shared" si="48"/>
        <v/>
      </c>
      <c r="DK220" s="623" t="str">
        <f t="shared" si="49"/>
        <v/>
      </c>
      <c r="DL220" s="74"/>
      <c r="DM220" s="74"/>
      <c r="DN220" s="582">
        <f t="shared" ref="DN220:DN231" si="433">IF(ISBLANK(DL220),ROUND(AI220/IF(ISBLANK(DL214),AI214,DL214),1),ROUND(DL220/IF(ISBLANK(DL214),AI214,DL214),1))</f>
        <v>3.3</v>
      </c>
      <c r="DO220" s="575"/>
      <c r="DP220" s="297"/>
    </row>
    <row r="221">
      <c r="A221" s="552">
        <v>215.0</v>
      </c>
      <c r="B221" s="86">
        <v>182.0</v>
      </c>
      <c r="C221" s="54">
        <v>17.0</v>
      </c>
      <c r="D221" s="54">
        <v>66.0</v>
      </c>
      <c r="E221" s="74"/>
      <c r="F221" s="68" t="s">
        <v>1683</v>
      </c>
      <c r="G221" s="68">
        <f t="shared" si="269"/>
        <v>20</v>
      </c>
      <c r="H221" s="68">
        <f t="shared" si="383"/>
        <v>19</v>
      </c>
      <c r="I221" s="68">
        <f t="shared" si="384"/>
        <v>19</v>
      </c>
      <c r="J221" s="68">
        <f t="shared" si="385"/>
        <v>17</v>
      </c>
      <c r="K221" s="68">
        <f t="shared" si="386"/>
        <v>20</v>
      </c>
      <c r="L221" s="68">
        <f t="shared" si="387"/>
        <v>18</v>
      </c>
      <c r="M221" s="569">
        <f t="shared" si="388"/>
        <v>18</v>
      </c>
      <c r="N221" s="74" t="s">
        <v>1335</v>
      </c>
      <c r="O221" s="570" t="s">
        <v>2003</v>
      </c>
      <c r="P221" s="639" t="s">
        <v>2199</v>
      </c>
      <c r="Q221" s="571" t="s">
        <v>1670</v>
      </c>
      <c r="R221" s="571" t="s">
        <v>1685</v>
      </c>
      <c r="S221" s="791" t="s">
        <v>1332</v>
      </c>
      <c r="T221" s="572" t="s">
        <v>1336</v>
      </c>
      <c r="U221" s="54">
        <v>37.0</v>
      </c>
      <c r="V221" s="54">
        <v>25.0</v>
      </c>
      <c r="W221" s="54">
        <v>95.0</v>
      </c>
      <c r="X221" s="74"/>
      <c r="Y221" s="54">
        <v>4.0</v>
      </c>
      <c r="Z221" s="54">
        <v>0.0</v>
      </c>
      <c r="AA221" s="54">
        <v>3.0</v>
      </c>
      <c r="AB221" s="54">
        <v>100.0</v>
      </c>
      <c r="AC221" s="54">
        <v>2133.0</v>
      </c>
      <c r="AD221" s="54">
        <v>4.0</v>
      </c>
      <c r="AE221" s="54">
        <v>75.0</v>
      </c>
      <c r="AF221" s="54">
        <v>75.0</v>
      </c>
      <c r="AG221" s="54">
        <v>20.0</v>
      </c>
      <c r="AH221" s="54">
        <v>76.0</v>
      </c>
      <c r="AI221" s="574">
        <f t="shared" si="12"/>
        <v>48</v>
      </c>
      <c r="AJ221" s="37"/>
      <c r="AK221" s="37"/>
      <c r="AL221" s="37"/>
      <c r="AM221" s="74"/>
      <c r="AN221" s="74"/>
      <c r="AO221" s="74"/>
      <c r="AP221" s="74"/>
      <c r="AQ221" s="74"/>
      <c r="AR221" s="74"/>
      <c r="AS221" s="575"/>
      <c r="AT221" s="68">
        <f t="shared" si="13"/>
        <v>671</v>
      </c>
      <c r="AU221" s="68">
        <f t="shared" si="14"/>
        <v>1783</v>
      </c>
      <c r="AV221" s="581">
        <f t="shared" si="15"/>
        <v>1227</v>
      </c>
      <c r="AW221" s="582">
        <f t="shared" si="276"/>
        <v>1614</v>
      </c>
      <c r="AX221" s="582">
        <f t="shared" si="389"/>
        <v>1704</v>
      </c>
      <c r="AY221" s="582">
        <f t="shared" si="390"/>
        <v>1704</v>
      </c>
      <c r="AZ221" s="582">
        <f t="shared" si="391"/>
        <v>1804</v>
      </c>
      <c r="BA221" s="582">
        <f t="shared" si="392"/>
        <v>1614</v>
      </c>
      <c r="BB221" s="582">
        <f t="shared" si="393"/>
        <v>1804</v>
      </c>
      <c r="BC221" s="582">
        <f t="shared" si="394"/>
        <v>1917</v>
      </c>
      <c r="BD221" s="582">
        <f t="shared" si="395"/>
        <v>1278</v>
      </c>
      <c r="BE221" s="582">
        <f t="shared" si="396"/>
        <v>1534</v>
      </c>
      <c r="BF221" s="582">
        <f t="shared" si="397"/>
        <v>1136</v>
      </c>
      <c r="BG221" s="582">
        <f t="shared" si="398"/>
        <v>1394</v>
      </c>
      <c r="BH221" s="582">
        <f t="shared" si="284"/>
        <v>1334</v>
      </c>
      <c r="BI221" s="582">
        <f t="shared" si="399"/>
        <v>1394</v>
      </c>
      <c r="BJ221" s="582">
        <f t="shared" si="400"/>
        <v>1461</v>
      </c>
      <c r="BK221" s="582">
        <f t="shared" si="401"/>
        <v>1334</v>
      </c>
      <c r="BL221" s="582">
        <f t="shared" si="402"/>
        <v>1461</v>
      </c>
      <c r="BM221" s="74"/>
      <c r="BN221" s="582">
        <f t="shared" si="403"/>
        <v>2045</v>
      </c>
      <c r="BO221" s="74"/>
      <c r="BP221" s="602">
        <f t="shared" si="33"/>
        <v>2045</v>
      </c>
      <c r="BQ221" s="54">
        <v>14.0</v>
      </c>
      <c r="BR221" s="54">
        <v>53.0</v>
      </c>
      <c r="BS221" s="74"/>
      <c r="BT221" s="54">
        <v>100.0</v>
      </c>
      <c r="BU221" s="74"/>
      <c r="BV221" s="83">
        <f t="shared" si="34"/>
        <v>33.5</v>
      </c>
      <c r="BW221" s="608">
        <f t="shared" si="35"/>
        <v>958</v>
      </c>
      <c r="BX221" s="582">
        <f t="shared" si="289"/>
        <v>1260.5</v>
      </c>
      <c r="BY221" s="582">
        <f t="shared" si="404"/>
        <v>1330.6</v>
      </c>
      <c r="BZ221" s="582">
        <f t="shared" si="405"/>
        <v>1330.6</v>
      </c>
      <c r="CA221" s="582">
        <f t="shared" si="406"/>
        <v>1496.9</v>
      </c>
      <c r="CB221" s="582">
        <f t="shared" si="407"/>
        <v>1260.5</v>
      </c>
      <c r="CC221" s="582">
        <f t="shared" si="408"/>
        <v>1408.8</v>
      </c>
      <c r="CD221" s="582">
        <f t="shared" si="409"/>
        <v>1408.8</v>
      </c>
      <c r="CE221" s="664">
        <f t="shared" si="43"/>
        <v>43.3</v>
      </c>
      <c r="CF221" s="706">
        <f t="shared" si="248"/>
        <v>28.1</v>
      </c>
      <c r="CG221" s="552">
        <f t="shared" si="295"/>
        <v>28</v>
      </c>
      <c r="CH221" s="575" t="s">
        <v>1335</v>
      </c>
      <c r="CI221" s="582">
        <f t="shared" ref="CI221:DF221" si="432">FLOOR($AV221/(CI$3/25),1)</f>
        <v>1227</v>
      </c>
      <c r="CJ221" s="582">
        <f t="shared" si="432"/>
        <v>1278</v>
      </c>
      <c r="CK221" s="582">
        <f t="shared" si="432"/>
        <v>1333</v>
      </c>
      <c r="CL221" s="582">
        <f t="shared" si="432"/>
        <v>1394</v>
      </c>
      <c r="CM221" s="582">
        <f t="shared" si="432"/>
        <v>1460</v>
      </c>
      <c r="CN221" s="582">
        <f t="shared" si="432"/>
        <v>1533</v>
      </c>
      <c r="CO221" s="582">
        <f t="shared" si="432"/>
        <v>1614</v>
      </c>
      <c r="CP221" s="582">
        <f t="shared" si="432"/>
        <v>1704</v>
      </c>
      <c r="CQ221" s="582">
        <f t="shared" si="432"/>
        <v>1804</v>
      </c>
      <c r="CR221" s="582">
        <f t="shared" si="432"/>
        <v>1917</v>
      </c>
      <c r="CS221" s="582">
        <f t="shared" si="432"/>
        <v>2045</v>
      </c>
      <c r="CT221" s="582">
        <f t="shared" si="432"/>
        <v>2191</v>
      </c>
      <c r="CU221" s="582">
        <f t="shared" si="432"/>
        <v>2359</v>
      </c>
      <c r="CV221" s="582">
        <f t="shared" si="432"/>
        <v>2556</v>
      </c>
      <c r="CW221" s="582">
        <f t="shared" si="432"/>
        <v>2788</v>
      </c>
      <c r="CX221" s="582">
        <f t="shared" si="432"/>
        <v>3067</v>
      </c>
      <c r="CY221" s="582">
        <f t="shared" si="432"/>
        <v>3408</v>
      </c>
      <c r="CZ221" s="582">
        <f t="shared" si="432"/>
        <v>3834</v>
      </c>
      <c r="DA221" s="582">
        <f t="shared" si="432"/>
        <v>4382</v>
      </c>
      <c r="DB221" s="582">
        <f t="shared" si="432"/>
        <v>5112</v>
      </c>
      <c r="DC221" s="582">
        <f t="shared" si="432"/>
        <v>6135</v>
      </c>
      <c r="DD221" s="582">
        <f t="shared" si="432"/>
        <v>7668</v>
      </c>
      <c r="DE221" s="582">
        <f t="shared" si="432"/>
        <v>10225</v>
      </c>
      <c r="DF221" s="602">
        <f t="shared" si="432"/>
        <v>15337</v>
      </c>
      <c r="DG221" s="575"/>
      <c r="DH221" s="575" t="str">
        <f t="shared" si="46"/>
        <v/>
      </c>
      <c r="DI221" s="74" t="str">
        <f t="shared" si="47"/>
        <v/>
      </c>
      <c r="DJ221" s="74" t="str">
        <f t="shared" si="48"/>
        <v/>
      </c>
      <c r="DK221" s="664">
        <f t="shared" si="49"/>
        <v>-15.6</v>
      </c>
      <c r="DL221" s="685">
        <v>40.5</v>
      </c>
      <c r="DM221" s="74"/>
      <c r="DN221" s="582">
        <f t="shared" si="433"/>
        <v>3</v>
      </c>
      <c r="DO221" s="575"/>
      <c r="DP221" s="297"/>
    </row>
    <row r="222">
      <c r="A222" s="552">
        <v>216.0</v>
      </c>
      <c r="B222" s="86">
        <v>183.0</v>
      </c>
      <c r="C222" s="54">
        <v>22.0</v>
      </c>
      <c r="D222" s="54">
        <v>56.0</v>
      </c>
      <c r="E222" s="74"/>
      <c r="F222" s="68" t="s">
        <v>1683</v>
      </c>
      <c r="G222" s="68">
        <f t="shared" si="269"/>
        <v>20</v>
      </c>
      <c r="H222" s="68">
        <f t="shared" si="383"/>
        <v>19</v>
      </c>
      <c r="I222" s="68">
        <f t="shared" si="384"/>
        <v>19</v>
      </c>
      <c r="J222" s="68">
        <f t="shared" si="385"/>
        <v>17</v>
      </c>
      <c r="K222" s="68">
        <f t="shared" si="386"/>
        <v>20</v>
      </c>
      <c r="L222" s="68">
        <f t="shared" si="387"/>
        <v>18</v>
      </c>
      <c r="M222" s="569">
        <f t="shared" si="388"/>
        <v>18</v>
      </c>
      <c r="N222" s="74" t="s">
        <v>1342</v>
      </c>
      <c r="O222" s="570" t="s">
        <v>2004</v>
      </c>
      <c r="P222" s="571"/>
      <c r="Q222" s="571" t="s">
        <v>1670</v>
      </c>
      <c r="R222" s="571" t="s">
        <v>1685</v>
      </c>
      <c r="S222" s="571" t="s">
        <v>1347</v>
      </c>
      <c r="T222" s="572" t="s">
        <v>1343</v>
      </c>
      <c r="U222" s="54">
        <v>40.0</v>
      </c>
      <c r="V222" s="54">
        <v>25.0</v>
      </c>
      <c r="W222" s="54">
        <v>82.0</v>
      </c>
      <c r="X222" s="679">
        <v>82.0</v>
      </c>
      <c r="Y222" s="54">
        <v>5.0</v>
      </c>
      <c r="Z222" s="54">
        <v>-10.0</v>
      </c>
      <c r="AA222" s="54">
        <v>3.0</v>
      </c>
      <c r="AB222" s="54">
        <v>130.0</v>
      </c>
      <c r="AC222" s="54">
        <v>2844.0</v>
      </c>
      <c r="AD222" s="54">
        <v>4.0</v>
      </c>
      <c r="AE222" s="54">
        <v>75.0</v>
      </c>
      <c r="AF222" s="54">
        <v>75.0</v>
      </c>
      <c r="AG222" s="54">
        <v>25.0</v>
      </c>
      <c r="AH222" s="54">
        <v>64.0</v>
      </c>
      <c r="AI222" s="574">
        <f t="shared" si="12"/>
        <v>44.5</v>
      </c>
      <c r="AJ222" s="74"/>
      <c r="AK222" s="74"/>
      <c r="AL222" s="74"/>
      <c r="AM222" s="74"/>
      <c r="AN222" s="74"/>
      <c r="AO222" s="74"/>
      <c r="AP222" s="74"/>
      <c r="AQ222" s="74"/>
      <c r="AR222" s="74"/>
      <c r="AS222" s="575"/>
      <c r="AT222" s="68">
        <f t="shared" si="13"/>
        <v>771</v>
      </c>
      <c r="AU222" s="68">
        <f t="shared" si="14"/>
        <v>1543</v>
      </c>
      <c r="AV222" s="581">
        <f t="shared" si="15"/>
        <v>1157</v>
      </c>
      <c r="AW222" s="582">
        <f t="shared" si="276"/>
        <v>1607</v>
      </c>
      <c r="AX222" s="582">
        <f t="shared" si="389"/>
        <v>1701</v>
      </c>
      <c r="AY222" s="582">
        <f t="shared" si="390"/>
        <v>1701</v>
      </c>
      <c r="AZ222" s="582">
        <f t="shared" si="391"/>
        <v>1808</v>
      </c>
      <c r="BA222" s="582">
        <f t="shared" si="392"/>
        <v>1607</v>
      </c>
      <c r="BB222" s="582">
        <f t="shared" si="393"/>
        <v>1808</v>
      </c>
      <c r="BC222" s="582">
        <f t="shared" si="394"/>
        <v>1928</v>
      </c>
      <c r="BD222" s="582">
        <f t="shared" si="395"/>
        <v>1522</v>
      </c>
      <c r="BE222" s="582">
        <f t="shared" si="396"/>
        <v>1808</v>
      </c>
      <c r="BF222" s="582">
        <f t="shared" si="397"/>
        <v>1315</v>
      </c>
      <c r="BG222" s="582">
        <f t="shared" si="398"/>
        <v>1607</v>
      </c>
      <c r="BH222" s="582">
        <f t="shared" si="284"/>
        <v>1522</v>
      </c>
      <c r="BI222" s="582">
        <f t="shared" si="399"/>
        <v>1607</v>
      </c>
      <c r="BJ222" s="582">
        <f t="shared" si="400"/>
        <v>1701</v>
      </c>
      <c r="BK222" s="582">
        <f t="shared" si="401"/>
        <v>1522</v>
      </c>
      <c r="BL222" s="582">
        <f t="shared" si="402"/>
        <v>1701</v>
      </c>
      <c r="BM222" s="74"/>
      <c r="BN222" s="582">
        <f t="shared" si="403"/>
        <v>2066</v>
      </c>
      <c r="BO222" s="74"/>
      <c r="BP222" s="602">
        <f t="shared" si="33"/>
        <v>2066</v>
      </c>
      <c r="BQ222" s="54">
        <v>18.0</v>
      </c>
      <c r="BR222" s="54">
        <v>45.0</v>
      </c>
      <c r="BS222" s="54">
        <v>-10.0</v>
      </c>
      <c r="BT222" s="54">
        <v>100.0</v>
      </c>
      <c r="BU222" s="74"/>
      <c r="BV222" s="83">
        <f t="shared" si="34"/>
        <v>31.5</v>
      </c>
      <c r="BW222" s="608">
        <f t="shared" si="35"/>
        <v>917.5</v>
      </c>
      <c r="BX222" s="582">
        <f t="shared" si="289"/>
        <v>1274.3</v>
      </c>
      <c r="BY222" s="582">
        <f t="shared" si="404"/>
        <v>1349.3</v>
      </c>
      <c r="BZ222" s="582">
        <f t="shared" si="405"/>
        <v>1349.3</v>
      </c>
      <c r="CA222" s="582">
        <f t="shared" si="406"/>
        <v>1529.2</v>
      </c>
      <c r="CB222" s="582">
        <f t="shared" si="407"/>
        <v>1274.3</v>
      </c>
      <c r="CC222" s="582">
        <f t="shared" si="408"/>
        <v>1433.6</v>
      </c>
      <c r="CD222" s="582">
        <f t="shared" si="409"/>
        <v>1433.6</v>
      </c>
      <c r="CE222" s="664">
        <f t="shared" si="43"/>
        <v>41.3</v>
      </c>
      <c r="CF222" s="706">
        <f t="shared" si="248"/>
        <v>26.1</v>
      </c>
      <c r="CG222" s="552">
        <f t="shared" si="295"/>
        <v>26.1</v>
      </c>
      <c r="CH222" s="575" t="s">
        <v>1342</v>
      </c>
      <c r="CI222" s="582">
        <f t="shared" ref="CI222:DF222" si="434">FLOOR($AV222/(CI$3/25),1)</f>
        <v>1157</v>
      </c>
      <c r="CJ222" s="582">
        <f t="shared" si="434"/>
        <v>1205</v>
      </c>
      <c r="CK222" s="582">
        <f t="shared" si="434"/>
        <v>1257</v>
      </c>
      <c r="CL222" s="582">
        <f t="shared" si="434"/>
        <v>1314</v>
      </c>
      <c r="CM222" s="582">
        <f t="shared" si="434"/>
        <v>1377</v>
      </c>
      <c r="CN222" s="582">
        <f t="shared" si="434"/>
        <v>1446</v>
      </c>
      <c r="CO222" s="582">
        <f t="shared" si="434"/>
        <v>1522</v>
      </c>
      <c r="CP222" s="582">
        <f t="shared" si="434"/>
        <v>1606</v>
      </c>
      <c r="CQ222" s="582">
        <f t="shared" si="434"/>
        <v>1701</v>
      </c>
      <c r="CR222" s="582">
        <f t="shared" si="434"/>
        <v>1807</v>
      </c>
      <c r="CS222" s="582">
        <f t="shared" si="434"/>
        <v>1928</v>
      </c>
      <c r="CT222" s="582">
        <f t="shared" si="434"/>
        <v>2066</v>
      </c>
      <c r="CU222" s="582">
        <f t="shared" si="434"/>
        <v>2225</v>
      </c>
      <c r="CV222" s="582">
        <f t="shared" si="434"/>
        <v>2410</v>
      </c>
      <c r="CW222" s="582">
        <f t="shared" si="434"/>
        <v>2629</v>
      </c>
      <c r="CX222" s="582">
        <f t="shared" si="434"/>
        <v>2892</v>
      </c>
      <c r="CY222" s="582">
        <f t="shared" si="434"/>
        <v>3213</v>
      </c>
      <c r="CZ222" s="582">
        <f t="shared" si="434"/>
        <v>3615</v>
      </c>
      <c r="DA222" s="582">
        <f t="shared" si="434"/>
        <v>4132</v>
      </c>
      <c r="DB222" s="582">
        <f t="shared" si="434"/>
        <v>4820</v>
      </c>
      <c r="DC222" s="582">
        <f t="shared" si="434"/>
        <v>5785</v>
      </c>
      <c r="DD222" s="582">
        <f t="shared" si="434"/>
        <v>7231</v>
      </c>
      <c r="DE222" s="582">
        <f t="shared" si="434"/>
        <v>9641</v>
      </c>
      <c r="DF222" s="602">
        <f t="shared" si="434"/>
        <v>14462</v>
      </c>
      <c r="DG222" s="575"/>
      <c r="DH222" s="575" t="str">
        <f t="shared" si="46"/>
        <v/>
      </c>
      <c r="DI222" s="74" t="str">
        <f t="shared" si="47"/>
        <v/>
      </c>
      <c r="DJ222" s="74" t="str">
        <f t="shared" si="48"/>
        <v/>
      </c>
      <c r="DK222" s="623" t="str">
        <f t="shared" si="49"/>
        <v/>
      </c>
      <c r="DL222" s="74"/>
      <c r="DM222" s="74"/>
      <c r="DN222" s="582">
        <f t="shared" si="433"/>
        <v>3.2</v>
      </c>
      <c r="DO222" s="575"/>
      <c r="DP222" s="297"/>
    </row>
    <row r="223">
      <c r="A223" s="552">
        <v>217.0</v>
      </c>
      <c r="B223" s="86">
        <v>184.0</v>
      </c>
      <c r="C223" s="54">
        <v>43.0</v>
      </c>
      <c r="D223" s="54">
        <v>94.0</v>
      </c>
      <c r="E223" s="74"/>
      <c r="F223" s="68" t="s">
        <v>1683</v>
      </c>
      <c r="G223" s="68">
        <f t="shared" si="269"/>
        <v>20</v>
      </c>
      <c r="H223" s="68">
        <f t="shared" si="383"/>
        <v>19</v>
      </c>
      <c r="I223" s="68">
        <f t="shared" si="384"/>
        <v>19</v>
      </c>
      <c r="J223" s="68">
        <f t="shared" si="385"/>
        <v>17</v>
      </c>
      <c r="K223" s="68">
        <f t="shared" si="386"/>
        <v>20</v>
      </c>
      <c r="L223" s="68">
        <f t="shared" si="387"/>
        <v>18</v>
      </c>
      <c r="M223" s="569">
        <f t="shared" si="388"/>
        <v>18</v>
      </c>
      <c r="N223" s="74" t="s">
        <v>1351</v>
      </c>
      <c r="O223" s="570" t="s">
        <v>2005</v>
      </c>
      <c r="P223" s="571"/>
      <c r="Q223" s="571" t="s">
        <v>1670</v>
      </c>
      <c r="R223" s="571" t="s">
        <v>1685</v>
      </c>
      <c r="S223" s="791" t="s">
        <v>1332</v>
      </c>
      <c r="T223" s="572" t="s">
        <v>1352</v>
      </c>
      <c r="U223" s="54">
        <v>35.0</v>
      </c>
      <c r="V223" s="54">
        <v>23.0</v>
      </c>
      <c r="W223" s="54">
        <v>113.0</v>
      </c>
      <c r="X223" s="54">
        <v>67.0</v>
      </c>
      <c r="Y223" s="54">
        <v>5.0</v>
      </c>
      <c r="Z223" s="54">
        <v>10.0</v>
      </c>
      <c r="AA223" s="54">
        <v>3.0</v>
      </c>
      <c r="AB223" s="54">
        <v>130.0</v>
      </c>
      <c r="AC223" s="54">
        <v>5403.0</v>
      </c>
      <c r="AD223" s="54">
        <v>4.0</v>
      </c>
      <c r="AE223" s="54">
        <v>75.0</v>
      </c>
      <c r="AF223" s="54">
        <v>75.0</v>
      </c>
      <c r="AG223" s="54">
        <v>49.0</v>
      </c>
      <c r="AH223" s="54">
        <v>108.0</v>
      </c>
      <c r="AI223" s="574">
        <f t="shared" si="12"/>
        <v>78.5</v>
      </c>
      <c r="AJ223" s="74"/>
      <c r="AK223" s="74"/>
      <c r="AL223" s="74"/>
      <c r="AM223" s="74"/>
      <c r="AN223" s="74"/>
      <c r="AO223" s="74"/>
      <c r="AP223" s="74"/>
      <c r="AQ223" s="74"/>
      <c r="AR223" s="74"/>
      <c r="AS223" s="575"/>
      <c r="AT223" s="68">
        <f t="shared" si="13"/>
        <v>1247</v>
      </c>
      <c r="AU223" s="68">
        <f t="shared" si="14"/>
        <v>2420</v>
      </c>
      <c r="AV223" s="581">
        <f t="shared" si="15"/>
        <v>1833.5</v>
      </c>
      <c r="AW223" s="582">
        <f t="shared" si="276"/>
        <v>2084</v>
      </c>
      <c r="AX223" s="582">
        <f t="shared" si="389"/>
        <v>2183</v>
      </c>
      <c r="AY223" s="582">
        <f t="shared" si="390"/>
        <v>2183</v>
      </c>
      <c r="AZ223" s="582">
        <f t="shared" si="391"/>
        <v>2292</v>
      </c>
      <c r="BA223" s="582">
        <f t="shared" si="392"/>
        <v>2084</v>
      </c>
      <c r="BB223" s="582">
        <f t="shared" si="393"/>
        <v>2292</v>
      </c>
      <c r="BC223" s="582">
        <f t="shared" si="394"/>
        <v>2547</v>
      </c>
      <c r="BD223" s="582">
        <f t="shared" si="395"/>
        <v>1637</v>
      </c>
      <c r="BE223" s="582">
        <f t="shared" si="396"/>
        <v>1910</v>
      </c>
      <c r="BF223" s="582">
        <f t="shared" si="397"/>
        <v>1389</v>
      </c>
      <c r="BG223" s="582">
        <f t="shared" si="398"/>
        <v>1637</v>
      </c>
      <c r="BH223" s="582">
        <f t="shared" si="284"/>
        <v>1581</v>
      </c>
      <c r="BI223" s="582">
        <f t="shared" si="399"/>
        <v>1637</v>
      </c>
      <c r="BJ223" s="582">
        <f t="shared" si="400"/>
        <v>1763</v>
      </c>
      <c r="BK223" s="582">
        <f t="shared" si="401"/>
        <v>1581</v>
      </c>
      <c r="BL223" s="582">
        <f t="shared" si="402"/>
        <v>1763</v>
      </c>
      <c r="BM223" s="74"/>
      <c r="BN223" s="582">
        <f t="shared" si="403"/>
        <v>2696</v>
      </c>
      <c r="BO223" s="74"/>
      <c r="BP223" s="602">
        <f t="shared" si="33"/>
        <v>2696</v>
      </c>
      <c r="BQ223" s="54">
        <v>34.0</v>
      </c>
      <c r="BR223" s="54">
        <v>75.0</v>
      </c>
      <c r="BS223" s="54">
        <v>10.0</v>
      </c>
      <c r="BT223" s="54">
        <v>100.0</v>
      </c>
      <c r="BU223" s="74"/>
      <c r="BV223" s="83">
        <f t="shared" si="34"/>
        <v>54.5</v>
      </c>
      <c r="BW223" s="608">
        <f t="shared" si="35"/>
        <v>1383.1</v>
      </c>
      <c r="BX223" s="582">
        <f t="shared" si="289"/>
        <v>1571.7</v>
      </c>
      <c r="BY223" s="582">
        <f t="shared" si="404"/>
        <v>1646.5</v>
      </c>
      <c r="BZ223" s="582">
        <f t="shared" si="405"/>
        <v>1646.5</v>
      </c>
      <c r="CA223" s="582">
        <f t="shared" si="406"/>
        <v>1921</v>
      </c>
      <c r="CB223" s="582">
        <f t="shared" si="407"/>
        <v>1571.7</v>
      </c>
      <c r="CC223" s="582">
        <f t="shared" si="408"/>
        <v>1728.9</v>
      </c>
      <c r="CD223" s="582">
        <f t="shared" si="409"/>
        <v>1728.9</v>
      </c>
      <c r="CE223" s="664">
        <f t="shared" si="43"/>
        <v>44</v>
      </c>
      <c r="CF223" s="706">
        <f t="shared" si="248"/>
        <v>32.6</v>
      </c>
      <c r="CG223" s="552">
        <f t="shared" si="295"/>
        <v>32.6</v>
      </c>
      <c r="CH223" s="575" t="s">
        <v>1351</v>
      </c>
      <c r="CI223" s="582">
        <f t="shared" ref="CI223:DF223" si="435">FLOOR($AV223/(CI$3/25),1)</f>
        <v>1833</v>
      </c>
      <c r="CJ223" s="582">
        <f t="shared" si="435"/>
        <v>1909</v>
      </c>
      <c r="CK223" s="582">
        <f t="shared" si="435"/>
        <v>1992</v>
      </c>
      <c r="CL223" s="582">
        <f t="shared" si="435"/>
        <v>2083</v>
      </c>
      <c r="CM223" s="582">
        <f t="shared" si="435"/>
        <v>2182</v>
      </c>
      <c r="CN223" s="582">
        <f t="shared" si="435"/>
        <v>2291</v>
      </c>
      <c r="CO223" s="582">
        <f t="shared" si="435"/>
        <v>2412</v>
      </c>
      <c r="CP223" s="582">
        <f t="shared" si="435"/>
        <v>2546</v>
      </c>
      <c r="CQ223" s="582">
        <f t="shared" si="435"/>
        <v>2696</v>
      </c>
      <c r="CR223" s="582">
        <f t="shared" si="435"/>
        <v>2864</v>
      </c>
      <c r="CS223" s="582">
        <f t="shared" si="435"/>
        <v>3055</v>
      </c>
      <c r="CT223" s="582">
        <f t="shared" si="435"/>
        <v>3274</v>
      </c>
      <c r="CU223" s="582">
        <f t="shared" si="435"/>
        <v>3525</v>
      </c>
      <c r="CV223" s="582">
        <f t="shared" si="435"/>
        <v>3819</v>
      </c>
      <c r="CW223" s="582">
        <f t="shared" si="435"/>
        <v>4167</v>
      </c>
      <c r="CX223" s="582">
        <f t="shared" si="435"/>
        <v>4583</v>
      </c>
      <c r="CY223" s="582">
        <f t="shared" si="435"/>
        <v>5093</v>
      </c>
      <c r="CZ223" s="582">
        <f t="shared" si="435"/>
        <v>5729</v>
      </c>
      <c r="DA223" s="582">
        <f t="shared" si="435"/>
        <v>6548</v>
      </c>
      <c r="DB223" s="582">
        <f t="shared" si="435"/>
        <v>7639</v>
      </c>
      <c r="DC223" s="582">
        <f t="shared" si="435"/>
        <v>9167</v>
      </c>
      <c r="DD223" s="582">
        <f t="shared" si="435"/>
        <v>11459</v>
      </c>
      <c r="DE223" s="582">
        <f t="shared" si="435"/>
        <v>15279</v>
      </c>
      <c r="DF223" s="602">
        <f t="shared" si="435"/>
        <v>22918</v>
      </c>
      <c r="DG223" s="575"/>
      <c r="DH223" s="575" t="str">
        <f t="shared" si="46"/>
        <v/>
      </c>
      <c r="DI223" s="74" t="str">
        <f t="shared" si="47"/>
        <v/>
      </c>
      <c r="DJ223" s="74" t="str">
        <f t="shared" si="48"/>
        <v/>
      </c>
      <c r="DK223" s="664">
        <f t="shared" si="49"/>
        <v>-14</v>
      </c>
      <c r="DL223" s="685">
        <v>67.5</v>
      </c>
      <c r="DM223" s="74"/>
      <c r="DN223" s="582">
        <f t="shared" si="433"/>
        <v>2.4</v>
      </c>
      <c r="DO223" s="575"/>
      <c r="DP223" s="297"/>
    </row>
    <row r="224">
      <c r="A224" s="552">
        <v>218.0</v>
      </c>
      <c r="B224" s="86">
        <v>185.0</v>
      </c>
      <c r="C224" s="54">
        <v>16.0</v>
      </c>
      <c r="D224" s="54">
        <v>106.0</v>
      </c>
      <c r="E224" s="74"/>
      <c r="F224" s="68" t="s">
        <v>1683</v>
      </c>
      <c r="G224" s="68">
        <f t="shared" si="269"/>
        <v>20</v>
      </c>
      <c r="H224" s="68">
        <f t="shared" si="383"/>
        <v>19</v>
      </c>
      <c r="I224" s="68">
        <f t="shared" si="384"/>
        <v>19</v>
      </c>
      <c r="J224" s="68">
        <f t="shared" si="385"/>
        <v>17</v>
      </c>
      <c r="K224" s="68">
        <f t="shared" si="386"/>
        <v>20</v>
      </c>
      <c r="L224" s="68">
        <f t="shared" si="387"/>
        <v>18</v>
      </c>
      <c r="M224" s="569">
        <f t="shared" si="388"/>
        <v>18</v>
      </c>
      <c r="N224" s="74" t="s">
        <v>1357</v>
      </c>
      <c r="O224" s="570" t="s">
        <v>2006</v>
      </c>
      <c r="P224" s="571"/>
      <c r="Q224" s="571" t="s">
        <v>1670</v>
      </c>
      <c r="R224" s="571" t="s">
        <v>1685</v>
      </c>
      <c r="S224" s="791" t="s">
        <v>1332</v>
      </c>
      <c r="T224" s="572" t="s">
        <v>1358</v>
      </c>
      <c r="U224" s="54">
        <v>51.0</v>
      </c>
      <c r="V224" s="54">
        <v>25.0</v>
      </c>
      <c r="W224" s="54">
        <v>133.0</v>
      </c>
      <c r="X224" s="679">
        <v>91.0</v>
      </c>
      <c r="Y224" s="54">
        <v>6.0</v>
      </c>
      <c r="Z224" s="54">
        <v>0.0</v>
      </c>
      <c r="AA224" s="54">
        <v>4.0</v>
      </c>
      <c r="AB224" s="54">
        <v>110.0</v>
      </c>
      <c r="AC224" s="54">
        <v>8418.0</v>
      </c>
      <c r="AD224" s="54">
        <v>4.0</v>
      </c>
      <c r="AE224" s="54">
        <v>75.0</v>
      </c>
      <c r="AF224" s="54">
        <v>75.0</v>
      </c>
      <c r="AG224" s="54">
        <v>18.0</v>
      </c>
      <c r="AH224" s="54">
        <v>122.0</v>
      </c>
      <c r="AI224" s="574">
        <f t="shared" si="12"/>
        <v>70</v>
      </c>
      <c r="AJ224" s="74"/>
      <c r="AK224" s="74"/>
      <c r="AL224" s="74"/>
      <c r="AM224" s="74"/>
      <c r="AN224" s="74"/>
      <c r="AO224" s="74"/>
      <c r="AP224" s="74"/>
      <c r="AQ224" s="74"/>
      <c r="AR224" s="74"/>
      <c r="AS224" s="575"/>
      <c r="AT224" s="68">
        <f t="shared" si="13"/>
        <v>632</v>
      </c>
      <c r="AU224" s="68">
        <f t="shared" si="14"/>
        <v>2700</v>
      </c>
      <c r="AV224" s="581">
        <f t="shared" si="15"/>
        <v>1666</v>
      </c>
      <c r="AW224" s="582">
        <f t="shared" si="276"/>
        <v>2192</v>
      </c>
      <c r="AX224" s="582">
        <f t="shared" si="389"/>
        <v>2314</v>
      </c>
      <c r="AY224" s="582">
        <f t="shared" si="390"/>
        <v>2314</v>
      </c>
      <c r="AZ224" s="582">
        <f t="shared" si="391"/>
        <v>2450</v>
      </c>
      <c r="BA224" s="582">
        <f t="shared" si="392"/>
        <v>2192</v>
      </c>
      <c r="BB224" s="582">
        <f t="shared" si="393"/>
        <v>2450</v>
      </c>
      <c r="BC224" s="582">
        <f t="shared" si="394"/>
        <v>2603</v>
      </c>
      <c r="BD224" s="582">
        <f t="shared" si="395"/>
        <v>1735</v>
      </c>
      <c r="BE224" s="582">
        <f t="shared" si="396"/>
        <v>2083</v>
      </c>
      <c r="BF224" s="582">
        <f t="shared" si="397"/>
        <v>1543</v>
      </c>
      <c r="BG224" s="582">
        <f t="shared" si="398"/>
        <v>1893</v>
      </c>
      <c r="BH224" s="582">
        <f t="shared" si="284"/>
        <v>1811</v>
      </c>
      <c r="BI224" s="582">
        <f t="shared" si="399"/>
        <v>1893</v>
      </c>
      <c r="BJ224" s="582">
        <f t="shared" si="400"/>
        <v>1983</v>
      </c>
      <c r="BK224" s="582">
        <f t="shared" si="401"/>
        <v>1811</v>
      </c>
      <c r="BL224" s="582">
        <f t="shared" si="402"/>
        <v>1983</v>
      </c>
      <c r="BM224" s="74"/>
      <c r="BN224" s="582">
        <f t="shared" si="403"/>
        <v>2777</v>
      </c>
      <c r="BO224" s="74"/>
      <c r="BP224" s="602">
        <f t="shared" si="33"/>
        <v>2777</v>
      </c>
      <c r="BQ224" s="54">
        <v>13.0</v>
      </c>
      <c r="BR224" s="54">
        <v>85.0</v>
      </c>
      <c r="BS224" s="74"/>
      <c r="BT224" s="54">
        <v>100.0</v>
      </c>
      <c r="BU224" s="74"/>
      <c r="BV224" s="83">
        <f t="shared" si="34"/>
        <v>49</v>
      </c>
      <c r="BW224" s="608">
        <f t="shared" si="35"/>
        <v>1271.8</v>
      </c>
      <c r="BX224" s="582">
        <f t="shared" si="289"/>
        <v>1673.4</v>
      </c>
      <c r="BY224" s="582">
        <f t="shared" si="404"/>
        <v>1766.4</v>
      </c>
      <c r="BZ224" s="582">
        <f t="shared" si="405"/>
        <v>1766.4</v>
      </c>
      <c r="CA224" s="582">
        <f t="shared" si="406"/>
        <v>1987.2</v>
      </c>
      <c r="CB224" s="582">
        <f t="shared" si="407"/>
        <v>1673.4</v>
      </c>
      <c r="CC224" s="582">
        <f t="shared" si="408"/>
        <v>1870.3</v>
      </c>
      <c r="CD224" s="582">
        <f t="shared" si="409"/>
        <v>1870.3</v>
      </c>
      <c r="CE224" s="664">
        <f t="shared" si="43"/>
        <v>42.9</v>
      </c>
      <c r="CF224" s="706">
        <f t="shared" si="248"/>
        <v>31</v>
      </c>
      <c r="CG224" s="552">
        <f t="shared" si="295"/>
        <v>31</v>
      </c>
      <c r="CH224" s="575" t="s">
        <v>1357</v>
      </c>
      <c r="CI224" s="582">
        <f t="shared" ref="CI224:DF224" si="436">FLOOR($AV224/(CI$3/25),1)</f>
        <v>1666</v>
      </c>
      <c r="CJ224" s="582">
        <f t="shared" si="436"/>
        <v>1735</v>
      </c>
      <c r="CK224" s="582">
        <f t="shared" si="436"/>
        <v>1810</v>
      </c>
      <c r="CL224" s="582">
        <f t="shared" si="436"/>
        <v>1893</v>
      </c>
      <c r="CM224" s="582">
        <f t="shared" si="436"/>
        <v>1983</v>
      </c>
      <c r="CN224" s="582">
        <f t="shared" si="436"/>
        <v>2082</v>
      </c>
      <c r="CO224" s="582">
        <f t="shared" si="436"/>
        <v>2192</v>
      </c>
      <c r="CP224" s="582">
        <f t="shared" si="436"/>
        <v>2313</v>
      </c>
      <c r="CQ224" s="582">
        <f t="shared" si="436"/>
        <v>2450</v>
      </c>
      <c r="CR224" s="582">
        <f t="shared" si="436"/>
        <v>2603</v>
      </c>
      <c r="CS224" s="582">
        <f t="shared" si="436"/>
        <v>2776</v>
      </c>
      <c r="CT224" s="582">
        <f t="shared" si="436"/>
        <v>2975</v>
      </c>
      <c r="CU224" s="582">
        <f t="shared" si="436"/>
        <v>3203</v>
      </c>
      <c r="CV224" s="582">
        <f t="shared" si="436"/>
        <v>3470</v>
      </c>
      <c r="CW224" s="582">
        <f t="shared" si="436"/>
        <v>3786</v>
      </c>
      <c r="CX224" s="582">
        <f t="shared" si="436"/>
        <v>4165</v>
      </c>
      <c r="CY224" s="582">
        <f t="shared" si="436"/>
        <v>4627</v>
      </c>
      <c r="CZ224" s="582">
        <f t="shared" si="436"/>
        <v>5206</v>
      </c>
      <c r="DA224" s="582">
        <f t="shared" si="436"/>
        <v>5950</v>
      </c>
      <c r="DB224" s="582">
        <f t="shared" si="436"/>
        <v>6941</v>
      </c>
      <c r="DC224" s="582">
        <f t="shared" si="436"/>
        <v>8330</v>
      </c>
      <c r="DD224" s="582">
        <f t="shared" si="436"/>
        <v>10412</v>
      </c>
      <c r="DE224" s="582">
        <f t="shared" si="436"/>
        <v>13883</v>
      </c>
      <c r="DF224" s="602">
        <f t="shared" si="436"/>
        <v>20825</v>
      </c>
      <c r="DG224" s="575"/>
      <c r="DH224" s="575" t="str">
        <f t="shared" si="46"/>
        <v/>
      </c>
      <c r="DI224" s="74" t="str">
        <f t="shared" si="47"/>
        <v/>
      </c>
      <c r="DJ224" s="74" t="str">
        <f t="shared" si="48"/>
        <v/>
      </c>
      <c r="DK224" s="664">
        <f t="shared" si="49"/>
        <v>-10</v>
      </c>
      <c r="DL224" s="685">
        <v>63.0</v>
      </c>
      <c r="DM224" s="74"/>
      <c r="DN224" s="582">
        <f t="shared" si="433"/>
        <v>2.2</v>
      </c>
      <c r="DO224" s="575"/>
      <c r="DP224" s="297"/>
    </row>
    <row r="225">
      <c r="A225" s="647">
        <v>219.0</v>
      </c>
      <c r="B225" s="141">
        <v>186.0</v>
      </c>
      <c r="C225" s="129">
        <v>38.0</v>
      </c>
      <c r="D225" s="129">
        <v>87.0</v>
      </c>
      <c r="E225" s="134"/>
      <c r="F225" s="154" t="s">
        <v>1683</v>
      </c>
      <c r="G225" s="154">
        <f t="shared" si="269"/>
        <v>20</v>
      </c>
      <c r="H225" s="154">
        <f t="shared" si="383"/>
        <v>19</v>
      </c>
      <c r="I225" s="154">
        <f t="shared" si="384"/>
        <v>19</v>
      </c>
      <c r="J225" s="154">
        <f t="shared" si="385"/>
        <v>17</v>
      </c>
      <c r="K225" s="154">
        <f t="shared" si="386"/>
        <v>20</v>
      </c>
      <c r="L225" s="154">
        <f t="shared" si="387"/>
        <v>18</v>
      </c>
      <c r="M225" s="648">
        <f t="shared" si="388"/>
        <v>18</v>
      </c>
      <c r="N225" s="134" t="s">
        <v>1365</v>
      </c>
      <c r="O225" s="649" t="s">
        <v>2007</v>
      </c>
      <c r="P225" s="650"/>
      <c r="Q225" s="650" t="s">
        <v>1670</v>
      </c>
      <c r="R225" s="650" t="s">
        <v>1685</v>
      </c>
      <c r="S225" s="650" t="s">
        <v>1347</v>
      </c>
      <c r="T225" s="651" t="s">
        <v>1367</v>
      </c>
      <c r="U225" s="129">
        <v>55.0</v>
      </c>
      <c r="V225" s="129">
        <v>25.0</v>
      </c>
      <c r="W225" s="129">
        <v>140.0</v>
      </c>
      <c r="X225" s="799">
        <v>140.0</v>
      </c>
      <c r="Y225" s="129">
        <v>6.0</v>
      </c>
      <c r="Z225" s="129">
        <v>-10.0</v>
      </c>
      <c r="AA225" s="129">
        <v>4.0</v>
      </c>
      <c r="AB225" s="129">
        <v>110.0</v>
      </c>
      <c r="AC225" s="129">
        <v>10464.0</v>
      </c>
      <c r="AD225" s="129">
        <v>3.0</v>
      </c>
      <c r="AE225" s="129">
        <v>75.0</v>
      </c>
      <c r="AF225" s="129">
        <v>75.0</v>
      </c>
      <c r="AG225" s="129">
        <v>44.0</v>
      </c>
      <c r="AH225" s="129">
        <v>100.0</v>
      </c>
      <c r="AI225" s="652">
        <f t="shared" si="12"/>
        <v>72</v>
      </c>
      <c r="AJ225" s="134"/>
      <c r="AK225" s="134"/>
      <c r="AL225" s="134"/>
      <c r="AM225" s="134"/>
      <c r="AN225" s="134"/>
      <c r="AO225" s="134"/>
      <c r="AP225" s="134"/>
      <c r="AQ225" s="134"/>
      <c r="AR225" s="134"/>
      <c r="AS225" s="653"/>
      <c r="AT225" s="154">
        <f t="shared" si="13"/>
        <v>1146</v>
      </c>
      <c r="AU225" s="154">
        <f t="shared" si="14"/>
        <v>2263</v>
      </c>
      <c r="AV225" s="654">
        <f t="shared" si="15"/>
        <v>1704.5</v>
      </c>
      <c r="AW225" s="655">
        <f t="shared" si="276"/>
        <v>2367</v>
      </c>
      <c r="AX225" s="655">
        <f t="shared" si="389"/>
        <v>2507</v>
      </c>
      <c r="AY225" s="655">
        <f t="shared" si="390"/>
        <v>2507</v>
      </c>
      <c r="AZ225" s="655">
        <f t="shared" si="391"/>
        <v>2663</v>
      </c>
      <c r="BA225" s="655">
        <f t="shared" si="392"/>
        <v>2367</v>
      </c>
      <c r="BB225" s="655">
        <f t="shared" si="393"/>
        <v>2663</v>
      </c>
      <c r="BC225" s="655">
        <f t="shared" si="394"/>
        <v>2841</v>
      </c>
      <c r="BD225" s="655">
        <f t="shared" si="395"/>
        <v>2243</v>
      </c>
      <c r="BE225" s="655">
        <f t="shared" si="396"/>
        <v>2663</v>
      </c>
      <c r="BF225" s="655">
        <f t="shared" si="397"/>
        <v>1937</v>
      </c>
      <c r="BG225" s="655">
        <f t="shared" si="398"/>
        <v>2367</v>
      </c>
      <c r="BH225" s="655">
        <f t="shared" si="284"/>
        <v>2243</v>
      </c>
      <c r="BI225" s="655">
        <f t="shared" si="399"/>
        <v>2367</v>
      </c>
      <c r="BJ225" s="655">
        <f t="shared" si="400"/>
        <v>2507</v>
      </c>
      <c r="BK225" s="655">
        <f t="shared" si="401"/>
        <v>2243</v>
      </c>
      <c r="BL225" s="655">
        <f t="shared" si="402"/>
        <v>2507</v>
      </c>
      <c r="BM225" s="134"/>
      <c r="BN225" s="655">
        <f t="shared" si="403"/>
        <v>3044</v>
      </c>
      <c r="BO225" s="134"/>
      <c r="BP225" s="656">
        <f t="shared" si="33"/>
        <v>3044</v>
      </c>
      <c r="BQ225" s="129">
        <v>30.0</v>
      </c>
      <c r="BR225" s="129">
        <v>70.0</v>
      </c>
      <c r="BS225" s="129">
        <v>-10.0</v>
      </c>
      <c r="BT225" s="129">
        <v>100.0</v>
      </c>
      <c r="BU225" s="134"/>
      <c r="BV225" s="135">
        <f t="shared" si="34"/>
        <v>50</v>
      </c>
      <c r="BW225" s="657">
        <f t="shared" si="35"/>
        <v>1292</v>
      </c>
      <c r="BX225" s="655">
        <f t="shared" si="289"/>
        <v>1794.4</v>
      </c>
      <c r="BY225" s="655">
        <f t="shared" si="404"/>
        <v>1900</v>
      </c>
      <c r="BZ225" s="655">
        <f t="shared" si="405"/>
        <v>1900</v>
      </c>
      <c r="CA225" s="655">
        <f t="shared" si="406"/>
        <v>2153.3</v>
      </c>
      <c r="CB225" s="655">
        <f t="shared" si="407"/>
        <v>1794.4</v>
      </c>
      <c r="CC225" s="655">
        <f t="shared" si="408"/>
        <v>2018.8</v>
      </c>
      <c r="CD225" s="655">
        <f t="shared" si="409"/>
        <v>2018.8</v>
      </c>
      <c r="CE225" s="659">
        <f t="shared" si="43"/>
        <v>44</v>
      </c>
      <c r="CF225" s="712">
        <f t="shared" si="248"/>
        <v>31.9</v>
      </c>
      <c r="CG225" s="647">
        <f t="shared" si="295"/>
        <v>31.9</v>
      </c>
      <c r="CH225" s="653" t="s">
        <v>1365</v>
      </c>
      <c r="CI225" s="655">
        <f t="shared" ref="CI225:DF225" si="437">FLOOR($AV225/(CI$3/25),1)</f>
        <v>1704</v>
      </c>
      <c r="CJ225" s="655">
        <f t="shared" si="437"/>
        <v>1775</v>
      </c>
      <c r="CK225" s="655">
        <f t="shared" si="437"/>
        <v>1852</v>
      </c>
      <c r="CL225" s="655">
        <f t="shared" si="437"/>
        <v>1936</v>
      </c>
      <c r="CM225" s="655">
        <f t="shared" si="437"/>
        <v>2029</v>
      </c>
      <c r="CN225" s="655">
        <f t="shared" si="437"/>
        <v>2130</v>
      </c>
      <c r="CO225" s="655">
        <f t="shared" si="437"/>
        <v>2242</v>
      </c>
      <c r="CP225" s="655">
        <f t="shared" si="437"/>
        <v>2367</v>
      </c>
      <c r="CQ225" s="655">
        <f t="shared" si="437"/>
        <v>2506</v>
      </c>
      <c r="CR225" s="655">
        <f t="shared" si="437"/>
        <v>2663</v>
      </c>
      <c r="CS225" s="655">
        <f t="shared" si="437"/>
        <v>2840</v>
      </c>
      <c r="CT225" s="655">
        <f t="shared" si="437"/>
        <v>3043</v>
      </c>
      <c r="CU225" s="655">
        <f t="shared" si="437"/>
        <v>3277</v>
      </c>
      <c r="CV225" s="655">
        <f t="shared" si="437"/>
        <v>3551</v>
      </c>
      <c r="CW225" s="655">
        <f t="shared" si="437"/>
        <v>3873</v>
      </c>
      <c r="CX225" s="655">
        <f t="shared" si="437"/>
        <v>4261</v>
      </c>
      <c r="CY225" s="655">
        <f t="shared" si="437"/>
        <v>4734</v>
      </c>
      <c r="CZ225" s="655">
        <f t="shared" si="437"/>
        <v>5326</v>
      </c>
      <c r="DA225" s="655">
        <f t="shared" si="437"/>
        <v>6087</v>
      </c>
      <c r="DB225" s="655">
        <f t="shared" si="437"/>
        <v>7102</v>
      </c>
      <c r="DC225" s="655">
        <f t="shared" si="437"/>
        <v>8522</v>
      </c>
      <c r="DD225" s="655">
        <f t="shared" si="437"/>
        <v>10653</v>
      </c>
      <c r="DE225" s="655">
        <f t="shared" si="437"/>
        <v>14204</v>
      </c>
      <c r="DF225" s="656">
        <f t="shared" si="437"/>
        <v>21306</v>
      </c>
      <c r="DG225" s="653"/>
      <c r="DH225" s="653" t="str">
        <f t="shared" si="46"/>
        <v/>
      </c>
      <c r="DI225" s="134" t="str">
        <f t="shared" si="47"/>
        <v/>
      </c>
      <c r="DJ225" s="134" t="str">
        <f t="shared" si="48"/>
        <v/>
      </c>
      <c r="DK225" s="662" t="str">
        <f t="shared" si="49"/>
        <v/>
      </c>
      <c r="DL225" s="134"/>
      <c r="DM225" s="134"/>
      <c r="DN225" s="655">
        <f t="shared" si="433"/>
        <v>2.6</v>
      </c>
      <c r="DO225" s="653"/>
      <c r="DP225" s="663"/>
    </row>
    <row r="226">
      <c r="A226" s="552">
        <v>220.0</v>
      </c>
      <c r="B226" s="86">
        <v>300.0</v>
      </c>
      <c r="C226" s="54">
        <v>28.0</v>
      </c>
      <c r="D226" s="54">
        <v>145.0</v>
      </c>
      <c r="E226" s="74"/>
      <c r="F226" s="68" t="s">
        <v>1683</v>
      </c>
      <c r="G226" s="68">
        <f t="shared" si="269"/>
        <v>20</v>
      </c>
      <c r="H226" s="68">
        <f t="shared" si="383"/>
        <v>19</v>
      </c>
      <c r="I226" s="68">
        <f t="shared" si="384"/>
        <v>19</v>
      </c>
      <c r="J226" s="68">
        <f t="shared" si="385"/>
        <v>17</v>
      </c>
      <c r="K226" s="68">
        <f t="shared" si="386"/>
        <v>20</v>
      </c>
      <c r="L226" s="68">
        <f t="shared" si="387"/>
        <v>18</v>
      </c>
      <c r="M226" s="569">
        <f t="shared" si="388"/>
        <v>18</v>
      </c>
      <c r="N226" s="74" t="s">
        <v>1330</v>
      </c>
      <c r="O226" s="570" t="s">
        <v>2008</v>
      </c>
      <c r="P226" s="571"/>
      <c r="Q226" s="571" t="s">
        <v>1676</v>
      </c>
      <c r="R226" s="571" t="s">
        <v>1685</v>
      </c>
      <c r="S226" s="791" t="s">
        <v>1332</v>
      </c>
      <c r="T226" s="572" t="s">
        <v>1331</v>
      </c>
      <c r="U226" s="54">
        <v>60.0</v>
      </c>
      <c r="V226" s="54">
        <v>45.0</v>
      </c>
      <c r="W226" s="679">
        <v>195.0</v>
      </c>
      <c r="X226" s="54">
        <v>75.0</v>
      </c>
      <c r="Y226" s="54">
        <v>4.0</v>
      </c>
      <c r="Z226" s="669">
        <v>0.0</v>
      </c>
      <c r="AA226" s="54">
        <v>3.0</v>
      </c>
      <c r="AB226" s="54">
        <v>100.0</v>
      </c>
      <c r="AC226" s="54">
        <v>9871.0</v>
      </c>
      <c r="AD226" s="54">
        <v>4.0</v>
      </c>
      <c r="AE226" s="54">
        <v>75.0</v>
      </c>
      <c r="AF226" s="54">
        <v>75.0</v>
      </c>
      <c r="AG226" s="54">
        <v>35.0</v>
      </c>
      <c r="AH226" s="54">
        <v>181.0</v>
      </c>
      <c r="AI226" s="574">
        <f t="shared" si="12"/>
        <v>108</v>
      </c>
      <c r="AJ226" s="37"/>
      <c r="AK226" s="74"/>
      <c r="AL226" s="74"/>
      <c r="AM226" s="74"/>
      <c r="AN226" s="74"/>
      <c r="AO226" s="74"/>
      <c r="AP226" s="74"/>
      <c r="AQ226" s="74"/>
      <c r="AR226" s="74"/>
      <c r="AS226" s="575"/>
      <c r="AT226" s="68">
        <f t="shared" si="13"/>
        <v>967</v>
      </c>
      <c r="AU226" s="68">
        <f t="shared" si="14"/>
        <v>3873</v>
      </c>
      <c r="AV226" s="581">
        <f t="shared" si="15"/>
        <v>2420</v>
      </c>
      <c r="AW226" s="582">
        <f t="shared" si="276"/>
        <v>3184</v>
      </c>
      <c r="AX226" s="582">
        <f t="shared" si="389"/>
        <v>3361</v>
      </c>
      <c r="AY226" s="582">
        <f t="shared" si="390"/>
        <v>3361</v>
      </c>
      <c r="AZ226" s="582">
        <f t="shared" si="391"/>
        <v>3559</v>
      </c>
      <c r="BA226" s="582">
        <f t="shared" si="392"/>
        <v>3184</v>
      </c>
      <c r="BB226" s="582">
        <f t="shared" si="393"/>
        <v>3559</v>
      </c>
      <c r="BC226" s="582">
        <f t="shared" si="394"/>
        <v>3781</v>
      </c>
      <c r="BD226" s="582">
        <f t="shared" si="395"/>
        <v>2521</v>
      </c>
      <c r="BE226" s="582">
        <f t="shared" si="396"/>
        <v>3025</v>
      </c>
      <c r="BF226" s="582">
        <f t="shared" si="397"/>
        <v>2241</v>
      </c>
      <c r="BG226" s="582">
        <f t="shared" si="398"/>
        <v>2750</v>
      </c>
      <c r="BH226" s="582">
        <f t="shared" si="284"/>
        <v>2630</v>
      </c>
      <c r="BI226" s="582">
        <f t="shared" si="399"/>
        <v>2750</v>
      </c>
      <c r="BJ226" s="582">
        <f t="shared" si="400"/>
        <v>2881</v>
      </c>
      <c r="BK226" s="582">
        <f t="shared" si="401"/>
        <v>2630</v>
      </c>
      <c r="BL226" s="582">
        <f t="shared" si="402"/>
        <v>2881</v>
      </c>
      <c r="BM226" s="74"/>
      <c r="BN226" s="582">
        <f t="shared" si="403"/>
        <v>4033</v>
      </c>
      <c r="BO226" s="74"/>
      <c r="BP226" s="602">
        <f t="shared" si="33"/>
        <v>4033</v>
      </c>
      <c r="BQ226" s="670">
        <v>28.0</v>
      </c>
      <c r="BR226" s="670">
        <v>145.0</v>
      </c>
      <c r="BS226" s="365"/>
      <c r="BT226" s="670">
        <v>100.0</v>
      </c>
      <c r="BU226" s="365"/>
      <c r="BV226" s="671">
        <f t="shared" si="34"/>
        <v>86.5</v>
      </c>
      <c r="BW226" s="672">
        <f t="shared" si="35"/>
        <v>2031</v>
      </c>
      <c r="BX226" s="673">
        <f t="shared" si="289"/>
        <v>2672.4</v>
      </c>
      <c r="BY226" s="673">
        <f t="shared" si="404"/>
        <v>2820.8</v>
      </c>
      <c r="BZ226" s="673">
        <f t="shared" si="405"/>
        <v>2820.8</v>
      </c>
      <c r="CA226" s="673">
        <f t="shared" si="406"/>
        <v>3173.4</v>
      </c>
      <c r="CB226" s="673">
        <f t="shared" si="407"/>
        <v>2672.4</v>
      </c>
      <c r="CC226" s="673">
        <f t="shared" si="408"/>
        <v>2986.8</v>
      </c>
      <c r="CD226" s="673">
        <f t="shared" si="409"/>
        <v>2986.8</v>
      </c>
      <c r="CE226" s="674">
        <f t="shared" si="43"/>
        <v>24.9</v>
      </c>
      <c r="CF226" s="763">
        <f t="shared" si="248"/>
        <v>19.2</v>
      </c>
      <c r="CG226" s="676">
        <f t="shared" si="295"/>
        <v>19.1</v>
      </c>
      <c r="CH226" s="575" t="s">
        <v>1330</v>
      </c>
      <c r="CI226" s="582">
        <f t="shared" ref="CI226:DF226" si="438">FLOOR($AV226/(CI$3/25),1)</f>
        <v>2420</v>
      </c>
      <c r="CJ226" s="582">
        <f t="shared" si="438"/>
        <v>2520</v>
      </c>
      <c r="CK226" s="582">
        <f t="shared" si="438"/>
        <v>2630</v>
      </c>
      <c r="CL226" s="582">
        <f t="shared" si="438"/>
        <v>2750</v>
      </c>
      <c r="CM226" s="582">
        <f t="shared" si="438"/>
        <v>2880</v>
      </c>
      <c r="CN226" s="582">
        <f t="shared" si="438"/>
        <v>3025</v>
      </c>
      <c r="CO226" s="582">
        <f t="shared" si="438"/>
        <v>3184</v>
      </c>
      <c r="CP226" s="582">
        <f t="shared" si="438"/>
        <v>3361</v>
      </c>
      <c r="CQ226" s="582">
        <f t="shared" si="438"/>
        <v>3558</v>
      </c>
      <c r="CR226" s="582">
        <f t="shared" si="438"/>
        <v>3781</v>
      </c>
      <c r="CS226" s="582">
        <f t="shared" si="438"/>
        <v>4033</v>
      </c>
      <c r="CT226" s="582">
        <f t="shared" si="438"/>
        <v>4321</v>
      </c>
      <c r="CU226" s="582">
        <f t="shared" si="438"/>
        <v>4653</v>
      </c>
      <c r="CV226" s="582">
        <f t="shared" si="438"/>
        <v>5041</v>
      </c>
      <c r="CW226" s="582">
        <f t="shared" si="438"/>
        <v>5500</v>
      </c>
      <c r="CX226" s="582">
        <f t="shared" si="438"/>
        <v>6050</v>
      </c>
      <c r="CY226" s="582">
        <f t="shared" si="438"/>
        <v>6722</v>
      </c>
      <c r="CZ226" s="582">
        <f t="shared" si="438"/>
        <v>7562</v>
      </c>
      <c r="DA226" s="582">
        <f t="shared" si="438"/>
        <v>8642</v>
      </c>
      <c r="DB226" s="582">
        <f t="shared" si="438"/>
        <v>10083</v>
      </c>
      <c r="DC226" s="582">
        <f t="shared" si="438"/>
        <v>12100</v>
      </c>
      <c r="DD226" s="582">
        <f t="shared" si="438"/>
        <v>15125</v>
      </c>
      <c r="DE226" s="582">
        <f t="shared" si="438"/>
        <v>20166</v>
      </c>
      <c r="DF226" s="602">
        <f t="shared" si="438"/>
        <v>30250</v>
      </c>
      <c r="DG226" s="575"/>
      <c r="DH226" s="575" t="str">
        <f t="shared" si="46"/>
        <v/>
      </c>
      <c r="DI226" s="74" t="str">
        <f t="shared" si="47"/>
        <v/>
      </c>
      <c r="DJ226" s="74" t="str">
        <f t="shared" si="48"/>
        <v/>
      </c>
      <c r="DK226" s="623" t="str">
        <f t="shared" si="49"/>
        <v/>
      </c>
      <c r="DL226" s="74"/>
      <c r="DM226" s="74"/>
      <c r="DN226" s="582">
        <f t="shared" si="433"/>
        <v>2.3</v>
      </c>
      <c r="DO226" s="575"/>
      <c r="DP226" s="297"/>
    </row>
    <row r="227">
      <c r="A227" s="552">
        <v>221.0</v>
      </c>
      <c r="B227" s="86">
        <v>301.0</v>
      </c>
      <c r="C227" s="54">
        <v>17.0</v>
      </c>
      <c r="D227" s="54">
        <v>165.0</v>
      </c>
      <c r="E227" s="74"/>
      <c r="F227" s="68" t="s">
        <v>1683</v>
      </c>
      <c r="G227" s="68">
        <f t="shared" si="269"/>
        <v>20</v>
      </c>
      <c r="H227" s="68">
        <f t="shared" si="383"/>
        <v>19</v>
      </c>
      <c r="I227" s="68">
        <f t="shared" si="384"/>
        <v>19</v>
      </c>
      <c r="J227" s="68">
        <f t="shared" si="385"/>
        <v>17</v>
      </c>
      <c r="K227" s="68">
        <f t="shared" si="386"/>
        <v>20</v>
      </c>
      <c r="L227" s="68">
        <f t="shared" si="387"/>
        <v>18</v>
      </c>
      <c r="M227" s="569">
        <f t="shared" si="388"/>
        <v>18</v>
      </c>
      <c r="N227" s="74" t="s">
        <v>1337</v>
      </c>
      <c r="O227" s="678"/>
      <c r="P227" s="571"/>
      <c r="Q227" s="571" t="s">
        <v>1676</v>
      </c>
      <c r="R227" s="571" t="s">
        <v>1685</v>
      </c>
      <c r="S227" s="791" t="s">
        <v>1332</v>
      </c>
      <c r="T227" s="572" t="s">
        <v>1338</v>
      </c>
      <c r="U227" s="54">
        <v>64.0</v>
      </c>
      <c r="V227" s="54">
        <v>48.0</v>
      </c>
      <c r="W227" s="679">
        <v>210.0</v>
      </c>
      <c r="X227" s="54">
        <v>55.0</v>
      </c>
      <c r="Y227" s="54">
        <v>4.0</v>
      </c>
      <c r="Z227" s="573">
        <v>10.0</v>
      </c>
      <c r="AA227" s="54">
        <v>3.0</v>
      </c>
      <c r="AB227" s="54">
        <v>100.0</v>
      </c>
      <c r="AC227" s="54">
        <v>12822.0</v>
      </c>
      <c r="AD227" s="54">
        <v>4.0</v>
      </c>
      <c r="AE227" s="54">
        <v>75.0</v>
      </c>
      <c r="AF227" s="54">
        <v>75.0</v>
      </c>
      <c r="AG227" s="54">
        <v>21.0</v>
      </c>
      <c r="AH227" s="54">
        <v>206.0</v>
      </c>
      <c r="AI227" s="574">
        <f t="shared" si="12"/>
        <v>113.5</v>
      </c>
      <c r="AJ227" s="37"/>
      <c r="AK227" s="37"/>
      <c r="AL227" s="37"/>
      <c r="AM227" s="74"/>
      <c r="AN227" s="74"/>
      <c r="AO227" s="74"/>
      <c r="AP227" s="74"/>
      <c r="AQ227" s="74"/>
      <c r="AR227" s="74"/>
      <c r="AS227" s="575"/>
      <c r="AT227" s="68">
        <f t="shared" si="13"/>
        <v>688</v>
      </c>
      <c r="AU227" s="68">
        <f t="shared" si="14"/>
        <v>4370</v>
      </c>
      <c r="AV227" s="581">
        <f t="shared" si="15"/>
        <v>2529</v>
      </c>
      <c r="AW227" s="582">
        <f t="shared" si="276"/>
        <v>2874</v>
      </c>
      <c r="AX227" s="582">
        <f t="shared" si="389"/>
        <v>3011</v>
      </c>
      <c r="AY227" s="582">
        <f t="shared" si="390"/>
        <v>3011</v>
      </c>
      <c r="AZ227" s="582">
        <f t="shared" si="391"/>
        <v>3161</v>
      </c>
      <c r="BA227" s="582">
        <f t="shared" si="392"/>
        <v>2874</v>
      </c>
      <c r="BB227" s="582">
        <f t="shared" si="393"/>
        <v>3161</v>
      </c>
      <c r="BC227" s="582">
        <f t="shared" si="394"/>
        <v>3513</v>
      </c>
      <c r="BD227" s="582">
        <f t="shared" si="395"/>
        <v>2258</v>
      </c>
      <c r="BE227" s="582">
        <f t="shared" si="396"/>
        <v>2634</v>
      </c>
      <c r="BF227" s="582">
        <f t="shared" si="397"/>
        <v>1916</v>
      </c>
      <c r="BG227" s="582">
        <f t="shared" si="398"/>
        <v>2258</v>
      </c>
      <c r="BH227" s="582">
        <f t="shared" si="284"/>
        <v>2180</v>
      </c>
      <c r="BI227" s="582">
        <f t="shared" si="399"/>
        <v>2258</v>
      </c>
      <c r="BJ227" s="582">
        <f t="shared" si="400"/>
        <v>2432</v>
      </c>
      <c r="BK227" s="582">
        <f t="shared" si="401"/>
        <v>2180</v>
      </c>
      <c r="BL227" s="582">
        <f t="shared" si="402"/>
        <v>2432</v>
      </c>
      <c r="BM227" s="74"/>
      <c r="BN227" s="582">
        <f t="shared" si="403"/>
        <v>3719</v>
      </c>
      <c r="BO227" s="74"/>
      <c r="BP227" s="602">
        <f t="shared" si="33"/>
        <v>3719</v>
      </c>
      <c r="BQ227" s="670">
        <v>17.0</v>
      </c>
      <c r="BR227" s="670">
        <v>165.0</v>
      </c>
      <c r="BS227" s="670">
        <v>10.0</v>
      </c>
      <c r="BT227" s="670">
        <v>100.0</v>
      </c>
      <c r="BU227" s="365"/>
      <c r="BV227" s="671">
        <f t="shared" si="34"/>
        <v>91</v>
      </c>
      <c r="BW227" s="672">
        <f t="shared" si="35"/>
        <v>2122.1</v>
      </c>
      <c r="BX227" s="673">
        <f t="shared" si="289"/>
        <v>2411.5</v>
      </c>
      <c r="BY227" s="673">
        <f t="shared" si="404"/>
        <v>2526.3</v>
      </c>
      <c r="BZ227" s="673">
        <f t="shared" si="405"/>
        <v>2526.3</v>
      </c>
      <c r="CA227" s="673">
        <f t="shared" si="406"/>
        <v>2947.4</v>
      </c>
      <c r="CB227" s="673">
        <f t="shared" si="407"/>
        <v>2411.5</v>
      </c>
      <c r="CC227" s="673">
        <f t="shared" si="408"/>
        <v>2652.6</v>
      </c>
      <c r="CD227" s="673">
        <f t="shared" si="409"/>
        <v>2652.6</v>
      </c>
      <c r="CE227" s="674">
        <f t="shared" si="43"/>
        <v>24.7</v>
      </c>
      <c r="CF227" s="763">
        <f t="shared" si="248"/>
        <v>19.2</v>
      </c>
      <c r="CG227" s="676">
        <f t="shared" si="295"/>
        <v>19.2</v>
      </c>
      <c r="CH227" s="575" t="s">
        <v>1337</v>
      </c>
      <c r="CI227" s="582">
        <f t="shared" ref="CI227:DF227" si="439">FLOOR($AV227/(CI$3/25),1)</f>
        <v>2529</v>
      </c>
      <c r="CJ227" s="582">
        <f t="shared" si="439"/>
        <v>2634</v>
      </c>
      <c r="CK227" s="582">
        <f t="shared" si="439"/>
        <v>2748</v>
      </c>
      <c r="CL227" s="582">
        <f t="shared" si="439"/>
        <v>2873</v>
      </c>
      <c r="CM227" s="582">
        <f t="shared" si="439"/>
        <v>3010</v>
      </c>
      <c r="CN227" s="582">
        <f t="shared" si="439"/>
        <v>3161</v>
      </c>
      <c r="CO227" s="582">
        <f t="shared" si="439"/>
        <v>3327</v>
      </c>
      <c r="CP227" s="582">
        <f t="shared" si="439"/>
        <v>3512</v>
      </c>
      <c r="CQ227" s="582">
        <f t="shared" si="439"/>
        <v>3719</v>
      </c>
      <c r="CR227" s="582">
        <f t="shared" si="439"/>
        <v>3951</v>
      </c>
      <c r="CS227" s="582">
        <f t="shared" si="439"/>
        <v>4215</v>
      </c>
      <c r="CT227" s="582">
        <f t="shared" si="439"/>
        <v>4516</v>
      </c>
      <c r="CU227" s="582">
        <f t="shared" si="439"/>
        <v>4863</v>
      </c>
      <c r="CV227" s="582">
        <f t="shared" si="439"/>
        <v>5268</v>
      </c>
      <c r="CW227" s="582">
        <f t="shared" si="439"/>
        <v>5747</v>
      </c>
      <c r="CX227" s="582">
        <f t="shared" si="439"/>
        <v>6322</v>
      </c>
      <c r="CY227" s="582">
        <f t="shared" si="439"/>
        <v>7025</v>
      </c>
      <c r="CZ227" s="582">
        <f t="shared" si="439"/>
        <v>7903</v>
      </c>
      <c r="DA227" s="582">
        <f t="shared" si="439"/>
        <v>9032</v>
      </c>
      <c r="DB227" s="582">
        <f t="shared" si="439"/>
        <v>10537</v>
      </c>
      <c r="DC227" s="582">
        <f t="shared" si="439"/>
        <v>12645</v>
      </c>
      <c r="DD227" s="582">
        <f t="shared" si="439"/>
        <v>15806</v>
      </c>
      <c r="DE227" s="582">
        <f t="shared" si="439"/>
        <v>21075</v>
      </c>
      <c r="DF227" s="602">
        <f t="shared" si="439"/>
        <v>31612</v>
      </c>
      <c r="DG227" s="575"/>
      <c r="DH227" s="575" t="str">
        <f t="shared" si="46"/>
        <v/>
      </c>
      <c r="DI227" s="74" t="str">
        <f t="shared" si="47"/>
        <v/>
      </c>
      <c r="DJ227" s="74" t="str">
        <f t="shared" si="48"/>
        <v/>
      </c>
      <c r="DK227" s="623" t="str">
        <f t="shared" si="49"/>
        <v/>
      </c>
      <c r="DL227" s="74"/>
      <c r="DM227" s="74"/>
      <c r="DN227" s="582">
        <f t="shared" si="433"/>
        <v>2.8</v>
      </c>
      <c r="DO227" s="575"/>
      <c r="DP227" s="297"/>
    </row>
    <row r="228">
      <c r="A228" s="552">
        <v>222.0</v>
      </c>
      <c r="B228" s="86">
        <v>302.0</v>
      </c>
      <c r="C228" s="54">
        <v>12.0</v>
      </c>
      <c r="D228" s="54">
        <v>141.0</v>
      </c>
      <c r="E228" s="74"/>
      <c r="F228" s="68" t="s">
        <v>1683</v>
      </c>
      <c r="G228" s="68">
        <f t="shared" si="269"/>
        <v>20</v>
      </c>
      <c r="H228" s="68">
        <f t="shared" si="383"/>
        <v>19</v>
      </c>
      <c r="I228" s="68">
        <f t="shared" si="384"/>
        <v>19</v>
      </c>
      <c r="J228" s="68">
        <f t="shared" si="385"/>
        <v>17</v>
      </c>
      <c r="K228" s="68">
        <f t="shared" si="386"/>
        <v>20</v>
      </c>
      <c r="L228" s="68">
        <f t="shared" si="387"/>
        <v>18</v>
      </c>
      <c r="M228" s="569">
        <f t="shared" si="388"/>
        <v>18</v>
      </c>
      <c r="N228" s="74" t="s">
        <v>1345</v>
      </c>
      <c r="O228" s="570" t="s">
        <v>2009</v>
      </c>
      <c r="P228" s="571"/>
      <c r="Q228" s="571" t="s">
        <v>1676</v>
      </c>
      <c r="R228" s="571" t="s">
        <v>1685</v>
      </c>
      <c r="S228" s="571" t="s">
        <v>1347</v>
      </c>
      <c r="T228" s="572" t="s">
        <v>1346</v>
      </c>
      <c r="U228" s="54">
        <v>71.0</v>
      </c>
      <c r="V228" s="54">
        <v>53.0</v>
      </c>
      <c r="W228" s="679">
        <v>152.0</v>
      </c>
      <c r="X228" s="679">
        <v>118.0</v>
      </c>
      <c r="Y228" s="54">
        <v>5.0</v>
      </c>
      <c r="Z228" s="54">
        <v>-10.0</v>
      </c>
      <c r="AA228" s="54">
        <v>3.0</v>
      </c>
      <c r="AB228" s="54">
        <v>130.0</v>
      </c>
      <c r="AC228" s="54">
        <v>11086.0</v>
      </c>
      <c r="AD228" s="54">
        <v>4.0</v>
      </c>
      <c r="AE228" s="54">
        <v>75.0</v>
      </c>
      <c r="AF228" s="54">
        <v>75.0</v>
      </c>
      <c r="AG228" s="54">
        <v>15.0</v>
      </c>
      <c r="AH228" s="54">
        <v>176.0</v>
      </c>
      <c r="AI228" s="574">
        <f t="shared" si="12"/>
        <v>95.5</v>
      </c>
      <c r="AJ228" s="37"/>
      <c r="AK228" s="74"/>
      <c r="AL228" s="74"/>
      <c r="AM228" s="74"/>
      <c r="AN228" s="74"/>
      <c r="AO228" s="74"/>
      <c r="AP228" s="74"/>
      <c r="AQ228" s="74"/>
      <c r="AR228" s="74"/>
      <c r="AS228" s="575"/>
      <c r="AT228" s="68">
        <f t="shared" si="13"/>
        <v>571</v>
      </c>
      <c r="AU228" s="68">
        <f t="shared" si="14"/>
        <v>3772</v>
      </c>
      <c r="AV228" s="581">
        <f t="shared" si="15"/>
        <v>2171.5</v>
      </c>
      <c r="AW228" s="582">
        <f t="shared" si="276"/>
        <v>3016</v>
      </c>
      <c r="AX228" s="582">
        <f t="shared" si="389"/>
        <v>3193</v>
      </c>
      <c r="AY228" s="582">
        <f t="shared" si="390"/>
        <v>3193</v>
      </c>
      <c r="AZ228" s="582">
        <f t="shared" si="391"/>
        <v>3393</v>
      </c>
      <c r="BA228" s="582">
        <f t="shared" si="392"/>
        <v>3016</v>
      </c>
      <c r="BB228" s="582">
        <f t="shared" si="393"/>
        <v>3393</v>
      </c>
      <c r="BC228" s="582">
        <f t="shared" si="394"/>
        <v>3619</v>
      </c>
      <c r="BD228" s="582">
        <f t="shared" si="395"/>
        <v>2857</v>
      </c>
      <c r="BE228" s="582">
        <f t="shared" si="396"/>
        <v>3393</v>
      </c>
      <c r="BF228" s="582">
        <f t="shared" si="397"/>
        <v>2468</v>
      </c>
      <c r="BG228" s="582">
        <f t="shared" si="398"/>
        <v>3016</v>
      </c>
      <c r="BH228" s="582">
        <f t="shared" si="284"/>
        <v>2857</v>
      </c>
      <c r="BI228" s="582">
        <f t="shared" si="399"/>
        <v>3016</v>
      </c>
      <c r="BJ228" s="582">
        <f t="shared" si="400"/>
        <v>3193</v>
      </c>
      <c r="BK228" s="582">
        <f t="shared" si="401"/>
        <v>2857</v>
      </c>
      <c r="BL228" s="582">
        <f t="shared" si="402"/>
        <v>3193</v>
      </c>
      <c r="BM228" s="74"/>
      <c r="BN228" s="582">
        <f t="shared" si="403"/>
        <v>3878</v>
      </c>
      <c r="BO228" s="74"/>
      <c r="BP228" s="602">
        <f t="shared" si="33"/>
        <v>3878</v>
      </c>
      <c r="BQ228" s="670">
        <v>12.0</v>
      </c>
      <c r="BR228" s="670">
        <v>141.0</v>
      </c>
      <c r="BS228" s="670">
        <v>-10.0</v>
      </c>
      <c r="BT228" s="670">
        <v>100.0</v>
      </c>
      <c r="BU228" s="365"/>
      <c r="BV228" s="671">
        <f t="shared" si="34"/>
        <v>76.5</v>
      </c>
      <c r="BW228" s="672">
        <f t="shared" si="35"/>
        <v>1828.6</v>
      </c>
      <c r="BX228" s="673">
        <f t="shared" si="289"/>
        <v>2539.7</v>
      </c>
      <c r="BY228" s="673">
        <f t="shared" si="404"/>
        <v>2689.1</v>
      </c>
      <c r="BZ228" s="673">
        <f t="shared" si="405"/>
        <v>2689.1</v>
      </c>
      <c r="CA228" s="673">
        <f t="shared" si="406"/>
        <v>3047.7</v>
      </c>
      <c r="CB228" s="673">
        <f t="shared" si="407"/>
        <v>2539.7</v>
      </c>
      <c r="CC228" s="673">
        <f t="shared" si="408"/>
        <v>2857.2</v>
      </c>
      <c r="CD228" s="673">
        <f t="shared" si="409"/>
        <v>2857.2</v>
      </c>
      <c r="CE228" s="674">
        <f t="shared" si="43"/>
        <v>24.8</v>
      </c>
      <c r="CF228" s="763">
        <f t="shared" si="248"/>
        <v>18.8</v>
      </c>
      <c r="CG228" s="676">
        <f t="shared" si="295"/>
        <v>18.8</v>
      </c>
      <c r="CH228" s="575" t="s">
        <v>1345</v>
      </c>
      <c r="CI228" s="582">
        <f t="shared" ref="CI228:DF228" si="440">FLOOR($AV228/(CI$3/25),1)</f>
        <v>2171</v>
      </c>
      <c r="CJ228" s="582">
        <f t="shared" si="440"/>
        <v>2261</v>
      </c>
      <c r="CK228" s="582">
        <f t="shared" si="440"/>
        <v>2360</v>
      </c>
      <c r="CL228" s="582">
        <f t="shared" si="440"/>
        <v>2467</v>
      </c>
      <c r="CM228" s="582">
        <f t="shared" si="440"/>
        <v>2585</v>
      </c>
      <c r="CN228" s="582">
        <f t="shared" si="440"/>
        <v>2714</v>
      </c>
      <c r="CO228" s="582">
        <f t="shared" si="440"/>
        <v>2857</v>
      </c>
      <c r="CP228" s="582">
        <f t="shared" si="440"/>
        <v>3015</v>
      </c>
      <c r="CQ228" s="582">
        <f t="shared" si="440"/>
        <v>3193</v>
      </c>
      <c r="CR228" s="582">
        <f t="shared" si="440"/>
        <v>3392</v>
      </c>
      <c r="CS228" s="582">
        <f t="shared" si="440"/>
        <v>3619</v>
      </c>
      <c r="CT228" s="582">
        <f t="shared" si="440"/>
        <v>3877</v>
      </c>
      <c r="CU228" s="582">
        <f t="shared" si="440"/>
        <v>4175</v>
      </c>
      <c r="CV228" s="582">
        <f t="shared" si="440"/>
        <v>4523</v>
      </c>
      <c r="CW228" s="582">
        <f t="shared" si="440"/>
        <v>4935</v>
      </c>
      <c r="CX228" s="582">
        <f t="shared" si="440"/>
        <v>5428</v>
      </c>
      <c r="CY228" s="582">
        <f t="shared" si="440"/>
        <v>6031</v>
      </c>
      <c r="CZ228" s="582">
        <f t="shared" si="440"/>
        <v>6785</v>
      </c>
      <c r="DA228" s="582">
        <f t="shared" si="440"/>
        <v>7755</v>
      </c>
      <c r="DB228" s="582">
        <f t="shared" si="440"/>
        <v>9047</v>
      </c>
      <c r="DC228" s="582">
        <f t="shared" si="440"/>
        <v>10857</v>
      </c>
      <c r="DD228" s="582">
        <f t="shared" si="440"/>
        <v>13571</v>
      </c>
      <c r="DE228" s="582">
        <f t="shared" si="440"/>
        <v>18095</v>
      </c>
      <c r="DF228" s="602">
        <f t="shared" si="440"/>
        <v>27143</v>
      </c>
      <c r="DG228" s="575"/>
      <c r="DH228" s="575" t="str">
        <f t="shared" si="46"/>
        <v/>
      </c>
      <c r="DI228" s="74" t="str">
        <f t="shared" si="47"/>
        <v/>
      </c>
      <c r="DJ228" s="74" t="str">
        <f t="shared" si="48"/>
        <v/>
      </c>
      <c r="DK228" s="623" t="str">
        <f t="shared" si="49"/>
        <v/>
      </c>
      <c r="DL228" s="74"/>
      <c r="DM228" s="74"/>
      <c r="DN228" s="582">
        <f t="shared" si="433"/>
        <v>2.1</v>
      </c>
      <c r="DO228" s="575"/>
      <c r="DP228" s="297"/>
    </row>
    <row r="229">
      <c r="A229" s="552">
        <v>223.0</v>
      </c>
      <c r="B229" s="86">
        <v>303.0</v>
      </c>
      <c r="C229" s="54">
        <v>33.0</v>
      </c>
      <c r="D229" s="54">
        <v>150.0</v>
      </c>
      <c r="E229" s="74"/>
      <c r="F229" s="68" t="s">
        <v>1683</v>
      </c>
      <c r="G229" s="68">
        <f t="shared" si="269"/>
        <v>20</v>
      </c>
      <c r="H229" s="68">
        <f t="shared" si="383"/>
        <v>19</v>
      </c>
      <c r="I229" s="68">
        <f t="shared" si="384"/>
        <v>19</v>
      </c>
      <c r="J229" s="68">
        <f t="shared" si="385"/>
        <v>17</v>
      </c>
      <c r="K229" s="68">
        <f t="shared" si="386"/>
        <v>20</v>
      </c>
      <c r="L229" s="68">
        <f t="shared" si="387"/>
        <v>18</v>
      </c>
      <c r="M229" s="569">
        <f t="shared" si="388"/>
        <v>18</v>
      </c>
      <c r="N229" s="74" t="s">
        <v>1353</v>
      </c>
      <c r="O229" s="570" t="s">
        <v>2010</v>
      </c>
      <c r="P229" s="571"/>
      <c r="Q229" s="571" t="s">
        <v>1676</v>
      </c>
      <c r="R229" s="571" t="s">
        <v>1685</v>
      </c>
      <c r="S229" s="791" t="s">
        <v>1332</v>
      </c>
      <c r="T229" s="572" t="s">
        <v>1354</v>
      </c>
      <c r="U229" s="54">
        <v>79.0</v>
      </c>
      <c r="V229" s="54">
        <v>59.0</v>
      </c>
      <c r="W229" s="679">
        <v>165.0</v>
      </c>
      <c r="X229" s="679">
        <v>103.0</v>
      </c>
      <c r="Y229" s="54">
        <v>5.0</v>
      </c>
      <c r="Z229" s="54">
        <v>10.0</v>
      </c>
      <c r="AA229" s="54">
        <v>3.0</v>
      </c>
      <c r="AB229" s="54">
        <v>130.0</v>
      </c>
      <c r="AC229" s="54">
        <v>16509.0</v>
      </c>
      <c r="AD229" s="54">
        <v>4.0</v>
      </c>
      <c r="AE229" s="54">
        <v>75.0</v>
      </c>
      <c r="AF229" s="54">
        <v>75.0</v>
      </c>
      <c r="AG229" s="54">
        <v>41.0</v>
      </c>
      <c r="AH229" s="54">
        <v>188.0</v>
      </c>
      <c r="AI229" s="574">
        <f t="shared" si="12"/>
        <v>114.5</v>
      </c>
      <c r="AJ229" s="37"/>
      <c r="AK229" s="74"/>
      <c r="AL229" s="74"/>
      <c r="AM229" s="74"/>
      <c r="AN229" s="74"/>
      <c r="AO229" s="74"/>
      <c r="AP229" s="74"/>
      <c r="AQ229" s="74"/>
      <c r="AR229" s="74"/>
      <c r="AS229" s="575"/>
      <c r="AT229" s="68">
        <f t="shared" si="13"/>
        <v>1086</v>
      </c>
      <c r="AU229" s="68">
        <f t="shared" si="14"/>
        <v>4012</v>
      </c>
      <c r="AV229" s="581">
        <f t="shared" si="15"/>
        <v>2549</v>
      </c>
      <c r="AW229" s="582">
        <f t="shared" si="276"/>
        <v>2897</v>
      </c>
      <c r="AX229" s="582">
        <f t="shared" si="389"/>
        <v>3035</v>
      </c>
      <c r="AY229" s="582">
        <f t="shared" si="390"/>
        <v>3035</v>
      </c>
      <c r="AZ229" s="582">
        <f t="shared" si="391"/>
        <v>3186</v>
      </c>
      <c r="BA229" s="582">
        <f t="shared" si="392"/>
        <v>2897</v>
      </c>
      <c r="BB229" s="582">
        <f t="shared" si="393"/>
        <v>3186</v>
      </c>
      <c r="BC229" s="582">
        <f t="shared" si="394"/>
        <v>3540</v>
      </c>
      <c r="BD229" s="582">
        <f t="shared" si="395"/>
        <v>2276</v>
      </c>
      <c r="BE229" s="582">
        <f t="shared" si="396"/>
        <v>2655</v>
      </c>
      <c r="BF229" s="582">
        <f t="shared" si="397"/>
        <v>1931</v>
      </c>
      <c r="BG229" s="582">
        <f t="shared" si="398"/>
        <v>2276</v>
      </c>
      <c r="BH229" s="582">
        <f t="shared" si="284"/>
        <v>2197</v>
      </c>
      <c r="BI229" s="582">
        <f t="shared" si="399"/>
        <v>2276</v>
      </c>
      <c r="BJ229" s="582">
        <f t="shared" si="400"/>
        <v>2451</v>
      </c>
      <c r="BK229" s="582">
        <f t="shared" si="401"/>
        <v>2197</v>
      </c>
      <c r="BL229" s="582">
        <f t="shared" si="402"/>
        <v>2451</v>
      </c>
      <c r="BM229" s="74"/>
      <c r="BN229" s="582">
        <f t="shared" si="403"/>
        <v>3749</v>
      </c>
      <c r="BO229" s="74"/>
      <c r="BP229" s="602">
        <f t="shared" si="33"/>
        <v>3749</v>
      </c>
      <c r="BQ229" s="670">
        <v>33.0</v>
      </c>
      <c r="BR229" s="670">
        <v>150.0</v>
      </c>
      <c r="BS229" s="670">
        <v>10.0</v>
      </c>
      <c r="BT229" s="670">
        <v>100.0</v>
      </c>
      <c r="BU229" s="365"/>
      <c r="BV229" s="671">
        <f t="shared" si="34"/>
        <v>91.5</v>
      </c>
      <c r="BW229" s="672">
        <f t="shared" si="35"/>
        <v>2132.3</v>
      </c>
      <c r="BX229" s="673">
        <f t="shared" si="289"/>
        <v>2423.1</v>
      </c>
      <c r="BY229" s="673">
        <f t="shared" si="404"/>
        <v>2538.5</v>
      </c>
      <c r="BZ229" s="673">
        <f t="shared" si="405"/>
        <v>2538.5</v>
      </c>
      <c r="CA229" s="673">
        <f t="shared" si="406"/>
        <v>2961.5</v>
      </c>
      <c r="CB229" s="673">
        <f t="shared" si="407"/>
        <v>2423.1</v>
      </c>
      <c r="CC229" s="673">
        <f t="shared" si="408"/>
        <v>2665.4</v>
      </c>
      <c r="CD229" s="673">
        <f t="shared" si="409"/>
        <v>2665.4</v>
      </c>
      <c r="CE229" s="674">
        <f t="shared" si="43"/>
        <v>25.1</v>
      </c>
      <c r="CF229" s="763">
        <f t="shared" si="248"/>
        <v>19.5</v>
      </c>
      <c r="CG229" s="676">
        <f t="shared" si="295"/>
        <v>19.6</v>
      </c>
      <c r="CH229" s="575" t="s">
        <v>1353</v>
      </c>
      <c r="CI229" s="582">
        <f t="shared" ref="CI229:DF229" si="441">FLOOR($AV229/(CI$3/25),1)</f>
        <v>2549</v>
      </c>
      <c r="CJ229" s="582">
        <f t="shared" si="441"/>
        <v>2655</v>
      </c>
      <c r="CK229" s="582">
        <f t="shared" si="441"/>
        <v>2770</v>
      </c>
      <c r="CL229" s="582">
        <f t="shared" si="441"/>
        <v>2896</v>
      </c>
      <c r="CM229" s="582">
        <f t="shared" si="441"/>
        <v>3034</v>
      </c>
      <c r="CN229" s="582">
        <f t="shared" si="441"/>
        <v>3186</v>
      </c>
      <c r="CO229" s="582">
        <f t="shared" si="441"/>
        <v>3353</v>
      </c>
      <c r="CP229" s="582">
        <f t="shared" si="441"/>
        <v>3540</v>
      </c>
      <c r="CQ229" s="582">
        <f t="shared" si="441"/>
        <v>3748</v>
      </c>
      <c r="CR229" s="582">
        <f t="shared" si="441"/>
        <v>3982</v>
      </c>
      <c r="CS229" s="582">
        <f t="shared" si="441"/>
        <v>4248</v>
      </c>
      <c r="CT229" s="582">
        <f t="shared" si="441"/>
        <v>4551</v>
      </c>
      <c r="CU229" s="582">
        <f t="shared" si="441"/>
        <v>4901</v>
      </c>
      <c r="CV229" s="582">
        <f t="shared" si="441"/>
        <v>5310</v>
      </c>
      <c r="CW229" s="582">
        <f t="shared" si="441"/>
        <v>5793</v>
      </c>
      <c r="CX229" s="582">
        <f t="shared" si="441"/>
        <v>6372</v>
      </c>
      <c r="CY229" s="582">
        <f t="shared" si="441"/>
        <v>7080</v>
      </c>
      <c r="CZ229" s="582">
        <f t="shared" si="441"/>
        <v>7965</v>
      </c>
      <c r="DA229" s="582">
        <f t="shared" si="441"/>
        <v>9103</v>
      </c>
      <c r="DB229" s="582">
        <f t="shared" si="441"/>
        <v>10620</v>
      </c>
      <c r="DC229" s="582">
        <f t="shared" si="441"/>
        <v>12745</v>
      </c>
      <c r="DD229" s="582">
        <f t="shared" si="441"/>
        <v>15931</v>
      </c>
      <c r="DE229" s="582">
        <f t="shared" si="441"/>
        <v>21241</v>
      </c>
      <c r="DF229" s="602">
        <f t="shared" si="441"/>
        <v>31862</v>
      </c>
      <c r="DG229" s="575"/>
      <c r="DH229" s="575" t="str">
        <f t="shared" si="46"/>
        <v/>
      </c>
      <c r="DI229" s="74" t="str">
        <f t="shared" si="47"/>
        <v/>
      </c>
      <c r="DJ229" s="74" t="str">
        <f t="shared" si="48"/>
        <v/>
      </c>
      <c r="DK229" s="623" t="str">
        <f t="shared" si="49"/>
        <v/>
      </c>
      <c r="DL229" s="74"/>
      <c r="DM229" s="74"/>
      <c r="DN229" s="582">
        <f t="shared" si="433"/>
        <v>1.7</v>
      </c>
      <c r="DO229" s="575"/>
      <c r="DP229" s="297"/>
    </row>
    <row r="230">
      <c r="A230" s="552">
        <v>224.0</v>
      </c>
      <c r="B230" s="86">
        <v>304.0</v>
      </c>
      <c r="C230" s="54">
        <v>46.0</v>
      </c>
      <c r="D230" s="54">
        <v>127.0</v>
      </c>
      <c r="E230" s="74"/>
      <c r="F230" s="68" t="s">
        <v>1683</v>
      </c>
      <c r="G230" s="68">
        <f t="shared" si="269"/>
        <v>20</v>
      </c>
      <c r="H230" s="68">
        <f t="shared" si="383"/>
        <v>19</v>
      </c>
      <c r="I230" s="68">
        <f t="shared" si="384"/>
        <v>19</v>
      </c>
      <c r="J230" s="68">
        <f t="shared" si="385"/>
        <v>17</v>
      </c>
      <c r="K230" s="68">
        <f t="shared" si="386"/>
        <v>20</v>
      </c>
      <c r="L230" s="68">
        <f t="shared" si="387"/>
        <v>18</v>
      </c>
      <c r="M230" s="569">
        <f t="shared" si="388"/>
        <v>18</v>
      </c>
      <c r="N230" s="74" t="s">
        <v>1359</v>
      </c>
      <c r="O230" s="678"/>
      <c r="P230" s="571"/>
      <c r="Q230" s="571" t="s">
        <v>1676</v>
      </c>
      <c r="R230" s="571" t="s">
        <v>1685</v>
      </c>
      <c r="S230" s="791" t="s">
        <v>1332</v>
      </c>
      <c r="T230" s="572" t="s">
        <v>1361</v>
      </c>
      <c r="U230" s="54">
        <v>84.0</v>
      </c>
      <c r="V230" s="54">
        <v>63.0</v>
      </c>
      <c r="W230" s="679">
        <v>179.0</v>
      </c>
      <c r="X230" s="679">
        <v>99.0</v>
      </c>
      <c r="Y230" s="54">
        <v>6.0</v>
      </c>
      <c r="Z230" s="54">
        <v>0.0</v>
      </c>
      <c r="AA230" s="54">
        <v>4.0</v>
      </c>
      <c r="AB230" s="54">
        <v>110.0</v>
      </c>
      <c r="AC230" s="54">
        <v>21554.0</v>
      </c>
      <c r="AD230" s="54">
        <v>4.0</v>
      </c>
      <c r="AE230" s="54">
        <v>75.0</v>
      </c>
      <c r="AF230" s="54">
        <v>75.0</v>
      </c>
      <c r="AG230" s="54">
        <v>58.0</v>
      </c>
      <c r="AH230" s="54">
        <v>159.0</v>
      </c>
      <c r="AI230" s="574">
        <f t="shared" si="12"/>
        <v>108.5</v>
      </c>
      <c r="AJ230" s="37"/>
      <c r="AK230" s="74"/>
      <c r="AL230" s="74"/>
      <c r="AM230" s="74"/>
      <c r="AN230" s="74"/>
      <c r="AO230" s="74"/>
      <c r="AP230" s="74"/>
      <c r="AQ230" s="74"/>
      <c r="AR230" s="74"/>
      <c r="AS230" s="575"/>
      <c r="AT230" s="68">
        <f t="shared" si="13"/>
        <v>1426</v>
      </c>
      <c r="AU230" s="68">
        <f t="shared" si="14"/>
        <v>3437</v>
      </c>
      <c r="AV230" s="581">
        <f t="shared" si="15"/>
        <v>2431.5</v>
      </c>
      <c r="AW230" s="582">
        <f t="shared" si="276"/>
        <v>3199</v>
      </c>
      <c r="AX230" s="582">
        <f t="shared" si="389"/>
        <v>3377</v>
      </c>
      <c r="AY230" s="582">
        <f t="shared" si="390"/>
        <v>3377</v>
      </c>
      <c r="AZ230" s="582">
        <f t="shared" si="391"/>
        <v>3576</v>
      </c>
      <c r="BA230" s="582">
        <f t="shared" si="392"/>
        <v>3199</v>
      </c>
      <c r="BB230" s="582">
        <f t="shared" si="393"/>
        <v>3576</v>
      </c>
      <c r="BC230" s="582">
        <f t="shared" si="394"/>
        <v>3799</v>
      </c>
      <c r="BD230" s="582">
        <f t="shared" si="395"/>
        <v>2533</v>
      </c>
      <c r="BE230" s="582">
        <f t="shared" si="396"/>
        <v>3039</v>
      </c>
      <c r="BF230" s="582">
        <f t="shared" si="397"/>
        <v>2251</v>
      </c>
      <c r="BG230" s="582">
        <f t="shared" si="398"/>
        <v>2763</v>
      </c>
      <c r="BH230" s="582">
        <f t="shared" si="284"/>
        <v>2643</v>
      </c>
      <c r="BI230" s="582">
        <f t="shared" si="399"/>
        <v>2763</v>
      </c>
      <c r="BJ230" s="582">
        <f t="shared" si="400"/>
        <v>2895</v>
      </c>
      <c r="BK230" s="582">
        <f t="shared" si="401"/>
        <v>2643</v>
      </c>
      <c r="BL230" s="582">
        <f t="shared" si="402"/>
        <v>2895</v>
      </c>
      <c r="BM230" s="74"/>
      <c r="BN230" s="582">
        <f t="shared" si="403"/>
        <v>4053</v>
      </c>
      <c r="BO230" s="74"/>
      <c r="BP230" s="602">
        <f t="shared" si="33"/>
        <v>4053</v>
      </c>
      <c r="BQ230" s="670">
        <v>46.0</v>
      </c>
      <c r="BR230" s="670">
        <v>127.0</v>
      </c>
      <c r="BS230" s="365"/>
      <c r="BT230" s="670">
        <v>100.0</v>
      </c>
      <c r="BU230" s="365"/>
      <c r="BV230" s="671">
        <f t="shared" si="34"/>
        <v>86.5</v>
      </c>
      <c r="BW230" s="672">
        <f t="shared" si="35"/>
        <v>2031</v>
      </c>
      <c r="BX230" s="673">
        <f t="shared" si="289"/>
        <v>2672.4</v>
      </c>
      <c r="BY230" s="673">
        <f t="shared" si="404"/>
        <v>2820.8</v>
      </c>
      <c r="BZ230" s="673">
        <f t="shared" si="405"/>
        <v>2820.8</v>
      </c>
      <c r="CA230" s="673">
        <f t="shared" si="406"/>
        <v>3173.4</v>
      </c>
      <c r="CB230" s="673">
        <f t="shared" si="407"/>
        <v>2672.4</v>
      </c>
      <c r="CC230" s="673">
        <f t="shared" si="408"/>
        <v>2986.8</v>
      </c>
      <c r="CD230" s="673">
        <f t="shared" si="409"/>
        <v>2986.8</v>
      </c>
      <c r="CE230" s="674">
        <f t="shared" si="43"/>
        <v>25.4</v>
      </c>
      <c r="CF230" s="763">
        <f t="shared" si="248"/>
        <v>19.7</v>
      </c>
      <c r="CG230" s="676">
        <f t="shared" si="295"/>
        <v>19.7</v>
      </c>
      <c r="CH230" s="575" t="s">
        <v>1359</v>
      </c>
      <c r="CI230" s="582">
        <f t="shared" ref="CI230:DF230" si="442">FLOOR($AV230/(CI$3/25),1)</f>
        <v>2431</v>
      </c>
      <c r="CJ230" s="582">
        <f t="shared" si="442"/>
        <v>2532</v>
      </c>
      <c r="CK230" s="582">
        <f t="shared" si="442"/>
        <v>2642</v>
      </c>
      <c r="CL230" s="582">
        <f t="shared" si="442"/>
        <v>2763</v>
      </c>
      <c r="CM230" s="582">
        <f t="shared" si="442"/>
        <v>2894</v>
      </c>
      <c r="CN230" s="582">
        <f t="shared" si="442"/>
        <v>3039</v>
      </c>
      <c r="CO230" s="582">
        <f t="shared" si="442"/>
        <v>3199</v>
      </c>
      <c r="CP230" s="582">
        <f t="shared" si="442"/>
        <v>3377</v>
      </c>
      <c r="CQ230" s="582">
        <f t="shared" si="442"/>
        <v>3575</v>
      </c>
      <c r="CR230" s="582">
        <f t="shared" si="442"/>
        <v>3799</v>
      </c>
      <c r="CS230" s="582">
        <f t="shared" si="442"/>
        <v>4052</v>
      </c>
      <c r="CT230" s="582">
        <f t="shared" si="442"/>
        <v>4341</v>
      </c>
      <c r="CU230" s="582">
        <f t="shared" si="442"/>
        <v>4675</v>
      </c>
      <c r="CV230" s="582">
        <f t="shared" si="442"/>
        <v>5065</v>
      </c>
      <c r="CW230" s="582">
        <f t="shared" si="442"/>
        <v>5526</v>
      </c>
      <c r="CX230" s="582">
        <f t="shared" si="442"/>
        <v>6078</v>
      </c>
      <c r="CY230" s="582">
        <f t="shared" si="442"/>
        <v>6754</v>
      </c>
      <c r="CZ230" s="582">
        <f t="shared" si="442"/>
        <v>7598</v>
      </c>
      <c r="DA230" s="582">
        <f t="shared" si="442"/>
        <v>8683</v>
      </c>
      <c r="DB230" s="582">
        <f t="shared" si="442"/>
        <v>10131</v>
      </c>
      <c r="DC230" s="582">
        <f t="shared" si="442"/>
        <v>12157</v>
      </c>
      <c r="DD230" s="582">
        <f t="shared" si="442"/>
        <v>15196</v>
      </c>
      <c r="DE230" s="582">
        <f t="shared" si="442"/>
        <v>20262</v>
      </c>
      <c r="DF230" s="602">
        <f t="shared" si="442"/>
        <v>30393</v>
      </c>
      <c r="DG230" s="575"/>
      <c r="DH230" s="575" t="str">
        <f t="shared" si="46"/>
        <v/>
      </c>
      <c r="DI230" s="74" t="str">
        <f t="shared" si="47"/>
        <v/>
      </c>
      <c r="DJ230" s="74" t="str">
        <f t="shared" si="48"/>
        <v/>
      </c>
      <c r="DK230" s="623" t="str">
        <f t="shared" si="49"/>
        <v/>
      </c>
      <c r="DL230" s="74"/>
      <c r="DM230" s="74"/>
      <c r="DN230" s="582">
        <f t="shared" si="433"/>
        <v>1.7</v>
      </c>
      <c r="DO230" s="575"/>
      <c r="DP230" s="297"/>
    </row>
    <row r="231">
      <c r="A231" s="764">
        <v>225.0</v>
      </c>
      <c r="B231" s="765">
        <v>305.0</v>
      </c>
      <c r="C231" s="766">
        <v>40.0</v>
      </c>
      <c r="D231" s="766">
        <v>114.0</v>
      </c>
      <c r="E231" s="767"/>
      <c r="F231" s="768" t="s">
        <v>1683</v>
      </c>
      <c r="G231" s="768">
        <f t="shared" si="269"/>
        <v>20</v>
      </c>
      <c r="H231" s="768">
        <f t="shared" si="383"/>
        <v>19</v>
      </c>
      <c r="I231" s="768">
        <f t="shared" si="384"/>
        <v>19</v>
      </c>
      <c r="J231" s="768">
        <f t="shared" si="385"/>
        <v>17</v>
      </c>
      <c r="K231" s="768">
        <f t="shared" si="386"/>
        <v>20</v>
      </c>
      <c r="L231" s="768">
        <f t="shared" si="387"/>
        <v>18</v>
      </c>
      <c r="M231" s="769">
        <f t="shared" si="388"/>
        <v>18</v>
      </c>
      <c r="N231" s="767" t="s">
        <v>1368</v>
      </c>
      <c r="O231" s="770" t="s">
        <v>2011</v>
      </c>
      <c r="P231" s="771"/>
      <c r="Q231" s="771" t="s">
        <v>1676</v>
      </c>
      <c r="R231" s="771" t="s">
        <v>1685</v>
      </c>
      <c r="S231" s="771" t="s">
        <v>1347</v>
      </c>
      <c r="T231" s="772" t="s">
        <v>1369</v>
      </c>
      <c r="U231" s="766">
        <v>85.0</v>
      </c>
      <c r="V231" s="766">
        <v>66.0</v>
      </c>
      <c r="W231" s="773">
        <v>188.0</v>
      </c>
      <c r="X231" s="773">
        <v>140.0</v>
      </c>
      <c r="Y231" s="766">
        <v>6.0</v>
      </c>
      <c r="Z231" s="766">
        <v>-10.0</v>
      </c>
      <c r="AA231" s="766">
        <v>4.0</v>
      </c>
      <c r="AB231" s="766">
        <v>110.0</v>
      </c>
      <c r="AC231" s="766">
        <v>17692.0</v>
      </c>
      <c r="AD231" s="766">
        <v>3.0</v>
      </c>
      <c r="AE231" s="766">
        <v>75.0</v>
      </c>
      <c r="AF231" s="766">
        <v>75.0</v>
      </c>
      <c r="AG231" s="766">
        <v>50.0</v>
      </c>
      <c r="AH231" s="766">
        <v>142.0</v>
      </c>
      <c r="AI231" s="775">
        <f t="shared" si="12"/>
        <v>96</v>
      </c>
      <c r="AJ231" s="801"/>
      <c r="AK231" s="767"/>
      <c r="AL231" s="767"/>
      <c r="AM231" s="767"/>
      <c r="AN231" s="767"/>
      <c r="AO231" s="767"/>
      <c r="AP231" s="767"/>
      <c r="AQ231" s="801"/>
      <c r="AR231" s="767"/>
      <c r="AS231" s="776"/>
      <c r="AT231" s="768">
        <f t="shared" si="13"/>
        <v>1268</v>
      </c>
      <c r="AU231" s="768">
        <f t="shared" si="14"/>
        <v>3096</v>
      </c>
      <c r="AV231" s="777">
        <f t="shared" si="15"/>
        <v>2182</v>
      </c>
      <c r="AW231" s="778">
        <f t="shared" si="276"/>
        <v>3031</v>
      </c>
      <c r="AX231" s="778">
        <f t="shared" si="389"/>
        <v>3209</v>
      </c>
      <c r="AY231" s="778">
        <f t="shared" si="390"/>
        <v>3209</v>
      </c>
      <c r="AZ231" s="778">
        <f t="shared" si="391"/>
        <v>3409</v>
      </c>
      <c r="BA231" s="778">
        <f t="shared" si="392"/>
        <v>3031</v>
      </c>
      <c r="BB231" s="778">
        <f t="shared" si="393"/>
        <v>3409</v>
      </c>
      <c r="BC231" s="778">
        <f t="shared" si="394"/>
        <v>3637</v>
      </c>
      <c r="BD231" s="778">
        <f t="shared" si="395"/>
        <v>2871</v>
      </c>
      <c r="BE231" s="778">
        <f t="shared" si="396"/>
        <v>3409</v>
      </c>
      <c r="BF231" s="778">
        <f t="shared" si="397"/>
        <v>2480</v>
      </c>
      <c r="BG231" s="778">
        <f t="shared" si="398"/>
        <v>3031</v>
      </c>
      <c r="BH231" s="778">
        <f t="shared" si="284"/>
        <v>2871</v>
      </c>
      <c r="BI231" s="778">
        <f t="shared" si="399"/>
        <v>3031</v>
      </c>
      <c r="BJ231" s="778">
        <f t="shared" si="400"/>
        <v>3209</v>
      </c>
      <c r="BK231" s="778">
        <f t="shared" si="401"/>
        <v>2871</v>
      </c>
      <c r="BL231" s="778">
        <f t="shared" si="402"/>
        <v>3209</v>
      </c>
      <c r="BM231" s="767"/>
      <c r="BN231" s="778">
        <f t="shared" si="403"/>
        <v>3896</v>
      </c>
      <c r="BO231" s="767"/>
      <c r="BP231" s="779">
        <f t="shared" si="33"/>
        <v>3896</v>
      </c>
      <c r="BQ231" s="780">
        <v>40.0</v>
      </c>
      <c r="BR231" s="780">
        <v>114.0</v>
      </c>
      <c r="BS231" s="780">
        <v>-10.0</v>
      </c>
      <c r="BT231" s="780">
        <v>100.0</v>
      </c>
      <c r="BU231" s="781"/>
      <c r="BV231" s="782">
        <f t="shared" si="34"/>
        <v>77</v>
      </c>
      <c r="BW231" s="783">
        <f t="shared" si="35"/>
        <v>1838.7</v>
      </c>
      <c r="BX231" s="784">
        <f t="shared" si="289"/>
        <v>2553.8</v>
      </c>
      <c r="BY231" s="784">
        <f t="shared" si="404"/>
        <v>2704</v>
      </c>
      <c r="BZ231" s="784">
        <f t="shared" si="405"/>
        <v>2704</v>
      </c>
      <c r="CA231" s="784">
        <f t="shared" si="406"/>
        <v>3064.5</v>
      </c>
      <c r="CB231" s="784">
        <f t="shared" si="407"/>
        <v>2553.8</v>
      </c>
      <c r="CC231" s="784">
        <f t="shared" si="408"/>
        <v>2873</v>
      </c>
      <c r="CD231" s="784">
        <f t="shared" si="409"/>
        <v>2873</v>
      </c>
      <c r="CE231" s="785">
        <f t="shared" si="43"/>
        <v>24.7</v>
      </c>
      <c r="CF231" s="786">
        <f t="shared" si="248"/>
        <v>18.7</v>
      </c>
      <c r="CG231" s="787">
        <f t="shared" si="295"/>
        <v>18.7</v>
      </c>
      <c r="CH231" s="776" t="s">
        <v>1368</v>
      </c>
      <c r="CI231" s="778">
        <f t="shared" ref="CI231:DF231" si="443">FLOOR($AV231/(CI$3/25),1)</f>
        <v>2182</v>
      </c>
      <c r="CJ231" s="778">
        <f t="shared" si="443"/>
        <v>2272</v>
      </c>
      <c r="CK231" s="778">
        <f t="shared" si="443"/>
        <v>2371</v>
      </c>
      <c r="CL231" s="778">
        <f t="shared" si="443"/>
        <v>2479</v>
      </c>
      <c r="CM231" s="778">
        <f t="shared" si="443"/>
        <v>2597</v>
      </c>
      <c r="CN231" s="778">
        <f t="shared" si="443"/>
        <v>2727</v>
      </c>
      <c r="CO231" s="778">
        <f t="shared" si="443"/>
        <v>2871</v>
      </c>
      <c r="CP231" s="778">
        <f t="shared" si="443"/>
        <v>3030</v>
      </c>
      <c r="CQ231" s="778">
        <f t="shared" si="443"/>
        <v>3208</v>
      </c>
      <c r="CR231" s="778">
        <f t="shared" si="443"/>
        <v>3409</v>
      </c>
      <c r="CS231" s="778">
        <f t="shared" si="443"/>
        <v>3636</v>
      </c>
      <c r="CT231" s="778">
        <f t="shared" si="443"/>
        <v>3896</v>
      </c>
      <c r="CU231" s="778">
        <f t="shared" si="443"/>
        <v>4196</v>
      </c>
      <c r="CV231" s="778">
        <f t="shared" si="443"/>
        <v>4545</v>
      </c>
      <c r="CW231" s="778">
        <f t="shared" si="443"/>
        <v>4959</v>
      </c>
      <c r="CX231" s="778">
        <f t="shared" si="443"/>
        <v>5455</v>
      </c>
      <c r="CY231" s="778">
        <f t="shared" si="443"/>
        <v>6061</v>
      </c>
      <c r="CZ231" s="778">
        <f t="shared" si="443"/>
        <v>6818</v>
      </c>
      <c r="DA231" s="778">
        <f t="shared" si="443"/>
        <v>7792</v>
      </c>
      <c r="DB231" s="778">
        <f t="shared" si="443"/>
        <v>9091</v>
      </c>
      <c r="DC231" s="778">
        <f t="shared" si="443"/>
        <v>10910</v>
      </c>
      <c r="DD231" s="778">
        <f t="shared" si="443"/>
        <v>13637</v>
      </c>
      <c r="DE231" s="778">
        <f t="shared" si="443"/>
        <v>18183</v>
      </c>
      <c r="DF231" s="779">
        <f t="shared" si="443"/>
        <v>27275</v>
      </c>
      <c r="DG231" s="776"/>
      <c r="DH231" s="776" t="str">
        <f t="shared" si="46"/>
        <v/>
      </c>
      <c r="DI231" s="767" t="str">
        <f t="shared" si="47"/>
        <v/>
      </c>
      <c r="DJ231" s="767" t="str">
        <f t="shared" si="48"/>
        <v/>
      </c>
      <c r="DK231" s="803" t="str">
        <f t="shared" si="49"/>
        <v/>
      </c>
      <c r="DL231" s="767"/>
      <c r="DM231" s="767"/>
      <c r="DN231" s="778">
        <f t="shared" si="433"/>
        <v>1.3</v>
      </c>
      <c r="DO231" s="776"/>
      <c r="DP231" s="790"/>
    </row>
    <row r="232">
      <c r="A232" s="552">
        <v>226.0</v>
      </c>
      <c r="B232" s="86">
        <v>84.0</v>
      </c>
      <c r="C232" s="54">
        <v>1.0</v>
      </c>
      <c r="D232" s="54">
        <v>4.0</v>
      </c>
      <c r="E232" s="74"/>
      <c r="F232" s="68" t="s">
        <v>1378</v>
      </c>
      <c r="G232" s="68">
        <f t="shared" si="269"/>
        <v>14</v>
      </c>
      <c r="H232" s="68">
        <f t="shared" si="383"/>
        <v>16</v>
      </c>
      <c r="I232" s="68">
        <f t="shared" si="384"/>
        <v>15</v>
      </c>
      <c r="J232" s="68">
        <f t="shared" si="385"/>
        <v>16</v>
      </c>
      <c r="K232" s="68">
        <f t="shared" si="386"/>
        <v>18</v>
      </c>
      <c r="L232" s="68">
        <f t="shared" si="387"/>
        <v>16</v>
      </c>
      <c r="M232" s="569">
        <f t="shared" si="388"/>
        <v>17</v>
      </c>
      <c r="N232" s="74" t="s">
        <v>1370</v>
      </c>
      <c r="O232" s="570" t="s">
        <v>2041</v>
      </c>
      <c r="P232" s="571"/>
      <c r="Q232" s="571" t="s">
        <v>1313</v>
      </c>
      <c r="R232" s="571" t="s">
        <v>1380</v>
      </c>
      <c r="S232" s="571" t="s">
        <v>1378</v>
      </c>
      <c r="T232" s="572" t="s">
        <v>1371</v>
      </c>
      <c r="U232" s="54">
        <v>1.0</v>
      </c>
      <c r="V232" s="54">
        <v>0.0</v>
      </c>
      <c r="W232" s="74"/>
      <c r="X232" s="54">
        <v>15.0</v>
      </c>
      <c r="Y232" s="573">
        <v>3.0</v>
      </c>
      <c r="Z232" s="54">
        <v>5.0</v>
      </c>
      <c r="AA232" s="74"/>
      <c r="AB232" s="74"/>
      <c r="AC232" s="54">
        <v>100.0</v>
      </c>
      <c r="AD232" s="54">
        <v>2.0</v>
      </c>
      <c r="AE232" s="74"/>
      <c r="AF232" s="54">
        <v>50.0</v>
      </c>
      <c r="AG232" s="54">
        <v>1.0</v>
      </c>
      <c r="AH232" s="54">
        <v>4.0</v>
      </c>
      <c r="AI232" s="574">
        <f t="shared" si="12"/>
        <v>2.5</v>
      </c>
      <c r="AJ232" s="909">
        <v>0.0</v>
      </c>
      <c r="AK232" s="74"/>
      <c r="AL232" s="74"/>
      <c r="AM232" s="74"/>
      <c r="AN232" s="74"/>
      <c r="AO232" s="74"/>
      <c r="AP232" s="74"/>
      <c r="AQ232" s="74"/>
      <c r="AR232" s="74"/>
      <c r="AS232" s="575"/>
      <c r="AT232" s="68">
        <f t="shared" si="13"/>
        <v>140</v>
      </c>
      <c r="AU232" s="68">
        <f t="shared" si="14"/>
        <v>170</v>
      </c>
      <c r="AV232" s="581">
        <f t="shared" si="15"/>
        <v>155</v>
      </c>
      <c r="AW232" s="582">
        <f t="shared" si="276"/>
        <v>277</v>
      </c>
      <c r="AX232" s="582">
        <f t="shared" si="389"/>
        <v>242</v>
      </c>
      <c r="AY232" s="582">
        <f t="shared" si="390"/>
        <v>258</v>
      </c>
      <c r="AZ232" s="582">
        <f t="shared" si="391"/>
        <v>242</v>
      </c>
      <c r="BA232" s="582">
        <f t="shared" si="392"/>
        <v>215</v>
      </c>
      <c r="BB232" s="582">
        <f t="shared" si="393"/>
        <v>228</v>
      </c>
      <c r="BC232" s="582">
        <f t="shared" si="394"/>
        <v>242</v>
      </c>
      <c r="BD232" s="582">
        <f t="shared" si="395"/>
        <v>161</v>
      </c>
      <c r="BE232" s="582">
        <f t="shared" si="396"/>
        <v>194</v>
      </c>
      <c r="BF232" s="582">
        <f t="shared" si="397"/>
        <v>176</v>
      </c>
      <c r="BG232" s="582">
        <f t="shared" si="398"/>
        <v>204</v>
      </c>
      <c r="BH232" s="582">
        <f t="shared" si="284"/>
        <v>228</v>
      </c>
      <c r="BI232" s="582">
        <f t="shared" si="399"/>
        <v>194</v>
      </c>
      <c r="BJ232" s="582">
        <f t="shared" si="400"/>
        <v>194</v>
      </c>
      <c r="BK232" s="582">
        <f t="shared" si="401"/>
        <v>176</v>
      </c>
      <c r="BL232" s="582">
        <f t="shared" si="402"/>
        <v>185</v>
      </c>
      <c r="BM232" s="582">
        <f t="shared" ref="BM232:BM273" si="445">ROUND($AV232*25/(CEILING((15*256)/FLOOR(256*MIN(175,MAX(15,100+IF($AS232="",$AS$1,AP232)+FLOOR((120*IF($AQ232="",$AQ$1,$AQ232))/(120+IF($AQ232="",$AQ$1,$AQ232)),1)-$Z232))/100,1),1)-1),0)</f>
        <v>258</v>
      </c>
      <c r="BN232" s="74"/>
      <c r="BO232" s="74"/>
      <c r="BP232" s="602">
        <f t="shared" si="33"/>
        <v>258</v>
      </c>
      <c r="BQ232" s="54">
        <v>1.0</v>
      </c>
      <c r="BR232" s="54">
        <v>4.0</v>
      </c>
      <c r="BS232" s="54">
        <v>5.0</v>
      </c>
      <c r="BT232" s="74"/>
      <c r="BU232" s="54">
        <v>100.0</v>
      </c>
      <c r="BV232" s="83">
        <f t="shared" si="34"/>
        <v>2.5</v>
      </c>
      <c r="BW232" s="608">
        <f t="shared" si="35"/>
        <v>263.4</v>
      </c>
      <c r="BX232" s="582">
        <f t="shared" si="289"/>
        <v>470.4</v>
      </c>
      <c r="BY232" s="582">
        <f t="shared" si="404"/>
        <v>411.6</v>
      </c>
      <c r="BZ232" s="582">
        <f t="shared" si="405"/>
        <v>439</v>
      </c>
      <c r="CA232" s="582">
        <f t="shared" si="406"/>
        <v>411.6</v>
      </c>
      <c r="CB232" s="582">
        <f t="shared" si="407"/>
        <v>365.8</v>
      </c>
      <c r="CC232" s="582">
        <f t="shared" si="408"/>
        <v>411.6</v>
      </c>
      <c r="CD232" s="582">
        <f t="shared" si="409"/>
        <v>387.4</v>
      </c>
      <c r="CE232" s="623" t="str">
        <f t="shared" si="43"/>
        <v/>
      </c>
      <c r="CF232" s="706">
        <f t="shared" si="248"/>
        <v>-41.2</v>
      </c>
      <c r="CG232" s="602">
        <f t="shared" si="295"/>
        <v>-41.1</v>
      </c>
      <c r="CH232" s="575" t="s">
        <v>1370</v>
      </c>
      <c r="CI232" s="582">
        <f t="shared" ref="CI232:DF232" si="444">FLOOR($AV232/(CI$3/25),1)</f>
        <v>155</v>
      </c>
      <c r="CJ232" s="582">
        <f t="shared" si="444"/>
        <v>161</v>
      </c>
      <c r="CK232" s="582">
        <f t="shared" si="444"/>
        <v>168</v>
      </c>
      <c r="CL232" s="582">
        <f t="shared" si="444"/>
        <v>176</v>
      </c>
      <c r="CM232" s="582">
        <f t="shared" si="444"/>
        <v>184</v>
      </c>
      <c r="CN232" s="582">
        <f t="shared" si="444"/>
        <v>193</v>
      </c>
      <c r="CO232" s="582">
        <f t="shared" si="444"/>
        <v>203</v>
      </c>
      <c r="CP232" s="582">
        <f t="shared" si="444"/>
        <v>215</v>
      </c>
      <c r="CQ232" s="582">
        <f t="shared" si="444"/>
        <v>227</v>
      </c>
      <c r="CR232" s="582">
        <f t="shared" si="444"/>
        <v>242</v>
      </c>
      <c r="CS232" s="582">
        <f t="shared" si="444"/>
        <v>258</v>
      </c>
      <c r="CT232" s="582">
        <f t="shared" si="444"/>
        <v>276</v>
      </c>
      <c r="CU232" s="582">
        <f t="shared" si="444"/>
        <v>298</v>
      </c>
      <c r="CV232" s="582">
        <f t="shared" si="444"/>
        <v>322</v>
      </c>
      <c r="CW232" s="582">
        <f t="shared" si="444"/>
        <v>352</v>
      </c>
      <c r="CX232" s="582">
        <f t="shared" si="444"/>
        <v>387</v>
      </c>
      <c r="CY232" s="582">
        <f t="shared" si="444"/>
        <v>430</v>
      </c>
      <c r="CZ232" s="582">
        <f t="shared" si="444"/>
        <v>484</v>
      </c>
      <c r="DA232" s="582">
        <f t="shared" si="444"/>
        <v>553</v>
      </c>
      <c r="DB232" s="582">
        <f t="shared" si="444"/>
        <v>645</v>
      </c>
      <c r="DC232" s="582">
        <f t="shared" si="444"/>
        <v>775</v>
      </c>
      <c r="DD232" s="582">
        <f t="shared" si="444"/>
        <v>968</v>
      </c>
      <c r="DE232" s="582">
        <f t="shared" si="444"/>
        <v>1291</v>
      </c>
      <c r="DF232" s="602">
        <f t="shared" si="444"/>
        <v>1937</v>
      </c>
      <c r="DG232" s="575"/>
      <c r="DH232" s="575" t="str">
        <f t="shared" si="46"/>
        <v/>
      </c>
      <c r="DI232" s="74" t="str">
        <f t="shared" si="47"/>
        <v/>
      </c>
      <c r="DJ232" s="74" t="str">
        <f t="shared" si="48"/>
        <v/>
      </c>
      <c r="DK232" s="792" t="str">
        <f t="shared" si="49"/>
        <v/>
      </c>
      <c r="DL232" s="793"/>
      <c r="DM232" s="793"/>
      <c r="DN232" s="793"/>
      <c r="DO232" s="575"/>
      <c r="DP232" s="61" t="s">
        <v>2359</v>
      </c>
    </row>
    <row r="233">
      <c r="A233" s="552">
        <v>227.0</v>
      </c>
      <c r="B233" s="86">
        <v>85.0</v>
      </c>
      <c r="C233" s="54">
        <v>2.0</v>
      </c>
      <c r="D233" s="54">
        <v>6.0</v>
      </c>
      <c r="E233" s="74"/>
      <c r="F233" s="68" t="s">
        <v>1378</v>
      </c>
      <c r="G233" s="68">
        <f t="shared" si="269"/>
        <v>14</v>
      </c>
      <c r="H233" s="68">
        <f t="shared" si="383"/>
        <v>16</v>
      </c>
      <c r="I233" s="68">
        <f t="shared" si="384"/>
        <v>15</v>
      </c>
      <c r="J233" s="68">
        <f t="shared" si="385"/>
        <v>16</v>
      </c>
      <c r="K233" s="68">
        <f t="shared" si="386"/>
        <v>18</v>
      </c>
      <c r="L233" s="68">
        <f t="shared" si="387"/>
        <v>16</v>
      </c>
      <c r="M233" s="569">
        <f t="shared" si="388"/>
        <v>17</v>
      </c>
      <c r="N233" s="74" t="s">
        <v>1381</v>
      </c>
      <c r="O233" s="570" t="s">
        <v>2042</v>
      </c>
      <c r="P233" s="571"/>
      <c r="Q233" s="571" t="s">
        <v>1313</v>
      </c>
      <c r="R233" s="571" t="s">
        <v>1380</v>
      </c>
      <c r="S233" s="571" t="s">
        <v>1378</v>
      </c>
      <c r="T233" s="572" t="s">
        <v>1382</v>
      </c>
      <c r="U233" s="54">
        <v>5.0</v>
      </c>
      <c r="V233" s="54">
        <v>0.0</v>
      </c>
      <c r="W233" s="74"/>
      <c r="X233" s="54">
        <v>28.0</v>
      </c>
      <c r="Y233" s="54">
        <v>4.0</v>
      </c>
      <c r="Z233" s="54">
        <v>-10.0</v>
      </c>
      <c r="AA233" s="74"/>
      <c r="AB233" s="74"/>
      <c r="AC233" s="54">
        <v>350.0</v>
      </c>
      <c r="AD233" s="54">
        <v>2.0</v>
      </c>
      <c r="AE233" s="74"/>
      <c r="AF233" s="54">
        <v>50.0</v>
      </c>
      <c r="AG233" s="54">
        <v>2.0</v>
      </c>
      <c r="AH233" s="54">
        <v>6.0</v>
      </c>
      <c r="AI233" s="574">
        <f t="shared" si="12"/>
        <v>4</v>
      </c>
      <c r="AJ233" s="909">
        <v>0.0</v>
      </c>
      <c r="AK233" s="74"/>
      <c r="AL233" s="74"/>
      <c r="AM233" s="74"/>
      <c r="AN233" s="74"/>
      <c r="AO233" s="74"/>
      <c r="AP233" s="74"/>
      <c r="AQ233" s="74"/>
      <c r="AR233" s="74"/>
      <c r="AS233" s="575"/>
      <c r="AT233" s="68">
        <f t="shared" si="13"/>
        <v>150</v>
      </c>
      <c r="AU233" s="68">
        <f t="shared" si="14"/>
        <v>188</v>
      </c>
      <c r="AV233" s="581">
        <f t="shared" si="15"/>
        <v>169</v>
      </c>
      <c r="AW233" s="582">
        <f t="shared" si="276"/>
        <v>352</v>
      </c>
      <c r="AX233" s="582">
        <f t="shared" si="389"/>
        <v>302</v>
      </c>
      <c r="AY233" s="582">
        <f t="shared" si="390"/>
        <v>325</v>
      </c>
      <c r="AZ233" s="582">
        <f t="shared" si="391"/>
        <v>302</v>
      </c>
      <c r="BA233" s="582">
        <f t="shared" si="392"/>
        <v>264</v>
      </c>
      <c r="BB233" s="582">
        <f t="shared" si="393"/>
        <v>282</v>
      </c>
      <c r="BC233" s="582">
        <f t="shared" si="394"/>
        <v>302</v>
      </c>
      <c r="BD233" s="582">
        <f t="shared" si="395"/>
        <v>235</v>
      </c>
      <c r="BE233" s="582">
        <f t="shared" si="396"/>
        <v>282</v>
      </c>
      <c r="BF233" s="582">
        <f t="shared" si="397"/>
        <v>249</v>
      </c>
      <c r="BG233" s="582">
        <f t="shared" si="398"/>
        <v>302</v>
      </c>
      <c r="BH233" s="582">
        <f t="shared" si="284"/>
        <v>325</v>
      </c>
      <c r="BI233" s="582">
        <f t="shared" si="399"/>
        <v>282</v>
      </c>
      <c r="BJ233" s="582">
        <f t="shared" si="400"/>
        <v>282</v>
      </c>
      <c r="BK233" s="582">
        <f t="shared" si="401"/>
        <v>249</v>
      </c>
      <c r="BL233" s="582">
        <f t="shared" si="402"/>
        <v>264</v>
      </c>
      <c r="BM233" s="582">
        <f t="shared" si="445"/>
        <v>325</v>
      </c>
      <c r="BN233" s="74"/>
      <c r="BO233" s="74"/>
      <c r="BP233" s="602">
        <f t="shared" si="33"/>
        <v>325</v>
      </c>
      <c r="BQ233" s="54">
        <v>2.0</v>
      </c>
      <c r="BR233" s="54">
        <v>6.0</v>
      </c>
      <c r="BS233" s="54">
        <v>-10.0</v>
      </c>
      <c r="BT233" s="74"/>
      <c r="BU233" s="54">
        <v>100.0</v>
      </c>
      <c r="BV233" s="83">
        <f t="shared" si="34"/>
        <v>4</v>
      </c>
      <c r="BW233" s="608">
        <f t="shared" si="35"/>
        <v>287.6</v>
      </c>
      <c r="BX233" s="582">
        <f t="shared" si="289"/>
        <v>599.2</v>
      </c>
      <c r="BY233" s="582">
        <f t="shared" si="404"/>
        <v>513.6</v>
      </c>
      <c r="BZ233" s="582">
        <f t="shared" si="405"/>
        <v>553.1</v>
      </c>
      <c r="CA233" s="582">
        <f t="shared" si="406"/>
        <v>513.6</v>
      </c>
      <c r="CB233" s="582">
        <f t="shared" si="407"/>
        <v>449.4</v>
      </c>
      <c r="CC233" s="582">
        <f t="shared" si="408"/>
        <v>513.6</v>
      </c>
      <c r="CD233" s="582">
        <f t="shared" si="409"/>
        <v>479.3</v>
      </c>
      <c r="CE233" s="623" t="str">
        <f t="shared" si="43"/>
        <v/>
      </c>
      <c r="CF233" s="706">
        <f t="shared" si="248"/>
        <v>-41.2</v>
      </c>
      <c r="CG233" s="602">
        <f t="shared" si="295"/>
        <v>-41.3</v>
      </c>
      <c r="CH233" s="575" t="s">
        <v>1381</v>
      </c>
      <c r="CI233" s="582">
        <f t="shared" ref="CI233:DF233" si="446">FLOOR($AV233/(CI$3/25),1)</f>
        <v>169</v>
      </c>
      <c r="CJ233" s="582">
        <f t="shared" si="446"/>
        <v>176</v>
      </c>
      <c r="CK233" s="582">
        <f t="shared" si="446"/>
        <v>183</v>
      </c>
      <c r="CL233" s="582">
        <f t="shared" si="446"/>
        <v>192</v>
      </c>
      <c r="CM233" s="582">
        <f t="shared" si="446"/>
        <v>201</v>
      </c>
      <c r="CN233" s="582">
        <f t="shared" si="446"/>
        <v>211</v>
      </c>
      <c r="CO233" s="582">
        <f t="shared" si="446"/>
        <v>222</v>
      </c>
      <c r="CP233" s="582">
        <f t="shared" si="446"/>
        <v>234</v>
      </c>
      <c r="CQ233" s="582">
        <f t="shared" si="446"/>
        <v>248</v>
      </c>
      <c r="CR233" s="582">
        <f t="shared" si="446"/>
        <v>264</v>
      </c>
      <c r="CS233" s="582">
        <f t="shared" si="446"/>
        <v>281</v>
      </c>
      <c r="CT233" s="582">
        <f t="shared" si="446"/>
        <v>301</v>
      </c>
      <c r="CU233" s="582">
        <f t="shared" si="446"/>
        <v>325</v>
      </c>
      <c r="CV233" s="582">
        <f t="shared" si="446"/>
        <v>352</v>
      </c>
      <c r="CW233" s="582">
        <f t="shared" si="446"/>
        <v>384</v>
      </c>
      <c r="CX233" s="582">
        <f t="shared" si="446"/>
        <v>422</v>
      </c>
      <c r="CY233" s="582">
        <f t="shared" si="446"/>
        <v>469</v>
      </c>
      <c r="CZ233" s="582">
        <f t="shared" si="446"/>
        <v>528</v>
      </c>
      <c r="DA233" s="582">
        <f t="shared" si="446"/>
        <v>603</v>
      </c>
      <c r="DB233" s="582">
        <f t="shared" si="446"/>
        <v>704</v>
      </c>
      <c r="DC233" s="582">
        <f t="shared" si="446"/>
        <v>845</v>
      </c>
      <c r="DD233" s="582">
        <f t="shared" si="446"/>
        <v>1056</v>
      </c>
      <c r="DE233" s="582">
        <f t="shared" si="446"/>
        <v>1408</v>
      </c>
      <c r="DF233" s="602">
        <f t="shared" si="446"/>
        <v>2112</v>
      </c>
      <c r="DG233" s="575"/>
      <c r="DH233" s="575" t="str">
        <f t="shared" si="46"/>
        <v/>
      </c>
      <c r="DI233" s="74" t="str">
        <f t="shared" si="47"/>
        <v/>
      </c>
      <c r="DJ233" s="74" t="str">
        <f t="shared" si="48"/>
        <v/>
      </c>
      <c r="DK233" s="664">
        <f t="shared" si="49"/>
        <v>12.5</v>
      </c>
      <c r="DL233" s="685">
        <v>4.5</v>
      </c>
      <c r="DM233" s="74"/>
      <c r="DN233" s="74"/>
      <c r="DO233" s="575"/>
      <c r="DP233" s="61" t="s">
        <v>2359</v>
      </c>
    </row>
    <row r="234">
      <c r="A234" s="552">
        <v>228.0</v>
      </c>
      <c r="B234" s="86">
        <v>86.0</v>
      </c>
      <c r="C234" s="54">
        <v>5.0</v>
      </c>
      <c r="D234" s="54">
        <v>10.0</v>
      </c>
      <c r="E234" s="74"/>
      <c r="F234" s="68" t="s">
        <v>1378</v>
      </c>
      <c r="G234" s="68">
        <f t="shared" si="269"/>
        <v>14</v>
      </c>
      <c r="H234" s="68">
        <f t="shared" si="383"/>
        <v>16</v>
      </c>
      <c r="I234" s="68">
        <f t="shared" si="384"/>
        <v>15</v>
      </c>
      <c r="J234" s="68">
        <f t="shared" si="385"/>
        <v>16</v>
      </c>
      <c r="K234" s="68">
        <f t="shared" si="386"/>
        <v>18</v>
      </c>
      <c r="L234" s="68">
        <f t="shared" si="387"/>
        <v>16</v>
      </c>
      <c r="M234" s="569">
        <f t="shared" si="388"/>
        <v>17</v>
      </c>
      <c r="N234" s="74" t="s">
        <v>1388</v>
      </c>
      <c r="O234" s="570" t="s">
        <v>2043</v>
      </c>
      <c r="P234" s="571"/>
      <c r="Q234" s="571" t="s">
        <v>1313</v>
      </c>
      <c r="R234" s="571" t="s">
        <v>1380</v>
      </c>
      <c r="S234" s="571" t="s">
        <v>1378</v>
      </c>
      <c r="T234" s="572" t="s">
        <v>1389</v>
      </c>
      <c r="U234" s="54">
        <v>8.0</v>
      </c>
      <c r="V234" s="54">
        <v>0.0</v>
      </c>
      <c r="W234" s="54">
        <v>22.0</v>
      </c>
      <c r="X234" s="54">
        <v>19.0</v>
      </c>
      <c r="Y234" s="54">
        <v>5.0</v>
      </c>
      <c r="Z234" s="54">
        <v>0.0</v>
      </c>
      <c r="AA234" s="74"/>
      <c r="AB234" s="74"/>
      <c r="AC234" s="54">
        <v>490.0</v>
      </c>
      <c r="AD234" s="54">
        <v>2.0</v>
      </c>
      <c r="AE234" s="74"/>
      <c r="AF234" s="54">
        <v>50.0</v>
      </c>
      <c r="AG234" s="54">
        <v>5.0</v>
      </c>
      <c r="AH234" s="54">
        <v>10.0</v>
      </c>
      <c r="AI234" s="574">
        <f t="shared" si="12"/>
        <v>7.5</v>
      </c>
      <c r="AJ234" s="909">
        <v>0.0</v>
      </c>
      <c r="AK234" s="74"/>
      <c r="AL234" s="74"/>
      <c r="AM234" s="74"/>
      <c r="AN234" s="74"/>
      <c r="AO234" s="74"/>
      <c r="AP234" s="74"/>
      <c r="AQ234" s="74"/>
      <c r="AR234" s="74"/>
      <c r="AS234" s="575"/>
      <c r="AT234" s="68">
        <f t="shared" si="13"/>
        <v>177</v>
      </c>
      <c r="AU234" s="68">
        <f t="shared" si="14"/>
        <v>226</v>
      </c>
      <c r="AV234" s="581">
        <f t="shared" si="15"/>
        <v>201.5</v>
      </c>
      <c r="AW234" s="582">
        <f t="shared" si="276"/>
        <v>388</v>
      </c>
      <c r="AX234" s="582">
        <f t="shared" si="389"/>
        <v>336</v>
      </c>
      <c r="AY234" s="582">
        <f t="shared" si="390"/>
        <v>360</v>
      </c>
      <c r="AZ234" s="582">
        <f t="shared" si="391"/>
        <v>336</v>
      </c>
      <c r="BA234" s="582">
        <f t="shared" si="392"/>
        <v>296</v>
      </c>
      <c r="BB234" s="582">
        <f t="shared" si="393"/>
        <v>315</v>
      </c>
      <c r="BC234" s="582">
        <f t="shared" si="394"/>
        <v>336</v>
      </c>
      <c r="BD234" s="582">
        <f t="shared" si="395"/>
        <v>219</v>
      </c>
      <c r="BE234" s="582">
        <f t="shared" si="396"/>
        <v>265</v>
      </c>
      <c r="BF234" s="582">
        <f t="shared" si="397"/>
        <v>240</v>
      </c>
      <c r="BG234" s="582">
        <f t="shared" si="398"/>
        <v>280</v>
      </c>
      <c r="BH234" s="582">
        <f t="shared" si="284"/>
        <v>315</v>
      </c>
      <c r="BI234" s="582">
        <f t="shared" si="399"/>
        <v>265</v>
      </c>
      <c r="BJ234" s="582">
        <f t="shared" si="400"/>
        <v>265</v>
      </c>
      <c r="BK234" s="582">
        <f t="shared" si="401"/>
        <v>240</v>
      </c>
      <c r="BL234" s="582">
        <f t="shared" si="402"/>
        <v>252</v>
      </c>
      <c r="BM234" s="582">
        <f t="shared" si="445"/>
        <v>360</v>
      </c>
      <c r="BN234" s="74"/>
      <c r="BO234" s="74"/>
      <c r="BP234" s="602">
        <f t="shared" si="33"/>
        <v>360</v>
      </c>
      <c r="BQ234" s="54">
        <v>3.0</v>
      </c>
      <c r="BR234" s="54">
        <v>10.0</v>
      </c>
      <c r="BS234" s="74"/>
      <c r="BT234" s="74"/>
      <c r="BU234" s="54">
        <v>100.0</v>
      </c>
      <c r="BV234" s="83">
        <f t="shared" si="34"/>
        <v>6.5</v>
      </c>
      <c r="BW234" s="608">
        <f t="shared" si="35"/>
        <v>327.9</v>
      </c>
      <c r="BX234" s="582">
        <f t="shared" si="289"/>
        <v>630.6</v>
      </c>
      <c r="BY234" s="582">
        <f t="shared" si="404"/>
        <v>546.5</v>
      </c>
      <c r="BZ234" s="582">
        <f t="shared" si="405"/>
        <v>585.5</v>
      </c>
      <c r="CA234" s="582">
        <f t="shared" si="406"/>
        <v>546.5</v>
      </c>
      <c r="CB234" s="582">
        <f t="shared" si="407"/>
        <v>482.2</v>
      </c>
      <c r="CC234" s="582">
        <f t="shared" si="408"/>
        <v>546.5</v>
      </c>
      <c r="CD234" s="582">
        <f t="shared" si="409"/>
        <v>512.3</v>
      </c>
      <c r="CE234" s="664">
        <f t="shared" si="43"/>
        <v>15.4</v>
      </c>
      <c r="CF234" s="706">
        <f t="shared" si="248"/>
        <v>-38.5</v>
      </c>
      <c r="CG234" s="552">
        <f t="shared" si="295"/>
        <v>-38.5</v>
      </c>
      <c r="CH234" s="575" t="s">
        <v>1388</v>
      </c>
      <c r="CI234" s="582">
        <f t="shared" ref="CI234:DF234" si="447">FLOOR($AV234/(CI$3/25),1)</f>
        <v>201</v>
      </c>
      <c r="CJ234" s="582">
        <f t="shared" si="447"/>
        <v>209</v>
      </c>
      <c r="CK234" s="582">
        <f t="shared" si="447"/>
        <v>219</v>
      </c>
      <c r="CL234" s="582">
        <f t="shared" si="447"/>
        <v>228</v>
      </c>
      <c r="CM234" s="582">
        <f t="shared" si="447"/>
        <v>239</v>
      </c>
      <c r="CN234" s="582">
        <f t="shared" si="447"/>
        <v>251</v>
      </c>
      <c r="CO234" s="582">
        <f t="shared" si="447"/>
        <v>265</v>
      </c>
      <c r="CP234" s="582">
        <f t="shared" si="447"/>
        <v>279</v>
      </c>
      <c r="CQ234" s="582">
        <f t="shared" si="447"/>
        <v>296</v>
      </c>
      <c r="CR234" s="582">
        <f t="shared" si="447"/>
        <v>314</v>
      </c>
      <c r="CS234" s="582">
        <f t="shared" si="447"/>
        <v>335</v>
      </c>
      <c r="CT234" s="582">
        <f t="shared" si="447"/>
        <v>359</v>
      </c>
      <c r="CU234" s="582">
        <f t="shared" si="447"/>
        <v>387</v>
      </c>
      <c r="CV234" s="582">
        <f t="shared" si="447"/>
        <v>419</v>
      </c>
      <c r="CW234" s="582">
        <f t="shared" si="447"/>
        <v>457</v>
      </c>
      <c r="CX234" s="582">
        <f t="shared" si="447"/>
        <v>503</v>
      </c>
      <c r="CY234" s="582">
        <f t="shared" si="447"/>
        <v>559</v>
      </c>
      <c r="CZ234" s="582">
        <f t="shared" si="447"/>
        <v>629</v>
      </c>
      <c r="DA234" s="582">
        <f t="shared" si="447"/>
        <v>719</v>
      </c>
      <c r="DB234" s="582">
        <f t="shared" si="447"/>
        <v>839</v>
      </c>
      <c r="DC234" s="582">
        <f t="shared" si="447"/>
        <v>1007</v>
      </c>
      <c r="DD234" s="582">
        <f t="shared" si="447"/>
        <v>1259</v>
      </c>
      <c r="DE234" s="582">
        <f t="shared" si="447"/>
        <v>1679</v>
      </c>
      <c r="DF234" s="602">
        <f t="shared" si="447"/>
        <v>2518</v>
      </c>
      <c r="DG234" s="575"/>
      <c r="DH234" s="575" t="str">
        <f t="shared" si="46"/>
        <v/>
      </c>
      <c r="DI234" s="74" t="str">
        <f t="shared" si="47"/>
        <v/>
      </c>
      <c r="DJ234" s="74" t="str">
        <f t="shared" si="48"/>
        <v/>
      </c>
      <c r="DK234" s="623" t="str">
        <f t="shared" si="49"/>
        <v/>
      </c>
      <c r="DL234" s="74"/>
      <c r="DM234" s="74"/>
      <c r="DN234" s="74"/>
      <c r="DO234" s="575"/>
      <c r="DP234" s="61" t="s">
        <v>2359</v>
      </c>
    </row>
    <row r="235">
      <c r="A235" s="552">
        <v>229.0</v>
      </c>
      <c r="B235" s="86">
        <v>87.0</v>
      </c>
      <c r="C235" s="54">
        <v>5.0</v>
      </c>
      <c r="D235" s="54">
        <v>9.0</v>
      </c>
      <c r="E235" s="74"/>
      <c r="F235" s="68" t="s">
        <v>1378</v>
      </c>
      <c r="G235" s="68">
        <f t="shared" si="269"/>
        <v>14</v>
      </c>
      <c r="H235" s="68">
        <f t="shared" si="383"/>
        <v>16</v>
      </c>
      <c r="I235" s="68">
        <f t="shared" si="384"/>
        <v>15</v>
      </c>
      <c r="J235" s="68">
        <f t="shared" si="385"/>
        <v>16</v>
      </c>
      <c r="K235" s="68">
        <f t="shared" si="386"/>
        <v>18</v>
      </c>
      <c r="L235" s="68">
        <f t="shared" si="387"/>
        <v>16</v>
      </c>
      <c r="M235" s="569">
        <f t="shared" si="388"/>
        <v>17</v>
      </c>
      <c r="N235" s="74" t="s">
        <v>1397</v>
      </c>
      <c r="O235" s="570" t="s">
        <v>2044</v>
      </c>
      <c r="P235" s="571"/>
      <c r="Q235" s="571" t="s">
        <v>1313</v>
      </c>
      <c r="R235" s="571" t="s">
        <v>1380</v>
      </c>
      <c r="S235" s="571" t="s">
        <v>1378</v>
      </c>
      <c r="T235" s="572" t="s">
        <v>1398</v>
      </c>
      <c r="U235" s="54">
        <v>12.0</v>
      </c>
      <c r="V235" s="54">
        <v>0.0</v>
      </c>
      <c r="W235" s="54">
        <v>25.0</v>
      </c>
      <c r="X235" s="54">
        <v>35.0</v>
      </c>
      <c r="Y235" s="54">
        <v>4.0</v>
      </c>
      <c r="Z235" s="54">
        <v>-10.0</v>
      </c>
      <c r="AA235" s="74"/>
      <c r="AB235" s="74"/>
      <c r="AC235" s="54">
        <v>727.0</v>
      </c>
      <c r="AD235" s="54">
        <v>2.0</v>
      </c>
      <c r="AE235" s="74"/>
      <c r="AF235" s="54">
        <v>50.0</v>
      </c>
      <c r="AG235" s="54">
        <v>5.0</v>
      </c>
      <c r="AH235" s="54">
        <v>9.0</v>
      </c>
      <c r="AI235" s="574">
        <f t="shared" si="12"/>
        <v>7</v>
      </c>
      <c r="AJ235" s="909">
        <v>0.0</v>
      </c>
      <c r="AK235" s="74"/>
      <c r="AL235" s="74"/>
      <c r="AM235" s="74"/>
      <c r="AN235" s="74"/>
      <c r="AO235" s="74"/>
      <c r="AP235" s="74"/>
      <c r="AQ235" s="74"/>
      <c r="AR235" s="74"/>
      <c r="AS235" s="575"/>
      <c r="AT235" s="68">
        <f t="shared" si="13"/>
        <v>177</v>
      </c>
      <c r="AU235" s="68">
        <f t="shared" si="14"/>
        <v>217</v>
      </c>
      <c r="AV235" s="581">
        <f t="shared" si="15"/>
        <v>197</v>
      </c>
      <c r="AW235" s="582">
        <f t="shared" si="276"/>
        <v>410</v>
      </c>
      <c r="AX235" s="582">
        <f t="shared" si="389"/>
        <v>352</v>
      </c>
      <c r="AY235" s="582">
        <f t="shared" si="390"/>
        <v>379</v>
      </c>
      <c r="AZ235" s="582">
        <f t="shared" si="391"/>
        <v>352</v>
      </c>
      <c r="BA235" s="582">
        <f t="shared" si="392"/>
        <v>308</v>
      </c>
      <c r="BB235" s="582">
        <f t="shared" si="393"/>
        <v>328</v>
      </c>
      <c r="BC235" s="582">
        <f t="shared" si="394"/>
        <v>352</v>
      </c>
      <c r="BD235" s="582">
        <f t="shared" si="395"/>
        <v>274</v>
      </c>
      <c r="BE235" s="582">
        <f t="shared" si="396"/>
        <v>328</v>
      </c>
      <c r="BF235" s="582">
        <f t="shared" si="397"/>
        <v>290</v>
      </c>
      <c r="BG235" s="582">
        <f t="shared" si="398"/>
        <v>352</v>
      </c>
      <c r="BH235" s="582">
        <f t="shared" si="284"/>
        <v>379</v>
      </c>
      <c r="BI235" s="582">
        <f t="shared" si="399"/>
        <v>328</v>
      </c>
      <c r="BJ235" s="582">
        <f t="shared" si="400"/>
        <v>328</v>
      </c>
      <c r="BK235" s="582">
        <f t="shared" si="401"/>
        <v>290</v>
      </c>
      <c r="BL235" s="582">
        <f t="shared" si="402"/>
        <v>308</v>
      </c>
      <c r="BM235" s="582">
        <f t="shared" si="445"/>
        <v>379</v>
      </c>
      <c r="BN235" s="74"/>
      <c r="BO235" s="74"/>
      <c r="BP235" s="602">
        <f t="shared" si="33"/>
        <v>379</v>
      </c>
      <c r="BQ235" s="54">
        <v>4.0</v>
      </c>
      <c r="BR235" s="54">
        <v>8.0</v>
      </c>
      <c r="BS235" s="54">
        <v>-10.0</v>
      </c>
      <c r="BT235" s="74"/>
      <c r="BU235" s="54">
        <v>100.0</v>
      </c>
      <c r="BV235" s="83">
        <f t="shared" si="34"/>
        <v>6</v>
      </c>
      <c r="BW235" s="608">
        <f t="shared" si="35"/>
        <v>319.9</v>
      </c>
      <c r="BX235" s="582">
        <f t="shared" si="289"/>
        <v>666.5</v>
      </c>
      <c r="BY235" s="582">
        <f t="shared" si="404"/>
        <v>571.3</v>
      </c>
      <c r="BZ235" s="582">
        <f t="shared" si="405"/>
        <v>615.2</v>
      </c>
      <c r="CA235" s="582">
        <f t="shared" si="406"/>
        <v>571.3</v>
      </c>
      <c r="CB235" s="582">
        <f t="shared" si="407"/>
        <v>499.8</v>
      </c>
      <c r="CC235" s="582">
        <f t="shared" si="408"/>
        <v>571.3</v>
      </c>
      <c r="CD235" s="582">
        <f t="shared" si="409"/>
        <v>533.2</v>
      </c>
      <c r="CE235" s="664">
        <f t="shared" si="43"/>
        <v>16.7</v>
      </c>
      <c r="CF235" s="706">
        <f t="shared" si="248"/>
        <v>-38.4</v>
      </c>
      <c r="CG235" s="602">
        <f t="shared" si="295"/>
        <v>-38.5</v>
      </c>
      <c r="CH235" s="575" t="s">
        <v>1397</v>
      </c>
      <c r="CI235" s="582">
        <f t="shared" ref="CI235:DF235" si="448">FLOOR($AV235/(CI$3/25),1)</f>
        <v>197</v>
      </c>
      <c r="CJ235" s="582">
        <f t="shared" si="448"/>
        <v>205</v>
      </c>
      <c r="CK235" s="582">
        <f t="shared" si="448"/>
        <v>214</v>
      </c>
      <c r="CL235" s="582">
        <f t="shared" si="448"/>
        <v>223</v>
      </c>
      <c r="CM235" s="582">
        <f t="shared" si="448"/>
        <v>234</v>
      </c>
      <c r="CN235" s="582">
        <f t="shared" si="448"/>
        <v>246</v>
      </c>
      <c r="CO235" s="582">
        <f t="shared" si="448"/>
        <v>259</v>
      </c>
      <c r="CP235" s="582">
        <f t="shared" si="448"/>
        <v>273</v>
      </c>
      <c r="CQ235" s="582">
        <f t="shared" si="448"/>
        <v>289</v>
      </c>
      <c r="CR235" s="582">
        <f t="shared" si="448"/>
        <v>307</v>
      </c>
      <c r="CS235" s="582">
        <f t="shared" si="448"/>
        <v>328</v>
      </c>
      <c r="CT235" s="582">
        <f t="shared" si="448"/>
        <v>351</v>
      </c>
      <c r="CU235" s="582">
        <f t="shared" si="448"/>
        <v>378</v>
      </c>
      <c r="CV235" s="582">
        <f t="shared" si="448"/>
        <v>410</v>
      </c>
      <c r="CW235" s="582">
        <f t="shared" si="448"/>
        <v>447</v>
      </c>
      <c r="CX235" s="582">
        <f t="shared" si="448"/>
        <v>492</v>
      </c>
      <c r="CY235" s="582">
        <f t="shared" si="448"/>
        <v>547</v>
      </c>
      <c r="CZ235" s="582">
        <f t="shared" si="448"/>
        <v>615</v>
      </c>
      <c r="DA235" s="582">
        <f t="shared" si="448"/>
        <v>703</v>
      </c>
      <c r="DB235" s="582">
        <f t="shared" si="448"/>
        <v>820</v>
      </c>
      <c r="DC235" s="582">
        <f t="shared" si="448"/>
        <v>985</v>
      </c>
      <c r="DD235" s="582">
        <f t="shared" si="448"/>
        <v>1231</v>
      </c>
      <c r="DE235" s="582">
        <f t="shared" si="448"/>
        <v>1641</v>
      </c>
      <c r="DF235" s="602">
        <f t="shared" si="448"/>
        <v>2462</v>
      </c>
      <c r="DG235" s="575"/>
      <c r="DH235" s="575" t="str">
        <f t="shared" si="46"/>
        <v/>
      </c>
      <c r="DI235" s="74" t="str">
        <f t="shared" si="47"/>
        <v/>
      </c>
      <c r="DJ235" s="74" t="str">
        <f t="shared" si="48"/>
        <v/>
      </c>
      <c r="DK235" s="623" t="str">
        <f t="shared" si="49"/>
        <v/>
      </c>
      <c r="DL235" s="74"/>
      <c r="DM235" s="74"/>
      <c r="DN235" s="74"/>
      <c r="DO235" s="575"/>
      <c r="DP235" s="61" t="s">
        <v>2359</v>
      </c>
    </row>
    <row r="236">
      <c r="A236" s="552">
        <v>230.0</v>
      </c>
      <c r="B236" s="86">
        <v>88.0</v>
      </c>
      <c r="C236" s="54">
        <v>6.0</v>
      </c>
      <c r="D236" s="54">
        <v>12.0</v>
      </c>
      <c r="E236" s="74"/>
      <c r="F236" s="68" t="s">
        <v>1378</v>
      </c>
      <c r="G236" s="68">
        <f t="shared" si="269"/>
        <v>14</v>
      </c>
      <c r="H236" s="68">
        <f t="shared" si="383"/>
        <v>16</v>
      </c>
      <c r="I236" s="68">
        <f t="shared" si="384"/>
        <v>15</v>
      </c>
      <c r="J236" s="68">
        <f t="shared" si="385"/>
        <v>16</v>
      </c>
      <c r="K236" s="68">
        <f t="shared" si="386"/>
        <v>18</v>
      </c>
      <c r="L236" s="68">
        <f t="shared" si="387"/>
        <v>16</v>
      </c>
      <c r="M236" s="569">
        <f t="shared" si="388"/>
        <v>17</v>
      </c>
      <c r="N236" s="74" t="s">
        <v>1403</v>
      </c>
      <c r="O236" s="570" t="s">
        <v>2045</v>
      </c>
      <c r="P236" s="571"/>
      <c r="Q236" s="571" t="s">
        <v>1313</v>
      </c>
      <c r="R236" s="571" t="s">
        <v>1380</v>
      </c>
      <c r="S236" s="571" t="s">
        <v>1378</v>
      </c>
      <c r="T236" s="572" t="s">
        <v>1404</v>
      </c>
      <c r="U236" s="54">
        <v>18.0</v>
      </c>
      <c r="V236" s="54">
        <v>0.0</v>
      </c>
      <c r="W236" s="54">
        <v>30.0</v>
      </c>
      <c r="X236" s="54">
        <v>40.0</v>
      </c>
      <c r="Y236" s="54">
        <v>5.0</v>
      </c>
      <c r="Z236" s="54">
        <v>0.0</v>
      </c>
      <c r="AA236" s="74"/>
      <c r="AB236" s="74"/>
      <c r="AC236" s="54">
        <v>1045.0</v>
      </c>
      <c r="AD236" s="54">
        <v>2.0</v>
      </c>
      <c r="AE236" s="74"/>
      <c r="AF236" s="54">
        <v>50.0</v>
      </c>
      <c r="AG236" s="54">
        <v>6.0</v>
      </c>
      <c r="AH236" s="54">
        <v>12.0</v>
      </c>
      <c r="AI236" s="574">
        <f t="shared" si="12"/>
        <v>9</v>
      </c>
      <c r="AJ236" s="909">
        <v>0.0</v>
      </c>
      <c r="AK236" s="74"/>
      <c r="AL236" s="74"/>
      <c r="AM236" s="74"/>
      <c r="AN236" s="74"/>
      <c r="AO236" s="74"/>
      <c r="AP236" s="74"/>
      <c r="AQ236" s="74"/>
      <c r="AR236" s="74"/>
      <c r="AS236" s="575"/>
      <c r="AT236" s="68">
        <f t="shared" si="13"/>
        <v>188</v>
      </c>
      <c r="AU236" s="68">
        <f t="shared" si="14"/>
        <v>245</v>
      </c>
      <c r="AV236" s="581">
        <f t="shared" si="15"/>
        <v>216.5</v>
      </c>
      <c r="AW236" s="582">
        <f t="shared" si="276"/>
        <v>416</v>
      </c>
      <c r="AX236" s="582">
        <f t="shared" si="389"/>
        <v>361</v>
      </c>
      <c r="AY236" s="582">
        <f t="shared" si="390"/>
        <v>387</v>
      </c>
      <c r="AZ236" s="582">
        <f t="shared" si="391"/>
        <v>361</v>
      </c>
      <c r="BA236" s="582">
        <f t="shared" si="392"/>
        <v>318</v>
      </c>
      <c r="BB236" s="582">
        <f t="shared" si="393"/>
        <v>338</v>
      </c>
      <c r="BC236" s="582">
        <f t="shared" si="394"/>
        <v>361</v>
      </c>
      <c r="BD236" s="582">
        <f t="shared" si="395"/>
        <v>235</v>
      </c>
      <c r="BE236" s="582">
        <f t="shared" si="396"/>
        <v>285</v>
      </c>
      <c r="BF236" s="582">
        <f t="shared" si="397"/>
        <v>258</v>
      </c>
      <c r="BG236" s="582">
        <f t="shared" si="398"/>
        <v>301</v>
      </c>
      <c r="BH236" s="582">
        <f t="shared" si="284"/>
        <v>338</v>
      </c>
      <c r="BI236" s="582">
        <f t="shared" si="399"/>
        <v>285</v>
      </c>
      <c r="BJ236" s="582">
        <f t="shared" si="400"/>
        <v>285</v>
      </c>
      <c r="BK236" s="582">
        <f t="shared" si="401"/>
        <v>258</v>
      </c>
      <c r="BL236" s="582">
        <f t="shared" si="402"/>
        <v>271</v>
      </c>
      <c r="BM236" s="582">
        <f t="shared" si="445"/>
        <v>387</v>
      </c>
      <c r="BN236" s="74"/>
      <c r="BO236" s="74"/>
      <c r="BP236" s="602">
        <f t="shared" si="33"/>
        <v>387</v>
      </c>
      <c r="BQ236" s="54">
        <v>5.0</v>
      </c>
      <c r="BR236" s="54">
        <v>11.0</v>
      </c>
      <c r="BS236" s="74"/>
      <c r="BT236" s="74"/>
      <c r="BU236" s="54">
        <v>100.0</v>
      </c>
      <c r="BV236" s="83">
        <f t="shared" si="34"/>
        <v>8</v>
      </c>
      <c r="BW236" s="608">
        <f t="shared" si="35"/>
        <v>352.2</v>
      </c>
      <c r="BX236" s="582">
        <f t="shared" si="289"/>
        <v>677.3</v>
      </c>
      <c r="BY236" s="582">
        <f t="shared" si="404"/>
        <v>587</v>
      </c>
      <c r="BZ236" s="582">
        <f t="shared" si="405"/>
        <v>628.9</v>
      </c>
      <c r="CA236" s="582">
        <f t="shared" si="406"/>
        <v>587</v>
      </c>
      <c r="CB236" s="582">
        <f t="shared" si="407"/>
        <v>517.9</v>
      </c>
      <c r="CC236" s="582">
        <f t="shared" si="408"/>
        <v>587</v>
      </c>
      <c r="CD236" s="582">
        <f t="shared" si="409"/>
        <v>550.3</v>
      </c>
      <c r="CE236" s="664">
        <f t="shared" si="43"/>
        <v>12.5</v>
      </c>
      <c r="CF236" s="706">
        <f t="shared" si="248"/>
        <v>-38.5</v>
      </c>
      <c r="CG236" s="552">
        <f t="shared" si="295"/>
        <v>-38.6</v>
      </c>
      <c r="CH236" s="575" t="s">
        <v>1403</v>
      </c>
      <c r="CI236" s="582">
        <f t="shared" ref="CI236:DF236" si="449">FLOOR($AV236/(CI$3/25),1)</f>
        <v>216</v>
      </c>
      <c r="CJ236" s="582">
        <f t="shared" si="449"/>
        <v>225</v>
      </c>
      <c r="CK236" s="582">
        <f t="shared" si="449"/>
        <v>235</v>
      </c>
      <c r="CL236" s="582">
        <f t="shared" si="449"/>
        <v>246</v>
      </c>
      <c r="CM236" s="582">
        <f t="shared" si="449"/>
        <v>257</v>
      </c>
      <c r="CN236" s="582">
        <f t="shared" si="449"/>
        <v>270</v>
      </c>
      <c r="CO236" s="582">
        <f t="shared" si="449"/>
        <v>284</v>
      </c>
      <c r="CP236" s="582">
        <f t="shared" si="449"/>
        <v>300</v>
      </c>
      <c r="CQ236" s="582">
        <f t="shared" si="449"/>
        <v>318</v>
      </c>
      <c r="CR236" s="582">
        <f t="shared" si="449"/>
        <v>338</v>
      </c>
      <c r="CS236" s="582">
        <f t="shared" si="449"/>
        <v>360</v>
      </c>
      <c r="CT236" s="582">
        <f t="shared" si="449"/>
        <v>386</v>
      </c>
      <c r="CU236" s="582">
        <f t="shared" si="449"/>
        <v>416</v>
      </c>
      <c r="CV236" s="582">
        <f t="shared" si="449"/>
        <v>451</v>
      </c>
      <c r="CW236" s="582">
        <f t="shared" si="449"/>
        <v>492</v>
      </c>
      <c r="CX236" s="582">
        <f t="shared" si="449"/>
        <v>541</v>
      </c>
      <c r="CY236" s="582">
        <f t="shared" si="449"/>
        <v>601</v>
      </c>
      <c r="CZ236" s="582">
        <f t="shared" si="449"/>
        <v>676</v>
      </c>
      <c r="DA236" s="582">
        <f t="shared" si="449"/>
        <v>773</v>
      </c>
      <c r="DB236" s="582">
        <f t="shared" si="449"/>
        <v>902</v>
      </c>
      <c r="DC236" s="582">
        <f t="shared" si="449"/>
        <v>1082</v>
      </c>
      <c r="DD236" s="582">
        <f t="shared" si="449"/>
        <v>1353</v>
      </c>
      <c r="DE236" s="582">
        <f t="shared" si="449"/>
        <v>1804</v>
      </c>
      <c r="DF236" s="602">
        <f t="shared" si="449"/>
        <v>2706</v>
      </c>
      <c r="DG236" s="575"/>
      <c r="DH236" s="575" t="str">
        <f t="shared" si="46"/>
        <v/>
      </c>
      <c r="DI236" s="74" t="str">
        <f t="shared" si="47"/>
        <v/>
      </c>
      <c r="DJ236" s="74" t="str">
        <f t="shared" si="48"/>
        <v/>
      </c>
      <c r="DK236" s="664">
        <f t="shared" si="49"/>
        <v>5.6</v>
      </c>
      <c r="DL236" s="685">
        <v>9.5</v>
      </c>
      <c r="DM236" s="74"/>
      <c r="DN236" s="74"/>
      <c r="DO236" s="575"/>
      <c r="DP236" s="61" t="s">
        <v>2359</v>
      </c>
    </row>
    <row r="237">
      <c r="A237" s="552">
        <v>231.0</v>
      </c>
      <c r="B237" s="86">
        <v>89.0</v>
      </c>
      <c r="C237" s="54">
        <v>7.0</v>
      </c>
      <c r="D237" s="54">
        <v>18.0</v>
      </c>
      <c r="E237" s="74"/>
      <c r="F237" s="68" t="s">
        <v>1378</v>
      </c>
      <c r="G237" s="68">
        <f t="shared" si="269"/>
        <v>14</v>
      </c>
      <c r="H237" s="68">
        <f t="shared" si="383"/>
        <v>16</v>
      </c>
      <c r="I237" s="68">
        <f t="shared" si="384"/>
        <v>15</v>
      </c>
      <c r="J237" s="68">
        <f t="shared" si="385"/>
        <v>16</v>
      </c>
      <c r="K237" s="68">
        <f t="shared" si="386"/>
        <v>18</v>
      </c>
      <c r="L237" s="68">
        <f t="shared" si="387"/>
        <v>16</v>
      </c>
      <c r="M237" s="569">
        <f t="shared" si="388"/>
        <v>17</v>
      </c>
      <c r="N237" s="74" t="s">
        <v>1410</v>
      </c>
      <c r="O237" s="570" t="s">
        <v>2046</v>
      </c>
      <c r="P237" s="639" t="s">
        <v>2189</v>
      </c>
      <c r="Q237" s="571" t="s">
        <v>1313</v>
      </c>
      <c r="R237" s="571" t="s">
        <v>1380</v>
      </c>
      <c r="S237" s="571" t="s">
        <v>1378</v>
      </c>
      <c r="T237" s="572" t="s">
        <v>1411</v>
      </c>
      <c r="U237" s="54">
        <v>23.0</v>
      </c>
      <c r="V237" s="54">
        <v>0.0</v>
      </c>
      <c r="W237" s="54">
        <v>40.0</v>
      </c>
      <c r="X237" s="54">
        <v>50.0</v>
      </c>
      <c r="Y237" s="54">
        <v>6.0</v>
      </c>
      <c r="Z237" s="54">
        <v>10.0</v>
      </c>
      <c r="AA237" s="74"/>
      <c r="AB237" s="74"/>
      <c r="AC237" s="54">
        <v>1545.0</v>
      </c>
      <c r="AD237" s="54">
        <v>2.0</v>
      </c>
      <c r="AE237" s="74"/>
      <c r="AF237" s="54">
        <v>50.0</v>
      </c>
      <c r="AG237" s="54">
        <v>7.0</v>
      </c>
      <c r="AH237" s="54">
        <v>18.0</v>
      </c>
      <c r="AI237" s="574">
        <f t="shared" si="12"/>
        <v>12.5</v>
      </c>
      <c r="AJ237" s="909">
        <v>0.0</v>
      </c>
      <c r="AK237" s="74"/>
      <c r="AL237" s="74"/>
      <c r="AM237" s="74"/>
      <c r="AN237" s="74"/>
      <c r="AO237" s="74"/>
      <c r="AP237" s="74"/>
      <c r="AQ237" s="74"/>
      <c r="AR237" s="74"/>
      <c r="AS237" s="575"/>
      <c r="AT237" s="68">
        <f t="shared" si="13"/>
        <v>196</v>
      </c>
      <c r="AU237" s="68">
        <f t="shared" si="14"/>
        <v>303</v>
      </c>
      <c r="AV237" s="581">
        <f t="shared" si="15"/>
        <v>249.5</v>
      </c>
      <c r="AW237" s="582">
        <f t="shared" si="276"/>
        <v>416</v>
      </c>
      <c r="AX237" s="582">
        <f t="shared" si="389"/>
        <v>367</v>
      </c>
      <c r="AY237" s="582">
        <f t="shared" si="390"/>
        <v>390</v>
      </c>
      <c r="AZ237" s="582">
        <f t="shared" si="391"/>
        <v>367</v>
      </c>
      <c r="BA237" s="582">
        <f t="shared" si="392"/>
        <v>312</v>
      </c>
      <c r="BB237" s="582">
        <f t="shared" si="393"/>
        <v>347</v>
      </c>
      <c r="BC237" s="582">
        <f t="shared" si="394"/>
        <v>367</v>
      </c>
      <c r="BD237" s="582">
        <f t="shared" si="395"/>
        <v>231</v>
      </c>
      <c r="BE237" s="582">
        <f t="shared" si="396"/>
        <v>284</v>
      </c>
      <c r="BF237" s="582">
        <f t="shared" si="397"/>
        <v>250</v>
      </c>
      <c r="BG237" s="582">
        <f t="shared" si="398"/>
        <v>297</v>
      </c>
      <c r="BH237" s="582">
        <f t="shared" si="284"/>
        <v>312</v>
      </c>
      <c r="BI237" s="582">
        <f t="shared" si="399"/>
        <v>284</v>
      </c>
      <c r="BJ237" s="582">
        <f t="shared" si="400"/>
        <v>284</v>
      </c>
      <c r="BK237" s="582">
        <f t="shared" si="401"/>
        <v>240</v>
      </c>
      <c r="BL237" s="582">
        <f t="shared" si="402"/>
        <v>260</v>
      </c>
      <c r="BM237" s="582">
        <f t="shared" si="445"/>
        <v>390</v>
      </c>
      <c r="BN237" s="74"/>
      <c r="BO237" s="74"/>
      <c r="BP237" s="602">
        <f t="shared" si="33"/>
        <v>390</v>
      </c>
      <c r="BQ237" s="54">
        <v>3.0</v>
      </c>
      <c r="BR237" s="54">
        <v>18.0</v>
      </c>
      <c r="BS237" s="54">
        <v>10.0</v>
      </c>
      <c r="BT237" s="74"/>
      <c r="BU237" s="54">
        <v>100.0</v>
      </c>
      <c r="BV237" s="83">
        <f t="shared" si="34"/>
        <v>10.5</v>
      </c>
      <c r="BW237" s="608">
        <f t="shared" si="35"/>
        <v>392.5</v>
      </c>
      <c r="BX237" s="582">
        <f t="shared" si="289"/>
        <v>654.2</v>
      </c>
      <c r="BY237" s="582">
        <f t="shared" si="404"/>
        <v>577.2</v>
      </c>
      <c r="BZ237" s="582">
        <f t="shared" si="405"/>
        <v>613.3</v>
      </c>
      <c r="CA237" s="582">
        <f t="shared" si="406"/>
        <v>577.2</v>
      </c>
      <c r="CB237" s="582">
        <f t="shared" si="407"/>
        <v>490.6</v>
      </c>
      <c r="CC237" s="582">
        <f t="shared" si="408"/>
        <v>577.2</v>
      </c>
      <c r="CD237" s="582">
        <f t="shared" si="409"/>
        <v>545.1</v>
      </c>
      <c r="CE237" s="664">
        <f t="shared" si="43"/>
        <v>19</v>
      </c>
      <c r="CF237" s="706">
        <f t="shared" si="248"/>
        <v>-36.4</v>
      </c>
      <c r="CG237" s="552">
        <f t="shared" si="295"/>
        <v>-36.4</v>
      </c>
      <c r="CH237" s="575" t="s">
        <v>1410</v>
      </c>
      <c r="CI237" s="582">
        <f t="shared" ref="CI237:DF237" si="450">FLOOR($AV237/(CI$3/25),1)</f>
        <v>249</v>
      </c>
      <c r="CJ237" s="582">
        <f t="shared" si="450"/>
        <v>259</v>
      </c>
      <c r="CK237" s="582">
        <f t="shared" si="450"/>
        <v>271</v>
      </c>
      <c r="CL237" s="582">
        <f t="shared" si="450"/>
        <v>283</v>
      </c>
      <c r="CM237" s="582">
        <f t="shared" si="450"/>
        <v>297</v>
      </c>
      <c r="CN237" s="582">
        <f t="shared" si="450"/>
        <v>311</v>
      </c>
      <c r="CO237" s="582">
        <f t="shared" si="450"/>
        <v>328</v>
      </c>
      <c r="CP237" s="582">
        <f t="shared" si="450"/>
        <v>346</v>
      </c>
      <c r="CQ237" s="582">
        <f t="shared" si="450"/>
        <v>366</v>
      </c>
      <c r="CR237" s="582">
        <f t="shared" si="450"/>
        <v>389</v>
      </c>
      <c r="CS237" s="582">
        <f t="shared" si="450"/>
        <v>415</v>
      </c>
      <c r="CT237" s="582">
        <f t="shared" si="450"/>
        <v>445</v>
      </c>
      <c r="CU237" s="582">
        <f t="shared" si="450"/>
        <v>479</v>
      </c>
      <c r="CV237" s="582">
        <f t="shared" si="450"/>
        <v>519</v>
      </c>
      <c r="CW237" s="582">
        <f t="shared" si="450"/>
        <v>567</v>
      </c>
      <c r="CX237" s="582">
        <f t="shared" si="450"/>
        <v>623</v>
      </c>
      <c r="CY237" s="582">
        <f t="shared" si="450"/>
        <v>693</v>
      </c>
      <c r="CZ237" s="582">
        <f t="shared" si="450"/>
        <v>779</v>
      </c>
      <c r="DA237" s="582">
        <f t="shared" si="450"/>
        <v>891</v>
      </c>
      <c r="DB237" s="582">
        <f t="shared" si="450"/>
        <v>1039</v>
      </c>
      <c r="DC237" s="582">
        <f t="shared" si="450"/>
        <v>1247</v>
      </c>
      <c r="DD237" s="582">
        <f t="shared" si="450"/>
        <v>1559</v>
      </c>
      <c r="DE237" s="582">
        <f t="shared" si="450"/>
        <v>2079</v>
      </c>
      <c r="DF237" s="602">
        <f t="shared" si="450"/>
        <v>3118</v>
      </c>
      <c r="DG237" s="575"/>
      <c r="DH237" s="575" t="str">
        <f t="shared" si="46"/>
        <v/>
      </c>
      <c r="DI237" s="74" t="str">
        <f t="shared" si="47"/>
        <v/>
      </c>
      <c r="DJ237" s="74" t="str">
        <f t="shared" si="48"/>
        <v/>
      </c>
      <c r="DK237" s="664">
        <f t="shared" si="49"/>
        <v>-4</v>
      </c>
      <c r="DL237" s="685">
        <v>12.0</v>
      </c>
      <c r="DM237" s="74"/>
      <c r="DN237" s="74"/>
      <c r="DO237" s="575"/>
      <c r="DP237" s="61" t="s">
        <v>2359</v>
      </c>
    </row>
    <row r="238">
      <c r="A238" s="552">
        <v>232.0</v>
      </c>
      <c r="B238" s="86">
        <v>90.0</v>
      </c>
      <c r="C238" s="54">
        <v>6.0</v>
      </c>
      <c r="D238" s="54">
        <v>14.0</v>
      </c>
      <c r="E238" s="74"/>
      <c r="F238" s="68" t="s">
        <v>1378</v>
      </c>
      <c r="G238" s="68">
        <f t="shared" si="269"/>
        <v>14</v>
      </c>
      <c r="H238" s="68">
        <f t="shared" si="383"/>
        <v>16</v>
      </c>
      <c r="I238" s="68">
        <f t="shared" si="384"/>
        <v>15</v>
      </c>
      <c r="J238" s="68">
        <f t="shared" si="385"/>
        <v>16</v>
      </c>
      <c r="K238" s="68">
        <f t="shared" si="386"/>
        <v>18</v>
      </c>
      <c r="L238" s="68">
        <f t="shared" si="387"/>
        <v>16</v>
      </c>
      <c r="M238" s="569">
        <f t="shared" si="388"/>
        <v>17</v>
      </c>
      <c r="N238" s="74" t="s">
        <v>1418</v>
      </c>
      <c r="O238" s="570" t="s">
        <v>2047</v>
      </c>
      <c r="P238" s="639" t="s">
        <v>2155</v>
      </c>
      <c r="Q238" s="571" t="s">
        <v>1313</v>
      </c>
      <c r="R238" s="571" t="s">
        <v>1380</v>
      </c>
      <c r="S238" s="571" t="s">
        <v>1378</v>
      </c>
      <c r="T238" s="572" t="s">
        <v>1419</v>
      </c>
      <c r="U238" s="54">
        <v>27.0</v>
      </c>
      <c r="V238" s="54">
        <v>0.0</v>
      </c>
      <c r="W238" s="54">
        <v>35.0</v>
      </c>
      <c r="X238" s="54">
        <v>55.0</v>
      </c>
      <c r="Y238" s="54">
        <v>5.0</v>
      </c>
      <c r="Z238" s="54">
        <v>0.0</v>
      </c>
      <c r="AA238" s="74"/>
      <c r="AB238" s="74"/>
      <c r="AC238" s="54">
        <v>2500.0</v>
      </c>
      <c r="AD238" s="54">
        <v>2.0</v>
      </c>
      <c r="AE238" s="74"/>
      <c r="AF238" s="54">
        <v>50.0</v>
      </c>
      <c r="AG238" s="54">
        <v>6.0</v>
      </c>
      <c r="AH238" s="54">
        <v>14.0</v>
      </c>
      <c r="AI238" s="574">
        <f t="shared" si="12"/>
        <v>10</v>
      </c>
      <c r="AJ238" s="909">
        <v>0.0</v>
      </c>
      <c r="AK238" s="74"/>
      <c r="AL238" s="74"/>
      <c r="AM238" s="74"/>
      <c r="AN238" s="74"/>
      <c r="AO238" s="74"/>
      <c r="AP238" s="74"/>
      <c r="AQ238" s="74"/>
      <c r="AR238" s="74"/>
      <c r="AS238" s="575"/>
      <c r="AT238" s="68">
        <f t="shared" si="13"/>
        <v>188</v>
      </c>
      <c r="AU238" s="68">
        <f t="shared" si="14"/>
        <v>263</v>
      </c>
      <c r="AV238" s="581">
        <f t="shared" si="15"/>
        <v>225.5</v>
      </c>
      <c r="AW238" s="582">
        <f t="shared" si="276"/>
        <v>434</v>
      </c>
      <c r="AX238" s="582">
        <f t="shared" si="389"/>
        <v>376</v>
      </c>
      <c r="AY238" s="582">
        <f t="shared" si="390"/>
        <v>403</v>
      </c>
      <c r="AZ238" s="582">
        <f t="shared" si="391"/>
        <v>376</v>
      </c>
      <c r="BA238" s="582">
        <f t="shared" si="392"/>
        <v>332</v>
      </c>
      <c r="BB238" s="582">
        <f t="shared" si="393"/>
        <v>352</v>
      </c>
      <c r="BC238" s="582">
        <f t="shared" si="394"/>
        <v>376</v>
      </c>
      <c r="BD238" s="582">
        <f t="shared" si="395"/>
        <v>245</v>
      </c>
      <c r="BE238" s="582">
        <f t="shared" si="396"/>
        <v>297</v>
      </c>
      <c r="BF238" s="582">
        <f t="shared" si="397"/>
        <v>268</v>
      </c>
      <c r="BG238" s="582">
        <f t="shared" si="398"/>
        <v>313</v>
      </c>
      <c r="BH238" s="582">
        <f t="shared" si="284"/>
        <v>352</v>
      </c>
      <c r="BI238" s="582">
        <f t="shared" si="399"/>
        <v>297</v>
      </c>
      <c r="BJ238" s="582">
        <f t="shared" si="400"/>
        <v>297</v>
      </c>
      <c r="BK238" s="582">
        <f t="shared" si="401"/>
        <v>268</v>
      </c>
      <c r="BL238" s="582">
        <f t="shared" si="402"/>
        <v>282</v>
      </c>
      <c r="BM238" s="582">
        <f t="shared" si="445"/>
        <v>403</v>
      </c>
      <c r="BN238" s="74"/>
      <c r="BO238" s="74"/>
      <c r="BP238" s="602">
        <f t="shared" si="33"/>
        <v>403</v>
      </c>
      <c r="BQ238" s="54">
        <v>6.0</v>
      </c>
      <c r="BR238" s="54">
        <v>14.0</v>
      </c>
      <c r="BS238" s="74"/>
      <c r="BT238" s="74"/>
      <c r="BU238" s="54">
        <v>100.0</v>
      </c>
      <c r="BV238" s="83">
        <f t="shared" si="34"/>
        <v>10</v>
      </c>
      <c r="BW238" s="608">
        <f t="shared" si="35"/>
        <v>384.4</v>
      </c>
      <c r="BX238" s="582">
        <f t="shared" si="289"/>
        <v>739.2</v>
      </c>
      <c r="BY238" s="582">
        <f t="shared" si="404"/>
        <v>640.7</v>
      </c>
      <c r="BZ238" s="582">
        <f t="shared" si="405"/>
        <v>686.4</v>
      </c>
      <c r="CA238" s="582">
        <f t="shared" si="406"/>
        <v>640.7</v>
      </c>
      <c r="CB238" s="582">
        <f t="shared" si="407"/>
        <v>565.3</v>
      </c>
      <c r="CC238" s="582">
        <f t="shared" si="408"/>
        <v>640.7</v>
      </c>
      <c r="CD238" s="582">
        <f t="shared" si="409"/>
        <v>600.6</v>
      </c>
      <c r="CE238" s="623" t="str">
        <f t="shared" si="43"/>
        <v/>
      </c>
      <c r="CF238" s="706">
        <f t="shared" si="248"/>
        <v>-41.3</v>
      </c>
      <c r="CG238" s="552">
        <f t="shared" si="295"/>
        <v>-41.3</v>
      </c>
      <c r="CH238" s="575" t="s">
        <v>1418</v>
      </c>
      <c r="CI238" s="582">
        <f t="shared" ref="CI238:DF238" si="451">FLOOR($AV238/(CI$3/25),1)</f>
        <v>225</v>
      </c>
      <c r="CJ238" s="582">
        <f t="shared" si="451"/>
        <v>234</v>
      </c>
      <c r="CK238" s="582">
        <f t="shared" si="451"/>
        <v>245</v>
      </c>
      <c r="CL238" s="582">
        <f t="shared" si="451"/>
        <v>256</v>
      </c>
      <c r="CM238" s="582">
        <f t="shared" si="451"/>
        <v>268</v>
      </c>
      <c r="CN238" s="582">
        <f t="shared" si="451"/>
        <v>281</v>
      </c>
      <c r="CO238" s="582">
        <f t="shared" si="451"/>
        <v>296</v>
      </c>
      <c r="CP238" s="582">
        <f t="shared" si="451"/>
        <v>313</v>
      </c>
      <c r="CQ238" s="582">
        <f t="shared" si="451"/>
        <v>331</v>
      </c>
      <c r="CR238" s="582">
        <f t="shared" si="451"/>
        <v>352</v>
      </c>
      <c r="CS238" s="582">
        <f t="shared" si="451"/>
        <v>375</v>
      </c>
      <c r="CT238" s="582">
        <f t="shared" si="451"/>
        <v>402</v>
      </c>
      <c r="CU238" s="582">
        <f t="shared" si="451"/>
        <v>433</v>
      </c>
      <c r="CV238" s="582">
        <f t="shared" si="451"/>
        <v>469</v>
      </c>
      <c r="CW238" s="582">
        <f t="shared" si="451"/>
        <v>512</v>
      </c>
      <c r="CX238" s="582">
        <f t="shared" si="451"/>
        <v>563</v>
      </c>
      <c r="CY238" s="582">
        <f t="shared" si="451"/>
        <v>626</v>
      </c>
      <c r="CZ238" s="582">
        <f t="shared" si="451"/>
        <v>704</v>
      </c>
      <c r="DA238" s="582">
        <f t="shared" si="451"/>
        <v>805</v>
      </c>
      <c r="DB238" s="582">
        <f t="shared" si="451"/>
        <v>939</v>
      </c>
      <c r="DC238" s="582">
        <f t="shared" si="451"/>
        <v>1127</v>
      </c>
      <c r="DD238" s="582">
        <f t="shared" si="451"/>
        <v>1409</v>
      </c>
      <c r="DE238" s="582">
        <f t="shared" si="451"/>
        <v>1879</v>
      </c>
      <c r="DF238" s="602">
        <f t="shared" si="451"/>
        <v>2818</v>
      </c>
      <c r="DG238" s="575"/>
      <c r="DH238" s="575" t="str">
        <f t="shared" si="46"/>
        <v/>
      </c>
      <c r="DI238" s="74" t="str">
        <f t="shared" si="47"/>
        <v/>
      </c>
      <c r="DJ238" s="74" t="str">
        <f t="shared" si="48"/>
        <v/>
      </c>
      <c r="DK238" s="664">
        <f t="shared" si="49"/>
        <v>10</v>
      </c>
      <c r="DL238" s="685">
        <v>11.0</v>
      </c>
      <c r="DM238" s="74"/>
      <c r="DN238" s="74"/>
      <c r="DO238" s="575"/>
      <c r="DP238" s="61" t="s">
        <v>2359</v>
      </c>
    </row>
    <row r="239">
      <c r="A239" s="647">
        <v>233.0</v>
      </c>
      <c r="B239" s="141">
        <v>91.0</v>
      </c>
      <c r="C239" s="129">
        <v>3.0</v>
      </c>
      <c r="D239" s="129">
        <v>23.0</v>
      </c>
      <c r="E239" s="134"/>
      <c r="F239" s="154" t="s">
        <v>1378</v>
      </c>
      <c r="G239" s="154">
        <f t="shared" si="269"/>
        <v>14</v>
      </c>
      <c r="H239" s="154">
        <f t="shared" si="383"/>
        <v>16</v>
      </c>
      <c r="I239" s="154">
        <f t="shared" si="384"/>
        <v>15</v>
      </c>
      <c r="J239" s="154">
        <f t="shared" si="385"/>
        <v>16</v>
      </c>
      <c r="K239" s="154">
        <f t="shared" si="386"/>
        <v>18</v>
      </c>
      <c r="L239" s="154">
        <f t="shared" si="387"/>
        <v>16</v>
      </c>
      <c r="M239" s="648">
        <f t="shared" si="388"/>
        <v>17</v>
      </c>
      <c r="N239" s="134" t="s">
        <v>1424</v>
      </c>
      <c r="O239" s="649" t="s">
        <v>2048</v>
      </c>
      <c r="P239" s="650"/>
      <c r="Q239" s="650" t="s">
        <v>1313</v>
      </c>
      <c r="R239" s="650" t="s">
        <v>1380</v>
      </c>
      <c r="S239" s="650" t="s">
        <v>1378</v>
      </c>
      <c r="T239" s="651" t="s">
        <v>1425</v>
      </c>
      <c r="U239" s="129">
        <v>31.0</v>
      </c>
      <c r="V239" s="129">
        <v>0.0</v>
      </c>
      <c r="W239" s="129">
        <v>50.0</v>
      </c>
      <c r="X239" s="129">
        <v>65.0</v>
      </c>
      <c r="Y239" s="129">
        <v>6.0</v>
      </c>
      <c r="Z239" s="129">
        <v>10.0</v>
      </c>
      <c r="AA239" s="134"/>
      <c r="AB239" s="134"/>
      <c r="AC239" s="129">
        <v>3575.0</v>
      </c>
      <c r="AD239" s="129">
        <v>2.0</v>
      </c>
      <c r="AE239" s="134"/>
      <c r="AF239" s="129">
        <v>50.0</v>
      </c>
      <c r="AG239" s="129">
        <v>3.0</v>
      </c>
      <c r="AH239" s="129">
        <v>23.0</v>
      </c>
      <c r="AI239" s="652">
        <f t="shared" si="12"/>
        <v>13</v>
      </c>
      <c r="AJ239" s="910">
        <v>0.0</v>
      </c>
      <c r="AK239" s="134"/>
      <c r="AL239" s="134"/>
      <c r="AM239" s="134"/>
      <c r="AN239" s="134"/>
      <c r="AO239" s="134"/>
      <c r="AP239" s="134"/>
      <c r="AQ239" s="134"/>
      <c r="AR239" s="134"/>
      <c r="AS239" s="653"/>
      <c r="AT239" s="154">
        <f t="shared" si="13"/>
        <v>158</v>
      </c>
      <c r="AU239" s="154">
        <f t="shared" si="14"/>
        <v>350</v>
      </c>
      <c r="AV239" s="654">
        <f t="shared" si="15"/>
        <v>254</v>
      </c>
      <c r="AW239" s="655">
        <f t="shared" si="276"/>
        <v>423</v>
      </c>
      <c r="AX239" s="655">
        <f t="shared" si="389"/>
        <v>374</v>
      </c>
      <c r="AY239" s="655">
        <f t="shared" si="390"/>
        <v>397</v>
      </c>
      <c r="AZ239" s="655">
        <f t="shared" si="391"/>
        <v>374</v>
      </c>
      <c r="BA239" s="655">
        <f t="shared" si="392"/>
        <v>318</v>
      </c>
      <c r="BB239" s="655">
        <f t="shared" si="393"/>
        <v>353</v>
      </c>
      <c r="BC239" s="655">
        <f t="shared" si="394"/>
        <v>374</v>
      </c>
      <c r="BD239" s="655">
        <f t="shared" si="395"/>
        <v>235</v>
      </c>
      <c r="BE239" s="655">
        <f t="shared" si="396"/>
        <v>289</v>
      </c>
      <c r="BF239" s="655">
        <f t="shared" si="397"/>
        <v>254</v>
      </c>
      <c r="BG239" s="655">
        <f t="shared" si="398"/>
        <v>302</v>
      </c>
      <c r="BH239" s="655">
        <f t="shared" si="284"/>
        <v>318</v>
      </c>
      <c r="BI239" s="655">
        <f t="shared" si="399"/>
        <v>289</v>
      </c>
      <c r="BJ239" s="655">
        <f t="shared" si="400"/>
        <v>289</v>
      </c>
      <c r="BK239" s="655">
        <f t="shared" si="401"/>
        <v>244</v>
      </c>
      <c r="BL239" s="655">
        <f t="shared" si="402"/>
        <v>265</v>
      </c>
      <c r="BM239" s="655">
        <f t="shared" si="445"/>
        <v>397</v>
      </c>
      <c r="BN239" s="134"/>
      <c r="BO239" s="134"/>
      <c r="BP239" s="656">
        <f t="shared" si="33"/>
        <v>397</v>
      </c>
      <c r="BQ239" s="129">
        <v>3.0</v>
      </c>
      <c r="BR239" s="129">
        <v>23.0</v>
      </c>
      <c r="BS239" s="129">
        <v>10.0</v>
      </c>
      <c r="BT239" s="134"/>
      <c r="BU239" s="129">
        <v>100.0</v>
      </c>
      <c r="BV239" s="135">
        <f t="shared" si="34"/>
        <v>13</v>
      </c>
      <c r="BW239" s="657">
        <f t="shared" si="35"/>
        <v>432.9</v>
      </c>
      <c r="BX239" s="655">
        <f t="shared" si="289"/>
        <v>721.5</v>
      </c>
      <c r="BY239" s="655">
        <f t="shared" si="404"/>
        <v>636.6</v>
      </c>
      <c r="BZ239" s="655">
        <f t="shared" si="405"/>
        <v>676.4</v>
      </c>
      <c r="CA239" s="655">
        <f t="shared" si="406"/>
        <v>636.6</v>
      </c>
      <c r="CB239" s="655">
        <f t="shared" si="407"/>
        <v>541.1</v>
      </c>
      <c r="CC239" s="655">
        <f t="shared" si="408"/>
        <v>636.6</v>
      </c>
      <c r="CD239" s="655">
        <f t="shared" si="409"/>
        <v>601.3</v>
      </c>
      <c r="CE239" s="662" t="str">
        <f t="shared" si="43"/>
        <v/>
      </c>
      <c r="CF239" s="712">
        <f t="shared" si="248"/>
        <v>-41.3</v>
      </c>
      <c r="CG239" s="647">
        <f t="shared" si="295"/>
        <v>-41.4</v>
      </c>
      <c r="CH239" s="653" t="s">
        <v>1424</v>
      </c>
      <c r="CI239" s="655">
        <f t="shared" ref="CI239:DF239" si="452">FLOOR($AV239/(CI$3/25),1)</f>
        <v>254</v>
      </c>
      <c r="CJ239" s="655">
        <f t="shared" si="452"/>
        <v>264</v>
      </c>
      <c r="CK239" s="655">
        <f t="shared" si="452"/>
        <v>276</v>
      </c>
      <c r="CL239" s="655">
        <f t="shared" si="452"/>
        <v>288</v>
      </c>
      <c r="CM239" s="655">
        <f t="shared" si="452"/>
        <v>302</v>
      </c>
      <c r="CN239" s="655">
        <f t="shared" si="452"/>
        <v>317</v>
      </c>
      <c r="CO239" s="655">
        <f t="shared" si="452"/>
        <v>334</v>
      </c>
      <c r="CP239" s="655">
        <f t="shared" si="452"/>
        <v>352</v>
      </c>
      <c r="CQ239" s="655">
        <f t="shared" si="452"/>
        <v>373</v>
      </c>
      <c r="CR239" s="655">
        <f t="shared" si="452"/>
        <v>396</v>
      </c>
      <c r="CS239" s="655">
        <f t="shared" si="452"/>
        <v>423</v>
      </c>
      <c r="CT239" s="655">
        <f t="shared" si="452"/>
        <v>453</v>
      </c>
      <c r="CU239" s="655">
        <f t="shared" si="452"/>
        <v>488</v>
      </c>
      <c r="CV239" s="655">
        <f t="shared" si="452"/>
        <v>529</v>
      </c>
      <c r="CW239" s="655">
        <f t="shared" si="452"/>
        <v>577</v>
      </c>
      <c r="CX239" s="655">
        <f t="shared" si="452"/>
        <v>635</v>
      </c>
      <c r="CY239" s="655">
        <f t="shared" si="452"/>
        <v>705</v>
      </c>
      <c r="CZ239" s="655">
        <f t="shared" si="452"/>
        <v>793</v>
      </c>
      <c r="DA239" s="655">
        <f t="shared" si="452"/>
        <v>907</v>
      </c>
      <c r="DB239" s="655">
        <f t="shared" si="452"/>
        <v>1058</v>
      </c>
      <c r="DC239" s="655">
        <f t="shared" si="452"/>
        <v>1270</v>
      </c>
      <c r="DD239" s="655">
        <f t="shared" si="452"/>
        <v>1587</v>
      </c>
      <c r="DE239" s="655">
        <f t="shared" si="452"/>
        <v>2116</v>
      </c>
      <c r="DF239" s="656">
        <f t="shared" si="452"/>
        <v>3175</v>
      </c>
      <c r="DG239" s="653"/>
      <c r="DH239" s="653" t="str">
        <f t="shared" si="46"/>
        <v/>
      </c>
      <c r="DI239" s="134" t="str">
        <f t="shared" si="47"/>
        <v/>
      </c>
      <c r="DJ239" s="134" t="str">
        <f t="shared" si="48"/>
        <v/>
      </c>
      <c r="DK239" s="659">
        <f t="shared" si="49"/>
        <v>7.7</v>
      </c>
      <c r="DL239" s="903">
        <v>14.0</v>
      </c>
      <c r="DM239" s="134"/>
      <c r="DN239" s="134"/>
      <c r="DO239" s="653"/>
      <c r="DP239" s="872" t="s">
        <v>2359</v>
      </c>
    </row>
    <row r="240">
      <c r="A240" s="552">
        <v>234.0</v>
      </c>
      <c r="B240" s="86">
        <v>192.0</v>
      </c>
      <c r="C240" s="54">
        <v>8.0</v>
      </c>
      <c r="D240" s="54">
        <v>24.0</v>
      </c>
      <c r="E240" s="74"/>
      <c r="F240" s="68" t="s">
        <v>1378</v>
      </c>
      <c r="G240" s="68">
        <f t="shared" si="269"/>
        <v>14</v>
      </c>
      <c r="H240" s="68">
        <f t="shared" si="383"/>
        <v>16</v>
      </c>
      <c r="I240" s="68">
        <f t="shared" si="384"/>
        <v>15</v>
      </c>
      <c r="J240" s="68">
        <f t="shared" si="385"/>
        <v>16</v>
      </c>
      <c r="K240" s="68">
        <f t="shared" si="386"/>
        <v>18</v>
      </c>
      <c r="L240" s="68">
        <f t="shared" si="387"/>
        <v>16</v>
      </c>
      <c r="M240" s="569">
        <f t="shared" si="388"/>
        <v>17</v>
      </c>
      <c r="N240" s="74" t="s">
        <v>1372</v>
      </c>
      <c r="O240" s="570" t="s">
        <v>2049</v>
      </c>
      <c r="P240" s="571"/>
      <c r="Q240" s="571" t="s">
        <v>1670</v>
      </c>
      <c r="R240" s="571" t="s">
        <v>1380</v>
      </c>
      <c r="S240" s="571" t="s">
        <v>1378</v>
      </c>
      <c r="T240" s="572" t="s">
        <v>1373</v>
      </c>
      <c r="U240" s="54">
        <v>30.0</v>
      </c>
      <c r="V240" s="54">
        <v>18.0</v>
      </c>
      <c r="W240" s="54">
        <v>25.0</v>
      </c>
      <c r="X240" s="54">
        <v>43.0</v>
      </c>
      <c r="Y240" s="54">
        <v>4.0</v>
      </c>
      <c r="Z240" s="54">
        <v>5.0</v>
      </c>
      <c r="AA240" s="74"/>
      <c r="AB240" s="74"/>
      <c r="AC240" s="54">
        <v>600.0</v>
      </c>
      <c r="AD240" s="54">
        <v>2.0</v>
      </c>
      <c r="AE240" s="74"/>
      <c r="AF240" s="54">
        <v>50.0</v>
      </c>
      <c r="AG240" s="54">
        <v>8.0</v>
      </c>
      <c r="AH240" s="54">
        <v>25.0</v>
      </c>
      <c r="AI240" s="574">
        <f t="shared" si="12"/>
        <v>16.5</v>
      </c>
      <c r="AJ240" s="909">
        <v>0.0</v>
      </c>
      <c r="AK240" s="74"/>
      <c r="AL240" s="74"/>
      <c r="AM240" s="74"/>
      <c r="AN240" s="74"/>
      <c r="AO240" s="74"/>
      <c r="AP240" s="74"/>
      <c r="AQ240" s="74"/>
      <c r="AR240" s="74"/>
      <c r="AS240" s="575"/>
      <c r="AT240" s="68">
        <f t="shared" si="13"/>
        <v>207</v>
      </c>
      <c r="AU240" s="68">
        <f t="shared" si="14"/>
        <v>371</v>
      </c>
      <c r="AV240" s="581">
        <f t="shared" si="15"/>
        <v>289</v>
      </c>
      <c r="AW240" s="582">
        <f t="shared" si="276"/>
        <v>516</v>
      </c>
      <c r="AX240" s="582">
        <f t="shared" si="389"/>
        <v>452</v>
      </c>
      <c r="AY240" s="582">
        <f t="shared" si="390"/>
        <v>482</v>
      </c>
      <c r="AZ240" s="582">
        <f t="shared" si="391"/>
        <v>452</v>
      </c>
      <c r="BA240" s="582">
        <f t="shared" si="392"/>
        <v>401</v>
      </c>
      <c r="BB240" s="582">
        <f t="shared" si="393"/>
        <v>425</v>
      </c>
      <c r="BC240" s="582">
        <f t="shared" si="394"/>
        <v>452</v>
      </c>
      <c r="BD240" s="582">
        <f t="shared" si="395"/>
        <v>301</v>
      </c>
      <c r="BE240" s="582">
        <f t="shared" si="396"/>
        <v>361</v>
      </c>
      <c r="BF240" s="582">
        <f t="shared" si="397"/>
        <v>328</v>
      </c>
      <c r="BG240" s="582">
        <f t="shared" si="398"/>
        <v>380</v>
      </c>
      <c r="BH240" s="582">
        <f t="shared" si="284"/>
        <v>425</v>
      </c>
      <c r="BI240" s="582">
        <f t="shared" si="399"/>
        <v>361</v>
      </c>
      <c r="BJ240" s="582">
        <f t="shared" si="400"/>
        <v>361</v>
      </c>
      <c r="BK240" s="582">
        <f t="shared" si="401"/>
        <v>328</v>
      </c>
      <c r="BL240" s="582">
        <f t="shared" si="402"/>
        <v>344</v>
      </c>
      <c r="BM240" s="582">
        <f t="shared" si="445"/>
        <v>482</v>
      </c>
      <c r="BN240" s="74"/>
      <c r="BO240" s="74"/>
      <c r="BP240" s="602">
        <f t="shared" si="33"/>
        <v>482</v>
      </c>
      <c r="BQ240" s="54">
        <v>6.0</v>
      </c>
      <c r="BR240" s="54">
        <v>19.0</v>
      </c>
      <c r="BS240" s="54">
        <v>5.0</v>
      </c>
      <c r="BT240" s="74"/>
      <c r="BU240" s="54">
        <v>100.0</v>
      </c>
      <c r="BV240" s="83">
        <f t="shared" si="34"/>
        <v>12.5</v>
      </c>
      <c r="BW240" s="608">
        <f t="shared" si="35"/>
        <v>424.8</v>
      </c>
      <c r="BX240" s="582">
        <f t="shared" si="289"/>
        <v>758.6</v>
      </c>
      <c r="BY240" s="582">
        <f t="shared" si="404"/>
        <v>663.8</v>
      </c>
      <c r="BZ240" s="582">
        <f t="shared" si="405"/>
        <v>708</v>
      </c>
      <c r="CA240" s="582">
        <f t="shared" si="406"/>
        <v>663.8</v>
      </c>
      <c r="CB240" s="582">
        <f t="shared" si="407"/>
        <v>590</v>
      </c>
      <c r="CC240" s="582">
        <f t="shared" si="408"/>
        <v>663.8</v>
      </c>
      <c r="CD240" s="582">
        <f t="shared" si="409"/>
        <v>624.7</v>
      </c>
      <c r="CE240" s="664">
        <f t="shared" si="43"/>
        <v>32</v>
      </c>
      <c r="CF240" s="706">
        <f t="shared" si="248"/>
        <v>-32</v>
      </c>
      <c r="CG240" s="552">
        <f t="shared" si="295"/>
        <v>-32</v>
      </c>
      <c r="CH240" s="575" t="s">
        <v>1372</v>
      </c>
      <c r="CI240" s="582">
        <f t="shared" ref="CI240:DF240" si="453">FLOOR($AV240/(CI$3/25),1)</f>
        <v>289</v>
      </c>
      <c r="CJ240" s="582">
        <f t="shared" si="453"/>
        <v>301</v>
      </c>
      <c r="CK240" s="582">
        <f t="shared" si="453"/>
        <v>314</v>
      </c>
      <c r="CL240" s="582">
        <f t="shared" si="453"/>
        <v>328</v>
      </c>
      <c r="CM240" s="582">
        <f t="shared" si="453"/>
        <v>344</v>
      </c>
      <c r="CN240" s="582">
        <f t="shared" si="453"/>
        <v>361</v>
      </c>
      <c r="CO240" s="582">
        <f t="shared" si="453"/>
        <v>380</v>
      </c>
      <c r="CP240" s="582">
        <f t="shared" si="453"/>
        <v>401</v>
      </c>
      <c r="CQ240" s="582">
        <f t="shared" si="453"/>
        <v>425</v>
      </c>
      <c r="CR240" s="582">
        <f t="shared" si="453"/>
        <v>451</v>
      </c>
      <c r="CS240" s="582">
        <f t="shared" si="453"/>
        <v>481</v>
      </c>
      <c r="CT240" s="582">
        <f t="shared" si="453"/>
        <v>516</v>
      </c>
      <c r="CU240" s="582">
        <f t="shared" si="453"/>
        <v>555</v>
      </c>
      <c r="CV240" s="582">
        <f t="shared" si="453"/>
        <v>602</v>
      </c>
      <c r="CW240" s="582">
        <f t="shared" si="453"/>
        <v>656</v>
      </c>
      <c r="CX240" s="582">
        <f t="shared" si="453"/>
        <v>722</v>
      </c>
      <c r="CY240" s="582">
        <f t="shared" si="453"/>
        <v>802</v>
      </c>
      <c r="CZ240" s="582">
        <f t="shared" si="453"/>
        <v>903</v>
      </c>
      <c r="DA240" s="582">
        <f t="shared" si="453"/>
        <v>1032</v>
      </c>
      <c r="DB240" s="582">
        <f t="shared" si="453"/>
        <v>1204</v>
      </c>
      <c r="DC240" s="582">
        <f t="shared" si="453"/>
        <v>1445</v>
      </c>
      <c r="DD240" s="582">
        <f t="shared" si="453"/>
        <v>1806</v>
      </c>
      <c r="DE240" s="582">
        <f t="shared" si="453"/>
        <v>2408</v>
      </c>
      <c r="DF240" s="602">
        <f t="shared" si="453"/>
        <v>3612</v>
      </c>
      <c r="DG240" s="575"/>
      <c r="DH240" s="575" t="str">
        <f t="shared" si="46"/>
        <v/>
      </c>
      <c r="DI240" s="74" t="str">
        <f t="shared" si="47"/>
        <v/>
      </c>
      <c r="DJ240" s="74" t="str">
        <f t="shared" si="48"/>
        <v/>
      </c>
      <c r="DK240" s="623" t="str">
        <f t="shared" si="49"/>
        <v/>
      </c>
      <c r="DL240" s="74"/>
      <c r="DM240" s="74"/>
      <c r="DN240" s="582">
        <f t="shared" ref="DN240:DN255" si="455">IF(ISBLANK(DL240),ROUND(AI240/IF(ISBLANK(DL232),AI232,DL232),1),ROUND(DL240/IF(ISBLANK(DL232),AI232,DL232),1))</f>
        <v>6.6</v>
      </c>
      <c r="DO240" s="575"/>
      <c r="DP240" s="61" t="s">
        <v>2359</v>
      </c>
    </row>
    <row r="241">
      <c r="A241" s="552">
        <v>235.0</v>
      </c>
      <c r="B241" s="86">
        <v>193.0</v>
      </c>
      <c r="C241" s="54">
        <v>10.0</v>
      </c>
      <c r="D241" s="54">
        <v>28.0</v>
      </c>
      <c r="E241" s="74"/>
      <c r="F241" s="68" t="s">
        <v>1378</v>
      </c>
      <c r="G241" s="68">
        <f t="shared" si="269"/>
        <v>14</v>
      </c>
      <c r="H241" s="68">
        <f t="shared" si="383"/>
        <v>16</v>
      </c>
      <c r="I241" s="68">
        <f t="shared" si="384"/>
        <v>15</v>
      </c>
      <c r="J241" s="68">
        <f t="shared" si="385"/>
        <v>16</v>
      </c>
      <c r="K241" s="68">
        <f t="shared" si="386"/>
        <v>18</v>
      </c>
      <c r="L241" s="68">
        <f t="shared" si="387"/>
        <v>16</v>
      </c>
      <c r="M241" s="569">
        <f t="shared" si="388"/>
        <v>17</v>
      </c>
      <c r="N241" s="74" t="s">
        <v>1383</v>
      </c>
      <c r="O241" s="570" t="s">
        <v>2050</v>
      </c>
      <c r="P241" s="571"/>
      <c r="Q241" s="571" t="s">
        <v>1670</v>
      </c>
      <c r="R241" s="571" t="s">
        <v>1380</v>
      </c>
      <c r="S241" s="571" t="s">
        <v>1378</v>
      </c>
      <c r="T241" s="572" t="s">
        <v>1384</v>
      </c>
      <c r="U241" s="54">
        <v>33.0</v>
      </c>
      <c r="V241" s="54">
        <v>21.0</v>
      </c>
      <c r="W241" s="54">
        <v>25.0</v>
      </c>
      <c r="X241" s="54">
        <v>62.0</v>
      </c>
      <c r="Y241" s="54">
        <v>4.0</v>
      </c>
      <c r="Z241" s="54">
        <v>-10.0</v>
      </c>
      <c r="AA241" s="74"/>
      <c r="AB241" s="74"/>
      <c r="AC241" s="54">
        <v>1350.0</v>
      </c>
      <c r="AD241" s="54">
        <v>2.0</v>
      </c>
      <c r="AE241" s="74"/>
      <c r="AF241" s="54">
        <v>50.0</v>
      </c>
      <c r="AG241" s="54">
        <v>11.0</v>
      </c>
      <c r="AH241" s="54">
        <v>29.0</v>
      </c>
      <c r="AI241" s="574">
        <f t="shared" si="12"/>
        <v>20</v>
      </c>
      <c r="AJ241" s="909">
        <v>0.0</v>
      </c>
      <c r="AK241" s="74"/>
      <c r="AL241" s="74"/>
      <c r="AM241" s="74"/>
      <c r="AN241" s="74"/>
      <c r="AO241" s="74"/>
      <c r="AP241" s="74"/>
      <c r="AQ241" s="74"/>
      <c r="AR241" s="74"/>
      <c r="AS241" s="575"/>
      <c r="AT241" s="68">
        <f t="shared" si="13"/>
        <v>236</v>
      </c>
      <c r="AU241" s="68">
        <f t="shared" si="14"/>
        <v>408</v>
      </c>
      <c r="AV241" s="581">
        <f t="shared" si="15"/>
        <v>322</v>
      </c>
      <c r="AW241" s="582">
        <f t="shared" si="276"/>
        <v>671</v>
      </c>
      <c r="AX241" s="582">
        <f t="shared" si="389"/>
        <v>575</v>
      </c>
      <c r="AY241" s="582">
        <f t="shared" si="390"/>
        <v>619</v>
      </c>
      <c r="AZ241" s="582">
        <f t="shared" si="391"/>
        <v>575</v>
      </c>
      <c r="BA241" s="582">
        <f t="shared" si="392"/>
        <v>503</v>
      </c>
      <c r="BB241" s="582">
        <f t="shared" si="393"/>
        <v>537</v>
      </c>
      <c r="BC241" s="582">
        <f t="shared" si="394"/>
        <v>575</v>
      </c>
      <c r="BD241" s="582">
        <f t="shared" si="395"/>
        <v>447</v>
      </c>
      <c r="BE241" s="582">
        <f t="shared" si="396"/>
        <v>537</v>
      </c>
      <c r="BF241" s="582">
        <f t="shared" si="397"/>
        <v>474</v>
      </c>
      <c r="BG241" s="582">
        <f t="shared" si="398"/>
        <v>575</v>
      </c>
      <c r="BH241" s="582">
        <f t="shared" si="284"/>
        <v>619</v>
      </c>
      <c r="BI241" s="582">
        <f t="shared" si="399"/>
        <v>537</v>
      </c>
      <c r="BJ241" s="582">
        <f t="shared" si="400"/>
        <v>537</v>
      </c>
      <c r="BK241" s="582">
        <f t="shared" si="401"/>
        <v>474</v>
      </c>
      <c r="BL241" s="582">
        <f t="shared" si="402"/>
        <v>503</v>
      </c>
      <c r="BM241" s="582">
        <f t="shared" si="445"/>
        <v>619</v>
      </c>
      <c r="BN241" s="74"/>
      <c r="BO241" s="74"/>
      <c r="BP241" s="602">
        <f t="shared" si="33"/>
        <v>619</v>
      </c>
      <c r="BQ241" s="54">
        <v>8.0</v>
      </c>
      <c r="BR241" s="54">
        <v>22.0</v>
      </c>
      <c r="BS241" s="54">
        <v>-10.0</v>
      </c>
      <c r="BT241" s="74"/>
      <c r="BU241" s="54">
        <v>100.0</v>
      </c>
      <c r="BV241" s="83">
        <f t="shared" si="34"/>
        <v>15</v>
      </c>
      <c r="BW241" s="608">
        <f t="shared" si="35"/>
        <v>465.2</v>
      </c>
      <c r="BX241" s="582">
        <f t="shared" si="289"/>
        <v>969.2</v>
      </c>
      <c r="BY241" s="582">
        <f t="shared" si="404"/>
        <v>830.7</v>
      </c>
      <c r="BZ241" s="582">
        <f t="shared" si="405"/>
        <v>894.6</v>
      </c>
      <c r="CA241" s="582">
        <f t="shared" si="406"/>
        <v>830.7</v>
      </c>
      <c r="CB241" s="582">
        <f t="shared" si="407"/>
        <v>726.9</v>
      </c>
      <c r="CC241" s="582">
        <f t="shared" si="408"/>
        <v>830.7</v>
      </c>
      <c r="CD241" s="582">
        <f t="shared" si="409"/>
        <v>775.3</v>
      </c>
      <c r="CE241" s="664">
        <f t="shared" si="43"/>
        <v>33.3</v>
      </c>
      <c r="CF241" s="706">
        <f t="shared" si="248"/>
        <v>-30.8</v>
      </c>
      <c r="CG241" s="552">
        <f t="shared" si="295"/>
        <v>-30.8</v>
      </c>
      <c r="CH241" s="575" t="s">
        <v>1383</v>
      </c>
      <c r="CI241" s="582">
        <f t="shared" ref="CI241:DF241" si="454">FLOOR($AV241/(CI$3/25),1)</f>
        <v>322</v>
      </c>
      <c r="CJ241" s="582">
        <f t="shared" si="454"/>
        <v>335</v>
      </c>
      <c r="CK241" s="582">
        <f t="shared" si="454"/>
        <v>350</v>
      </c>
      <c r="CL241" s="582">
        <f t="shared" si="454"/>
        <v>365</v>
      </c>
      <c r="CM241" s="582">
        <f t="shared" si="454"/>
        <v>383</v>
      </c>
      <c r="CN241" s="582">
        <f t="shared" si="454"/>
        <v>402</v>
      </c>
      <c r="CO241" s="582">
        <f t="shared" si="454"/>
        <v>423</v>
      </c>
      <c r="CP241" s="582">
        <f t="shared" si="454"/>
        <v>447</v>
      </c>
      <c r="CQ241" s="582">
        <f t="shared" si="454"/>
        <v>473</v>
      </c>
      <c r="CR241" s="582">
        <f t="shared" si="454"/>
        <v>503</v>
      </c>
      <c r="CS241" s="582">
        <f t="shared" si="454"/>
        <v>536</v>
      </c>
      <c r="CT241" s="582">
        <f t="shared" si="454"/>
        <v>575</v>
      </c>
      <c r="CU241" s="582">
        <f t="shared" si="454"/>
        <v>619</v>
      </c>
      <c r="CV241" s="582">
        <f t="shared" si="454"/>
        <v>670</v>
      </c>
      <c r="CW241" s="582">
        <f t="shared" si="454"/>
        <v>731</v>
      </c>
      <c r="CX241" s="582">
        <f t="shared" si="454"/>
        <v>805</v>
      </c>
      <c r="CY241" s="582">
        <f t="shared" si="454"/>
        <v>894</v>
      </c>
      <c r="CZ241" s="582">
        <f t="shared" si="454"/>
        <v>1006</v>
      </c>
      <c r="DA241" s="582">
        <f t="shared" si="454"/>
        <v>1150</v>
      </c>
      <c r="DB241" s="582">
        <f t="shared" si="454"/>
        <v>1341</v>
      </c>
      <c r="DC241" s="582">
        <f t="shared" si="454"/>
        <v>1610</v>
      </c>
      <c r="DD241" s="582">
        <f t="shared" si="454"/>
        <v>2012</v>
      </c>
      <c r="DE241" s="582">
        <f t="shared" si="454"/>
        <v>2683</v>
      </c>
      <c r="DF241" s="602">
        <f t="shared" si="454"/>
        <v>4025</v>
      </c>
      <c r="DG241" s="575"/>
      <c r="DH241" s="575" t="str">
        <f t="shared" si="46"/>
        <v/>
      </c>
      <c r="DI241" s="74" t="str">
        <f t="shared" si="47"/>
        <v/>
      </c>
      <c r="DJ241" s="74" t="str">
        <f t="shared" si="48"/>
        <v/>
      </c>
      <c r="DK241" s="623" t="str">
        <f t="shared" si="49"/>
        <v/>
      </c>
      <c r="DL241" s="74"/>
      <c r="DM241" s="74"/>
      <c r="DN241" s="582">
        <f t="shared" si="455"/>
        <v>4.4</v>
      </c>
      <c r="DO241" s="575"/>
      <c r="DP241" s="61" t="s">
        <v>2359</v>
      </c>
    </row>
    <row r="242">
      <c r="A242" s="552">
        <v>236.0</v>
      </c>
      <c r="B242" s="86">
        <v>194.0</v>
      </c>
      <c r="C242" s="54">
        <v>12.0</v>
      </c>
      <c r="D242" s="54">
        <v>36.0</v>
      </c>
      <c r="E242" s="74"/>
      <c r="F242" s="68" t="s">
        <v>1378</v>
      </c>
      <c r="G242" s="68">
        <f t="shared" si="269"/>
        <v>14</v>
      </c>
      <c r="H242" s="68">
        <f t="shared" si="383"/>
        <v>16</v>
      </c>
      <c r="I242" s="68">
        <f t="shared" si="384"/>
        <v>15</v>
      </c>
      <c r="J242" s="68">
        <f t="shared" si="385"/>
        <v>16</v>
      </c>
      <c r="K242" s="68">
        <f t="shared" si="386"/>
        <v>18</v>
      </c>
      <c r="L242" s="68">
        <f t="shared" si="387"/>
        <v>16</v>
      </c>
      <c r="M242" s="569">
        <f t="shared" si="388"/>
        <v>17</v>
      </c>
      <c r="N242" s="74" t="s">
        <v>1391</v>
      </c>
      <c r="O242" s="570" t="s">
        <v>2051</v>
      </c>
      <c r="P242" s="571"/>
      <c r="Q242" s="571" t="s">
        <v>1670</v>
      </c>
      <c r="R242" s="571" t="s">
        <v>1380</v>
      </c>
      <c r="S242" s="571" t="s">
        <v>1378</v>
      </c>
      <c r="T242" s="572" t="s">
        <v>1392</v>
      </c>
      <c r="U242" s="54">
        <v>35.0</v>
      </c>
      <c r="V242" s="54">
        <v>23.0</v>
      </c>
      <c r="W242" s="54">
        <v>53.0</v>
      </c>
      <c r="X242" s="54">
        <v>49.0</v>
      </c>
      <c r="Y242" s="54">
        <v>5.0</v>
      </c>
      <c r="Z242" s="54">
        <v>0.0</v>
      </c>
      <c r="AA242" s="74"/>
      <c r="AB242" s="74"/>
      <c r="AC242" s="54">
        <v>1770.0</v>
      </c>
      <c r="AD242" s="54">
        <v>2.0</v>
      </c>
      <c r="AE242" s="74"/>
      <c r="AF242" s="54">
        <v>50.0</v>
      </c>
      <c r="AG242" s="54">
        <v>13.0</v>
      </c>
      <c r="AH242" s="54">
        <v>38.0</v>
      </c>
      <c r="AI242" s="574">
        <f t="shared" si="12"/>
        <v>25.5</v>
      </c>
      <c r="AJ242" s="909">
        <v>0.0</v>
      </c>
      <c r="AK242" s="74"/>
      <c r="AL242" s="74"/>
      <c r="AM242" s="74"/>
      <c r="AN242" s="74"/>
      <c r="AO242" s="74"/>
      <c r="AP242" s="74"/>
      <c r="AQ242" s="74"/>
      <c r="AR242" s="74"/>
      <c r="AS242" s="575"/>
      <c r="AT242" s="68">
        <f t="shared" si="13"/>
        <v>255</v>
      </c>
      <c r="AU242" s="68">
        <f t="shared" si="14"/>
        <v>495</v>
      </c>
      <c r="AV242" s="581">
        <f t="shared" si="15"/>
        <v>375</v>
      </c>
      <c r="AW242" s="582">
        <f t="shared" si="276"/>
        <v>721</v>
      </c>
      <c r="AX242" s="582">
        <f t="shared" si="389"/>
        <v>625</v>
      </c>
      <c r="AY242" s="582">
        <f t="shared" si="390"/>
        <v>670</v>
      </c>
      <c r="AZ242" s="582">
        <f t="shared" si="391"/>
        <v>625</v>
      </c>
      <c r="BA242" s="582">
        <f t="shared" si="392"/>
        <v>551</v>
      </c>
      <c r="BB242" s="582">
        <f t="shared" si="393"/>
        <v>586</v>
      </c>
      <c r="BC242" s="582">
        <f t="shared" si="394"/>
        <v>625</v>
      </c>
      <c r="BD242" s="582">
        <f t="shared" si="395"/>
        <v>408</v>
      </c>
      <c r="BE242" s="582">
        <f t="shared" si="396"/>
        <v>493</v>
      </c>
      <c r="BF242" s="582">
        <f t="shared" si="397"/>
        <v>446</v>
      </c>
      <c r="BG242" s="582">
        <f t="shared" si="398"/>
        <v>521</v>
      </c>
      <c r="BH242" s="582">
        <f t="shared" si="284"/>
        <v>586</v>
      </c>
      <c r="BI242" s="582">
        <f t="shared" si="399"/>
        <v>493</v>
      </c>
      <c r="BJ242" s="582">
        <f t="shared" si="400"/>
        <v>493</v>
      </c>
      <c r="BK242" s="582">
        <f t="shared" si="401"/>
        <v>446</v>
      </c>
      <c r="BL242" s="582">
        <f t="shared" si="402"/>
        <v>469</v>
      </c>
      <c r="BM242" s="582">
        <f t="shared" si="445"/>
        <v>670</v>
      </c>
      <c r="BN242" s="74"/>
      <c r="BO242" s="74"/>
      <c r="BP242" s="602">
        <f t="shared" si="33"/>
        <v>670</v>
      </c>
      <c r="BQ242" s="54">
        <v>10.0</v>
      </c>
      <c r="BR242" s="54">
        <v>29.0</v>
      </c>
      <c r="BS242" s="74"/>
      <c r="BT242" s="74"/>
      <c r="BU242" s="54">
        <v>100.0</v>
      </c>
      <c r="BV242" s="83">
        <f t="shared" si="34"/>
        <v>19.5</v>
      </c>
      <c r="BW242" s="608">
        <f t="shared" si="35"/>
        <v>537.8</v>
      </c>
      <c r="BX242" s="582">
        <f t="shared" si="289"/>
        <v>1034.2</v>
      </c>
      <c r="BY242" s="582">
        <f t="shared" si="404"/>
        <v>896.3</v>
      </c>
      <c r="BZ242" s="582">
        <f t="shared" si="405"/>
        <v>960.4</v>
      </c>
      <c r="CA242" s="582">
        <f t="shared" si="406"/>
        <v>896.3</v>
      </c>
      <c r="CB242" s="582">
        <f t="shared" si="407"/>
        <v>790.9</v>
      </c>
      <c r="CC242" s="582">
        <f t="shared" si="408"/>
        <v>896.3</v>
      </c>
      <c r="CD242" s="582">
        <f t="shared" si="409"/>
        <v>840.3</v>
      </c>
      <c r="CE242" s="664">
        <f t="shared" si="43"/>
        <v>30.8</v>
      </c>
      <c r="CF242" s="706">
        <f t="shared" si="248"/>
        <v>-30.3</v>
      </c>
      <c r="CG242" s="552">
        <f t="shared" si="295"/>
        <v>-30.3</v>
      </c>
      <c r="CH242" s="575" t="s">
        <v>1391</v>
      </c>
      <c r="CI242" s="582">
        <f t="shared" ref="CI242:DF242" si="456">FLOOR($AV242/(CI$3/25),1)</f>
        <v>375</v>
      </c>
      <c r="CJ242" s="582">
        <f t="shared" si="456"/>
        <v>390</v>
      </c>
      <c r="CK242" s="582">
        <f t="shared" si="456"/>
        <v>407</v>
      </c>
      <c r="CL242" s="582">
        <f t="shared" si="456"/>
        <v>426</v>
      </c>
      <c r="CM242" s="582">
        <f t="shared" si="456"/>
        <v>446</v>
      </c>
      <c r="CN242" s="582">
        <f t="shared" si="456"/>
        <v>468</v>
      </c>
      <c r="CO242" s="582">
        <f t="shared" si="456"/>
        <v>493</v>
      </c>
      <c r="CP242" s="582">
        <f t="shared" si="456"/>
        <v>520</v>
      </c>
      <c r="CQ242" s="582">
        <f t="shared" si="456"/>
        <v>551</v>
      </c>
      <c r="CR242" s="582">
        <f t="shared" si="456"/>
        <v>585</v>
      </c>
      <c r="CS242" s="582">
        <f t="shared" si="456"/>
        <v>625</v>
      </c>
      <c r="CT242" s="582">
        <f t="shared" si="456"/>
        <v>669</v>
      </c>
      <c r="CU242" s="582">
        <f t="shared" si="456"/>
        <v>721</v>
      </c>
      <c r="CV242" s="582">
        <f t="shared" si="456"/>
        <v>781</v>
      </c>
      <c r="CW242" s="582">
        <f t="shared" si="456"/>
        <v>852</v>
      </c>
      <c r="CX242" s="582">
        <f t="shared" si="456"/>
        <v>937</v>
      </c>
      <c r="CY242" s="582">
        <f t="shared" si="456"/>
        <v>1041</v>
      </c>
      <c r="CZ242" s="582">
        <f t="shared" si="456"/>
        <v>1171</v>
      </c>
      <c r="DA242" s="582">
        <f t="shared" si="456"/>
        <v>1339</v>
      </c>
      <c r="DB242" s="582">
        <f t="shared" si="456"/>
        <v>1562</v>
      </c>
      <c r="DC242" s="582">
        <f t="shared" si="456"/>
        <v>1875</v>
      </c>
      <c r="DD242" s="582">
        <f t="shared" si="456"/>
        <v>2343</v>
      </c>
      <c r="DE242" s="582">
        <f t="shared" si="456"/>
        <v>3125</v>
      </c>
      <c r="DF242" s="602">
        <f t="shared" si="456"/>
        <v>4687</v>
      </c>
      <c r="DG242" s="575"/>
      <c r="DH242" s="575" t="str">
        <f t="shared" si="46"/>
        <v/>
      </c>
      <c r="DI242" s="74" t="str">
        <f t="shared" si="47"/>
        <v/>
      </c>
      <c r="DJ242" s="74" t="str">
        <f t="shared" si="48"/>
        <v/>
      </c>
      <c r="DK242" s="623" t="str">
        <f t="shared" si="49"/>
        <v/>
      </c>
      <c r="DL242" s="74"/>
      <c r="DM242" s="74"/>
      <c r="DN242" s="582">
        <f t="shared" si="455"/>
        <v>3.4</v>
      </c>
      <c r="DO242" s="575"/>
      <c r="DP242" s="61" t="s">
        <v>2359</v>
      </c>
    </row>
    <row r="243">
      <c r="A243" s="552">
        <v>237.0</v>
      </c>
      <c r="B243" s="86">
        <v>195.0</v>
      </c>
      <c r="C243" s="54">
        <v>13.0</v>
      </c>
      <c r="D243" s="54">
        <v>33.0</v>
      </c>
      <c r="E243" s="74"/>
      <c r="F243" s="68" t="s">
        <v>1378</v>
      </c>
      <c r="G243" s="68">
        <f t="shared" si="269"/>
        <v>14</v>
      </c>
      <c r="H243" s="68">
        <f t="shared" si="383"/>
        <v>16</v>
      </c>
      <c r="I243" s="68">
        <f t="shared" si="384"/>
        <v>15</v>
      </c>
      <c r="J243" s="68">
        <f t="shared" si="385"/>
        <v>16</v>
      </c>
      <c r="K243" s="68">
        <f t="shared" si="386"/>
        <v>18</v>
      </c>
      <c r="L243" s="68">
        <f t="shared" si="387"/>
        <v>16</v>
      </c>
      <c r="M243" s="569">
        <f t="shared" si="388"/>
        <v>17</v>
      </c>
      <c r="N243" s="74" t="s">
        <v>1399</v>
      </c>
      <c r="O243" s="570" t="s">
        <v>2052</v>
      </c>
      <c r="P243" s="571"/>
      <c r="Q243" s="571" t="s">
        <v>1670</v>
      </c>
      <c r="R243" s="571" t="s">
        <v>1380</v>
      </c>
      <c r="S243" s="571" t="s">
        <v>1378</v>
      </c>
      <c r="T243" s="572" t="s">
        <v>1400</v>
      </c>
      <c r="U243" s="54">
        <v>39.0</v>
      </c>
      <c r="V243" s="54">
        <v>25.0</v>
      </c>
      <c r="W243" s="54">
        <v>58.0</v>
      </c>
      <c r="X243" s="54">
        <v>73.0</v>
      </c>
      <c r="Y243" s="54">
        <v>4.0</v>
      </c>
      <c r="Z243" s="54">
        <v>-10.0</v>
      </c>
      <c r="AA243" s="74"/>
      <c r="AB243" s="74"/>
      <c r="AC243" s="54">
        <v>2481.0</v>
      </c>
      <c r="AD243" s="54">
        <v>2.0</v>
      </c>
      <c r="AE243" s="74"/>
      <c r="AF243" s="54">
        <v>50.0</v>
      </c>
      <c r="AG243" s="54">
        <v>14.0</v>
      </c>
      <c r="AH243" s="54">
        <v>35.0</v>
      </c>
      <c r="AI243" s="574">
        <f t="shared" si="12"/>
        <v>24.5</v>
      </c>
      <c r="AJ243" s="909">
        <v>0.0</v>
      </c>
      <c r="AK243" s="74"/>
      <c r="AL243" s="74"/>
      <c r="AM243" s="74"/>
      <c r="AN243" s="74"/>
      <c r="AO243" s="74"/>
      <c r="AP243" s="74"/>
      <c r="AQ243" s="74"/>
      <c r="AR243" s="74"/>
      <c r="AS243" s="575"/>
      <c r="AT243" s="68">
        <f t="shared" si="13"/>
        <v>263</v>
      </c>
      <c r="AU243" s="68">
        <f t="shared" si="14"/>
        <v>465</v>
      </c>
      <c r="AV243" s="581">
        <f t="shared" si="15"/>
        <v>364</v>
      </c>
      <c r="AW243" s="582">
        <f t="shared" si="276"/>
        <v>758</v>
      </c>
      <c r="AX243" s="582">
        <f t="shared" si="389"/>
        <v>650</v>
      </c>
      <c r="AY243" s="582">
        <f t="shared" si="390"/>
        <v>700</v>
      </c>
      <c r="AZ243" s="582">
        <f t="shared" si="391"/>
        <v>650</v>
      </c>
      <c r="BA243" s="582">
        <f t="shared" si="392"/>
        <v>569</v>
      </c>
      <c r="BB243" s="582">
        <f t="shared" si="393"/>
        <v>607</v>
      </c>
      <c r="BC243" s="582">
        <f t="shared" si="394"/>
        <v>650</v>
      </c>
      <c r="BD243" s="582">
        <f t="shared" si="395"/>
        <v>506</v>
      </c>
      <c r="BE243" s="582">
        <f t="shared" si="396"/>
        <v>607</v>
      </c>
      <c r="BF243" s="582">
        <f t="shared" si="397"/>
        <v>535</v>
      </c>
      <c r="BG243" s="582">
        <f t="shared" si="398"/>
        <v>650</v>
      </c>
      <c r="BH243" s="582">
        <f t="shared" si="284"/>
        <v>700</v>
      </c>
      <c r="BI243" s="582">
        <f t="shared" si="399"/>
        <v>607</v>
      </c>
      <c r="BJ243" s="582">
        <f t="shared" si="400"/>
        <v>607</v>
      </c>
      <c r="BK243" s="582">
        <f t="shared" si="401"/>
        <v>535</v>
      </c>
      <c r="BL243" s="582">
        <f t="shared" si="402"/>
        <v>569</v>
      </c>
      <c r="BM243" s="582">
        <f t="shared" si="445"/>
        <v>700</v>
      </c>
      <c r="BN243" s="74"/>
      <c r="BO243" s="74"/>
      <c r="BP243" s="602">
        <f t="shared" si="33"/>
        <v>700</v>
      </c>
      <c r="BQ243" s="54">
        <v>11.0</v>
      </c>
      <c r="BR243" s="54">
        <v>26.0</v>
      </c>
      <c r="BS243" s="54">
        <v>-10.0</v>
      </c>
      <c r="BT243" s="74"/>
      <c r="BU243" s="54">
        <v>100.0</v>
      </c>
      <c r="BV243" s="83">
        <f t="shared" si="34"/>
        <v>18.5</v>
      </c>
      <c r="BW243" s="608">
        <f t="shared" si="35"/>
        <v>521.7</v>
      </c>
      <c r="BX243" s="582">
        <f t="shared" si="289"/>
        <v>1086.9</v>
      </c>
      <c r="BY243" s="582">
        <f t="shared" si="404"/>
        <v>931.6</v>
      </c>
      <c r="BZ243" s="582">
        <f t="shared" si="405"/>
        <v>1003.3</v>
      </c>
      <c r="CA243" s="582">
        <f t="shared" si="406"/>
        <v>931.6</v>
      </c>
      <c r="CB243" s="582">
        <f t="shared" si="407"/>
        <v>815.2</v>
      </c>
      <c r="CC243" s="582">
        <f t="shared" si="408"/>
        <v>931.6</v>
      </c>
      <c r="CD243" s="582">
        <f t="shared" si="409"/>
        <v>869.5</v>
      </c>
      <c r="CE243" s="664">
        <f t="shared" si="43"/>
        <v>32.4</v>
      </c>
      <c r="CF243" s="706">
        <f t="shared" si="248"/>
        <v>-30.2</v>
      </c>
      <c r="CG243" s="552">
        <f t="shared" si="295"/>
        <v>-30.3</v>
      </c>
      <c r="CH243" s="575" t="s">
        <v>1399</v>
      </c>
      <c r="CI243" s="582">
        <f t="shared" ref="CI243:DF243" si="457">FLOOR($AV243/(CI$3/25),1)</f>
        <v>364</v>
      </c>
      <c r="CJ243" s="582">
        <f t="shared" si="457"/>
        <v>379</v>
      </c>
      <c r="CK243" s="582">
        <f t="shared" si="457"/>
        <v>395</v>
      </c>
      <c r="CL243" s="582">
        <f t="shared" si="457"/>
        <v>413</v>
      </c>
      <c r="CM243" s="582">
        <f t="shared" si="457"/>
        <v>433</v>
      </c>
      <c r="CN243" s="582">
        <f t="shared" si="457"/>
        <v>455</v>
      </c>
      <c r="CO243" s="582">
        <f t="shared" si="457"/>
        <v>478</v>
      </c>
      <c r="CP243" s="582">
        <f t="shared" si="457"/>
        <v>505</v>
      </c>
      <c r="CQ243" s="582">
        <f t="shared" si="457"/>
        <v>535</v>
      </c>
      <c r="CR243" s="582">
        <f t="shared" si="457"/>
        <v>568</v>
      </c>
      <c r="CS243" s="582">
        <f t="shared" si="457"/>
        <v>606</v>
      </c>
      <c r="CT243" s="582">
        <f t="shared" si="457"/>
        <v>650</v>
      </c>
      <c r="CU243" s="582">
        <f t="shared" si="457"/>
        <v>700</v>
      </c>
      <c r="CV243" s="582">
        <f t="shared" si="457"/>
        <v>758</v>
      </c>
      <c r="CW243" s="582">
        <f t="shared" si="457"/>
        <v>827</v>
      </c>
      <c r="CX243" s="582">
        <f t="shared" si="457"/>
        <v>910</v>
      </c>
      <c r="CY243" s="582">
        <f t="shared" si="457"/>
        <v>1011</v>
      </c>
      <c r="CZ243" s="582">
        <f t="shared" si="457"/>
        <v>1137</v>
      </c>
      <c r="DA243" s="582">
        <f t="shared" si="457"/>
        <v>1300</v>
      </c>
      <c r="DB243" s="582">
        <f t="shared" si="457"/>
        <v>1516</v>
      </c>
      <c r="DC243" s="582">
        <f t="shared" si="457"/>
        <v>1820</v>
      </c>
      <c r="DD243" s="582">
        <f t="shared" si="457"/>
        <v>2275</v>
      </c>
      <c r="DE243" s="582">
        <f t="shared" si="457"/>
        <v>3033</v>
      </c>
      <c r="DF243" s="602">
        <f t="shared" si="457"/>
        <v>4550</v>
      </c>
      <c r="DG243" s="575"/>
      <c r="DH243" s="575" t="str">
        <f t="shared" si="46"/>
        <v/>
      </c>
      <c r="DI243" s="74" t="str">
        <f t="shared" si="47"/>
        <v/>
      </c>
      <c r="DJ243" s="74" t="str">
        <f t="shared" si="48"/>
        <v/>
      </c>
      <c r="DK243" s="623" t="str">
        <f t="shared" si="49"/>
        <v/>
      </c>
      <c r="DL243" s="74"/>
      <c r="DM243" s="74"/>
      <c r="DN243" s="582">
        <f t="shared" si="455"/>
        <v>3.5</v>
      </c>
      <c r="DO243" s="575"/>
      <c r="DP243" s="61" t="s">
        <v>2359</v>
      </c>
    </row>
    <row r="244">
      <c r="A244" s="552">
        <v>238.0</v>
      </c>
      <c r="B244" s="86">
        <v>196.0</v>
      </c>
      <c r="C244" s="54">
        <v>16.0</v>
      </c>
      <c r="D244" s="54">
        <v>38.0</v>
      </c>
      <c r="E244" s="74"/>
      <c r="F244" s="68" t="s">
        <v>1378</v>
      </c>
      <c r="G244" s="68">
        <f t="shared" si="269"/>
        <v>14</v>
      </c>
      <c r="H244" s="68">
        <f t="shared" si="383"/>
        <v>16</v>
      </c>
      <c r="I244" s="68">
        <f t="shared" si="384"/>
        <v>15</v>
      </c>
      <c r="J244" s="68">
        <f t="shared" si="385"/>
        <v>16</v>
      </c>
      <c r="K244" s="68">
        <f t="shared" si="386"/>
        <v>18</v>
      </c>
      <c r="L244" s="68">
        <f t="shared" si="387"/>
        <v>16</v>
      </c>
      <c r="M244" s="569">
        <f t="shared" si="388"/>
        <v>17</v>
      </c>
      <c r="N244" s="74" t="s">
        <v>1405</v>
      </c>
      <c r="O244" s="570" t="s">
        <v>2053</v>
      </c>
      <c r="P244" s="571"/>
      <c r="Q244" s="571" t="s">
        <v>1670</v>
      </c>
      <c r="R244" s="571" t="s">
        <v>1380</v>
      </c>
      <c r="S244" s="571" t="s">
        <v>1378</v>
      </c>
      <c r="T244" s="572" t="s">
        <v>1406</v>
      </c>
      <c r="U244" s="54">
        <v>43.0</v>
      </c>
      <c r="V244" s="54">
        <v>25.0</v>
      </c>
      <c r="W244" s="54">
        <v>65.0</v>
      </c>
      <c r="X244" s="54">
        <v>80.0</v>
      </c>
      <c r="Y244" s="54">
        <v>5.0</v>
      </c>
      <c r="Z244" s="54">
        <v>0.0</v>
      </c>
      <c r="AA244" s="74"/>
      <c r="AB244" s="74"/>
      <c r="AC244" s="54">
        <v>3435.0</v>
      </c>
      <c r="AD244" s="54">
        <v>2.0</v>
      </c>
      <c r="AE244" s="74"/>
      <c r="AF244" s="54">
        <v>50.0</v>
      </c>
      <c r="AG244" s="54">
        <v>17.0</v>
      </c>
      <c r="AH244" s="54">
        <v>40.0</v>
      </c>
      <c r="AI244" s="574">
        <f t="shared" si="12"/>
        <v>28.5</v>
      </c>
      <c r="AJ244" s="909">
        <v>0.0</v>
      </c>
      <c r="AK244" s="74"/>
      <c r="AL244" s="74"/>
      <c r="AM244" s="74"/>
      <c r="AN244" s="74"/>
      <c r="AO244" s="74"/>
      <c r="AP244" s="74"/>
      <c r="AQ244" s="74"/>
      <c r="AR244" s="74"/>
      <c r="AS244" s="575"/>
      <c r="AT244" s="68">
        <f t="shared" si="13"/>
        <v>293</v>
      </c>
      <c r="AU244" s="68">
        <f t="shared" si="14"/>
        <v>513</v>
      </c>
      <c r="AV244" s="581">
        <f t="shared" si="15"/>
        <v>403</v>
      </c>
      <c r="AW244" s="582">
        <f t="shared" si="276"/>
        <v>775</v>
      </c>
      <c r="AX244" s="582">
        <f t="shared" si="389"/>
        <v>672</v>
      </c>
      <c r="AY244" s="582">
        <f t="shared" si="390"/>
        <v>720</v>
      </c>
      <c r="AZ244" s="582">
        <f t="shared" si="391"/>
        <v>672</v>
      </c>
      <c r="BA244" s="582">
        <f t="shared" si="392"/>
        <v>593</v>
      </c>
      <c r="BB244" s="582">
        <f t="shared" si="393"/>
        <v>630</v>
      </c>
      <c r="BC244" s="582">
        <f t="shared" si="394"/>
        <v>672</v>
      </c>
      <c r="BD244" s="582">
        <f t="shared" si="395"/>
        <v>438</v>
      </c>
      <c r="BE244" s="582">
        <f t="shared" si="396"/>
        <v>530</v>
      </c>
      <c r="BF244" s="582">
        <f t="shared" si="397"/>
        <v>480</v>
      </c>
      <c r="BG244" s="582">
        <f t="shared" si="398"/>
        <v>560</v>
      </c>
      <c r="BH244" s="582">
        <f t="shared" si="284"/>
        <v>630</v>
      </c>
      <c r="BI244" s="582">
        <f t="shared" si="399"/>
        <v>530</v>
      </c>
      <c r="BJ244" s="582">
        <f t="shared" si="400"/>
        <v>530</v>
      </c>
      <c r="BK244" s="582">
        <f t="shared" si="401"/>
        <v>480</v>
      </c>
      <c r="BL244" s="582">
        <f t="shared" si="402"/>
        <v>504</v>
      </c>
      <c r="BM244" s="582">
        <f t="shared" si="445"/>
        <v>720</v>
      </c>
      <c r="BN244" s="74"/>
      <c r="BO244" s="74"/>
      <c r="BP244" s="602">
        <f t="shared" si="33"/>
        <v>720</v>
      </c>
      <c r="BQ244" s="54">
        <v>13.0</v>
      </c>
      <c r="BR244" s="54">
        <v>30.0</v>
      </c>
      <c r="BS244" s="74"/>
      <c r="BT244" s="74"/>
      <c r="BU244" s="54">
        <v>100.0</v>
      </c>
      <c r="BV244" s="83">
        <f t="shared" si="34"/>
        <v>21.5</v>
      </c>
      <c r="BW244" s="608">
        <f t="shared" si="35"/>
        <v>570.1</v>
      </c>
      <c r="BX244" s="582">
        <f t="shared" si="289"/>
        <v>1096.3</v>
      </c>
      <c r="BY244" s="582">
        <f t="shared" si="404"/>
        <v>950.2</v>
      </c>
      <c r="BZ244" s="582">
        <f t="shared" si="405"/>
        <v>1018</v>
      </c>
      <c r="CA244" s="582">
        <f t="shared" si="406"/>
        <v>950.2</v>
      </c>
      <c r="CB244" s="582">
        <f t="shared" si="407"/>
        <v>838.4</v>
      </c>
      <c r="CC244" s="582">
        <f t="shared" si="408"/>
        <v>950.2</v>
      </c>
      <c r="CD244" s="582">
        <f t="shared" si="409"/>
        <v>890.8</v>
      </c>
      <c r="CE244" s="664">
        <f t="shared" si="43"/>
        <v>32.6</v>
      </c>
      <c r="CF244" s="706">
        <f t="shared" si="248"/>
        <v>-29.3</v>
      </c>
      <c r="CG244" s="552">
        <f t="shared" si="295"/>
        <v>-29.3</v>
      </c>
      <c r="CH244" s="575" t="s">
        <v>1405</v>
      </c>
      <c r="CI244" s="582">
        <f t="shared" ref="CI244:DF244" si="458">FLOOR($AV244/(CI$3/25),1)</f>
        <v>403</v>
      </c>
      <c r="CJ244" s="582">
        <f t="shared" si="458"/>
        <v>419</v>
      </c>
      <c r="CK244" s="582">
        <f t="shared" si="458"/>
        <v>438</v>
      </c>
      <c r="CL244" s="582">
        <f t="shared" si="458"/>
        <v>457</v>
      </c>
      <c r="CM244" s="582">
        <f t="shared" si="458"/>
        <v>479</v>
      </c>
      <c r="CN244" s="582">
        <f t="shared" si="458"/>
        <v>503</v>
      </c>
      <c r="CO244" s="582">
        <f t="shared" si="458"/>
        <v>530</v>
      </c>
      <c r="CP244" s="582">
        <f t="shared" si="458"/>
        <v>559</v>
      </c>
      <c r="CQ244" s="582">
        <f t="shared" si="458"/>
        <v>592</v>
      </c>
      <c r="CR244" s="582">
        <f t="shared" si="458"/>
        <v>629</v>
      </c>
      <c r="CS244" s="582">
        <f t="shared" si="458"/>
        <v>671</v>
      </c>
      <c r="CT244" s="582">
        <f t="shared" si="458"/>
        <v>719</v>
      </c>
      <c r="CU244" s="582">
        <f t="shared" si="458"/>
        <v>775</v>
      </c>
      <c r="CV244" s="582">
        <f t="shared" si="458"/>
        <v>839</v>
      </c>
      <c r="CW244" s="582">
        <f t="shared" si="458"/>
        <v>915</v>
      </c>
      <c r="CX244" s="582">
        <f t="shared" si="458"/>
        <v>1007</v>
      </c>
      <c r="CY244" s="582">
        <f t="shared" si="458"/>
        <v>1119</v>
      </c>
      <c r="CZ244" s="582">
        <f t="shared" si="458"/>
        <v>1259</v>
      </c>
      <c r="DA244" s="582">
        <f t="shared" si="458"/>
        <v>1439</v>
      </c>
      <c r="DB244" s="582">
        <f t="shared" si="458"/>
        <v>1679</v>
      </c>
      <c r="DC244" s="582">
        <f t="shared" si="458"/>
        <v>2015</v>
      </c>
      <c r="DD244" s="582">
        <f t="shared" si="458"/>
        <v>2518</v>
      </c>
      <c r="DE244" s="582">
        <f t="shared" si="458"/>
        <v>3358</v>
      </c>
      <c r="DF244" s="602">
        <f t="shared" si="458"/>
        <v>5037</v>
      </c>
      <c r="DG244" s="575"/>
      <c r="DH244" s="575" t="str">
        <f t="shared" si="46"/>
        <v/>
      </c>
      <c r="DI244" s="74" t="str">
        <f t="shared" si="47"/>
        <v/>
      </c>
      <c r="DJ244" s="74" t="str">
        <f t="shared" si="48"/>
        <v/>
      </c>
      <c r="DK244" s="623" t="str">
        <f t="shared" si="49"/>
        <v/>
      </c>
      <c r="DL244" s="74"/>
      <c r="DM244" s="74"/>
      <c r="DN244" s="582">
        <f t="shared" si="455"/>
        <v>3</v>
      </c>
      <c r="DO244" s="575"/>
      <c r="DP244" s="61" t="s">
        <v>2359</v>
      </c>
    </row>
    <row r="245">
      <c r="A245" s="552">
        <v>239.0</v>
      </c>
      <c r="B245" s="86">
        <v>197.0</v>
      </c>
      <c r="C245" s="54">
        <v>12.0</v>
      </c>
      <c r="D245" s="54">
        <v>53.0</v>
      </c>
      <c r="E245" s="74"/>
      <c r="F245" s="68" t="s">
        <v>1378</v>
      </c>
      <c r="G245" s="68">
        <f t="shared" si="269"/>
        <v>14</v>
      </c>
      <c r="H245" s="68">
        <f t="shared" si="383"/>
        <v>16</v>
      </c>
      <c r="I245" s="68">
        <f t="shared" si="384"/>
        <v>15</v>
      </c>
      <c r="J245" s="68">
        <f t="shared" si="385"/>
        <v>16</v>
      </c>
      <c r="K245" s="68">
        <f t="shared" si="386"/>
        <v>18</v>
      </c>
      <c r="L245" s="68">
        <f t="shared" si="387"/>
        <v>16</v>
      </c>
      <c r="M245" s="569">
        <f t="shared" si="388"/>
        <v>17</v>
      </c>
      <c r="N245" s="37" t="s">
        <v>1413</v>
      </c>
      <c r="O245" s="570" t="s">
        <v>2054</v>
      </c>
      <c r="P245" s="571"/>
      <c r="Q245" s="571" t="s">
        <v>1670</v>
      </c>
      <c r="R245" s="571" t="s">
        <v>1380</v>
      </c>
      <c r="S245" s="571" t="s">
        <v>1378</v>
      </c>
      <c r="T245" s="572" t="s">
        <v>1414</v>
      </c>
      <c r="U245" s="54">
        <v>46.0</v>
      </c>
      <c r="V245" s="54">
        <v>25.0</v>
      </c>
      <c r="W245" s="54">
        <v>80.0</v>
      </c>
      <c r="X245" s="679">
        <v>95.0</v>
      </c>
      <c r="Y245" s="54">
        <v>6.0</v>
      </c>
      <c r="Z245" s="54">
        <v>10.0</v>
      </c>
      <c r="AA245" s="74"/>
      <c r="AB245" s="74"/>
      <c r="AC245" s="54">
        <v>4935.0</v>
      </c>
      <c r="AD245" s="54">
        <v>2.0</v>
      </c>
      <c r="AE245" s="74"/>
      <c r="AF245" s="54">
        <v>50.0</v>
      </c>
      <c r="AG245" s="54">
        <v>13.0</v>
      </c>
      <c r="AH245" s="54">
        <v>56.0</v>
      </c>
      <c r="AI245" s="574">
        <f t="shared" si="12"/>
        <v>34.5</v>
      </c>
      <c r="AJ245" s="909">
        <v>0.0</v>
      </c>
      <c r="AK245" s="74"/>
      <c r="AL245" s="74"/>
      <c r="AM245" s="74"/>
      <c r="AN245" s="74"/>
      <c r="AO245" s="74"/>
      <c r="AP245" s="74"/>
      <c r="AQ245" s="74"/>
      <c r="AR245" s="74"/>
      <c r="AS245" s="575"/>
      <c r="AT245" s="68">
        <f t="shared" si="13"/>
        <v>255</v>
      </c>
      <c r="AU245" s="68">
        <f t="shared" si="14"/>
        <v>667</v>
      </c>
      <c r="AV245" s="581">
        <f t="shared" si="15"/>
        <v>461</v>
      </c>
      <c r="AW245" s="582">
        <f t="shared" si="276"/>
        <v>768</v>
      </c>
      <c r="AX245" s="582">
        <f t="shared" si="389"/>
        <v>678</v>
      </c>
      <c r="AY245" s="582">
        <f t="shared" si="390"/>
        <v>720</v>
      </c>
      <c r="AZ245" s="582">
        <f t="shared" si="391"/>
        <v>678</v>
      </c>
      <c r="BA245" s="582">
        <f t="shared" si="392"/>
        <v>576</v>
      </c>
      <c r="BB245" s="582">
        <f t="shared" si="393"/>
        <v>640</v>
      </c>
      <c r="BC245" s="582">
        <f t="shared" si="394"/>
        <v>678</v>
      </c>
      <c r="BD245" s="582">
        <f t="shared" si="395"/>
        <v>427</v>
      </c>
      <c r="BE245" s="582">
        <f t="shared" si="396"/>
        <v>524</v>
      </c>
      <c r="BF245" s="582">
        <f t="shared" si="397"/>
        <v>461</v>
      </c>
      <c r="BG245" s="582">
        <f t="shared" si="398"/>
        <v>549</v>
      </c>
      <c r="BH245" s="582">
        <f t="shared" si="284"/>
        <v>576</v>
      </c>
      <c r="BI245" s="582">
        <f t="shared" si="399"/>
        <v>524</v>
      </c>
      <c r="BJ245" s="582">
        <f t="shared" si="400"/>
        <v>524</v>
      </c>
      <c r="BK245" s="582">
        <f t="shared" si="401"/>
        <v>443</v>
      </c>
      <c r="BL245" s="582">
        <f t="shared" si="402"/>
        <v>480</v>
      </c>
      <c r="BM245" s="582">
        <f t="shared" si="445"/>
        <v>720</v>
      </c>
      <c r="BN245" s="74"/>
      <c r="BO245" s="74"/>
      <c r="BP245" s="602">
        <f t="shared" si="33"/>
        <v>720</v>
      </c>
      <c r="BQ245" s="54">
        <v>10.0</v>
      </c>
      <c r="BR245" s="54">
        <v>42.0</v>
      </c>
      <c r="BS245" s="54">
        <v>10.0</v>
      </c>
      <c r="BT245" s="74"/>
      <c r="BU245" s="54">
        <v>100.0</v>
      </c>
      <c r="BV245" s="83">
        <f t="shared" si="34"/>
        <v>26</v>
      </c>
      <c r="BW245" s="608">
        <f t="shared" si="35"/>
        <v>642.7</v>
      </c>
      <c r="BX245" s="582">
        <f t="shared" si="289"/>
        <v>1071.2</v>
      </c>
      <c r="BY245" s="582">
        <f t="shared" si="404"/>
        <v>945.1</v>
      </c>
      <c r="BZ245" s="582">
        <f t="shared" si="405"/>
        <v>1004.2</v>
      </c>
      <c r="CA245" s="582">
        <f t="shared" si="406"/>
        <v>945.1</v>
      </c>
      <c r="CB245" s="582">
        <f t="shared" si="407"/>
        <v>803.4</v>
      </c>
      <c r="CC245" s="582">
        <f t="shared" si="408"/>
        <v>945.1</v>
      </c>
      <c r="CD245" s="582">
        <f t="shared" si="409"/>
        <v>892.6</v>
      </c>
      <c r="CE245" s="664">
        <f t="shared" si="43"/>
        <v>32.7</v>
      </c>
      <c r="CF245" s="706">
        <f t="shared" si="248"/>
        <v>-28.3</v>
      </c>
      <c r="CG245" s="552">
        <f t="shared" si="295"/>
        <v>-28.3</v>
      </c>
      <c r="CH245" s="575" t="s">
        <v>2360</v>
      </c>
      <c r="CI245" s="582">
        <f t="shared" ref="CI245:DF245" si="459">FLOOR($AV245/(CI$3/25),1)</f>
        <v>461</v>
      </c>
      <c r="CJ245" s="582">
        <f t="shared" si="459"/>
        <v>480</v>
      </c>
      <c r="CK245" s="582">
        <f t="shared" si="459"/>
        <v>501</v>
      </c>
      <c r="CL245" s="582">
        <f t="shared" si="459"/>
        <v>523</v>
      </c>
      <c r="CM245" s="582">
        <f t="shared" si="459"/>
        <v>548</v>
      </c>
      <c r="CN245" s="582">
        <f t="shared" si="459"/>
        <v>576</v>
      </c>
      <c r="CO245" s="582">
        <f t="shared" si="459"/>
        <v>606</v>
      </c>
      <c r="CP245" s="582">
        <f t="shared" si="459"/>
        <v>640</v>
      </c>
      <c r="CQ245" s="582">
        <f t="shared" si="459"/>
        <v>677</v>
      </c>
      <c r="CR245" s="582">
        <f t="shared" si="459"/>
        <v>720</v>
      </c>
      <c r="CS245" s="582">
        <f t="shared" si="459"/>
        <v>768</v>
      </c>
      <c r="CT245" s="582">
        <f t="shared" si="459"/>
        <v>823</v>
      </c>
      <c r="CU245" s="582">
        <f t="shared" si="459"/>
        <v>886</v>
      </c>
      <c r="CV245" s="582">
        <f t="shared" si="459"/>
        <v>960</v>
      </c>
      <c r="CW245" s="582">
        <f t="shared" si="459"/>
        <v>1047</v>
      </c>
      <c r="CX245" s="582">
        <f t="shared" si="459"/>
        <v>1152</v>
      </c>
      <c r="CY245" s="582">
        <f t="shared" si="459"/>
        <v>1280</v>
      </c>
      <c r="CZ245" s="582">
        <f t="shared" si="459"/>
        <v>1440</v>
      </c>
      <c r="DA245" s="582">
        <f t="shared" si="459"/>
        <v>1646</v>
      </c>
      <c r="DB245" s="582">
        <f t="shared" si="459"/>
        <v>1920</v>
      </c>
      <c r="DC245" s="582">
        <f t="shared" si="459"/>
        <v>2305</v>
      </c>
      <c r="DD245" s="582">
        <f t="shared" si="459"/>
        <v>2881</v>
      </c>
      <c r="DE245" s="582">
        <f t="shared" si="459"/>
        <v>3841</v>
      </c>
      <c r="DF245" s="602">
        <f t="shared" si="459"/>
        <v>5762</v>
      </c>
      <c r="DG245" s="575"/>
      <c r="DH245" s="575" t="str">
        <f t="shared" si="46"/>
        <v/>
      </c>
      <c r="DI245" s="74" t="str">
        <f t="shared" si="47"/>
        <v/>
      </c>
      <c r="DJ245" s="74" t="str">
        <f t="shared" si="48"/>
        <v/>
      </c>
      <c r="DK245" s="623" t="str">
        <f t="shared" si="49"/>
        <v/>
      </c>
      <c r="DL245" s="74"/>
      <c r="DM245" s="74"/>
      <c r="DN245" s="582">
        <f t="shared" si="455"/>
        <v>2.9</v>
      </c>
      <c r="DO245" s="575"/>
      <c r="DP245" s="61" t="s">
        <v>2359</v>
      </c>
    </row>
    <row r="246">
      <c r="A246" s="552">
        <v>240.0</v>
      </c>
      <c r="B246" s="86">
        <v>198.0</v>
      </c>
      <c r="C246" s="54">
        <v>18.0</v>
      </c>
      <c r="D246" s="54">
        <v>44.0</v>
      </c>
      <c r="E246" s="74"/>
      <c r="F246" s="68" t="s">
        <v>1378</v>
      </c>
      <c r="G246" s="68">
        <f t="shared" si="269"/>
        <v>14</v>
      </c>
      <c r="H246" s="68">
        <f t="shared" si="383"/>
        <v>16</v>
      </c>
      <c r="I246" s="68">
        <f t="shared" si="384"/>
        <v>15</v>
      </c>
      <c r="J246" s="68">
        <f t="shared" si="385"/>
        <v>16</v>
      </c>
      <c r="K246" s="68">
        <f t="shared" si="386"/>
        <v>18</v>
      </c>
      <c r="L246" s="68">
        <f t="shared" si="387"/>
        <v>16</v>
      </c>
      <c r="M246" s="569">
        <f t="shared" si="388"/>
        <v>17</v>
      </c>
      <c r="N246" s="74" t="s">
        <v>1420</v>
      </c>
      <c r="O246" s="570" t="s">
        <v>2055</v>
      </c>
      <c r="P246" s="571"/>
      <c r="Q246" s="571" t="s">
        <v>1670</v>
      </c>
      <c r="R246" s="571" t="s">
        <v>1380</v>
      </c>
      <c r="S246" s="571" t="s">
        <v>1378</v>
      </c>
      <c r="T246" s="572" t="s">
        <v>1421</v>
      </c>
      <c r="U246" s="54">
        <v>49.0</v>
      </c>
      <c r="V246" s="54">
        <v>25.0</v>
      </c>
      <c r="W246" s="54">
        <v>73.0</v>
      </c>
      <c r="X246" s="679">
        <v>103.0</v>
      </c>
      <c r="Y246" s="54">
        <v>5.0</v>
      </c>
      <c r="Z246" s="54">
        <v>0.0</v>
      </c>
      <c r="AA246" s="74"/>
      <c r="AB246" s="74"/>
      <c r="AC246" s="54">
        <v>7800.0</v>
      </c>
      <c r="AD246" s="54">
        <v>2.0</v>
      </c>
      <c r="AE246" s="74"/>
      <c r="AF246" s="54">
        <v>50.0</v>
      </c>
      <c r="AG246" s="54">
        <v>19.0</v>
      </c>
      <c r="AH246" s="54">
        <v>46.0</v>
      </c>
      <c r="AI246" s="574">
        <f t="shared" si="12"/>
        <v>32.5</v>
      </c>
      <c r="AJ246" s="909">
        <v>0.0</v>
      </c>
      <c r="AK246" s="74"/>
      <c r="AL246" s="74"/>
      <c r="AM246" s="74"/>
      <c r="AN246" s="74"/>
      <c r="AO246" s="74"/>
      <c r="AP246" s="74"/>
      <c r="AQ246" s="74"/>
      <c r="AR246" s="74"/>
      <c r="AS246" s="575"/>
      <c r="AT246" s="68">
        <f t="shared" si="13"/>
        <v>312</v>
      </c>
      <c r="AU246" s="68">
        <f t="shared" si="14"/>
        <v>570</v>
      </c>
      <c r="AV246" s="581">
        <f t="shared" si="15"/>
        <v>441</v>
      </c>
      <c r="AW246" s="582">
        <f t="shared" si="276"/>
        <v>848</v>
      </c>
      <c r="AX246" s="582">
        <f t="shared" si="389"/>
        <v>735</v>
      </c>
      <c r="AY246" s="582">
        <f t="shared" si="390"/>
        <v>788</v>
      </c>
      <c r="AZ246" s="582">
        <f t="shared" si="391"/>
        <v>735</v>
      </c>
      <c r="BA246" s="582">
        <f t="shared" si="392"/>
        <v>649</v>
      </c>
      <c r="BB246" s="582">
        <f t="shared" si="393"/>
        <v>689</v>
      </c>
      <c r="BC246" s="582">
        <f t="shared" si="394"/>
        <v>735</v>
      </c>
      <c r="BD246" s="582">
        <f t="shared" si="395"/>
        <v>479</v>
      </c>
      <c r="BE246" s="582">
        <f t="shared" si="396"/>
        <v>580</v>
      </c>
      <c r="BF246" s="582">
        <f t="shared" si="397"/>
        <v>525</v>
      </c>
      <c r="BG246" s="582">
        <f t="shared" si="398"/>
        <v>613</v>
      </c>
      <c r="BH246" s="582">
        <f t="shared" si="284"/>
        <v>689</v>
      </c>
      <c r="BI246" s="582">
        <f t="shared" si="399"/>
        <v>580</v>
      </c>
      <c r="BJ246" s="582">
        <f t="shared" si="400"/>
        <v>580</v>
      </c>
      <c r="BK246" s="582">
        <f t="shared" si="401"/>
        <v>525</v>
      </c>
      <c r="BL246" s="582">
        <f t="shared" si="402"/>
        <v>551</v>
      </c>
      <c r="BM246" s="582">
        <f t="shared" si="445"/>
        <v>788</v>
      </c>
      <c r="BN246" s="74"/>
      <c r="BO246" s="74"/>
      <c r="BP246" s="602">
        <f t="shared" si="33"/>
        <v>788</v>
      </c>
      <c r="BQ246" s="54">
        <v>14.0</v>
      </c>
      <c r="BR246" s="54">
        <v>35.0</v>
      </c>
      <c r="BS246" s="74"/>
      <c r="BT246" s="74"/>
      <c r="BU246" s="54">
        <v>100.0</v>
      </c>
      <c r="BV246" s="83">
        <f t="shared" si="34"/>
        <v>24.5</v>
      </c>
      <c r="BW246" s="608">
        <f t="shared" si="35"/>
        <v>618.5</v>
      </c>
      <c r="BX246" s="582">
        <f t="shared" si="289"/>
        <v>1189.4</v>
      </c>
      <c r="BY246" s="582">
        <f t="shared" si="404"/>
        <v>1030.8</v>
      </c>
      <c r="BZ246" s="582">
        <f t="shared" si="405"/>
        <v>1104.5</v>
      </c>
      <c r="CA246" s="582">
        <f t="shared" si="406"/>
        <v>1030.8</v>
      </c>
      <c r="CB246" s="582">
        <f t="shared" si="407"/>
        <v>909.6</v>
      </c>
      <c r="CC246" s="582">
        <f t="shared" si="408"/>
        <v>1030.8</v>
      </c>
      <c r="CD246" s="582">
        <f t="shared" si="409"/>
        <v>966.4</v>
      </c>
      <c r="CE246" s="664">
        <f t="shared" si="43"/>
        <v>32.7</v>
      </c>
      <c r="CF246" s="706">
        <f t="shared" si="248"/>
        <v>-28.7</v>
      </c>
      <c r="CG246" s="552">
        <f t="shared" si="295"/>
        <v>-28.7</v>
      </c>
      <c r="CH246" s="575" t="s">
        <v>1420</v>
      </c>
      <c r="CI246" s="582">
        <f t="shared" ref="CI246:DF246" si="460">FLOOR($AV246/(CI$3/25),1)</f>
        <v>441</v>
      </c>
      <c r="CJ246" s="582">
        <f t="shared" si="460"/>
        <v>459</v>
      </c>
      <c r="CK246" s="582">
        <f t="shared" si="460"/>
        <v>479</v>
      </c>
      <c r="CL246" s="582">
        <f t="shared" si="460"/>
        <v>501</v>
      </c>
      <c r="CM246" s="582">
        <f t="shared" si="460"/>
        <v>525</v>
      </c>
      <c r="CN246" s="582">
        <f t="shared" si="460"/>
        <v>551</v>
      </c>
      <c r="CO246" s="582">
        <f t="shared" si="460"/>
        <v>580</v>
      </c>
      <c r="CP246" s="582">
        <f t="shared" si="460"/>
        <v>612</v>
      </c>
      <c r="CQ246" s="582">
        <f t="shared" si="460"/>
        <v>648</v>
      </c>
      <c r="CR246" s="582">
        <f t="shared" si="460"/>
        <v>689</v>
      </c>
      <c r="CS246" s="582">
        <f t="shared" si="460"/>
        <v>735</v>
      </c>
      <c r="CT246" s="582">
        <f t="shared" si="460"/>
        <v>787</v>
      </c>
      <c r="CU246" s="582">
        <f t="shared" si="460"/>
        <v>848</v>
      </c>
      <c r="CV246" s="582">
        <f t="shared" si="460"/>
        <v>918</v>
      </c>
      <c r="CW246" s="582">
        <f t="shared" si="460"/>
        <v>1002</v>
      </c>
      <c r="CX246" s="582">
        <f t="shared" si="460"/>
        <v>1102</v>
      </c>
      <c r="CY246" s="582">
        <f t="shared" si="460"/>
        <v>1225</v>
      </c>
      <c r="CZ246" s="582">
        <f t="shared" si="460"/>
        <v>1378</v>
      </c>
      <c r="DA246" s="582">
        <f t="shared" si="460"/>
        <v>1575</v>
      </c>
      <c r="DB246" s="582">
        <f t="shared" si="460"/>
        <v>1837</v>
      </c>
      <c r="DC246" s="582">
        <f t="shared" si="460"/>
        <v>2205</v>
      </c>
      <c r="DD246" s="582">
        <f t="shared" si="460"/>
        <v>2756</v>
      </c>
      <c r="DE246" s="582">
        <f t="shared" si="460"/>
        <v>3675</v>
      </c>
      <c r="DF246" s="602">
        <f t="shared" si="460"/>
        <v>5512</v>
      </c>
      <c r="DG246" s="575"/>
      <c r="DH246" s="575" t="str">
        <f t="shared" si="46"/>
        <v/>
      </c>
      <c r="DI246" s="74" t="str">
        <f t="shared" si="47"/>
        <v/>
      </c>
      <c r="DJ246" s="74" t="str">
        <f t="shared" si="48"/>
        <v/>
      </c>
      <c r="DK246" s="623" t="str">
        <f t="shared" si="49"/>
        <v/>
      </c>
      <c r="DL246" s="74"/>
      <c r="DM246" s="74"/>
      <c r="DN246" s="582">
        <f t="shared" si="455"/>
        <v>3</v>
      </c>
      <c r="DO246" s="575"/>
      <c r="DP246" s="61" t="s">
        <v>2359</v>
      </c>
    </row>
    <row r="247">
      <c r="A247" s="647">
        <v>241.0</v>
      </c>
      <c r="B247" s="141">
        <v>199.0</v>
      </c>
      <c r="C247" s="129">
        <v>8.0</v>
      </c>
      <c r="D247" s="129">
        <v>60.0</v>
      </c>
      <c r="E247" s="134"/>
      <c r="F247" s="154" t="s">
        <v>1378</v>
      </c>
      <c r="G247" s="154">
        <f t="shared" si="269"/>
        <v>14</v>
      </c>
      <c r="H247" s="154">
        <f t="shared" si="383"/>
        <v>16</v>
      </c>
      <c r="I247" s="154">
        <f t="shared" si="384"/>
        <v>15</v>
      </c>
      <c r="J247" s="154">
        <f t="shared" si="385"/>
        <v>16</v>
      </c>
      <c r="K247" s="154">
        <f t="shared" si="386"/>
        <v>18</v>
      </c>
      <c r="L247" s="154">
        <f t="shared" si="387"/>
        <v>16</v>
      </c>
      <c r="M247" s="648">
        <f t="shared" si="388"/>
        <v>17</v>
      </c>
      <c r="N247" s="134" t="s">
        <v>1426</v>
      </c>
      <c r="O247" s="649" t="s">
        <v>2056</v>
      </c>
      <c r="P247" s="650"/>
      <c r="Q247" s="650" t="s">
        <v>1670</v>
      </c>
      <c r="R247" s="650" t="s">
        <v>1380</v>
      </c>
      <c r="S247" s="650" t="s">
        <v>1378</v>
      </c>
      <c r="T247" s="651" t="s">
        <v>1427</v>
      </c>
      <c r="U247" s="129">
        <v>52.0</v>
      </c>
      <c r="V247" s="129">
        <v>25.0</v>
      </c>
      <c r="W247" s="129">
        <v>95.0</v>
      </c>
      <c r="X247" s="799">
        <v>118.0</v>
      </c>
      <c r="Y247" s="129">
        <v>6.0</v>
      </c>
      <c r="Z247" s="129">
        <v>10.0</v>
      </c>
      <c r="AA247" s="134"/>
      <c r="AB247" s="134"/>
      <c r="AC247" s="129">
        <v>11025.0</v>
      </c>
      <c r="AD247" s="129">
        <v>2.0</v>
      </c>
      <c r="AE247" s="134"/>
      <c r="AF247" s="129">
        <v>50.0</v>
      </c>
      <c r="AG247" s="129">
        <v>8.0</v>
      </c>
      <c r="AH247" s="129">
        <v>63.0</v>
      </c>
      <c r="AI247" s="652">
        <f t="shared" si="12"/>
        <v>35.5</v>
      </c>
      <c r="AJ247" s="910">
        <v>0.0</v>
      </c>
      <c r="AK247" s="134"/>
      <c r="AL247" s="134"/>
      <c r="AM247" s="134"/>
      <c r="AN247" s="134"/>
      <c r="AO247" s="134"/>
      <c r="AP247" s="134"/>
      <c r="AQ247" s="134"/>
      <c r="AR247" s="134"/>
      <c r="AS247" s="653"/>
      <c r="AT247" s="154">
        <f t="shared" si="13"/>
        <v>207</v>
      </c>
      <c r="AU247" s="154">
        <f t="shared" si="14"/>
        <v>735</v>
      </c>
      <c r="AV247" s="654">
        <f t="shared" si="15"/>
        <v>471</v>
      </c>
      <c r="AW247" s="655">
        <f t="shared" si="276"/>
        <v>785</v>
      </c>
      <c r="AX247" s="655">
        <f t="shared" si="389"/>
        <v>693</v>
      </c>
      <c r="AY247" s="655">
        <f t="shared" si="390"/>
        <v>736</v>
      </c>
      <c r="AZ247" s="655">
        <f t="shared" si="391"/>
        <v>693</v>
      </c>
      <c r="BA247" s="655">
        <f t="shared" si="392"/>
        <v>589</v>
      </c>
      <c r="BB247" s="655">
        <f t="shared" si="393"/>
        <v>654</v>
      </c>
      <c r="BC247" s="655">
        <f t="shared" si="394"/>
        <v>693</v>
      </c>
      <c r="BD247" s="655">
        <f t="shared" si="395"/>
        <v>436</v>
      </c>
      <c r="BE247" s="655">
        <f t="shared" si="396"/>
        <v>535</v>
      </c>
      <c r="BF247" s="655">
        <f t="shared" si="397"/>
        <v>471</v>
      </c>
      <c r="BG247" s="655">
        <f t="shared" si="398"/>
        <v>561</v>
      </c>
      <c r="BH247" s="655">
        <f t="shared" si="284"/>
        <v>589</v>
      </c>
      <c r="BI247" s="655">
        <f t="shared" si="399"/>
        <v>535</v>
      </c>
      <c r="BJ247" s="655">
        <f t="shared" si="400"/>
        <v>535</v>
      </c>
      <c r="BK247" s="655">
        <f t="shared" si="401"/>
        <v>453</v>
      </c>
      <c r="BL247" s="655">
        <f t="shared" si="402"/>
        <v>491</v>
      </c>
      <c r="BM247" s="655">
        <f t="shared" si="445"/>
        <v>736</v>
      </c>
      <c r="BN247" s="134"/>
      <c r="BO247" s="134"/>
      <c r="BP247" s="656">
        <f t="shared" si="33"/>
        <v>736</v>
      </c>
      <c r="BQ247" s="129">
        <v>10.0</v>
      </c>
      <c r="BR247" s="129">
        <v>50.0</v>
      </c>
      <c r="BS247" s="129">
        <v>10.0</v>
      </c>
      <c r="BT247" s="134"/>
      <c r="BU247" s="129">
        <v>100.0</v>
      </c>
      <c r="BV247" s="135">
        <f t="shared" si="34"/>
        <v>30</v>
      </c>
      <c r="BW247" s="657">
        <f t="shared" si="35"/>
        <v>707.3</v>
      </c>
      <c r="BX247" s="655">
        <f t="shared" si="289"/>
        <v>1178.8</v>
      </c>
      <c r="BY247" s="655">
        <f t="shared" si="404"/>
        <v>1040.1</v>
      </c>
      <c r="BZ247" s="655">
        <f t="shared" si="405"/>
        <v>1105.2</v>
      </c>
      <c r="CA247" s="655">
        <f t="shared" si="406"/>
        <v>1040.1</v>
      </c>
      <c r="CB247" s="655">
        <f t="shared" si="407"/>
        <v>884.1</v>
      </c>
      <c r="CC247" s="655">
        <f t="shared" si="408"/>
        <v>1040.1</v>
      </c>
      <c r="CD247" s="655">
        <f t="shared" si="409"/>
        <v>982.4</v>
      </c>
      <c r="CE247" s="659">
        <f t="shared" si="43"/>
        <v>18.3</v>
      </c>
      <c r="CF247" s="712">
        <f t="shared" si="248"/>
        <v>-33.4</v>
      </c>
      <c r="CG247" s="647">
        <f t="shared" si="295"/>
        <v>-33.4</v>
      </c>
      <c r="CH247" s="653" t="s">
        <v>1426</v>
      </c>
      <c r="CI247" s="655">
        <f t="shared" ref="CI247:DF247" si="461">FLOOR($AV247/(CI$3/25),1)</f>
        <v>471</v>
      </c>
      <c r="CJ247" s="655">
        <f t="shared" si="461"/>
        <v>490</v>
      </c>
      <c r="CK247" s="655">
        <f t="shared" si="461"/>
        <v>511</v>
      </c>
      <c r="CL247" s="655">
        <f t="shared" si="461"/>
        <v>535</v>
      </c>
      <c r="CM247" s="655">
        <f t="shared" si="461"/>
        <v>560</v>
      </c>
      <c r="CN247" s="655">
        <f t="shared" si="461"/>
        <v>588</v>
      </c>
      <c r="CO247" s="655">
        <f t="shared" si="461"/>
        <v>619</v>
      </c>
      <c r="CP247" s="655">
        <f t="shared" si="461"/>
        <v>654</v>
      </c>
      <c r="CQ247" s="655">
        <f t="shared" si="461"/>
        <v>692</v>
      </c>
      <c r="CR247" s="655">
        <f t="shared" si="461"/>
        <v>735</v>
      </c>
      <c r="CS247" s="655">
        <f t="shared" si="461"/>
        <v>785</v>
      </c>
      <c r="CT247" s="655">
        <f t="shared" si="461"/>
        <v>841</v>
      </c>
      <c r="CU247" s="655">
        <f t="shared" si="461"/>
        <v>905</v>
      </c>
      <c r="CV247" s="655">
        <f t="shared" si="461"/>
        <v>981</v>
      </c>
      <c r="CW247" s="655">
        <f t="shared" si="461"/>
        <v>1070</v>
      </c>
      <c r="CX247" s="655">
        <f t="shared" si="461"/>
        <v>1177</v>
      </c>
      <c r="CY247" s="655">
        <f t="shared" si="461"/>
        <v>1308</v>
      </c>
      <c r="CZ247" s="655">
        <f t="shared" si="461"/>
        <v>1471</v>
      </c>
      <c r="DA247" s="655">
        <f t="shared" si="461"/>
        <v>1682</v>
      </c>
      <c r="DB247" s="655">
        <f t="shared" si="461"/>
        <v>1962</v>
      </c>
      <c r="DC247" s="655">
        <f t="shared" si="461"/>
        <v>2355</v>
      </c>
      <c r="DD247" s="655">
        <f t="shared" si="461"/>
        <v>2943</v>
      </c>
      <c r="DE247" s="655">
        <f t="shared" si="461"/>
        <v>3925</v>
      </c>
      <c r="DF247" s="656">
        <f t="shared" si="461"/>
        <v>5887</v>
      </c>
      <c r="DG247" s="653"/>
      <c r="DH247" s="653" t="str">
        <f t="shared" si="46"/>
        <v/>
      </c>
      <c r="DI247" s="134" t="str">
        <f t="shared" si="47"/>
        <v/>
      </c>
      <c r="DJ247" s="134" t="str">
        <f t="shared" si="48"/>
        <v/>
      </c>
      <c r="DK247" s="662" t="str">
        <f t="shared" si="49"/>
        <v/>
      </c>
      <c r="DL247" s="134"/>
      <c r="DM247" s="134"/>
      <c r="DN247" s="655">
        <f t="shared" si="455"/>
        <v>2.5</v>
      </c>
      <c r="DO247" s="653"/>
      <c r="DP247" s="872" t="s">
        <v>2359</v>
      </c>
    </row>
    <row r="248">
      <c r="A248" s="552">
        <v>242.0</v>
      </c>
      <c r="B248" s="86">
        <v>311.0</v>
      </c>
      <c r="C248" s="54">
        <v>25.0</v>
      </c>
      <c r="D248" s="54">
        <v>55.0</v>
      </c>
      <c r="E248" s="74"/>
      <c r="F248" s="68" t="s">
        <v>1378</v>
      </c>
      <c r="G248" s="68">
        <f t="shared" si="269"/>
        <v>14</v>
      </c>
      <c r="H248" s="68">
        <f t="shared" si="383"/>
        <v>16</v>
      </c>
      <c r="I248" s="68">
        <f t="shared" si="384"/>
        <v>15</v>
      </c>
      <c r="J248" s="68">
        <f t="shared" si="385"/>
        <v>16</v>
      </c>
      <c r="K248" s="68">
        <f t="shared" si="386"/>
        <v>18</v>
      </c>
      <c r="L248" s="68">
        <f t="shared" si="387"/>
        <v>16</v>
      </c>
      <c r="M248" s="569">
        <f t="shared" si="388"/>
        <v>17</v>
      </c>
      <c r="N248" s="74" t="s">
        <v>1376</v>
      </c>
      <c r="O248" s="678"/>
      <c r="P248" s="571"/>
      <c r="Q248" s="571" t="s">
        <v>1676</v>
      </c>
      <c r="R248" s="571" t="s">
        <v>1380</v>
      </c>
      <c r="S248" s="571" t="s">
        <v>1378</v>
      </c>
      <c r="T248" s="572" t="s">
        <v>1377</v>
      </c>
      <c r="U248" s="54">
        <v>55.0</v>
      </c>
      <c r="V248" s="54">
        <v>41.0</v>
      </c>
      <c r="W248" s="54">
        <v>64.0</v>
      </c>
      <c r="X248" s="679">
        <v>143.0</v>
      </c>
      <c r="Y248" s="54">
        <v>4.0</v>
      </c>
      <c r="Z248" s="54">
        <v>5.0</v>
      </c>
      <c r="AA248" s="74"/>
      <c r="AB248" s="74"/>
      <c r="AC248" s="54">
        <v>21091.0</v>
      </c>
      <c r="AD248" s="54">
        <v>2.0</v>
      </c>
      <c r="AE248" s="74"/>
      <c r="AF248" s="54">
        <v>50.0</v>
      </c>
      <c r="AG248" s="118">
        <v>34.0</v>
      </c>
      <c r="AH248" s="118">
        <v>73.0</v>
      </c>
      <c r="AI248" s="574">
        <f t="shared" si="12"/>
        <v>53.5</v>
      </c>
      <c r="AJ248" s="909">
        <v>0.0</v>
      </c>
      <c r="AK248" s="74"/>
      <c r="AL248" s="74"/>
      <c r="AM248" s="74"/>
      <c r="AN248" s="74"/>
      <c r="AO248" s="74"/>
      <c r="AP248" s="74"/>
      <c r="AQ248" s="74"/>
      <c r="AR248" s="74"/>
      <c r="AS248" s="575"/>
      <c r="AT248" s="68">
        <f t="shared" si="13"/>
        <v>457</v>
      </c>
      <c r="AU248" s="68">
        <f t="shared" si="14"/>
        <v>828</v>
      </c>
      <c r="AV248" s="581">
        <f t="shared" si="15"/>
        <v>642.5</v>
      </c>
      <c r="AW248" s="582">
        <f t="shared" si="276"/>
        <v>1147</v>
      </c>
      <c r="AX248" s="582">
        <f t="shared" si="389"/>
        <v>1004</v>
      </c>
      <c r="AY248" s="582">
        <f t="shared" si="390"/>
        <v>1071</v>
      </c>
      <c r="AZ248" s="582">
        <f t="shared" si="391"/>
        <v>1004</v>
      </c>
      <c r="BA248" s="582">
        <f t="shared" si="392"/>
        <v>892</v>
      </c>
      <c r="BB248" s="582">
        <f t="shared" si="393"/>
        <v>945</v>
      </c>
      <c r="BC248" s="582">
        <f t="shared" si="394"/>
        <v>1004</v>
      </c>
      <c r="BD248" s="582">
        <f t="shared" si="395"/>
        <v>669</v>
      </c>
      <c r="BE248" s="582">
        <f t="shared" si="396"/>
        <v>803</v>
      </c>
      <c r="BF248" s="582">
        <f t="shared" si="397"/>
        <v>730</v>
      </c>
      <c r="BG248" s="582">
        <f t="shared" si="398"/>
        <v>845</v>
      </c>
      <c r="BH248" s="582">
        <f t="shared" si="284"/>
        <v>945</v>
      </c>
      <c r="BI248" s="582">
        <f t="shared" si="399"/>
        <v>803</v>
      </c>
      <c r="BJ248" s="582">
        <f t="shared" si="400"/>
        <v>803</v>
      </c>
      <c r="BK248" s="582">
        <f t="shared" si="401"/>
        <v>730</v>
      </c>
      <c r="BL248" s="582">
        <f t="shared" si="402"/>
        <v>765</v>
      </c>
      <c r="BM248" s="582">
        <f t="shared" si="445"/>
        <v>1071</v>
      </c>
      <c r="BN248" s="74"/>
      <c r="BO248" s="74"/>
      <c r="BP248" s="602">
        <f t="shared" si="33"/>
        <v>1071</v>
      </c>
      <c r="BQ248" s="670">
        <v>23.0</v>
      </c>
      <c r="BR248" s="670">
        <v>50.0</v>
      </c>
      <c r="BS248" s="670">
        <v>5.0</v>
      </c>
      <c r="BT248" s="365"/>
      <c r="BU248" s="670">
        <v>100.0</v>
      </c>
      <c r="BV248" s="671">
        <f t="shared" si="34"/>
        <v>36.5</v>
      </c>
      <c r="BW248" s="672">
        <f t="shared" si="35"/>
        <v>812.2</v>
      </c>
      <c r="BX248" s="673">
        <f t="shared" si="289"/>
        <v>1450.4</v>
      </c>
      <c r="BY248" s="673">
        <f t="shared" si="404"/>
        <v>1269.1</v>
      </c>
      <c r="BZ248" s="673">
        <f t="shared" si="405"/>
        <v>1353.7</v>
      </c>
      <c r="CA248" s="673">
        <f t="shared" si="406"/>
        <v>1269.1</v>
      </c>
      <c r="CB248" s="673">
        <f t="shared" si="407"/>
        <v>1128.1</v>
      </c>
      <c r="CC248" s="673">
        <f t="shared" si="408"/>
        <v>1269.1</v>
      </c>
      <c r="CD248" s="673">
        <f t="shared" si="409"/>
        <v>1194.4</v>
      </c>
      <c r="CE248" s="674">
        <f t="shared" si="43"/>
        <v>46.6</v>
      </c>
      <c r="CF248" s="763">
        <f t="shared" si="248"/>
        <v>-20.9</v>
      </c>
      <c r="CG248" s="676">
        <f t="shared" si="295"/>
        <v>-20.9</v>
      </c>
      <c r="CH248" s="575" t="s">
        <v>1376</v>
      </c>
      <c r="CI248" s="582">
        <f t="shared" ref="CI248:DF248" si="462">FLOOR($AV248/(CI$3/25),1)</f>
        <v>642</v>
      </c>
      <c r="CJ248" s="582">
        <f t="shared" si="462"/>
        <v>669</v>
      </c>
      <c r="CK248" s="582">
        <f t="shared" si="462"/>
        <v>698</v>
      </c>
      <c r="CL248" s="582">
        <f t="shared" si="462"/>
        <v>730</v>
      </c>
      <c r="CM248" s="582">
        <f t="shared" si="462"/>
        <v>764</v>
      </c>
      <c r="CN248" s="582">
        <f t="shared" si="462"/>
        <v>803</v>
      </c>
      <c r="CO248" s="582">
        <f t="shared" si="462"/>
        <v>845</v>
      </c>
      <c r="CP248" s="582">
        <f t="shared" si="462"/>
        <v>892</v>
      </c>
      <c r="CQ248" s="582">
        <f t="shared" si="462"/>
        <v>944</v>
      </c>
      <c r="CR248" s="582">
        <f t="shared" si="462"/>
        <v>1003</v>
      </c>
      <c r="CS248" s="582">
        <f t="shared" si="462"/>
        <v>1070</v>
      </c>
      <c r="CT248" s="582">
        <f t="shared" si="462"/>
        <v>1147</v>
      </c>
      <c r="CU248" s="582">
        <f t="shared" si="462"/>
        <v>1235</v>
      </c>
      <c r="CV248" s="582">
        <f t="shared" si="462"/>
        <v>1338</v>
      </c>
      <c r="CW248" s="582">
        <f t="shared" si="462"/>
        <v>1460</v>
      </c>
      <c r="CX248" s="582">
        <f t="shared" si="462"/>
        <v>1606</v>
      </c>
      <c r="CY248" s="582">
        <f t="shared" si="462"/>
        <v>1784</v>
      </c>
      <c r="CZ248" s="582">
        <f t="shared" si="462"/>
        <v>2007</v>
      </c>
      <c r="DA248" s="582">
        <f t="shared" si="462"/>
        <v>2294</v>
      </c>
      <c r="DB248" s="582">
        <f t="shared" si="462"/>
        <v>2677</v>
      </c>
      <c r="DC248" s="582">
        <f t="shared" si="462"/>
        <v>3212</v>
      </c>
      <c r="DD248" s="582">
        <f t="shared" si="462"/>
        <v>4015</v>
      </c>
      <c r="DE248" s="582">
        <f t="shared" si="462"/>
        <v>5354</v>
      </c>
      <c r="DF248" s="602">
        <f t="shared" si="462"/>
        <v>8031</v>
      </c>
      <c r="DG248" s="575"/>
      <c r="DH248" s="575" t="str">
        <f t="shared" si="46"/>
        <v/>
      </c>
      <c r="DI248" s="74" t="str">
        <f t="shared" si="47"/>
        <v/>
      </c>
      <c r="DJ248" s="74" t="str">
        <f t="shared" si="48"/>
        <v/>
      </c>
      <c r="DK248" s="664">
        <f t="shared" si="49"/>
        <v>-13.1</v>
      </c>
      <c r="DL248" s="685">
        <v>46.5</v>
      </c>
      <c r="DM248" s="74"/>
      <c r="DN248" s="582">
        <f t="shared" si="455"/>
        <v>2.8</v>
      </c>
      <c r="DO248" s="575"/>
      <c r="DP248" s="61" t="s">
        <v>2359</v>
      </c>
    </row>
    <row r="249">
      <c r="A249" s="552">
        <v>243.0</v>
      </c>
      <c r="B249" s="86">
        <v>312.0</v>
      </c>
      <c r="C249" s="54">
        <v>23.0</v>
      </c>
      <c r="D249" s="54">
        <v>45.0</v>
      </c>
      <c r="E249" s="74"/>
      <c r="F249" s="68" t="s">
        <v>1378</v>
      </c>
      <c r="G249" s="68">
        <f t="shared" si="269"/>
        <v>14</v>
      </c>
      <c r="H249" s="68">
        <f t="shared" si="383"/>
        <v>16</v>
      </c>
      <c r="I249" s="68">
        <f t="shared" si="384"/>
        <v>15</v>
      </c>
      <c r="J249" s="68">
        <f t="shared" si="385"/>
        <v>16</v>
      </c>
      <c r="K249" s="68">
        <f t="shared" si="386"/>
        <v>18</v>
      </c>
      <c r="L249" s="68">
        <f t="shared" si="387"/>
        <v>16</v>
      </c>
      <c r="M249" s="569">
        <f t="shared" si="388"/>
        <v>17</v>
      </c>
      <c r="N249" s="74" t="s">
        <v>1385</v>
      </c>
      <c r="O249" s="678"/>
      <c r="P249" s="571"/>
      <c r="Q249" s="571" t="s">
        <v>1676</v>
      </c>
      <c r="R249" s="571" t="s">
        <v>1380</v>
      </c>
      <c r="S249" s="571" t="s">
        <v>1378</v>
      </c>
      <c r="T249" s="572" t="s">
        <v>1386</v>
      </c>
      <c r="U249" s="54">
        <v>60.0</v>
      </c>
      <c r="V249" s="54">
        <v>45.0</v>
      </c>
      <c r="W249" s="54">
        <v>76.0</v>
      </c>
      <c r="X249" s="679">
        <v>119.0</v>
      </c>
      <c r="Y249" s="54">
        <v>4.0</v>
      </c>
      <c r="Z249" s="54">
        <v>-10.0</v>
      </c>
      <c r="AA249" s="74"/>
      <c r="AB249" s="74"/>
      <c r="AC249" s="54">
        <v>21350.0</v>
      </c>
      <c r="AD249" s="54">
        <v>2.0</v>
      </c>
      <c r="AE249" s="74"/>
      <c r="AF249" s="54">
        <v>50.0</v>
      </c>
      <c r="AG249" s="39">
        <v>30.0</v>
      </c>
      <c r="AH249" s="39">
        <v>60.0</v>
      </c>
      <c r="AI249" s="574">
        <f t="shared" si="12"/>
        <v>45</v>
      </c>
      <c r="AJ249" s="909">
        <v>0.0</v>
      </c>
      <c r="AK249" s="74"/>
      <c r="AL249" s="74"/>
      <c r="AM249" s="74"/>
      <c r="AN249" s="74"/>
      <c r="AO249" s="74"/>
      <c r="AP249" s="74"/>
      <c r="AQ249" s="74"/>
      <c r="AR249" s="74"/>
      <c r="AS249" s="575"/>
      <c r="AT249" s="68">
        <f t="shared" si="13"/>
        <v>417</v>
      </c>
      <c r="AU249" s="68">
        <f t="shared" si="14"/>
        <v>705</v>
      </c>
      <c r="AV249" s="581">
        <f t="shared" si="15"/>
        <v>561</v>
      </c>
      <c r="AW249" s="582">
        <f t="shared" si="276"/>
        <v>1169</v>
      </c>
      <c r="AX249" s="582">
        <f t="shared" si="389"/>
        <v>1002</v>
      </c>
      <c r="AY249" s="582">
        <f t="shared" si="390"/>
        <v>1079</v>
      </c>
      <c r="AZ249" s="582">
        <f t="shared" si="391"/>
        <v>1002</v>
      </c>
      <c r="BA249" s="582">
        <f t="shared" si="392"/>
        <v>877</v>
      </c>
      <c r="BB249" s="582">
        <f t="shared" si="393"/>
        <v>935</v>
      </c>
      <c r="BC249" s="582">
        <f t="shared" si="394"/>
        <v>1002</v>
      </c>
      <c r="BD249" s="582">
        <f t="shared" si="395"/>
        <v>779</v>
      </c>
      <c r="BE249" s="582">
        <f t="shared" si="396"/>
        <v>935</v>
      </c>
      <c r="BF249" s="582">
        <f t="shared" si="397"/>
        <v>825</v>
      </c>
      <c r="BG249" s="582">
        <f t="shared" si="398"/>
        <v>1002</v>
      </c>
      <c r="BH249" s="582">
        <f t="shared" si="284"/>
        <v>1079</v>
      </c>
      <c r="BI249" s="582">
        <f t="shared" si="399"/>
        <v>935</v>
      </c>
      <c r="BJ249" s="582">
        <f t="shared" si="400"/>
        <v>935</v>
      </c>
      <c r="BK249" s="582">
        <f t="shared" si="401"/>
        <v>825</v>
      </c>
      <c r="BL249" s="582">
        <f t="shared" si="402"/>
        <v>877</v>
      </c>
      <c r="BM249" s="582">
        <f t="shared" si="445"/>
        <v>1079</v>
      </c>
      <c r="BN249" s="74"/>
      <c r="BO249" s="74"/>
      <c r="BP249" s="602">
        <f t="shared" si="33"/>
        <v>1079</v>
      </c>
      <c r="BQ249" s="670">
        <v>21.0</v>
      </c>
      <c r="BR249" s="670">
        <v>41.0</v>
      </c>
      <c r="BS249" s="670">
        <v>-10.0</v>
      </c>
      <c r="BT249" s="365"/>
      <c r="BU249" s="670">
        <v>100.0</v>
      </c>
      <c r="BV249" s="671">
        <f t="shared" si="34"/>
        <v>31</v>
      </c>
      <c r="BW249" s="672">
        <f t="shared" si="35"/>
        <v>723.4</v>
      </c>
      <c r="BX249" s="673">
        <f t="shared" si="289"/>
        <v>1507.1</v>
      </c>
      <c r="BY249" s="673">
        <f t="shared" si="404"/>
        <v>1291.8</v>
      </c>
      <c r="BZ249" s="673">
        <f t="shared" si="405"/>
        <v>1391.2</v>
      </c>
      <c r="CA249" s="673">
        <f t="shared" si="406"/>
        <v>1291.8</v>
      </c>
      <c r="CB249" s="673">
        <f t="shared" si="407"/>
        <v>1130.3</v>
      </c>
      <c r="CC249" s="673">
        <f t="shared" si="408"/>
        <v>1291.8</v>
      </c>
      <c r="CD249" s="673">
        <f t="shared" si="409"/>
        <v>1205.7</v>
      </c>
      <c r="CE249" s="674">
        <f t="shared" si="43"/>
        <v>45.2</v>
      </c>
      <c r="CF249" s="763">
        <f t="shared" si="248"/>
        <v>-22.4</v>
      </c>
      <c r="CG249" s="676">
        <f t="shared" si="295"/>
        <v>-22.4</v>
      </c>
      <c r="CH249" s="575" t="s">
        <v>1385</v>
      </c>
      <c r="CI249" s="582">
        <f t="shared" ref="CI249:DF249" si="463">FLOOR($AV249/(CI$3/25),1)</f>
        <v>561</v>
      </c>
      <c r="CJ249" s="582">
        <f t="shared" si="463"/>
        <v>584</v>
      </c>
      <c r="CK249" s="582">
        <f t="shared" si="463"/>
        <v>609</v>
      </c>
      <c r="CL249" s="582">
        <f t="shared" si="463"/>
        <v>637</v>
      </c>
      <c r="CM249" s="582">
        <f t="shared" si="463"/>
        <v>667</v>
      </c>
      <c r="CN249" s="582">
        <f t="shared" si="463"/>
        <v>701</v>
      </c>
      <c r="CO249" s="582">
        <f t="shared" si="463"/>
        <v>738</v>
      </c>
      <c r="CP249" s="582">
        <f t="shared" si="463"/>
        <v>779</v>
      </c>
      <c r="CQ249" s="582">
        <f t="shared" si="463"/>
        <v>825</v>
      </c>
      <c r="CR249" s="582">
        <f t="shared" si="463"/>
        <v>876</v>
      </c>
      <c r="CS249" s="582">
        <f t="shared" si="463"/>
        <v>935</v>
      </c>
      <c r="CT249" s="582">
        <f t="shared" si="463"/>
        <v>1001</v>
      </c>
      <c r="CU249" s="582">
        <f t="shared" si="463"/>
        <v>1078</v>
      </c>
      <c r="CV249" s="582">
        <f t="shared" si="463"/>
        <v>1168</v>
      </c>
      <c r="CW249" s="582">
        <f t="shared" si="463"/>
        <v>1275</v>
      </c>
      <c r="CX249" s="582">
        <f t="shared" si="463"/>
        <v>1402</v>
      </c>
      <c r="CY249" s="582">
        <f t="shared" si="463"/>
        <v>1558</v>
      </c>
      <c r="CZ249" s="582">
        <f t="shared" si="463"/>
        <v>1753</v>
      </c>
      <c r="DA249" s="582">
        <f t="shared" si="463"/>
        <v>2003</v>
      </c>
      <c r="DB249" s="582">
        <f t="shared" si="463"/>
        <v>2337</v>
      </c>
      <c r="DC249" s="582">
        <f t="shared" si="463"/>
        <v>2805</v>
      </c>
      <c r="DD249" s="582">
        <f t="shared" si="463"/>
        <v>3506</v>
      </c>
      <c r="DE249" s="582">
        <f t="shared" si="463"/>
        <v>4675</v>
      </c>
      <c r="DF249" s="602">
        <f t="shared" si="463"/>
        <v>7012</v>
      </c>
      <c r="DG249" s="575"/>
      <c r="DH249" s="575" t="str">
        <f t="shared" si="46"/>
        <v/>
      </c>
      <c r="DI249" s="74" t="str">
        <f t="shared" si="47"/>
        <v/>
      </c>
      <c r="DJ249" s="74" t="str">
        <f t="shared" si="48"/>
        <v/>
      </c>
      <c r="DK249" s="664">
        <f t="shared" si="49"/>
        <v>-4.4</v>
      </c>
      <c r="DL249" s="685">
        <v>43.0</v>
      </c>
      <c r="DM249" s="74"/>
      <c r="DN249" s="582">
        <f t="shared" si="455"/>
        <v>2.2</v>
      </c>
      <c r="DO249" s="575"/>
      <c r="DP249" s="61" t="s">
        <v>2359</v>
      </c>
    </row>
    <row r="250">
      <c r="A250" s="552">
        <v>244.0</v>
      </c>
      <c r="B250" s="86">
        <v>313.0</v>
      </c>
      <c r="C250" s="54">
        <v>16.0</v>
      </c>
      <c r="D250" s="54">
        <v>65.0</v>
      </c>
      <c r="E250" s="74"/>
      <c r="F250" s="68" t="s">
        <v>1378</v>
      </c>
      <c r="G250" s="68">
        <f t="shared" si="269"/>
        <v>14</v>
      </c>
      <c r="H250" s="68">
        <f t="shared" si="383"/>
        <v>16</v>
      </c>
      <c r="I250" s="68">
        <f t="shared" si="384"/>
        <v>15</v>
      </c>
      <c r="J250" s="68">
        <f t="shared" si="385"/>
        <v>16</v>
      </c>
      <c r="K250" s="68">
        <f t="shared" si="386"/>
        <v>18</v>
      </c>
      <c r="L250" s="68">
        <f t="shared" si="387"/>
        <v>16</v>
      </c>
      <c r="M250" s="569">
        <f t="shared" si="388"/>
        <v>17</v>
      </c>
      <c r="N250" s="74" t="s">
        <v>1394</v>
      </c>
      <c r="O250" s="678"/>
      <c r="P250" s="571"/>
      <c r="Q250" s="571" t="s">
        <v>1676</v>
      </c>
      <c r="R250" s="571" t="s">
        <v>1380</v>
      </c>
      <c r="S250" s="571" t="s">
        <v>1378</v>
      </c>
      <c r="T250" s="572" t="s">
        <v>1395</v>
      </c>
      <c r="U250" s="54">
        <v>63.0</v>
      </c>
      <c r="V250" s="54">
        <v>47.0</v>
      </c>
      <c r="W250" s="54">
        <v>52.0</v>
      </c>
      <c r="X250" s="679">
        <v>188.0</v>
      </c>
      <c r="Y250" s="669">
        <v>6.0</v>
      </c>
      <c r="Z250" s="54">
        <v>0.0</v>
      </c>
      <c r="AA250" s="74"/>
      <c r="AB250" s="74"/>
      <c r="AC250" s="54">
        <v>25610.0</v>
      </c>
      <c r="AD250" s="54">
        <v>2.0</v>
      </c>
      <c r="AE250" s="74"/>
      <c r="AF250" s="54">
        <v>50.0</v>
      </c>
      <c r="AG250" s="39">
        <v>22.0</v>
      </c>
      <c r="AH250" s="39">
        <v>86.0</v>
      </c>
      <c r="AI250" s="574">
        <f t="shared" si="12"/>
        <v>54</v>
      </c>
      <c r="AJ250" s="909">
        <v>0.0</v>
      </c>
      <c r="AK250" s="37"/>
      <c r="AL250" s="37"/>
      <c r="AM250" s="37"/>
      <c r="AN250" s="37"/>
      <c r="AO250" s="911"/>
      <c r="AP250" s="74"/>
      <c r="AQ250" s="37"/>
      <c r="AR250" s="37"/>
      <c r="AS250" s="575"/>
      <c r="AT250" s="68">
        <f t="shared" si="13"/>
        <v>341</v>
      </c>
      <c r="AU250" s="68">
        <f t="shared" si="14"/>
        <v>955</v>
      </c>
      <c r="AV250" s="581">
        <f t="shared" si="15"/>
        <v>648</v>
      </c>
      <c r="AW250" s="582">
        <f t="shared" si="276"/>
        <v>1246</v>
      </c>
      <c r="AX250" s="582">
        <f t="shared" si="389"/>
        <v>1080</v>
      </c>
      <c r="AY250" s="582">
        <f t="shared" si="390"/>
        <v>1157</v>
      </c>
      <c r="AZ250" s="582">
        <f t="shared" si="391"/>
        <v>1080</v>
      </c>
      <c r="BA250" s="582">
        <f t="shared" si="392"/>
        <v>953</v>
      </c>
      <c r="BB250" s="582">
        <f t="shared" si="393"/>
        <v>1013</v>
      </c>
      <c r="BC250" s="582">
        <f t="shared" si="394"/>
        <v>1080</v>
      </c>
      <c r="BD250" s="582">
        <f t="shared" si="395"/>
        <v>704</v>
      </c>
      <c r="BE250" s="582">
        <f t="shared" si="396"/>
        <v>853</v>
      </c>
      <c r="BF250" s="582">
        <f t="shared" si="397"/>
        <v>771</v>
      </c>
      <c r="BG250" s="582">
        <f t="shared" si="398"/>
        <v>900</v>
      </c>
      <c r="BH250" s="582">
        <f t="shared" si="284"/>
        <v>1013</v>
      </c>
      <c r="BI250" s="582">
        <f t="shared" si="399"/>
        <v>853</v>
      </c>
      <c r="BJ250" s="582">
        <f t="shared" si="400"/>
        <v>853</v>
      </c>
      <c r="BK250" s="582">
        <f t="shared" si="401"/>
        <v>771</v>
      </c>
      <c r="BL250" s="582">
        <f t="shared" si="402"/>
        <v>810</v>
      </c>
      <c r="BM250" s="582">
        <f t="shared" si="445"/>
        <v>1157</v>
      </c>
      <c r="BN250" s="74"/>
      <c r="BO250" s="74"/>
      <c r="BP250" s="602">
        <f t="shared" si="33"/>
        <v>1157</v>
      </c>
      <c r="BQ250" s="670">
        <v>15.0</v>
      </c>
      <c r="BR250" s="670">
        <v>59.0</v>
      </c>
      <c r="BS250" s="365"/>
      <c r="BT250" s="365"/>
      <c r="BU250" s="670">
        <v>100.0</v>
      </c>
      <c r="BV250" s="671">
        <f t="shared" si="34"/>
        <v>37</v>
      </c>
      <c r="BW250" s="672">
        <f t="shared" si="35"/>
        <v>820.3</v>
      </c>
      <c r="BX250" s="673">
        <f t="shared" si="289"/>
        <v>1577.5</v>
      </c>
      <c r="BY250" s="673">
        <f t="shared" si="404"/>
        <v>1367.2</v>
      </c>
      <c r="BZ250" s="673">
        <f t="shared" si="405"/>
        <v>1464.8</v>
      </c>
      <c r="CA250" s="673">
        <f t="shared" si="406"/>
        <v>1367.2</v>
      </c>
      <c r="CB250" s="673">
        <f t="shared" si="407"/>
        <v>1206.3</v>
      </c>
      <c r="CC250" s="673">
        <f t="shared" si="408"/>
        <v>1367.2</v>
      </c>
      <c r="CD250" s="673">
        <f t="shared" si="409"/>
        <v>1281.7</v>
      </c>
      <c r="CE250" s="674">
        <f t="shared" si="43"/>
        <v>45.9</v>
      </c>
      <c r="CF250" s="763">
        <f t="shared" si="248"/>
        <v>-21</v>
      </c>
      <c r="CG250" s="676">
        <f t="shared" si="295"/>
        <v>-21</v>
      </c>
      <c r="CH250" s="575" t="s">
        <v>1394</v>
      </c>
      <c r="CI250" s="582">
        <f t="shared" ref="CI250:DF250" si="464">FLOOR($AV250/(CI$3/25),1)</f>
        <v>648</v>
      </c>
      <c r="CJ250" s="582">
        <f t="shared" si="464"/>
        <v>675</v>
      </c>
      <c r="CK250" s="582">
        <f t="shared" si="464"/>
        <v>704</v>
      </c>
      <c r="CL250" s="582">
        <f t="shared" si="464"/>
        <v>736</v>
      </c>
      <c r="CM250" s="582">
        <f t="shared" si="464"/>
        <v>771</v>
      </c>
      <c r="CN250" s="582">
        <f t="shared" si="464"/>
        <v>810</v>
      </c>
      <c r="CO250" s="582">
        <f t="shared" si="464"/>
        <v>852</v>
      </c>
      <c r="CP250" s="582">
        <f t="shared" si="464"/>
        <v>900</v>
      </c>
      <c r="CQ250" s="582">
        <f t="shared" si="464"/>
        <v>952</v>
      </c>
      <c r="CR250" s="582">
        <f t="shared" si="464"/>
        <v>1012</v>
      </c>
      <c r="CS250" s="582">
        <f t="shared" si="464"/>
        <v>1080</v>
      </c>
      <c r="CT250" s="582">
        <f t="shared" si="464"/>
        <v>1157</v>
      </c>
      <c r="CU250" s="582">
        <f t="shared" si="464"/>
        <v>1246</v>
      </c>
      <c r="CV250" s="582">
        <f t="shared" si="464"/>
        <v>1350</v>
      </c>
      <c r="CW250" s="582">
        <f t="shared" si="464"/>
        <v>1472</v>
      </c>
      <c r="CX250" s="582">
        <f t="shared" si="464"/>
        <v>1620</v>
      </c>
      <c r="CY250" s="582">
        <f t="shared" si="464"/>
        <v>1800</v>
      </c>
      <c r="CZ250" s="582">
        <f t="shared" si="464"/>
        <v>2025</v>
      </c>
      <c r="DA250" s="582">
        <f t="shared" si="464"/>
        <v>2314</v>
      </c>
      <c r="DB250" s="582">
        <f t="shared" si="464"/>
        <v>2700</v>
      </c>
      <c r="DC250" s="582">
        <f t="shared" si="464"/>
        <v>3240</v>
      </c>
      <c r="DD250" s="582">
        <f t="shared" si="464"/>
        <v>4050</v>
      </c>
      <c r="DE250" s="582">
        <f t="shared" si="464"/>
        <v>5400</v>
      </c>
      <c r="DF250" s="602">
        <f t="shared" si="464"/>
        <v>8100</v>
      </c>
      <c r="DG250" s="575"/>
      <c r="DH250" s="575" t="str">
        <f t="shared" si="46"/>
        <v/>
      </c>
      <c r="DI250" s="74" t="str">
        <f t="shared" si="47"/>
        <v/>
      </c>
      <c r="DJ250" s="74" t="str">
        <f t="shared" si="48"/>
        <v/>
      </c>
      <c r="DK250" s="664">
        <f t="shared" si="49"/>
        <v>-15.7</v>
      </c>
      <c r="DL250" s="685">
        <v>45.5</v>
      </c>
      <c r="DM250" s="74"/>
      <c r="DN250" s="582">
        <f t="shared" si="455"/>
        <v>1.8</v>
      </c>
      <c r="DO250" s="575"/>
      <c r="DP250" s="61" t="s">
        <v>2359</v>
      </c>
    </row>
    <row r="251">
      <c r="A251" s="552">
        <v>245.0</v>
      </c>
      <c r="B251" s="86">
        <v>314.0</v>
      </c>
      <c r="C251" s="54">
        <v>13.0</v>
      </c>
      <c r="D251" s="54">
        <v>57.0</v>
      </c>
      <c r="E251" s="74"/>
      <c r="F251" s="68" t="s">
        <v>1378</v>
      </c>
      <c r="G251" s="68">
        <f t="shared" si="269"/>
        <v>14</v>
      </c>
      <c r="H251" s="68">
        <f t="shared" si="383"/>
        <v>16</v>
      </c>
      <c r="I251" s="68">
        <f t="shared" si="384"/>
        <v>15</v>
      </c>
      <c r="J251" s="68">
        <f t="shared" si="385"/>
        <v>16</v>
      </c>
      <c r="K251" s="68">
        <f t="shared" si="386"/>
        <v>18</v>
      </c>
      <c r="L251" s="68">
        <f t="shared" si="387"/>
        <v>16</v>
      </c>
      <c r="M251" s="569">
        <f t="shared" si="388"/>
        <v>17</v>
      </c>
      <c r="N251" s="74" t="s">
        <v>1401</v>
      </c>
      <c r="O251" s="678"/>
      <c r="P251" s="571"/>
      <c r="Q251" s="571" t="s">
        <v>1676</v>
      </c>
      <c r="R251" s="571" t="s">
        <v>1380</v>
      </c>
      <c r="S251" s="571" t="s">
        <v>1378</v>
      </c>
      <c r="T251" s="572" t="s">
        <v>1402</v>
      </c>
      <c r="U251" s="54">
        <v>68.0</v>
      </c>
      <c r="V251" s="54">
        <v>51.0</v>
      </c>
      <c r="W251" s="54">
        <v>121.0</v>
      </c>
      <c r="X251" s="679">
        <v>107.0</v>
      </c>
      <c r="Y251" s="54">
        <v>4.0</v>
      </c>
      <c r="Z251" s="54">
        <v>-10.0</v>
      </c>
      <c r="AA251" s="74"/>
      <c r="AB251" s="74"/>
      <c r="AC251" s="54">
        <v>17743.0</v>
      </c>
      <c r="AD251" s="54">
        <v>2.0</v>
      </c>
      <c r="AE251" s="74"/>
      <c r="AF251" s="54">
        <v>50.0</v>
      </c>
      <c r="AG251" s="39">
        <v>17.0</v>
      </c>
      <c r="AH251" s="39">
        <v>76.0</v>
      </c>
      <c r="AI251" s="574">
        <f t="shared" si="12"/>
        <v>46.5</v>
      </c>
      <c r="AJ251" s="909">
        <v>0.0</v>
      </c>
      <c r="AK251" s="74"/>
      <c r="AL251" s="74"/>
      <c r="AM251" s="74"/>
      <c r="AN251" s="74"/>
      <c r="AO251" s="74"/>
      <c r="AP251" s="74"/>
      <c r="AQ251" s="74"/>
      <c r="AR251" s="74"/>
      <c r="AS251" s="575"/>
      <c r="AT251" s="68">
        <f t="shared" si="13"/>
        <v>293</v>
      </c>
      <c r="AU251" s="68">
        <f t="shared" si="14"/>
        <v>858</v>
      </c>
      <c r="AV251" s="581">
        <f t="shared" si="15"/>
        <v>575.5</v>
      </c>
      <c r="AW251" s="582">
        <f t="shared" si="276"/>
        <v>1199</v>
      </c>
      <c r="AX251" s="582">
        <f t="shared" si="389"/>
        <v>1028</v>
      </c>
      <c r="AY251" s="582">
        <f t="shared" si="390"/>
        <v>1107</v>
      </c>
      <c r="AZ251" s="582">
        <f t="shared" si="391"/>
        <v>1028</v>
      </c>
      <c r="BA251" s="582">
        <f t="shared" si="392"/>
        <v>899</v>
      </c>
      <c r="BB251" s="582">
        <f t="shared" si="393"/>
        <v>959</v>
      </c>
      <c r="BC251" s="582">
        <f t="shared" si="394"/>
        <v>1028</v>
      </c>
      <c r="BD251" s="582">
        <f t="shared" si="395"/>
        <v>799</v>
      </c>
      <c r="BE251" s="582">
        <f t="shared" si="396"/>
        <v>959</v>
      </c>
      <c r="BF251" s="582">
        <f t="shared" si="397"/>
        <v>846</v>
      </c>
      <c r="BG251" s="582">
        <f t="shared" si="398"/>
        <v>1028</v>
      </c>
      <c r="BH251" s="582">
        <f t="shared" si="284"/>
        <v>1107</v>
      </c>
      <c r="BI251" s="582">
        <f t="shared" si="399"/>
        <v>959</v>
      </c>
      <c r="BJ251" s="582">
        <f t="shared" si="400"/>
        <v>959</v>
      </c>
      <c r="BK251" s="582">
        <f t="shared" si="401"/>
        <v>846</v>
      </c>
      <c r="BL251" s="582">
        <f t="shared" si="402"/>
        <v>899</v>
      </c>
      <c r="BM251" s="582">
        <f t="shared" si="445"/>
        <v>1107</v>
      </c>
      <c r="BN251" s="74"/>
      <c r="BO251" s="74"/>
      <c r="BP251" s="602">
        <f t="shared" si="33"/>
        <v>1107</v>
      </c>
      <c r="BQ251" s="670">
        <v>12.0</v>
      </c>
      <c r="BR251" s="670">
        <v>52.0</v>
      </c>
      <c r="BS251" s="670">
        <v>-10.0</v>
      </c>
      <c r="BT251" s="365"/>
      <c r="BU251" s="670">
        <v>100.0</v>
      </c>
      <c r="BV251" s="671">
        <f t="shared" si="34"/>
        <v>32</v>
      </c>
      <c r="BW251" s="672">
        <f t="shared" si="35"/>
        <v>739.6</v>
      </c>
      <c r="BX251" s="673">
        <f t="shared" si="289"/>
        <v>1540.8</v>
      </c>
      <c r="BY251" s="673">
        <f t="shared" si="404"/>
        <v>1320.7</v>
      </c>
      <c r="BZ251" s="673">
        <f t="shared" si="405"/>
        <v>1422.3</v>
      </c>
      <c r="CA251" s="673">
        <f t="shared" si="406"/>
        <v>1320.7</v>
      </c>
      <c r="CB251" s="673">
        <f t="shared" si="407"/>
        <v>1155.6</v>
      </c>
      <c r="CC251" s="673">
        <f t="shared" si="408"/>
        <v>1320.7</v>
      </c>
      <c r="CD251" s="673">
        <f t="shared" si="409"/>
        <v>1232.7</v>
      </c>
      <c r="CE251" s="674">
        <f t="shared" si="43"/>
        <v>45.3</v>
      </c>
      <c r="CF251" s="763">
        <f t="shared" si="248"/>
        <v>-22.2</v>
      </c>
      <c r="CG251" s="676">
        <f t="shared" si="295"/>
        <v>-22.2</v>
      </c>
      <c r="CH251" s="575" t="s">
        <v>1401</v>
      </c>
      <c r="CI251" s="582">
        <f t="shared" ref="CI251:DF251" si="465">FLOOR($AV251/(CI$3/25),1)</f>
        <v>575</v>
      </c>
      <c r="CJ251" s="582">
        <f t="shared" si="465"/>
        <v>599</v>
      </c>
      <c r="CK251" s="582">
        <f t="shared" si="465"/>
        <v>625</v>
      </c>
      <c r="CL251" s="582">
        <f t="shared" si="465"/>
        <v>653</v>
      </c>
      <c r="CM251" s="582">
        <f t="shared" si="465"/>
        <v>685</v>
      </c>
      <c r="CN251" s="582">
        <f t="shared" si="465"/>
        <v>719</v>
      </c>
      <c r="CO251" s="582">
        <f t="shared" si="465"/>
        <v>757</v>
      </c>
      <c r="CP251" s="582">
        <f t="shared" si="465"/>
        <v>799</v>
      </c>
      <c r="CQ251" s="582">
        <f t="shared" si="465"/>
        <v>846</v>
      </c>
      <c r="CR251" s="582">
        <f t="shared" si="465"/>
        <v>899</v>
      </c>
      <c r="CS251" s="582">
        <f t="shared" si="465"/>
        <v>959</v>
      </c>
      <c r="CT251" s="582">
        <f t="shared" si="465"/>
        <v>1027</v>
      </c>
      <c r="CU251" s="582">
        <f t="shared" si="465"/>
        <v>1106</v>
      </c>
      <c r="CV251" s="582">
        <f t="shared" si="465"/>
        <v>1198</v>
      </c>
      <c r="CW251" s="582">
        <f t="shared" si="465"/>
        <v>1307</v>
      </c>
      <c r="CX251" s="582">
        <f t="shared" si="465"/>
        <v>1438</v>
      </c>
      <c r="CY251" s="582">
        <f t="shared" si="465"/>
        <v>1598</v>
      </c>
      <c r="CZ251" s="582">
        <f t="shared" si="465"/>
        <v>1798</v>
      </c>
      <c r="DA251" s="582">
        <f t="shared" si="465"/>
        <v>2055</v>
      </c>
      <c r="DB251" s="582">
        <f t="shared" si="465"/>
        <v>2397</v>
      </c>
      <c r="DC251" s="582">
        <f t="shared" si="465"/>
        <v>2877</v>
      </c>
      <c r="DD251" s="582">
        <f t="shared" si="465"/>
        <v>3596</v>
      </c>
      <c r="DE251" s="582">
        <f t="shared" si="465"/>
        <v>4795</v>
      </c>
      <c r="DF251" s="602">
        <f t="shared" si="465"/>
        <v>7193</v>
      </c>
      <c r="DG251" s="575"/>
      <c r="DH251" s="575" t="str">
        <f t="shared" si="46"/>
        <v/>
      </c>
      <c r="DI251" s="74" t="str">
        <f t="shared" si="47"/>
        <v/>
      </c>
      <c r="DJ251" s="74" t="str">
        <f t="shared" si="48"/>
        <v/>
      </c>
      <c r="DK251" s="664">
        <f t="shared" si="49"/>
        <v>-7.5</v>
      </c>
      <c r="DL251" s="685">
        <v>43.0</v>
      </c>
      <c r="DM251" s="74"/>
      <c r="DN251" s="582">
        <f t="shared" si="455"/>
        <v>1.8</v>
      </c>
      <c r="DO251" s="575"/>
      <c r="DP251" s="61" t="s">
        <v>2359</v>
      </c>
    </row>
    <row r="252">
      <c r="A252" s="552">
        <v>246.0</v>
      </c>
      <c r="B252" s="86">
        <v>315.0</v>
      </c>
      <c r="C252" s="54">
        <v>36.0</v>
      </c>
      <c r="D252" s="54">
        <v>44.0</v>
      </c>
      <c r="E252" s="74"/>
      <c r="F252" s="68" t="s">
        <v>1378</v>
      </c>
      <c r="G252" s="68">
        <f t="shared" si="269"/>
        <v>14</v>
      </c>
      <c r="H252" s="68">
        <f t="shared" si="383"/>
        <v>16</v>
      </c>
      <c r="I252" s="68">
        <f t="shared" si="384"/>
        <v>15</v>
      </c>
      <c r="J252" s="68">
        <f t="shared" si="385"/>
        <v>16</v>
      </c>
      <c r="K252" s="68">
        <f t="shared" si="386"/>
        <v>18</v>
      </c>
      <c r="L252" s="68">
        <f t="shared" si="387"/>
        <v>16</v>
      </c>
      <c r="M252" s="569">
        <f t="shared" si="388"/>
        <v>17</v>
      </c>
      <c r="N252" s="74" t="s">
        <v>1407</v>
      </c>
      <c r="O252" s="678"/>
      <c r="P252" s="571"/>
      <c r="Q252" s="571" t="s">
        <v>1676</v>
      </c>
      <c r="R252" s="571" t="s">
        <v>1380</v>
      </c>
      <c r="S252" s="571" t="s">
        <v>1378</v>
      </c>
      <c r="T252" s="572" t="s">
        <v>1408</v>
      </c>
      <c r="U252" s="54">
        <v>72.0</v>
      </c>
      <c r="V252" s="54">
        <v>54.0</v>
      </c>
      <c r="W252" s="54">
        <v>89.0</v>
      </c>
      <c r="X252" s="679">
        <v>132.0</v>
      </c>
      <c r="Y252" s="54">
        <v>5.0</v>
      </c>
      <c r="Z252" s="54">
        <v>0.0</v>
      </c>
      <c r="AA252" s="74"/>
      <c r="AB252" s="74"/>
      <c r="AC252" s="54">
        <v>24605.0</v>
      </c>
      <c r="AD252" s="54">
        <v>2.0</v>
      </c>
      <c r="AE252" s="74"/>
      <c r="AF252" s="54">
        <v>50.0</v>
      </c>
      <c r="AG252" s="39">
        <v>48.0</v>
      </c>
      <c r="AH252" s="39">
        <v>58.0</v>
      </c>
      <c r="AI252" s="574">
        <f t="shared" si="12"/>
        <v>53</v>
      </c>
      <c r="AJ252" s="909">
        <v>0.0</v>
      </c>
      <c r="AK252" s="74"/>
      <c r="AL252" s="74"/>
      <c r="AM252" s="74"/>
      <c r="AN252" s="74"/>
      <c r="AO252" s="74"/>
      <c r="AP252" s="74"/>
      <c r="AQ252" s="74"/>
      <c r="AR252" s="74"/>
      <c r="AS252" s="575"/>
      <c r="AT252" s="68">
        <f t="shared" si="13"/>
        <v>590</v>
      </c>
      <c r="AU252" s="68">
        <f t="shared" si="14"/>
        <v>686</v>
      </c>
      <c r="AV252" s="581">
        <f t="shared" si="15"/>
        <v>638</v>
      </c>
      <c r="AW252" s="582">
        <f t="shared" si="276"/>
        <v>1227</v>
      </c>
      <c r="AX252" s="582">
        <f t="shared" si="389"/>
        <v>1063</v>
      </c>
      <c r="AY252" s="582">
        <f t="shared" si="390"/>
        <v>1139</v>
      </c>
      <c r="AZ252" s="582">
        <f t="shared" si="391"/>
        <v>1063</v>
      </c>
      <c r="BA252" s="582">
        <f t="shared" si="392"/>
        <v>938</v>
      </c>
      <c r="BB252" s="582">
        <f t="shared" si="393"/>
        <v>997</v>
      </c>
      <c r="BC252" s="582">
        <f t="shared" si="394"/>
        <v>1063</v>
      </c>
      <c r="BD252" s="582">
        <f t="shared" si="395"/>
        <v>693</v>
      </c>
      <c r="BE252" s="582">
        <f t="shared" si="396"/>
        <v>839</v>
      </c>
      <c r="BF252" s="582">
        <f t="shared" si="397"/>
        <v>760</v>
      </c>
      <c r="BG252" s="582">
        <f t="shared" si="398"/>
        <v>886</v>
      </c>
      <c r="BH252" s="582">
        <f t="shared" si="284"/>
        <v>997</v>
      </c>
      <c r="BI252" s="582">
        <f t="shared" si="399"/>
        <v>839</v>
      </c>
      <c r="BJ252" s="582">
        <f t="shared" si="400"/>
        <v>839</v>
      </c>
      <c r="BK252" s="582">
        <f t="shared" si="401"/>
        <v>760</v>
      </c>
      <c r="BL252" s="582">
        <f t="shared" si="402"/>
        <v>798</v>
      </c>
      <c r="BM252" s="582">
        <f t="shared" si="445"/>
        <v>1139</v>
      </c>
      <c r="BN252" s="74"/>
      <c r="BO252" s="74"/>
      <c r="BP252" s="602">
        <f t="shared" si="33"/>
        <v>1139</v>
      </c>
      <c r="BQ252" s="670">
        <v>33.0</v>
      </c>
      <c r="BR252" s="670">
        <v>40.0</v>
      </c>
      <c r="BS252" s="365"/>
      <c r="BT252" s="365"/>
      <c r="BU252" s="670">
        <v>100.0</v>
      </c>
      <c r="BV252" s="671">
        <f t="shared" si="34"/>
        <v>36.5</v>
      </c>
      <c r="BW252" s="672">
        <f t="shared" si="35"/>
        <v>812.2</v>
      </c>
      <c r="BX252" s="673">
        <f t="shared" si="289"/>
        <v>1561.9</v>
      </c>
      <c r="BY252" s="673">
        <f t="shared" si="404"/>
        <v>1353.7</v>
      </c>
      <c r="BZ252" s="673">
        <f t="shared" si="405"/>
        <v>1450.4</v>
      </c>
      <c r="CA252" s="673">
        <f t="shared" si="406"/>
        <v>1353.7</v>
      </c>
      <c r="CB252" s="673">
        <f t="shared" si="407"/>
        <v>1194.4</v>
      </c>
      <c r="CC252" s="673">
        <f t="shared" si="408"/>
        <v>1353.7</v>
      </c>
      <c r="CD252" s="673">
        <f t="shared" si="409"/>
        <v>1269.1</v>
      </c>
      <c r="CE252" s="674">
        <f t="shared" si="43"/>
        <v>45.2</v>
      </c>
      <c r="CF252" s="763">
        <f t="shared" si="248"/>
        <v>-21.4</v>
      </c>
      <c r="CG252" s="676">
        <f t="shared" si="295"/>
        <v>-21.4</v>
      </c>
      <c r="CH252" s="575" t="s">
        <v>1407</v>
      </c>
      <c r="CI252" s="582">
        <f t="shared" ref="CI252:DF252" si="466">FLOOR($AV252/(CI$3/25),1)</f>
        <v>638</v>
      </c>
      <c r="CJ252" s="582">
        <f t="shared" si="466"/>
        <v>664</v>
      </c>
      <c r="CK252" s="582">
        <f t="shared" si="466"/>
        <v>693</v>
      </c>
      <c r="CL252" s="582">
        <f t="shared" si="466"/>
        <v>725</v>
      </c>
      <c r="CM252" s="582">
        <f t="shared" si="466"/>
        <v>759</v>
      </c>
      <c r="CN252" s="582">
        <f t="shared" si="466"/>
        <v>797</v>
      </c>
      <c r="CO252" s="582">
        <f t="shared" si="466"/>
        <v>839</v>
      </c>
      <c r="CP252" s="582">
        <f t="shared" si="466"/>
        <v>886</v>
      </c>
      <c r="CQ252" s="582">
        <f t="shared" si="466"/>
        <v>938</v>
      </c>
      <c r="CR252" s="582">
        <f t="shared" si="466"/>
        <v>996</v>
      </c>
      <c r="CS252" s="582">
        <f t="shared" si="466"/>
        <v>1063</v>
      </c>
      <c r="CT252" s="582">
        <f t="shared" si="466"/>
        <v>1139</v>
      </c>
      <c r="CU252" s="582">
        <f t="shared" si="466"/>
        <v>1226</v>
      </c>
      <c r="CV252" s="582">
        <f t="shared" si="466"/>
        <v>1329</v>
      </c>
      <c r="CW252" s="582">
        <f t="shared" si="466"/>
        <v>1450</v>
      </c>
      <c r="CX252" s="582">
        <f t="shared" si="466"/>
        <v>1595</v>
      </c>
      <c r="CY252" s="582">
        <f t="shared" si="466"/>
        <v>1772</v>
      </c>
      <c r="CZ252" s="582">
        <f t="shared" si="466"/>
        <v>1993</v>
      </c>
      <c r="DA252" s="582">
        <f t="shared" si="466"/>
        <v>2278</v>
      </c>
      <c r="DB252" s="582">
        <f t="shared" si="466"/>
        <v>2658</v>
      </c>
      <c r="DC252" s="582">
        <f t="shared" si="466"/>
        <v>3190</v>
      </c>
      <c r="DD252" s="582">
        <f t="shared" si="466"/>
        <v>3987</v>
      </c>
      <c r="DE252" s="582">
        <f t="shared" si="466"/>
        <v>5316</v>
      </c>
      <c r="DF252" s="602">
        <f t="shared" si="466"/>
        <v>7975</v>
      </c>
      <c r="DG252" s="575"/>
      <c r="DH252" s="575" t="str">
        <f t="shared" si="46"/>
        <v/>
      </c>
      <c r="DI252" s="74" t="str">
        <f t="shared" si="47"/>
        <v/>
      </c>
      <c r="DJ252" s="74" t="str">
        <f t="shared" si="48"/>
        <v/>
      </c>
      <c r="DK252" s="664">
        <f t="shared" si="49"/>
        <v>-14.2</v>
      </c>
      <c r="DL252" s="685">
        <v>45.5</v>
      </c>
      <c r="DM252" s="74"/>
      <c r="DN252" s="582">
        <f t="shared" si="455"/>
        <v>1.6</v>
      </c>
      <c r="DO252" s="575"/>
      <c r="DP252" s="61" t="s">
        <v>2359</v>
      </c>
    </row>
    <row r="253">
      <c r="A253" s="552">
        <v>247.0</v>
      </c>
      <c r="B253" s="86">
        <v>316.0</v>
      </c>
      <c r="C253" s="54">
        <v>17.0</v>
      </c>
      <c r="D253" s="54">
        <v>69.0</v>
      </c>
      <c r="E253" s="74"/>
      <c r="F253" s="68" t="s">
        <v>1378</v>
      </c>
      <c r="G253" s="68">
        <f t="shared" si="269"/>
        <v>14</v>
      </c>
      <c r="H253" s="68">
        <f t="shared" si="383"/>
        <v>16</v>
      </c>
      <c r="I253" s="68">
        <f t="shared" si="384"/>
        <v>15</v>
      </c>
      <c r="J253" s="68">
        <f t="shared" si="385"/>
        <v>16</v>
      </c>
      <c r="K253" s="68">
        <f t="shared" si="386"/>
        <v>18</v>
      </c>
      <c r="L253" s="68">
        <f t="shared" si="387"/>
        <v>16</v>
      </c>
      <c r="M253" s="569">
        <f t="shared" si="388"/>
        <v>17</v>
      </c>
      <c r="N253" s="74" t="s">
        <v>1415</v>
      </c>
      <c r="O253" s="570" t="s">
        <v>2057</v>
      </c>
      <c r="P253" s="571"/>
      <c r="Q253" s="571" t="s">
        <v>1676</v>
      </c>
      <c r="R253" s="571" t="s">
        <v>1380</v>
      </c>
      <c r="S253" s="571" t="s">
        <v>1378</v>
      </c>
      <c r="T253" s="572" t="s">
        <v>1416</v>
      </c>
      <c r="U253" s="54">
        <v>77.0</v>
      </c>
      <c r="V253" s="54">
        <v>57.0</v>
      </c>
      <c r="W253" s="54">
        <v>97.0</v>
      </c>
      <c r="X253" s="679">
        <v>121.0</v>
      </c>
      <c r="Y253" s="54">
        <v>6.0</v>
      </c>
      <c r="Z253" s="54">
        <v>10.0</v>
      </c>
      <c r="AA253" s="74"/>
      <c r="AB253" s="74"/>
      <c r="AC253" s="54">
        <v>18105.0</v>
      </c>
      <c r="AD253" s="54">
        <v>2.0</v>
      </c>
      <c r="AE253" s="74"/>
      <c r="AF253" s="54">
        <v>50.0</v>
      </c>
      <c r="AG253" s="39">
        <v>23.0</v>
      </c>
      <c r="AH253" s="39">
        <v>91.0</v>
      </c>
      <c r="AI253" s="574">
        <f t="shared" si="12"/>
        <v>57</v>
      </c>
      <c r="AJ253" s="909">
        <v>0.0</v>
      </c>
      <c r="AK253" s="74"/>
      <c r="AL253" s="74"/>
      <c r="AM253" s="74"/>
      <c r="AN253" s="74"/>
      <c r="AO253" s="74"/>
      <c r="AP253" s="74"/>
      <c r="AQ253" s="74"/>
      <c r="AR253" s="74"/>
      <c r="AS253" s="575"/>
      <c r="AT253" s="68">
        <f t="shared" si="13"/>
        <v>350</v>
      </c>
      <c r="AU253" s="68">
        <f t="shared" si="14"/>
        <v>1001</v>
      </c>
      <c r="AV253" s="581">
        <f t="shared" si="15"/>
        <v>675.5</v>
      </c>
      <c r="AW253" s="582">
        <f t="shared" si="276"/>
        <v>1126</v>
      </c>
      <c r="AX253" s="582">
        <f t="shared" si="389"/>
        <v>993</v>
      </c>
      <c r="AY253" s="582">
        <f t="shared" si="390"/>
        <v>1055</v>
      </c>
      <c r="AZ253" s="582">
        <f t="shared" si="391"/>
        <v>993</v>
      </c>
      <c r="BA253" s="582">
        <f t="shared" si="392"/>
        <v>844</v>
      </c>
      <c r="BB253" s="582">
        <f t="shared" si="393"/>
        <v>938</v>
      </c>
      <c r="BC253" s="582">
        <f t="shared" si="394"/>
        <v>993</v>
      </c>
      <c r="BD253" s="582">
        <f t="shared" si="395"/>
        <v>625</v>
      </c>
      <c r="BE253" s="582">
        <f t="shared" si="396"/>
        <v>768</v>
      </c>
      <c r="BF253" s="582">
        <f t="shared" si="397"/>
        <v>676</v>
      </c>
      <c r="BG253" s="582">
        <f t="shared" si="398"/>
        <v>804</v>
      </c>
      <c r="BH253" s="582">
        <f t="shared" si="284"/>
        <v>844</v>
      </c>
      <c r="BI253" s="582">
        <f t="shared" si="399"/>
        <v>768</v>
      </c>
      <c r="BJ253" s="582">
        <f t="shared" si="400"/>
        <v>768</v>
      </c>
      <c r="BK253" s="582">
        <f t="shared" si="401"/>
        <v>650</v>
      </c>
      <c r="BL253" s="582">
        <f t="shared" si="402"/>
        <v>704</v>
      </c>
      <c r="BM253" s="582">
        <f t="shared" si="445"/>
        <v>1055</v>
      </c>
      <c r="BN253" s="74"/>
      <c r="BO253" s="74"/>
      <c r="BP253" s="602">
        <f t="shared" si="33"/>
        <v>1055</v>
      </c>
      <c r="BQ253" s="670">
        <v>15.0</v>
      </c>
      <c r="BR253" s="670">
        <v>63.0</v>
      </c>
      <c r="BS253" s="670">
        <v>10.0</v>
      </c>
      <c r="BT253" s="365"/>
      <c r="BU253" s="670">
        <v>100.0</v>
      </c>
      <c r="BV253" s="671">
        <f t="shared" si="34"/>
        <v>39</v>
      </c>
      <c r="BW253" s="672">
        <f t="shared" si="35"/>
        <v>852.6</v>
      </c>
      <c r="BX253" s="673">
        <f t="shared" si="289"/>
        <v>1421</v>
      </c>
      <c r="BY253" s="673">
        <f t="shared" si="404"/>
        <v>1253.8</v>
      </c>
      <c r="BZ253" s="673">
        <f t="shared" si="405"/>
        <v>1332.2</v>
      </c>
      <c r="CA253" s="673">
        <f t="shared" si="406"/>
        <v>1253.8</v>
      </c>
      <c r="CB253" s="673">
        <f t="shared" si="407"/>
        <v>1065.8</v>
      </c>
      <c r="CC253" s="673">
        <f t="shared" si="408"/>
        <v>1253.8</v>
      </c>
      <c r="CD253" s="673">
        <f t="shared" si="409"/>
        <v>1184.2</v>
      </c>
      <c r="CE253" s="674">
        <f t="shared" si="43"/>
        <v>46.2</v>
      </c>
      <c r="CF253" s="763">
        <f t="shared" si="248"/>
        <v>-20.8</v>
      </c>
      <c r="CG253" s="676">
        <f t="shared" si="295"/>
        <v>-20.8</v>
      </c>
      <c r="CH253" s="575" t="s">
        <v>1415</v>
      </c>
      <c r="CI253" s="582">
        <f t="shared" ref="CI253:DF253" si="467">FLOOR($AV253/(CI$3/25),1)</f>
        <v>675</v>
      </c>
      <c r="CJ253" s="582">
        <f t="shared" si="467"/>
        <v>703</v>
      </c>
      <c r="CK253" s="582">
        <f t="shared" si="467"/>
        <v>734</v>
      </c>
      <c r="CL253" s="582">
        <f t="shared" si="467"/>
        <v>767</v>
      </c>
      <c r="CM253" s="582">
        <f t="shared" si="467"/>
        <v>804</v>
      </c>
      <c r="CN253" s="582">
        <f t="shared" si="467"/>
        <v>844</v>
      </c>
      <c r="CO253" s="582">
        <f t="shared" si="467"/>
        <v>888</v>
      </c>
      <c r="CP253" s="582">
        <f t="shared" si="467"/>
        <v>938</v>
      </c>
      <c r="CQ253" s="582">
        <f t="shared" si="467"/>
        <v>993</v>
      </c>
      <c r="CR253" s="582">
        <f t="shared" si="467"/>
        <v>1055</v>
      </c>
      <c r="CS253" s="582">
        <f t="shared" si="467"/>
        <v>1125</v>
      </c>
      <c r="CT253" s="582">
        <f t="shared" si="467"/>
        <v>1206</v>
      </c>
      <c r="CU253" s="582">
        <f t="shared" si="467"/>
        <v>1299</v>
      </c>
      <c r="CV253" s="582">
        <f t="shared" si="467"/>
        <v>1407</v>
      </c>
      <c r="CW253" s="582">
        <f t="shared" si="467"/>
        <v>1535</v>
      </c>
      <c r="CX253" s="582">
        <f t="shared" si="467"/>
        <v>1688</v>
      </c>
      <c r="CY253" s="582">
        <f t="shared" si="467"/>
        <v>1876</v>
      </c>
      <c r="CZ253" s="582">
        <f t="shared" si="467"/>
        <v>2110</v>
      </c>
      <c r="DA253" s="582">
        <f t="shared" si="467"/>
        <v>2412</v>
      </c>
      <c r="DB253" s="582">
        <f t="shared" si="467"/>
        <v>2814</v>
      </c>
      <c r="DC253" s="582">
        <f t="shared" si="467"/>
        <v>3377</v>
      </c>
      <c r="DD253" s="582">
        <f t="shared" si="467"/>
        <v>4221</v>
      </c>
      <c r="DE253" s="582">
        <f t="shared" si="467"/>
        <v>5629</v>
      </c>
      <c r="DF253" s="602">
        <f t="shared" si="467"/>
        <v>8443</v>
      </c>
      <c r="DG253" s="575"/>
      <c r="DH253" s="575" t="str">
        <f t="shared" si="46"/>
        <v/>
      </c>
      <c r="DI253" s="74" t="str">
        <f t="shared" si="47"/>
        <v/>
      </c>
      <c r="DJ253" s="74" t="str">
        <f t="shared" si="48"/>
        <v/>
      </c>
      <c r="DK253" s="664">
        <f t="shared" si="49"/>
        <v>-14.9</v>
      </c>
      <c r="DL253" s="685">
        <v>48.5</v>
      </c>
      <c r="DM253" s="74"/>
      <c r="DN253" s="582">
        <f t="shared" si="455"/>
        <v>1.4</v>
      </c>
      <c r="DO253" s="575"/>
      <c r="DP253" s="61" t="s">
        <v>2359</v>
      </c>
    </row>
    <row r="254">
      <c r="A254" s="552">
        <v>248.0</v>
      </c>
      <c r="B254" s="86">
        <v>317.0</v>
      </c>
      <c r="C254" s="54">
        <v>22.0</v>
      </c>
      <c r="D254" s="54">
        <v>58.0</v>
      </c>
      <c r="E254" s="74"/>
      <c r="F254" s="68" t="s">
        <v>1378</v>
      </c>
      <c r="G254" s="68">
        <f t="shared" si="269"/>
        <v>14</v>
      </c>
      <c r="H254" s="68">
        <f t="shared" si="383"/>
        <v>16</v>
      </c>
      <c r="I254" s="68">
        <f t="shared" si="384"/>
        <v>15</v>
      </c>
      <c r="J254" s="68">
        <f t="shared" si="385"/>
        <v>16</v>
      </c>
      <c r="K254" s="68">
        <f t="shared" si="386"/>
        <v>18</v>
      </c>
      <c r="L254" s="68">
        <f t="shared" si="387"/>
        <v>16</v>
      </c>
      <c r="M254" s="569">
        <f t="shared" si="388"/>
        <v>17</v>
      </c>
      <c r="N254" s="74" t="s">
        <v>1422</v>
      </c>
      <c r="O254" s="570" t="s">
        <v>2058</v>
      </c>
      <c r="P254" s="571"/>
      <c r="Q254" s="571" t="s">
        <v>1676</v>
      </c>
      <c r="R254" s="571" t="s">
        <v>1380</v>
      </c>
      <c r="S254" s="571" t="s">
        <v>1378</v>
      </c>
      <c r="T254" s="572" t="s">
        <v>1423</v>
      </c>
      <c r="U254" s="54">
        <v>80.0</v>
      </c>
      <c r="V254" s="54">
        <v>60.0</v>
      </c>
      <c r="W254" s="54">
        <v>72.0</v>
      </c>
      <c r="X254" s="679">
        <v>146.0</v>
      </c>
      <c r="Y254" s="54">
        <v>5.0</v>
      </c>
      <c r="Z254" s="54">
        <v>0.0</v>
      </c>
      <c r="AA254" s="74"/>
      <c r="AB254" s="74"/>
      <c r="AC254" s="54">
        <v>15042.0</v>
      </c>
      <c r="AD254" s="54">
        <v>2.0</v>
      </c>
      <c r="AE254" s="74"/>
      <c r="AF254" s="54">
        <v>50.0</v>
      </c>
      <c r="AG254" s="39">
        <v>29.0</v>
      </c>
      <c r="AH254" s="39">
        <v>77.0</v>
      </c>
      <c r="AI254" s="574">
        <f t="shared" si="12"/>
        <v>53</v>
      </c>
      <c r="AJ254" s="909">
        <v>0.0</v>
      </c>
      <c r="AK254" s="74"/>
      <c r="AL254" s="74"/>
      <c r="AM254" s="74"/>
      <c r="AN254" s="74"/>
      <c r="AO254" s="74"/>
      <c r="AP254" s="74"/>
      <c r="AQ254" s="74"/>
      <c r="AR254" s="74"/>
      <c r="AS254" s="575"/>
      <c r="AT254" s="68">
        <f t="shared" si="13"/>
        <v>408</v>
      </c>
      <c r="AU254" s="68">
        <f t="shared" si="14"/>
        <v>868</v>
      </c>
      <c r="AV254" s="581">
        <f t="shared" si="15"/>
        <v>638</v>
      </c>
      <c r="AW254" s="582">
        <f t="shared" si="276"/>
        <v>1227</v>
      </c>
      <c r="AX254" s="582">
        <f t="shared" si="389"/>
        <v>1063</v>
      </c>
      <c r="AY254" s="582">
        <f t="shared" si="390"/>
        <v>1139</v>
      </c>
      <c r="AZ254" s="582">
        <f t="shared" si="391"/>
        <v>1063</v>
      </c>
      <c r="BA254" s="582">
        <f t="shared" si="392"/>
        <v>938</v>
      </c>
      <c r="BB254" s="582">
        <f t="shared" si="393"/>
        <v>997</v>
      </c>
      <c r="BC254" s="582">
        <f t="shared" si="394"/>
        <v>1063</v>
      </c>
      <c r="BD254" s="582">
        <f t="shared" si="395"/>
        <v>693</v>
      </c>
      <c r="BE254" s="582">
        <f t="shared" si="396"/>
        <v>839</v>
      </c>
      <c r="BF254" s="582">
        <f t="shared" si="397"/>
        <v>760</v>
      </c>
      <c r="BG254" s="582">
        <f t="shared" si="398"/>
        <v>886</v>
      </c>
      <c r="BH254" s="582">
        <f t="shared" si="284"/>
        <v>997</v>
      </c>
      <c r="BI254" s="582">
        <f t="shared" si="399"/>
        <v>839</v>
      </c>
      <c r="BJ254" s="582">
        <f t="shared" si="400"/>
        <v>839</v>
      </c>
      <c r="BK254" s="582">
        <f t="shared" si="401"/>
        <v>760</v>
      </c>
      <c r="BL254" s="582">
        <f t="shared" si="402"/>
        <v>798</v>
      </c>
      <c r="BM254" s="582">
        <f t="shared" si="445"/>
        <v>1139</v>
      </c>
      <c r="BN254" s="74"/>
      <c r="BO254" s="74"/>
      <c r="BP254" s="602">
        <f t="shared" si="33"/>
        <v>1139</v>
      </c>
      <c r="BQ254" s="670">
        <v>20.0</v>
      </c>
      <c r="BR254" s="670">
        <v>53.0</v>
      </c>
      <c r="BS254" s="365"/>
      <c r="BT254" s="365"/>
      <c r="BU254" s="670">
        <v>100.0</v>
      </c>
      <c r="BV254" s="671">
        <f t="shared" si="34"/>
        <v>36.5</v>
      </c>
      <c r="BW254" s="672">
        <f t="shared" si="35"/>
        <v>812.2</v>
      </c>
      <c r="BX254" s="673">
        <f t="shared" si="289"/>
        <v>1561.9</v>
      </c>
      <c r="BY254" s="673">
        <f t="shared" si="404"/>
        <v>1353.7</v>
      </c>
      <c r="BZ254" s="673">
        <f t="shared" si="405"/>
        <v>1450.4</v>
      </c>
      <c r="CA254" s="673">
        <f t="shared" si="406"/>
        <v>1353.7</v>
      </c>
      <c r="CB254" s="673">
        <f t="shared" si="407"/>
        <v>1194.4</v>
      </c>
      <c r="CC254" s="673">
        <f t="shared" si="408"/>
        <v>1353.7</v>
      </c>
      <c r="CD254" s="673">
        <f t="shared" si="409"/>
        <v>1269.1</v>
      </c>
      <c r="CE254" s="674">
        <f t="shared" si="43"/>
        <v>45.2</v>
      </c>
      <c r="CF254" s="763">
        <f t="shared" si="248"/>
        <v>-21.4</v>
      </c>
      <c r="CG254" s="676">
        <f t="shared" si="295"/>
        <v>-21.4</v>
      </c>
      <c r="CH254" s="575" t="s">
        <v>1422</v>
      </c>
      <c r="CI254" s="582">
        <f t="shared" ref="CI254:DF254" si="468">FLOOR($AV254/(CI$3/25),1)</f>
        <v>638</v>
      </c>
      <c r="CJ254" s="582">
        <f t="shared" si="468"/>
        <v>664</v>
      </c>
      <c r="CK254" s="582">
        <f t="shared" si="468"/>
        <v>693</v>
      </c>
      <c r="CL254" s="582">
        <f t="shared" si="468"/>
        <v>725</v>
      </c>
      <c r="CM254" s="582">
        <f t="shared" si="468"/>
        <v>759</v>
      </c>
      <c r="CN254" s="582">
        <f t="shared" si="468"/>
        <v>797</v>
      </c>
      <c r="CO254" s="582">
        <f t="shared" si="468"/>
        <v>839</v>
      </c>
      <c r="CP254" s="582">
        <f t="shared" si="468"/>
        <v>886</v>
      </c>
      <c r="CQ254" s="582">
        <f t="shared" si="468"/>
        <v>938</v>
      </c>
      <c r="CR254" s="582">
        <f t="shared" si="468"/>
        <v>996</v>
      </c>
      <c r="CS254" s="582">
        <f t="shared" si="468"/>
        <v>1063</v>
      </c>
      <c r="CT254" s="582">
        <f t="shared" si="468"/>
        <v>1139</v>
      </c>
      <c r="CU254" s="582">
        <f t="shared" si="468"/>
        <v>1226</v>
      </c>
      <c r="CV254" s="582">
        <f t="shared" si="468"/>
        <v>1329</v>
      </c>
      <c r="CW254" s="582">
        <f t="shared" si="468"/>
        <v>1450</v>
      </c>
      <c r="CX254" s="582">
        <f t="shared" si="468"/>
        <v>1595</v>
      </c>
      <c r="CY254" s="582">
        <f t="shared" si="468"/>
        <v>1772</v>
      </c>
      <c r="CZ254" s="582">
        <f t="shared" si="468"/>
        <v>1993</v>
      </c>
      <c r="DA254" s="582">
        <f t="shared" si="468"/>
        <v>2278</v>
      </c>
      <c r="DB254" s="582">
        <f t="shared" si="468"/>
        <v>2658</v>
      </c>
      <c r="DC254" s="582">
        <f t="shared" si="468"/>
        <v>3190</v>
      </c>
      <c r="DD254" s="582">
        <f t="shared" si="468"/>
        <v>3987</v>
      </c>
      <c r="DE254" s="582">
        <f t="shared" si="468"/>
        <v>5316</v>
      </c>
      <c r="DF254" s="602">
        <f t="shared" si="468"/>
        <v>7975</v>
      </c>
      <c r="DG254" s="575"/>
      <c r="DH254" s="575" t="str">
        <f t="shared" si="46"/>
        <v/>
      </c>
      <c r="DI254" s="74" t="str">
        <f t="shared" si="47"/>
        <v/>
      </c>
      <c r="DJ254" s="74" t="str">
        <f t="shared" si="48"/>
        <v/>
      </c>
      <c r="DK254" s="664">
        <f t="shared" si="49"/>
        <v>-14.2</v>
      </c>
      <c r="DL254" s="685">
        <v>45.5</v>
      </c>
      <c r="DM254" s="74"/>
      <c r="DN254" s="582">
        <f t="shared" si="455"/>
        <v>1.4</v>
      </c>
      <c r="DO254" s="575"/>
      <c r="DP254" s="61" t="s">
        <v>2359</v>
      </c>
    </row>
    <row r="255">
      <c r="A255" s="764">
        <v>249.0</v>
      </c>
      <c r="B255" s="765">
        <v>318.0</v>
      </c>
      <c r="C255" s="766">
        <v>11.0</v>
      </c>
      <c r="D255" s="766">
        <v>75.0</v>
      </c>
      <c r="E255" s="767"/>
      <c r="F255" s="768" t="s">
        <v>1378</v>
      </c>
      <c r="G255" s="768">
        <f t="shared" si="269"/>
        <v>14</v>
      </c>
      <c r="H255" s="768">
        <f t="shared" si="383"/>
        <v>16</v>
      </c>
      <c r="I255" s="768">
        <f t="shared" si="384"/>
        <v>15</v>
      </c>
      <c r="J255" s="768">
        <f t="shared" si="385"/>
        <v>16</v>
      </c>
      <c r="K255" s="768">
        <f t="shared" si="386"/>
        <v>18</v>
      </c>
      <c r="L255" s="768">
        <f t="shared" si="387"/>
        <v>16</v>
      </c>
      <c r="M255" s="769">
        <f t="shared" si="388"/>
        <v>17</v>
      </c>
      <c r="N255" s="767" t="s">
        <v>1428</v>
      </c>
      <c r="O255" s="770" t="s">
        <v>2059</v>
      </c>
      <c r="P255" s="771"/>
      <c r="Q255" s="771" t="s">
        <v>1676</v>
      </c>
      <c r="R255" s="771" t="s">
        <v>1380</v>
      </c>
      <c r="S255" s="771" t="s">
        <v>1378</v>
      </c>
      <c r="T255" s="772" t="s">
        <v>1429</v>
      </c>
      <c r="U255" s="766">
        <v>85.0</v>
      </c>
      <c r="V255" s="766">
        <v>63.0</v>
      </c>
      <c r="W255" s="766">
        <v>134.0</v>
      </c>
      <c r="X255" s="773">
        <v>167.0</v>
      </c>
      <c r="Y255" s="766">
        <v>6.0</v>
      </c>
      <c r="Z255" s="766">
        <v>10.0</v>
      </c>
      <c r="AA255" s="767"/>
      <c r="AB255" s="767"/>
      <c r="AC255" s="766">
        <v>19375.0</v>
      </c>
      <c r="AD255" s="766">
        <v>2.0</v>
      </c>
      <c r="AE255" s="767"/>
      <c r="AF255" s="766">
        <v>50.0</v>
      </c>
      <c r="AG255" s="912">
        <v>14.0</v>
      </c>
      <c r="AH255" s="912">
        <v>100.0</v>
      </c>
      <c r="AI255" s="775">
        <f t="shared" si="12"/>
        <v>57</v>
      </c>
      <c r="AJ255" s="913">
        <v>0.0</v>
      </c>
      <c r="AK255" s="801">
        <v>409.0</v>
      </c>
      <c r="AL255" s="801"/>
      <c r="AM255" s="767"/>
      <c r="AN255" s="801"/>
      <c r="AO255" s="767"/>
      <c r="AP255" s="767"/>
      <c r="AQ255" s="767"/>
      <c r="AR255" s="767"/>
      <c r="AS255" s="776"/>
      <c r="AT255" s="768">
        <f t="shared" si="13"/>
        <v>281</v>
      </c>
      <c r="AU255" s="768">
        <f t="shared" si="14"/>
        <v>1200</v>
      </c>
      <c r="AV255" s="777">
        <f t="shared" si="15"/>
        <v>740.5</v>
      </c>
      <c r="AW255" s="778">
        <f t="shared" si="276"/>
        <v>1234</v>
      </c>
      <c r="AX255" s="778">
        <f t="shared" si="389"/>
        <v>1089</v>
      </c>
      <c r="AY255" s="778">
        <f t="shared" si="390"/>
        <v>1157</v>
      </c>
      <c r="AZ255" s="778">
        <f t="shared" si="391"/>
        <v>1089</v>
      </c>
      <c r="BA255" s="778">
        <f t="shared" si="392"/>
        <v>926</v>
      </c>
      <c r="BB255" s="778">
        <f t="shared" si="393"/>
        <v>1028</v>
      </c>
      <c r="BC255" s="778">
        <f t="shared" si="394"/>
        <v>1089</v>
      </c>
      <c r="BD255" s="778">
        <f t="shared" si="395"/>
        <v>686</v>
      </c>
      <c r="BE255" s="778">
        <f t="shared" si="396"/>
        <v>841</v>
      </c>
      <c r="BF255" s="778">
        <f t="shared" si="397"/>
        <v>741</v>
      </c>
      <c r="BG255" s="778">
        <f t="shared" si="398"/>
        <v>882</v>
      </c>
      <c r="BH255" s="778">
        <f t="shared" si="284"/>
        <v>926</v>
      </c>
      <c r="BI255" s="778">
        <f t="shared" si="399"/>
        <v>841</v>
      </c>
      <c r="BJ255" s="778">
        <f t="shared" si="400"/>
        <v>841</v>
      </c>
      <c r="BK255" s="778">
        <f t="shared" si="401"/>
        <v>712</v>
      </c>
      <c r="BL255" s="778">
        <f t="shared" si="402"/>
        <v>771</v>
      </c>
      <c r="BM255" s="778">
        <f t="shared" si="445"/>
        <v>1157</v>
      </c>
      <c r="BN255" s="767"/>
      <c r="BO255" s="767"/>
      <c r="BP255" s="779">
        <f t="shared" si="33"/>
        <v>1157</v>
      </c>
      <c r="BQ255" s="780">
        <v>10.0</v>
      </c>
      <c r="BR255" s="780">
        <v>68.0</v>
      </c>
      <c r="BS255" s="780">
        <v>10.0</v>
      </c>
      <c r="BT255" s="781"/>
      <c r="BU255" s="780">
        <v>100.0</v>
      </c>
      <c r="BV255" s="782">
        <f t="shared" si="34"/>
        <v>39</v>
      </c>
      <c r="BW255" s="783">
        <f t="shared" si="35"/>
        <v>852.6</v>
      </c>
      <c r="BX255" s="784">
        <f t="shared" si="289"/>
        <v>1421</v>
      </c>
      <c r="BY255" s="784">
        <f t="shared" si="404"/>
        <v>1253.8</v>
      </c>
      <c r="BZ255" s="784">
        <f t="shared" si="405"/>
        <v>1332.2</v>
      </c>
      <c r="CA255" s="784">
        <f t="shared" si="406"/>
        <v>1253.8</v>
      </c>
      <c r="CB255" s="784">
        <f t="shared" si="407"/>
        <v>1065.8</v>
      </c>
      <c r="CC255" s="784">
        <f t="shared" si="408"/>
        <v>1253.8</v>
      </c>
      <c r="CD255" s="784">
        <f t="shared" si="409"/>
        <v>1184.2</v>
      </c>
      <c r="CE255" s="785">
        <f t="shared" si="43"/>
        <v>46.2</v>
      </c>
      <c r="CF255" s="786">
        <f t="shared" si="248"/>
        <v>-13.1</v>
      </c>
      <c r="CG255" s="787">
        <f t="shared" si="295"/>
        <v>-13.2</v>
      </c>
      <c r="CH255" s="776" t="s">
        <v>1428</v>
      </c>
      <c r="CI255" s="778">
        <f t="shared" ref="CI255:DF255" si="469">FLOOR($AV255/(CI$3/25),1)</f>
        <v>740</v>
      </c>
      <c r="CJ255" s="778">
        <f t="shared" si="469"/>
        <v>771</v>
      </c>
      <c r="CK255" s="778">
        <f t="shared" si="469"/>
        <v>804</v>
      </c>
      <c r="CL255" s="778">
        <f t="shared" si="469"/>
        <v>841</v>
      </c>
      <c r="CM255" s="778">
        <f t="shared" si="469"/>
        <v>881</v>
      </c>
      <c r="CN255" s="778">
        <f t="shared" si="469"/>
        <v>925</v>
      </c>
      <c r="CO255" s="778">
        <f t="shared" si="469"/>
        <v>974</v>
      </c>
      <c r="CP255" s="778">
        <f t="shared" si="469"/>
        <v>1028</v>
      </c>
      <c r="CQ255" s="778">
        <f t="shared" si="469"/>
        <v>1088</v>
      </c>
      <c r="CR255" s="778">
        <f t="shared" si="469"/>
        <v>1157</v>
      </c>
      <c r="CS255" s="778">
        <f t="shared" si="469"/>
        <v>1234</v>
      </c>
      <c r="CT255" s="778">
        <f t="shared" si="469"/>
        <v>1322</v>
      </c>
      <c r="CU255" s="778">
        <f t="shared" si="469"/>
        <v>1424</v>
      </c>
      <c r="CV255" s="778">
        <f t="shared" si="469"/>
        <v>1542</v>
      </c>
      <c r="CW255" s="778">
        <f t="shared" si="469"/>
        <v>1682</v>
      </c>
      <c r="CX255" s="778">
        <f t="shared" si="469"/>
        <v>1851</v>
      </c>
      <c r="CY255" s="778">
        <f t="shared" si="469"/>
        <v>2056</v>
      </c>
      <c r="CZ255" s="778">
        <f t="shared" si="469"/>
        <v>2314</v>
      </c>
      <c r="DA255" s="778">
        <f t="shared" si="469"/>
        <v>2644</v>
      </c>
      <c r="DB255" s="778">
        <f t="shared" si="469"/>
        <v>3085</v>
      </c>
      <c r="DC255" s="778">
        <f t="shared" si="469"/>
        <v>3702</v>
      </c>
      <c r="DD255" s="778">
        <f t="shared" si="469"/>
        <v>4628</v>
      </c>
      <c r="DE255" s="778">
        <f t="shared" si="469"/>
        <v>6170</v>
      </c>
      <c r="DF255" s="779">
        <f t="shared" si="469"/>
        <v>9256</v>
      </c>
      <c r="DG255" s="776"/>
      <c r="DH255" s="776" t="str">
        <f t="shared" si="46"/>
        <v/>
      </c>
      <c r="DI255" s="767" t="str">
        <f t="shared" si="47"/>
        <v/>
      </c>
      <c r="DJ255" s="767" t="str">
        <f t="shared" si="48"/>
        <v/>
      </c>
      <c r="DK255" s="788">
        <f t="shared" si="49"/>
        <v>-14.9</v>
      </c>
      <c r="DL255" s="789">
        <v>48.5</v>
      </c>
      <c r="DM255" s="767"/>
      <c r="DN255" s="778">
        <f t="shared" si="455"/>
        <v>1.4</v>
      </c>
      <c r="DO255" s="776" t="s">
        <v>2361</v>
      </c>
      <c r="DP255" s="874" t="s">
        <v>2359</v>
      </c>
    </row>
    <row r="256">
      <c r="A256" s="552">
        <v>250.0</v>
      </c>
      <c r="B256" s="86">
        <v>328.0</v>
      </c>
      <c r="C256" s="54">
        <v>8.0</v>
      </c>
      <c r="D256" s="54">
        <v>14.0</v>
      </c>
      <c r="E256" s="74"/>
      <c r="F256" s="68" t="s">
        <v>1378</v>
      </c>
      <c r="G256" s="68">
        <f t="shared" si="269"/>
        <v>14</v>
      </c>
      <c r="H256" s="74"/>
      <c r="I256" s="74"/>
      <c r="J256" s="74"/>
      <c r="K256" s="74"/>
      <c r="L256" s="74"/>
      <c r="M256" s="575"/>
      <c r="N256" s="74" t="s">
        <v>1430</v>
      </c>
      <c r="O256" s="678"/>
      <c r="P256" s="571"/>
      <c r="Q256" s="571" t="s">
        <v>1313</v>
      </c>
      <c r="R256" s="571" t="s">
        <v>1380</v>
      </c>
      <c r="S256" s="791" t="s">
        <v>1438</v>
      </c>
      <c r="T256" s="572" t="s">
        <v>1431</v>
      </c>
      <c r="U256" s="54">
        <v>18.0</v>
      </c>
      <c r="V256" s="54">
        <v>14.0</v>
      </c>
      <c r="W256" s="54">
        <v>30.0</v>
      </c>
      <c r="X256" s="54">
        <v>45.0</v>
      </c>
      <c r="Y256" s="54">
        <v>5.0</v>
      </c>
      <c r="Z256" s="54">
        <v>0.0</v>
      </c>
      <c r="AA256" s="74"/>
      <c r="AB256" s="74"/>
      <c r="AC256" s="54">
        <v>2500.0</v>
      </c>
      <c r="AD256" s="54">
        <v>3.0</v>
      </c>
      <c r="AE256" s="74"/>
      <c r="AF256" s="54">
        <v>50.0</v>
      </c>
      <c r="AG256" s="54">
        <v>8.0</v>
      </c>
      <c r="AH256" s="54">
        <v>14.0</v>
      </c>
      <c r="AI256" s="574">
        <f t="shared" si="12"/>
        <v>11</v>
      </c>
      <c r="AJ256" s="909">
        <v>0.0</v>
      </c>
      <c r="AK256" s="74"/>
      <c r="AL256" s="74"/>
      <c r="AM256" s="74"/>
      <c r="AN256" s="74"/>
      <c r="AO256" s="74"/>
      <c r="AP256" s="74"/>
      <c r="AQ256" s="74"/>
      <c r="AR256" s="74"/>
      <c r="AS256" s="575"/>
      <c r="AT256" s="68">
        <f t="shared" si="13"/>
        <v>207</v>
      </c>
      <c r="AU256" s="68">
        <f t="shared" si="14"/>
        <v>263</v>
      </c>
      <c r="AV256" s="581">
        <f t="shared" si="15"/>
        <v>235</v>
      </c>
      <c r="AW256" s="582">
        <f t="shared" si="276"/>
        <v>452</v>
      </c>
      <c r="AX256" s="74"/>
      <c r="AY256" s="74"/>
      <c r="AZ256" s="74"/>
      <c r="BA256" s="74"/>
      <c r="BB256" s="74"/>
      <c r="BC256" s="74"/>
      <c r="BD256" s="74"/>
      <c r="BE256" s="74"/>
      <c r="BF256" s="74"/>
      <c r="BG256" s="74"/>
      <c r="BH256" s="582">
        <f t="shared" si="284"/>
        <v>367</v>
      </c>
      <c r="BI256" s="74"/>
      <c r="BJ256" s="74"/>
      <c r="BK256" s="74"/>
      <c r="BL256" s="74"/>
      <c r="BM256" s="582">
        <f t="shared" si="445"/>
        <v>420</v>
      </c>
      <c r="BN256" s="74"/>
      <c r="BO256" s="74"/>
      <c r="BP256" s="602">
        <f t="shared" si="33"/>
        <v>420</v>
      </c>
      <c r="BQ256" s="54">
        <v>7.0</v>
      </c>
      <c r="BR256" s="54">
        <v>12.0</v>
      </c>
      <c r="BS256" s="74"/>
      <c r="BT256" s="74"/>
      <c r="BU256" s="54">
        <v>100.0</v>
      </c>
      <c r="BV256" s="83">
        <f t="shared" si="34"/>
        <v>9.5</v>
      </c>
      <c r="BW256" s="608">
        <f t="shared" si="35"/>
        <v>376.4</v>
      </c>
      <c r="BX256" s="582">
        <f t="shared" si="289"/>
        <v>723.8</v>
      </c>
      <c r="BY256" s="74"/>
      <c r="BZ256" s="74"/>
      <c r="CA256" s="74"/>
      <c r="CB256" s="74"/>
      <c r="CC256" s="74"/>
      <c r="CD256" s="74"/>
      <c r="CE256" s="664">
        <f t="shared" si="43"/>
        <v>15.8</v>
      </c>
      <c r="CF256" s="706">
        <f t="shared" si="248"/>
        <v>-37.6</v>
      </c>
      <c r="CG256" s="552">
        <f t="shared" si="295"/>
        <v>-37.6</v>
      </c>
      <c r="CH256" s="575" t="s">
        <v>1430</v>
      </c>
      <c r="CI256" s="582">
        <f t="shared" ref="CI256:DF256" si="470">FLOOR($AV256/(CI$3/25),1)</f>
        <v>235</v>
      </c>
      <c r="CJ256" s="582">
        <f t="shared" si="470"/>
        <v>244</v>
      </c>
      <c r="CK256" s="582">
        <f t="shared" si="470"/>
        <v>255</v>
      </c>
      <c r="CL256" s="582">
        <f t="shared" si="470"/>
        <v>267</v>
      </c>
      <c r="CM256" s="582">
        <f t="shared" si="470"/>
        <v>279</v>
      </c>
      <c r="CN256" s="582">
        <f t="shared" si="470"/>
        <v>293</v>
      </c>
      <c r="CO256" s="582">
        <f t="shared" si="470"/>
        <v>309</v>
      </c>
      <c r="CP256" s="582">
        <f t="shared" si="470"/>
        <v>326</v>
      </c>
      <c r="CQ256" s="582">
        <f t="shared" si="470"/>
        <v>345</v>
      </c>
      <c r="CR256" s="582">
        <f t="shared" si="470"/>
        <v>367</v>
      </c>
      <c r="CS256" s="582">
        <f t="shared" si="470"/>
        <v>391</v>
      </c>
      <c r="CT256" s="582">
        <f t="shared" si="470"/>
        <v>419</v>
      </c>
      <c r="CU256" s="582">
        <f t="shared" si="470"/>
        <v>451</v>
      </c>
      <c r="CV256" s="582">
        <f t="shared" si="470"/>
        <v>489</v>
      </c>
      <c r="CW256" s="582">
        <f t="shared" si="470"/>
        <v>534</v>
      </c>
      <c r="CX256" s="582">
        <f t="shared" si="470"/>
        <v>587</v>
      </c>
      <c r="CY256" s="582">
        <f t="shared" si="470"/>
        <v>652</v>
      </c>
      <c r="CZ256" s="582">
        <f t="shared" si="470"/>
        <v>734</v>
      </c>
      <c r="DA256" s="582">
        <f t="shared" si="470"/>
        <v>839</v>
      </c>
      <c r="DB256" s="582">
        <f t="shared" si="470"/>
        <v>979</v>
      </c>
      <c r="DC256" s="582">
        <f t="shared" si="470"/>
        <v>1175</v>
      </c>
      <c r="DD256" s="582">
        <f t="shared" si="470"/>
        <v>1468</v>
      </c>
      <c r="DE256" s="582">
        <f t="shared" si="470"/>
        <v>1958</v>
      </c>
      <c r="DF256" s="602">
        <f t="shared" si="470"/>
        <v>2937</v>
      </c>
      <c r="DG256" s="575"/>
      <c r="DH256" s="575" t="str">
        <f t="shared" si="46"/>
        <v/>
      </c>
      <c r="DI256" s="74" t="str">
        <f t="shared" si="47"/>
        <v/>
      </c>
      <c r="DJ256" s="74" t="str">
        <f t="shared" si="48"/>
        <v/>
      </c>
      <c r="DK256" s="792" t="str">
        <f t="shared" si="49"/>
        <v/>
      </c>
      <c r="DL256" s="793"/>
      <c r="DM256" s="793"/>
      <c r="DN256" s="793"/>
      <c r="DO256" s="575"/>
      <c r="DP256" s="906" t="s">
        <v>2362</v>
      </c>
    </row>
    <row r="257">
      <c r="A257" s="647">
        <v>251.0</v>
      </c>
      <c r="B257" s="141">
        <v>329.0</v>
      </c>
      <c r="C257" s="129">
        <v>10.0</v>
      </c>
      <c r="D257" s="129">
        <v>21.0</v>
      </c>
      <c r="E257" s="134"/>
      <c r="F257" s="154" t="s">
        <v>1378</v>
      </c>
      <c r="G257" s="154">
        <f t="shared" si="269"/>
        <v>14</v>
      </c>
      <c r="H257" s="134"/>
      <c r="I257" s="134"/>
      <c r="J257" s="134"/>
      <c r="K257" s="134"/>
      <c r="L257" s="134"/>
      <c r="M257" s="653"/>
      <c r="N257" s="134" t="s">
        <v>1440</v>
      </c>
      <c r="O257" s="876"/>
      <c r="P257" s="650"/>
      <c r="Q257" s="650" t="s">
        <v>1313</v>
      </c>
      <c r="R257" s="650" t="s">
        <v>1380</v>
      </c>
      <c r="S257" s="796" t="s">
        <v>1438</v>
      </c>
      <c r="T257" s="651" t="s">
        <v>1441</v>
      </c>
      <c r="U257" s="129">
        <v>27.0</v>
      </c>
      <c r="V257" s="129">
        <v>20.0</v>
      </c>
      <c r="W257" s="129">
        <v>35.0</v>
      </c>
      <c r="X257" s="129">
        <v>60.0</v>
      </c>
      <c r="Y257" s="129">
        <v>5.0</v>
      </c>
      <c r="Z257" s="129">
        <v>10.0</v>
      </c>
      <c r="AA257" s="134"/>
      <c r="AB257" s="134"/>
      <c r="AC257" s="129">
        <v>3575.0</v>
      </c>
      <c r="AD257" s="129">
        <v>3.0</v>
      </c>
      <c r="AE257" s="134"/>
      <c r="AF257" s="129">
        <v>50.0</v>
      </c>
      <c r="AG257" s="129">
        <v>10.0</v>
      </c>
      <c r="AH257" s="129">
        <v>21.0</v>
      </c>
      <c r="AI257" s="652">
        <f t="shared" si="12"/>
        <v>15.5</v>
      </c>
      <c r="AJ257" s="910">
        <v>0.0</v>
      </c>
      <c r="AK257" s="134"/>
      <c r="AL257" s="134"/>
      <c r="AM257" s="134"/>
      <c r="AN257" s="134"/>
      <c r="AO257" s="134"/>
      <c r="AP257" s="134"/>
      <c r="AQ257" s="134"/>
      <c r="AR257" s="134"/>
      <c r="AS257" s="653"/>
      <c r="AT257" s="154">
        <f t="shared" si="13"/>
        <v>226</v>
      </c>
      <c r="AU257" s="154">
        <f t="shared" si="14"/>
        <v>331</v>
      </c>
      <c r="AV257" s="654">
        <f t="shared" si="15"/>
        <v>278.5</v>
      </c>
      <c r="AW257" s="655">
        <f t="shared" si="276"/>
        <v>464</v>
      </c>
      <c r="AX257" s="134"/>
      <c r="AY257" s="134"/>
      <c r="AZ257" s="134"/>
      <c r="BA257" s="134"/>
      <c r="BB257" s="134"/>
      <c r="BC257" s="134"/>
      <c r="BD257" s="134"/>
      <c r="BE257" s="134"/>
      <c r="BF257" s="134"/>
      <c r="BG257" s="134"/>
      <c r="BH257" s="655">
        <f t="shared" si="284"/>
        <v>348</v>
      </c>
      <c r="BI257" s="134"/>
      <c r="BJ257" s="134"/>
      <c r="BK257" s="134"/>
      <c r="BL257" s="134"/>
      <c r="BM257" s="655">
        <f t="shared" si="445"/>
        <v>435</v>
      </c>
      <c r="BN257" s="134"/>
      <c r="BO257" s="134"/>
      <c r="BP257" s="656">
        <f t="shared" si="33"/>
        <v>435</v>
      </c>
      <c r="BQ257" s="129">
        <v>9.0</v>
      </c>
      <c r="BR257" s="129">
        <v>19.0</v>
      </c>
      <c r="BS257" s="129">
        <v>10.0</v>
      </c>
      <c r="BT257" s="134"/>
      <c r="BU257" s="129">
        <v>100.0</v>
      </c>
      <c r="BV257" s="135">
        <f t="shared" si="34"/>
        <v>14</v>
      </c>
      <c r="BW257" s="657">
        <f t="shared" si="35"/>
        <v>449</v>
      </c>
      <c r="BX257" s="655">
        <f t="shared" si="289"/>
        <v>748.3</v>
      </c>
      <c r="BY257" s="134"/>
      <c r="BZ257" s="134"/>
      <c r="CA257" s="134"/>
      <c r="CB257" s="134"/>
      <c r="CC257" s="134"/>
      <c r="CD257" s="134"/>
      <c r="CE257" s="659">
        <f t="shared" si="43"/>
        <v>10.7</v>
      </c>
      <c r="CF257" s="712">
        <f t="shared" si="248"/>
        <v>-38</v>
      </c>
      <c r="CG257" s="647">
        <f t="shared" si="295"/>
        <v>-38</v>
      </c>
      <c r="CH257" s="653" t="s">
        <v>1440</v>
      </c>
      <c r="CI257" s="655">
        <f t="shared" ref="CI257:DF257" si="471">FLOOR($AV257/(CI$3/25),1)</f>
        <v>278</v>
      </c>
      <c r="CJ257" s="655">
        <f t="shared" si="471"/>
        <v>290</v>
      </c>
      <c r="CK257" s="655">
        <f t="shared" si="471"/>
        <v>302</v>
      </c>
      <c r="CL257" s="655">
        <f t="shared" si="471"/>
        <v>316</v>
      </c>
      <c r="CM257" s="655">
        <f t="shared" si="471"/>
        <v>331</v>
      </c>
      <c r="CN257" s="655">
        <f t="shared" si="471"/>
        <v>348</v>
      </c>
      <c r="CO257" s="655">
        <f t="shared" si="471"/>
        <v>366</v>
      </c>
      <c r="CP257" s="655">
        <f t="shared" si="471"/>
        <v>386</v>
      </c>
      <c r="CQ257" s="655">
        <f t="shared" si="471"/>
        <v>409</v>
      </c>
      <c r="CR257" s="655">
        <f t="shared" si="471"/>
        <v>435</v>
      </c>
      <c r="CS257" s="655">
        <f t="shared" si="471"/>
        <v>464</v>
      </c>
      <c r="CT257" s="655">
        <f t="shared" si="471"/>
        <v>497</v>
      </c>
      <c r="CU257" s="655">
        <f t="shared" si="471"/>
        <v>535</v>
      </c>
      <c r="CV257" s="655">
        <f t="shared" si="471"/>
        <v>580</v>
      </c>
      <c r="CW257" s="655">
        <f t="shared" si="471"/>
        <v>632</v>
      </c>
      <c r="CX257" s="655">
        <f t="shared" si="471"/>
        <v>696</v>
      </c>
      <c r="CY257" s="655">
        <f t="shared" si="471"/>
        <v>773</v>
      </c>
      <c r="CZ257" s="655">
        <f t="shared" si="471"/>
        <v>870</v>
      </c>
      <c r="DA257" s="655">
        <f t="shared" si="471"/>
        <v>994</v>
      </c>
      <c r="DB257" s="655">
        <f t="shared" si="471"/>
        <v>1160</v>
      </c>
      <c r="DC257" s="655">
        <f t="shared" si="471"/>
        <v>1392</v>
      </c>
      <c r="DD257" s="655">
        <f t="shared" si="471"/>
        <v>1740</v>
      </c>
      <c r="DE257" s="655">
        <f t="shared" si="471"/>
        <v>2320</v>
      </c>
      <c r="DF257" s="656">
        <f t="shared" si="471"/>
        <v>3481</v>
      </c>
      <c r="DG257" s="653"/>
      <c r="DH257" s="653" t="str">
        <f t="shared" si="46"/>
        <v/>
      </c>
      <c r="DI257" s="134" t="str">
        <f t="shared" si="47"/>
        <v/>
      </c>
      <c r="DJ257" s="134" t="str">
        <f t="shared" si="48"/>
        <v/>
      </c>
      <c r="DK257" s="662" t="str">
        <f t="shared" si="49"/>
        <v/>
      </c>
      <c r="DL257" s="134"/>
      <c r="DM257" s="134"/>
      <c r="DN257" s="134"/>
      <c r="DO257" s="653"/>
      <c r="DP257" s="901" t="s">
        <v>2362</v>
      </c>
    </row>
    <row r="258">
      <c r="A258" s="552">
        <v>252.0</v>
      </c>
      <c r="B258" s="86">
        <v>339.0</v>
      </c>
      <c r="C258" s="54">
        <v>18.0</v>
      </c>
      <c r="D258" s="54">
        <v>36.0</v>
      </c>
      <c r="E258" s="74"/>
      <c r="F258" s="68" t="s">
        <v>1378</v>
      </c>
      <c r="G258" s="68">
        <f t="shared" si="269"/>
        <v>14</v>
      </c>
      <c r="H258" s="74"/>
      <c r="I258" s="74"/>
      <c r="J258" s="74"/>
      <c r="K258" s="74"/>
      <c r="L258" s="74"/>
      <c r="M258" s="575"/>
      <c r="N258" s="74" t="s">
        <v>1432</v>
      </c>
      <c r="O258" s="678"/>
      <c r="P258" s="571"/>
      <c r="Q258" s="571" t="s">
        <v>1670</v>
      </c>
      <c r="R258" s="571" t="s">
        <v>1380</v>
      </c>
      <c r="S258" s="791" t="s">
        <v>1438</v>
      </c>
      <c r="T258" s="572" t="s">
        <v>1433</v>
      </c>
      <c r="U258" s="54">
        <v>39.0</v>
      </c>
      <c r="V258" s="54">
        <v>29.0</v>
      </c>
      <c r="W258" s="54">
        <v>56.0</v>
      </c>
      <c r="X258" s="54">
        <v>77.0</v>
      </c>
      <c r="Y258" s="54">
        <v>5.0</v>
      </c>
      <c r="Z258" s="54">
        <v>0.0</v>
      </c>
      <c r="AA258" s="74"/>
      <c r="AB258" s="74"/>
      <c r="AC258" s="54">
        <v>7800.0</v>
      </c>
      <c r="AD258" s="54">
        <v>3.0</v>
      </c>
      <c r="AE258" s="74"/>
      <c r="AF258" s="54">
        <v>50.0</v>
      </c>
      <c r="AG258" s="54">
        <v>19.0</v>
      </c>
      <c r="AH258" s="54">
        <v>38.0</v>
      </c>
      <c r="AI258" s="574">
        <f t="shared" si="12"/>
        <v>28.5</v>
      </c>
      <c r="AJ258" s="909">
        <v>0.0</v>
      </c>
      <c r="AK258" s="74"/>
      <c r="AL258" s="74"/>
      <c r="AM258" s="74"/>
      <c r="AN258" s="74"/>
      <c r="AO258" s="74"/>
      <c r="AP258" s="74"/>
      <c r="AQ258" s="74"/>
      <c r="AR258" s="74"/>
      <c r="AS258" s="575"/>
      <c r="AT258" s="68">
        <f t="shared" si="13"/>
        <v>312</v>
      </c>
      <c r="AU258" s="68">
        <f t="shared" si="14"/>
        <v>495</v>
      </c>
      <c r="AV258" s="581">
        <f t="shared" si="15"/>
        <v>403.5</v>
      </c>
      <c r="AW258" s="582">
        <f t="shared" si="276"/>
        <v>776</v>
      </c>
      <c r="AX258" s="74"/>
      <c r="AY258" s="74"/>
      <c r="AZ258" s="74"/>
      <c r="BA258" s="74"/>
      <c r="BB258" s="74"/>
      <c r="BC258" s="74"/>
      <c r="BD258" s="74"/>
      <c r="BE258" s="74"/>
      <c r="BF258" s="74"/>
      <c r="BG258" s="74"/>
      <c r="BH258" s="582">
        <f t="shared" si="284"/>
        <v>630</v>
      </c>
      <c r="BI258" s="74"/>
      <c r="BJ258" s="74"/>
      <c r="BK258" s="74"/>
      <c r="BL258" s="74"/>
      <c r="BM258" s="582">
        <f t="shared" si="445"/>
        <v>721</v>
      </c>
      <c r="BN258" s="74"/>
      <c r="BO258" s="74"/>
      <c r="BP258" s="602">
        <f t="shared" si="33"/>
        <v>721</v>
      </c>
      <c r="BQ258" s="54">
        <v>16.0</v>
      </c>
      <c r="BR258" s="54">
        <v>29.0</v>
      </c>
      <c r="BS258" s="74"/>
      <c r="BT258" s="74"/>
      <c r="BU258" s="54">
        <v>100.0</v>
      </c>
      <c r="BV258" s="83">
        <f t="shared" si="34"/>
        <v>22.5</v>
      </c>
      <c r="BW258" s="608">
        <f t="shared" si="35"/>
        <v>586.2</v>
      </c>
      <c r="BX258" s="582">
        <f t="shared" si="289"/>
        <v>1127.3</v>
      </c>
      <c r="BY258" s="74"/>
      <c r="BZ258" s="74"/>
      <c r="CA258" s="74"/>
      <c r="CB258" s="74"/>
      <c r="CC258" s="74"/>
      <c r="CD258" s="74"/>
      <c r="CE258" s="664">
        <f t="shared" si="43"/>
        <v>26.7</v>
      </c>
      <c r="CF258" s="706">
        <f t="shared" si="248"/>
        <v>-31.2</v>
      </c>
      <c r="CG258" s="552">
        <f t="shared" si="295"/>
        <v>-31.2</v>
      </c>
      <c r="CH258" s="575" t="s">
        <v>1432</v>
      </c>
      <c r="CI258" s="582">
        <f t="shared" ref="CI258:DF258" si="472">FLOOR($AV258/(CI$3/25),1)</f>
        <v>403</v>
      </c>
      <c r="CJ258" s="582">
        <f t="shared" si="472"/>
        <v>420</v>
      </c>
      <c r="CK258" s="582">
        <f t="shared" si="472"/>
        <v>438</v>
      </c>
      <c r="CL258" s="582">
        <f t="shared" si="472"/>
        <v>458</v>
      </c>
      <c r="CM258" s="582">
        <f t="shared" si="472"/>
        <v>480</v>
      </c>
      <c r="CN258" s="582">
        <f t="shared" si="472"/>
        <v>504</v>
      </c>
      <c r="CO258" s="582">
        <f t="shared" si="472"/>
        <v>530</v>
      </c>
      <c r="CP258" s="582">
        <f t="shared" si="472"/>
        <v>560</v>
      </c>
      <c r="CQ258" s="582">
        <f t="shared" si="472"/>
        <v>593</v>
      </c>
      <c r="CR258" s="582">
        <f t="shared" si="472"/>
        <v>630</v>
      </c>
      <c r="CS258" s="582">
        <f t="shared" si="472"/>
        <v>672</v>
      </c>
      <c r="CT258" s="582">
        <f t="shared" si="472"/>
        <v>720</v>
      </c>
      <c r="CU258" s="582">
        <f t="shared" si="472"/>
        <v>775</v>
      </c>
      <c r="CV258" s="582">
        <f t="shared" si="472"/>
        <v>840</v>
      </c>
      <c r="CW258" s="582">
        <f t="shared" si="472"/>
        <v>917</v>
      </c>
      <c r="CX258" s="582">
        <f t="shared" si="472"/>
        <v>1008</v>
      </c>
      <c r="CY258" s="582">
        <f t="shared" si="472"/>
        <v>1120</v>
      </c>
      <c r="CZ258" s="582">
        <f t="shared" si="472"/>
        <v>1260</v>
      </c>
      <c r="DA258" s="582">
        <f t="shared" si="472"/>
        <v>1441</v>
      </c>
      <c r="DB258" s="582">
        <f t="shared" si="472"/>
        <v>1681</v>
      </c>
      <c r="DC258" s="582">
        <f t="shared" si="472"/>
        <v>2017</v>
      </c>
      <c r="DD258" s="582">
        <f t="shared" si="472"/>
        <v>2521</v>
      </c>
      <c r="DE258" s="582">
        <f t="shared" si="472"/>
        <v>3362</v>
      </c>
      <c r="DF258" s="602">
        <f t="shared" si="472"/>
        <v>5043</v>
      </c>
      <c r="DG258" s="575"/>
      <c r="DH258" s="575" t="str">
        <f t="shared" si="46"/>
        <v/>
      </c>
      <c r="DI258" s="74" t="str">
        <f t="shared" si="47"/>
        <v/>
      </c>
      <c r="DJ258" s="74" t="str">
        <f t="shared" si="48"/>
        <v/>
      </c>
      <c r="DK258" s="623" t="str">
        <f t="shared" si="49"/>
        <v/>
      </c>
      <c r="DL258" s="74"/>
      <c r="DM258" s="74"/>
      <c r="DN258" s="582">
        <f t="shared" ref="DN258:DN261" si="474">IF(ISBLANK(DL258),ROUND(AI258/IF(ISBLANK(DL256),AI256,DL256),1),ROUND(DL258/IF(ISBLANK(DL256),AI256,DL256),1))</f>
        <v>2.6</v>
      </c>
      <c r="DO258" s="575"/>
      <c r="DP258" s="906" t="s">
        <v>2362</v>
      </c>
    </row>
    <row r="259">
      <c r="A259" s="552">
        <v>253.0</v>
      </c>
      <c r="B259" s="141">
        <v>340.0</v>
      </c>
      <c r="C259" s="129">
        <v>21.0</v>
      </c>
      <c r="D259" s="129">
        <v>50.0</v>
      </c>
      <c r="E259" s="134"/>
      <c r="F259" s="154" t="s">
        <v>1378</v>
      </c>
      <c r="G259" s="154">
        <f t="shared" si="269"/>
        <v>14</v>
      </c>
      <c r="H259" s="134"/>
      <c r="I259" s="134"/>
      <c r="J259" s="134"/>
      <c r="K259" s="134"/>
      <c r="L259" s="134"/>
      <c r="M259" s="653"/>
      <c r="N259" s="134" t="s">
        <v>1443</v>
      </c>
      <c r="O259" s="649" t="s">
        <v>2060</v>
      </c>
      <c r="P259" s="650"/>
      <c r="Q259" s="650" t="s">
        <v>1670</v>
      </c>
      <c r="R259" s="650" t="s">
        <v>1380</v>
      </c>
      <c r="S259" s="796" t="s">
        <v>1438</v>
      </c>
      <c r="T259" s="651" t="s">
        <v>1444</v>
      </c>
      <c r="U259" s="129">
        <v>47.0</v>
      </c>
      <c r="V259" s="129">
        <v>35.0</v>
      </c>
      <c r="W259" s="129">
        <v>73.0</v>
      </c>
      <c r="X259" s="799">
        <v>110.0</v>
      </c>
      <c r="Y259" s="129">
        <v>5.0</v>
      </c>
      <c r="Z259" s="129">
        <v>10.0</v>
      </c>
      <c r="AA259" s="134"/>
      <c r="AB259" s="134"/>
      <c r="AC259" s="129">
        <v>11025.0</v>
      </c>
      <c r="AD259" s="129">
        <v>3.0</v>
      </c>
      <c r="AE259" s="134"/>
      <c r="AF259" s="129">
        <v>50.0</v>
      </c>
      <c r="AG259" s="129">
        <v>22.0</v>
      </c>
      <c r="AH259" s="129">
        <v>53.0</v>
      </c>
      <c r="AI259" s="652">
        <f t="shared" si="12"/>
        <v>37.5</v>
      </c>
      <c r="AJ259" s="910">
        <v>0.0</v>
      </c>
      <c r="AK259" s="134"/>
      <c r="AL259" s="134"/>
      <c r="AM259" s="134"/>
      <c r="AN259" s="134"/>
      <c r="AO259" s="134"/>
      <c r="AP259" s="134"/>
      <c r="AQ259" s="134"/>
      <c r="AR259" s="134"/>
      <c r="AS259" s="653"/>
      <c r="AT259" s="154">
        <f t="shared" si="13"/>
        <v>341</v>
      </c>
      <c r="AU259" s="154">
        <f t="shared" si="14"/>
        <v>637</v>
      </c>
      <c r="AV259" s="654">
        <f t="shared" si="15"/>
        <v>489</v>
      </c>
      <c r="AW259" s="655">
        <f t="shared" si="276"/>
        <v>815</v>
      </c>
      <c r="AX259" s="134"/>
      <c r="AY259" s="134"/>
      <c r="AZ259" s="134"/>
      <c r="BA259" s="134"/>
      <c r="BB259" s="134"/>
      <c r="BC259" s="134"/>
      <c r="BD259" s="134"/>
      <c r="BE259" s="134"/>
      <c r="BF259" s="134"/>
      <c r="BG259" s="134"/>
      <c r="BH259" s="655">
        <f t="shared" si="284"/>
        <v>611</v>
      </c>
      <c r="BI259" s="134"/>
      <c r="BJ259" s="134"/>
      <c r="BK259" s="134"/>
      <c r="BL259" s="134"/>
      <c r="BM259" s="655">
        <f t="shared" si="445"/>
        <v>764</v>
      </c>
      <c r="BN259" s="134"/>
      <c r="BO259" s="134"/>
      <c r="BP259" s="656">
        <f t="shared" si="33"/>
        <v>764</v>
      </c>
      <c r="BQ259" s="129">
        <v>19.0</v>
      </c>
      <c r="BR259" s="129">
        <v>41.0</v>
      </c>
      <c r="BS259" s="129">
        <v>10.0</v>
      </c>
      <c r="BT259" s="134"/>
      <c r="BU259" s="129">
        <v>100.0</v>
      </c>
      <c r="BV259" s="135">
        <f t="shared" si="34"/>
        <v>30</v>
      </c>
      <c r="BW259" s="657">
        <f t="shared" si="35"/>
        <v>707.3</v>
      </c>
      <c r="BX259" s="655">
        <f t="shared" si="289"/>
        <v>1178.8</v>
      </c>
      <c r="BY259" s="134"/>
      <c r="BZ259" s="134"/>
      <c r="CA259" s="134"/>
      <c r="CB259" s="134"/>
      <c r="CC259" s="134"/>
      <c r="CD259" s="134"/>
      <c r="CE259" s="659">
        <f t="shared" si="43"/>
        <v>25</v>
      </c>
      <c r="CF259" s="712">
        <f t="shared" si="248"/>
        <v>-30.9</v>
      </c>
      <c r="CG259" s="647">
        <f t="shared" si="295"/>
        <v>-30.9</v>
      </c>
      <c r="CH259" s="653" t="s">
        <v>1443</v>
      </c>
      <c r="CI259" s="655">
        <f t="shared" ref="CI259:DF259" si="473">FLOOR($AV259/(CI$3/25),1)</f>
        <v>489</v>
      </c>
      <c r="CJ259" s="655">
        <f t="shared" si="473"/>
        <v>509</v>
      </c>
      <c r="CK259" s="655">
        <f t="shared" si="473"/>
        <v>531</v>
      </c>
      <c r="CL259" s="655">
        <f t="shared" si="473"/>
        <v>555</v>
      </c>
      <c r="CM259" s="655">
        <f t="shared" si="473"/>
        <v>582</v>
      </c>
      <c r="CN259" s="655">
        <f t="shared" si="473"/>
        <v>611</v>
      </c>
      <c r="CO259" s="655">
        <f t="shared" si="473"/>
        <v>643</v>
      </c>
      <c r="CP259" s="655">
        <f t="shared" si="473"/>
        <v>679</v>
      </c>
      <c r="CQ259" s="655">
        <f t="shared" si="473"/>
        <v>719</v>
      </c>
      <c r="CR259" s="655">
        <f t="shared" si="473"/>
        <v>764</v>
      </c>
      <c r="CS259" s="655">
        <f t="shared" si="473"/>
        <v>815</v>
      </c>
      <c r="CT259" s="655">
        <f t="shared" si="473"/>
        <v>873</v>
      </c>
      <c r="CU259" s="655">
        <f t="shared" si="473"/>
        <v>940</v>
      </c>
      <c r="CV259" s="655">
        <f t="shared" si="473"/>
        <v>1018</v>
      </c>
      <c r="CW259" s="655">
        <f t="shared" si="473"/>
        <v>1111</v>
      </c>
      <c r="CX259" s="655">
        <f t="shared" si="473"/>
        <v>1222</v>
      </c>
      <c r="CY259" s="655">
        <f t="shared" si="473"/>
        <v>1358</v>
      </c>
      <c r="CZ259" s="655">
        <f t="shared" si="473"/>
        <v>1528</v>
      </c>
      <c r="DA259" s="655">
        <f t="shared" si="473"/>
        <v>1746</v>
      </c>
      <c r="DB259" s="655">
        <f t="shared" si="473"/>
        <v>2037</v>
      </c>
      <c r="DC259" s="655">
        <f t="shared" si="473"/>
        <v>2445</v>
      </c>
      <c r="DD259" s="655">
        <f t="shared" si="473"/>
        <v>3056</v>
      </c>
      <c r="DE259" s="655">
        <f t="shared" si="473"/>
        <v>4075</v>
      </c>
      <c r="DF259" s="656">
        <f t="shared" si="473"/>
        <v>6112</v>
      </c>
      <c r="DG259" s="653"/>
      <c r="DH259" s="653" t="str">
        <f t="shared" si="46"/>
        <v/>
      </c>
      <c r="DI259" s="134" t="str">
        <f t="shared" si="47"/>
        <v/>
      </c>
      <c r="DJ259" s="134" t="str">
        <f t="shared" si="48"/>
        <v/>
      </c>
      <c r="DK259" s="662" t="str">
        <f t="shared" si="49"/>
        <v/>
      </c>
      <c r="DL259" s="134"/>
      <c r="DM259" s="134"/>
      <c r="DN259" s="655">
        <f t="shared" si="474"/>
        <v>2.4</v>
      </c>
      <c r="DO259" s="653"/>
      <c r="DP259" s="901" t="s">
        <v>2362</v>
      </c>
    </row>
    <row r="260">
      <c r="A260" s="552">
        <v>254.0</v>
      </c>
      <c r="B260" s="86">
        <v>350.0</v>
      </c>
      <c r="C260" s="54">
        <v>22.0</v>
      </c>
      <c r="D260" s="54">
        <v>52.0</v>
      </c>
      <c r="E260" s="74"/>
      <c r="F260" s="68" t="s">
        <v>1378</v>
      </c>
      <c r="G260" s="68">
        <f t="shared" si="269"/>
        <v>14</v>
      </c>
      <c r="H260" s="74"/>
      <c r="I260" s="74"/>
      <c r="J260" s="74"/>
      <c r="K260" s="74"/>
      <c r="L260" s="74"/>
      <c r="M260" s="575"/>
      <c r="N260" s="74" t="s">
        <v>1435</v>
      </c>
      <c r="O260" s="570" t="s">
        <v>2061</v>
      </c>
      <c r="P260" s="571"/>
      <c r="Q260" s="571" t="s">
        <v>1676</v>
      </c>
      <c r="R260" s="571" t="s">
        <v>1380</v>
      </c>
      <c r="S260" s="791" t="s">
        <v>1438</v>
      </c>
      <c r="T260" s="572" t="s">
        <v>1437</v>
      </c>
      <c r="U260" s="54">
        <v>53.0</v>
      </c>
      <c r="V260" s="54">
        <v>39.0</v>
      </c>
      <c r="W260" s="54">
        <v>87.0</v>
      </c>
      <c r="X260" s="679">
        <v>187.0</v>
      </c>
      <c r="Y260" s="54">
        <v>5.0</v>
      </c>
      <c r="Z260" s="669">
        <v>-10.0</v>
      </c>
      <c r="AA260" s="74"/>
      <c r="AB260" s="74"/>
      <c r="AC260" s="54">
        <v>23700.0</v>
      </c>
      <c r="AD260" s="54">
        <v>3.0</v>
      </c>
      <c r="AE260" s="74"/>
      <c r="AF260" s="54">
        <v>50.0</v>
      </c>
      <c r="AG260" s="118">
        <v>31.0</v>
      </c>
      <c r="AH260" s="118">
        <v>74.0</v>
      </c>
      <c r="AI260" s="574">
        <f t="shared" si="12"/>
        <v>52.5</v>
      </c>
      <c r="AJ260" s="909">
        <v>0.0</v>
      </c>
      <c r="AK260" s="74"/>
      <c r="AL260" s="74"/>
      <c r="AM260" s="74"/>
      <c r="AN260" s="74"/>
      <c r="AO260" s="74"/>
      <c r="AP260" s="74"/>
      <c r="AQ260" s="74"/>
      <c r="AR260" s="74"/>
      <c r="AS260" s="575"/>
      <c r="AT260" s="68">
        <f t="shared" si="13"/>
        <v>427</v>
      </c>
      <c r="AU260" s="68">
        <f t="shared" si="14"/>
        <v>840</v>
      </c>
      <c r="AV260" s="581">
        <f t="shared" si="15"/>
        <v>633.5</v>
      </c>
      <c r="AW260" s="582">
        <f t="shared" si="276"/>
        <v>1320</v>
      </c>
      <c r="AX260" s="74"/>
      <c r="AY260" s="74"/>
      <c r="AZ260" s="74"/>
      <c r="BA260" s="74"/>
      <c r="BB260" s="74"/>
      <c r="BC260" s="74"/>
      <c r="BD260" s="74"/>
      <c r="BE260" s="74"/>
      <c r="BF260" s="74"/>
      <c r="BG260" s="74"/>
      <c r="BH260" s="582">
        <f t="shared" si="284"/>
        <v>1218</v>
      </c>
      <c r="BI260" s="74"/>
      <c r="BJ260" s="74"/>
      <c r="BK260" s="74"/>
      <c r="BL260" s="74"/>
      <c r="BM260" s="582">
        <f t="shared" si="445"/>
        <v>1218</v>
      </c>
      <c r="BN260" s="74"/>
      <c r="BO260" s="74"/>
      <c r="BP260" s="602">
        <f t="shared" si="33"/>
        <v>1218</v>
      </c>
      <c r="BQ260" s="670">
        <v>20.0</v>
      </c>
      <c r="BR260" s="670">
        <v>47.0</v>
      </c>
      <c r="BS260" s="670">
        <v>-10.0</v>
      </c>
      <c r="BT260" s="365"/>
      <c r="BU260" s="670">
        <v>100.0</v>
      </c>
      <c r="BV260" s="671">
        <f t="shared" si="34"/>
        <v>33.5</v>
      </c>
      <c r="BW260" s="672">
        <f t="shared" si="35"/>
        <v>763.8</v>
      </c>
      <c r="BX260" s="673">
        <f t="shared" si="289"/>
        <v>1591.3</v>
      </c>
      <c r="BY260" s="365"/>
      <c r="BZ260" s="365"/>
      <c r="CA260" s="365"/>
      <c r="CB260" s="365"/>
      <c r="CC260" s="365"/>
      <c r="CD260" s="365"/>
      <c r="CE260" s="674">
        <f t="shared" si="43"/>
        <v>56.7</v>
      </c>
      <c r="CF260" s="763">
        <f t="shared" si="248"/>
        <v>-17.1</v>
      </c>
      <c r="CG260" s="676">
        <f t="shared" si="295"/>
        <v>-17</v>
      </c>
      <c r="CH260" s="575" t="s">
        <v>1435</v>
      </c>
      <c r="CI260" s="582">
        <f t="shared" ref="CI260:DF260" si="475">FLOOR($AV260/(CI$3/25),1)</f>
        <v>633</v>
      </c>
      <c r="CJ260" s="582">
        <f t="shared" si="475"/>
        <v>659</v>
      </c>
      <c r="CK260" s="582">
        <f t="shared" si="475"/>
        <v>688</v>
      </c>
      <c r="CL260" s="582">
        <f t="shared" si="475"/>
        <v>719</v>
      </c>
      <c r="CM260" s="582">
        <f t="shared" si="475"/>
        <v>754</v>
      </c>
      <c r="CN260" s="582">
        <f t="shared" si="475"/>
        <v>791</v>
      </c>
      <c r="CO260" s="582">
        <f t="shared" si="475"/>
        <v>833</v>
      </c>
      <c r="CP260" s="582">
        <f t="shared" si="475"/>
        <v>879</v>
      </c>
      <c r="CQ260" s="582">
        <f t="shared" si="475"/>
        <v>931</v>
      </c>
      <c r="CR260" s="582">
        <f t="shared" si="475"/>
        <v>989</v>
      </c>
      <c r="CS260" s="582">
        <f t="shared" si="475"/>
        <v>1055</v>
      </c>
      <c r="CT260" s="582">
        <f t="shared" si="475"/>
        <v>1131</v>
      </c>
      <c r="CU260" s="582">
        <f t="shared" si="475"/>
        <v>1218</v>
      </c>
      <c r="CV260" s="582">
        <f t="shared" si="475"/>
        <v>1319</v>
      </c>
      <c r="CW260" s="582">
        <f t="shared" si="475"/>
        <v>1439</v>
      </c>
      <c r="CX260" s="582">
        <f t="shared" si="475"/>
        <v>1583</v>
      </c>
      <c r="CY260" s="582">
        <f t="shared" si="475"/>
        <v>1759</v>
      </c>
      <c r="CZ260" s="582">
        <f t="shared" si="475"/>
        <v>1979</v>
      </c>
      <c r="DA260" s="582">
        <f t="shared" si="475"/>
        <v>2262</v>
      </c>
      <c r="DB260" s="582">
        <f t="shared" si="475"/>
        <v>2639</v>
      </c>
      <c r="DC260" s="582">
        <f t="shared" si="475"/>
        <v>3167</v>
      </c>
      <c r="DD260" s="582">
        <f t="shared" si="475"/>
        <v>3959</v>
      </c>
      <c r="DE260" s="582">
        <f t="shared" si="475"/>
        <v>5279</v>
      </c>
      <c r="DF260" s="602">
        <f t="shared" si="475"/>
        <v>7918</v>
      </c>
      <c r="DG260" s="575"/>
      <c r="DH260" s="575" t="str">
        <f t="shared" si="46"/>
        <v/>
      </c>
      <c r="DI260" s="74" t="str">
        <f t="shared" si="47"/>
        <v/>
      </c>
      <c r="DJ260" s="74" t="str">
        <f t="shared" si="48"/>
        <v/>
      </c>
      <c r="DK260" s="664">
        <f t="shared" si="49"/>
        <v>-18.1</v>
      </c>
      <c r="DL260" s="685">
        <v>43.0</v>
      </c>
      <c r="DM260" s="74"/>
      <c r="DN260" s="582">
        <f t="shared" si="474"/>
        <v>1.5</v>
      </c>
      <c r="DO260" s="575" t="s">
        <v>2363</v>
      </c>
      <c r="DP260" s="906" t="s">
        <v>2362</v>
      </c>
    </row>
    <row r="261">
      <c r="A261" s="764">
        <v>255.0</v>
      </c>
      <c r="B261" s="765">
        <v>351.0</v>
      </c>
      <c r="C261" s="766">
        <v>15.0</v>
      </c>
      <c r="D261" s="766">
        <v>79.0</v>
      </c>
      <c r="E261" s="767"/>
      <c r="F261" s="768" t="s">
        <v>1378</v>
      </c>
      <c r="G261" s="768">
        <f t="shared" si="269"/>
        <v>14</v>
      </c>
      <c r="H261" s="767"/>
      <c r="I261" s="767"/>
      <c r="J261" s="767"/>
      <c r="K261" s="767"/>
      <c r="L261" s="767"/>
      <c r="M261" s="776"/>
      <c r="N261" s="767" t="s">
        <v>1445</v>
      </c>
      <c r="O261" s="770" t="s">
        <v>2237</v>
      </c>
      <c r="P261" s="771"/>
      <c r="Q261" s="771" t="s">
        <v>1676</v>
      </c>
      <c r="R261" s="771" t="s">
        <v>1380</v>
      </c>
      <c r="S261" s="800" t="s">
        <v>1438</v>
      </c>
      <c r="T261" s="772" t="s">
        <v>1446</v>
      </c>
      <c r="U261" s="766">
        <v>78.0</v>
      </c>
      <c r="V261" s="766">
        <v>58.0</v>
      </c>
      <c r="W261" s="766">
        <v>108.0</v>
      </c>
      <c r="X261" s="773">
        <v>152.0</v>
      </c>
      <c r="Y261" s="766">
        <v>5.0</v>
      </c>
      <c r="Z261" s="766">
        <v>10.0</v>
      </c>
      <c r="AA261" s="767"/>
      <c r="AB261" s="767"/>
      <c r="AC261" s="766">
        <v>33375.0</v>
      </c>
      <c r="AD261" s="766">
        <v>3.0</v>
      </c>
      <c r="AE261" s="767"/>
      <c r="AF261" s="766">
        <v>50.0</v>
      </c>
      <c r="AG261" s="912">
        <v>20.0</v>
      </c>
      <c r="AH261" s="912">
        <v>104.0</v>
      </c>
      <c r="AI261" s="775">
        <f t="shared" si="12"/>
        <v>62</v>
      </c>
      <c r="AJ261" s="914">
        <v>0.0</v>
      </c>
      <c r="AK261" s="801">
        <v>504.0</v>
      </c>
      <c r="AL261" s="801"/>
      <c r="AM261" s="767"/>
      <c r="AN261" s="767"/>
      <c r="AO261" s="767"/>
      <c r="AP261" s="801"/>
      <c r="AQ261" s="801"/>
      <c r="AR261" s="801"/>
      <c r="AS261" s="776"/>
      <c r="AT261" s="768">
        <f t="shared" si="13"/>
        <v>383</v>
      </c>
      <c r="AU261" s="768">
        <f t="shared" si="14"/>
        <v>1450</v>
      </c>
      <c r="AV261" s="777">
        <f t="shared" si="15"/>
        <v>916.5</v>
      </c>
      <c r="AW261" s="778">
        <f t="shared" si="276"/>
        <v>1528</v>
      </c>
      <c r="AX261" s="767"/>
      <c r="AY261" s="767"/>
      <c r="AZ261" s="767"/>
      <c r="BA261" s="767"/>
      <c r="BB261" s="767"/>
      <c r="BC261" s="767"/>
      <c r="BD261" s="767"/>
      <c r="BE261" s="767"/>
      <c r="BF261" s="767"/>
      <c r="BG261" s="767"/>
      <c r="BH261" s="778">
        <f t="shared" si="284"/>
        <v>1146</v>
      </c>
      <c r="BI261" s="767"/>
      <c r="BJ261" s="767"/>
      <c r="BK261" s="767"/>
      <c r="BL261" s="767"/>
      <c r="BM261" s="778">
        <f t="shared" si="445"/>
        <v>1432</v>
      </c>
      <c r="BN261" s="767"/>
      <c r="BO261" s="767"/>
      <c r="BP261" s="779">
        <f t="shared" si="33"/>
        <v>1432</v>
      </c>
      <c r="BQ261" s="780">
        <v>14.0</v>
      </c>
      <c r="BR261" s="780">
        <v>72.0</v>
      </c>
      <c r="BS261" s="780">
        <v>10.0</v>
      </c>
      <c r="BT261" s="781"/>
      <c r="BU261" s="780">
        <v>100.0</v>
      </c>
      <c r="BV261" s="782">
        <f t="shared" si="34"/>
        <v>43</v>
      </c>
      <c r="BW261" s="783">
        <f t="shared" si="35"/>
        <v>917.1</v>
      </c>
      <c r="BX261" s="784">
        <f t="shared" si="289"/>
        <v>1528.5</v>
      </c>
      <c r="BY261" s="781"/>
      <c r="BZ261" s="781"/>
      <c r="CA261" s="781"/>
      <c r="CB261" s="781"/>
      <c r="CC261" s="781"/>
      <c r="CD261" s="781"/>
      <c r="CE261" s="785">
        <f t="shared" si="43"/>
        <v>44.2</v>
      </c>
      <c r="CF261" s="786">
        <f t="shared" si="248"/>
        <v>-0.1</v>
      </c>
      <c r="CG261" s="787" t="str">
        <f t="shared" si="295"/>
        <v/>
      </c>
      <c r="CH261" s="776" t="s">
        <v>1445</v>
      </c>
      <c r="CI261" s="778">
        <f t="shared" ref="CI261:DF261" si="476">FLOOR($AV261/(CI$3/25),1)</f>
        <v>916</v>
      </c>
      <c r="CJ261" s="778">
        <f t="shared" si="476"/>
        <v>954</v>
      </c>
      <c r="CK261" s="778">
        <f t="shared" si="476"/>
        <v>996</v>
      </c>
      <c r="CL261" s="778">
        <f t="shared" si="476"/>
        <v>1041</v>
      </c>
      <c r="CM261" s="778">
        <f t="shared" si="476"/>
        <v>1091</v>
      </c>
      <c r="CN261" s="778">
        <f t="shared" si="476"/>
        <v>1145</v>
      </c>
      <c r="CO261" s="778">
        <f t="shared" si="476"/>
        <v>1205</v>
      </c>
      <c r="CP261" s="778">
        <f t="shared" si="476"/>
        <v>1272</v>
      </c>
      <c r="CQ261" s="778">
        <f t="shared" si="476"/>
        <v>1347</v>
      </c>
      <c r="CR261" s="778">
        <f t="shared" si="476"/>
        <v>1432</v>
      </c>
      <c r="CS261" s="778">
        <f t="shared" si="476"/>
        <v>1527</v>
      </c>
      <c r="CT261" s="778">
        <f t="shared" si="476"/>
        <v>1636</v>
      </c>
      <c r="CU261" s="778">
        <f t="shared" si="476"/>
        <v>1762</v>
      </c>
      <c r="CV261" s="778">
        <f t="shared" si="476"/>
        <v>1909</v>
      </c>
      <c r="CW261" s="778">
        <f t="shared" si="476"/>
        <v>2082</v>
      </c>
      <c r="CX261" s="778">
        <f t="shared" si="476"/>
        <v>2291</v>
      </c>
      <c r="CY261" s="778">
        <f t="shared" si="476"/>
        <v>2545</v>
      </c>
      <c r="CZ261" s="778">
        <f t="shared" si="476"/>
        <v>2864</v>
      </c>
      <c r="DA261" s="778">
        <f t="shared" si="476"/>
        <v>3273</v>
      </c>
      <c r="DB261" s="778">
        <f t="shared" si="476"/>
        <v>3818</v>
      </c>
      <c r="DC261" s="778">
        <f t="shared" si="476"/>
        <v>4582</v>
      </c>
      <c r="DD261" s="778">
        <f t="shared" si="476"/>
        <v>5728</v>
      </c>
      <c r="DE261" s="778">
        <f t="shared" si="476"/>
        <v>7637</v>
      </c>
      <c r="DF261" s="779">
        <f t="shared" si="476"/>
        <v>11456</v>
      </c>
      <c r="DG261" s="915">
        <v>7.0</v>
      </c>
      <c r="DH261" s="776">
        <f t="shared" si="46"/>
        <v>3273</v>
      </c>
      <c r="DI261" s="767">
        <f t="shared" si="47"/>
        <v>9819</v>
      </c>
      <c r="DJ261" s="767">
        <f t="shared" si="48"/>
        <v>16366</v>
      </c>
      <c r="DK261" s="788">
        <f t="shared" si="49"/>
        <v>-14.5</v>
      </c>
      <c r="DL261" s="789">
        <v>53.0</v>
      </c>
      <c r="DM261" s="767"/>
      <c r="DN261" s="778">
        <f t="shared" si="474"/>
        <v>1.4</v>
      </c>
      <c r="DO261" s="776"/>
      <c r="DP261" s="908" t="s">
        <v>2362</v>
      </c>
    </row>
    <row r="262">
      <c r="A262" s="552">
        <v>256.0</v>
      </c>
      <c r="B262" s="86">
        <v>92.0</v>
      </c>
      <c r="C262" s="54">
        <v>8.0</v>
      </c>
      <c r="D262" s="54">
        <v>11.0</v>
      </c>
      <c r="E262" s="74"/>
      <c r="F262" s="68" t="s">
        <v>2364</v>
      </c>
      <c r="G262" s="68">
        <f t="shared" si="269"/>
        <v>20</v>
      </c>
      <c r="H262" s="68">
        <f t="shared" ref="H262:H330" si="478">IF($E262=1,16,IF($F262="1hs",15,IF($F262="1ht",15,IF($F262="2hs",23,IF($F262="2ht",23,IF($F262="bow",16,IF($F262="hth",11.5,IF($F262="ht1",11.5,IF($F262="ht2",11.5,IF($F262="stf",19,IF($F262="xbw",21,0)))))))))))</f>
        <v>21</v>
      </c>
      <c r="I262" s="68">
        <f t="shared" ref="I262:I273" si="479">IF($E262=1,16,IF($F262="1hs",16,IF($F262="1ht",16,IF($F262="1js",16,IF($F262="1jt",16,IF($F262="1ss",16,IF($F262="1st",16,IF($F262="2hs",18,IF($F262="2ht",19,IF($F262="bow",15,IF($F262="hth",12,IF($F262="stf",19,IF($F262="xbw",20,0)))))))))))))</f>
        <v>20</v>
      </c>
      <c r="J262" s="68">
        <f t="shared" ref="J262:J273" si="480">IF($E262=1,18,IF($F262="1hs",19,IF($F262="1ht",19,IF($F262="2hs",21,IF($F262="2ht",23,IF($F262="bow",16,IF($F262="hth",16,IF($F262="stf",17,IF($F262="xbw",20,0)))))))))</f>
        <v>20</v>
      </c>
      <c r="K262" s="68">
        <f t="shared" ref="K262:K273" si="481">IF($E262=1,20,IF($F262="1hs",19,IF($F262="1ht",19,IF($F262="2hs",23,IF($F262="2ht",24,IF($F262="bow",18,IF($F262="hth",15,IF($F262="stf",20,IF($F262="xbw",20,0)))))))))</f>
        <v>20</v>
      </c>
      <c r="L262" s="68">
        <f t="shared" ref="L262:L273" si="482">IF($E262=1,16,IF($F262="1hs",15,IF($F262="1ht",17,IF($F262="2hs",18.5,IF($F262="2ht",20,IF($F262="bow",16,IF($F262="hth",14,IF($F262="stf",18,IF($F262="xbw",20,0)))))))))</f>
        <v>20</v>
      </c>
      <c r="M262" s="569">
        <f t="shared" ref="M262:M273" si="483">IF($E262=1,20,IF($F262="1hs",20,IF($F262="1ht",19,IF($F262="2hs",24,IF($F262="2ht",23,IF($F262="bow",17,IF($F262="hth",16,IF($F262="stf",18,IF($F262="xbw",20,0)))))))))</f>
        <v>20</v>
      </c>
      <c r="N262" s="74" t="s">
        <v>1448</v>
      </c>
      <c r="O262" s="570" t="s">
        <v>2062</v>
      </c>
      <c r="P262" s="571"/>
      <c r="Q262" s="571" t="s">
        <v>1313</v>
      </c>
      <c r="R262" s="571" t="s">
        <v>1380</v>
      </c>
      <c r="S262" s="791" t="s">
        <v>1456</v>
      </c>
      <c r="T262" s="572" t="s">
        <v>1449</v>
      </c>
      <c r="U262" s="54">
        <v>6.0</v>
      </c>
      <c r="V262" s="54">
        <v>0.0</v>
      </c>
      <c r="W262" s="54">
        <v>21.0</v>
      </c>
      <c r="X262" s="54">
        <v>27.0</v>
      </c>
      <c r="Y262" s="573">
        <v>3.0</v>
      </c>
      <c r="Z262" s="54">
        <v>-10.0</v>
      </c>
      <c r="AA262" s="74"/>
      <c r="AB262" s="74"/>
      <c r="AC262" s="54">
        <v>803.0</v>
      </c>
      <c r="AD262" s="54">
        <v>2.0</v>
      </c>
      <c r="AE262" s="74"/>
      <c r="AF262" s="54">
        <v>50.0</v>
      </c>
      <c r="AG262" s="54">
        <v>8.0</v>
      </c>
      <c r="AH262" s="54">
        <v>11.0</v>
      </c>
      <c r="AI262" s="574">
        <f t="shared" si="12"/>
        <v>9.5</v>
      </c>
      <c r="AJ262" s="909">
        <v>0.0</v>
      </c>
      <c r="AK262" s="74"/>
      <c r="AL262" s="74"/>
      <c r="AM262" s="74"/>
      <c r="AN262" s="74"/>
      <c r="AO262" s="74"/>
      <c r="AP262" s="74"/>
      <c r="AQ262" s="74"/>
      <c r="AR262" s="74"/>
      <c r="AS262" s="575"/>
      <c r="AT262" s="68">
        <f t="shared" si="13"/>
        <v>207</v>
      </c>
      <c r="AU262" s="68">
        <f t="shared" si="14"/>
        <v>236</v>
      </c>
      <c r="AV262" s="581">
        <f t="shared" si="15"/>
        <v>221.5</v>
      </c>
      <c r="AW262" s="582">
        <f t="shared" si="276"/>
        <v>308</v>
      </c>
      <c r="AX262" s="582">
        <f t="shared" ref="AX262:AX330" si="484">ROUND($AV262*25/(CEILING(($H262*256)/FLOOR(IF($F262="ht1",208,IF($F262="ht2",208,256))*MIN(175,MAX(15,100+IF(AS262="",$AS$1,AS262)+FLOOR((120*IF(AQ262="",$AQ$1,AQ262))/(120+IF(AQ262="",$AQ$1,AQ262)),1)-$Z262))/100,1),1)-1),0)</f>
        <v>291</v>
      </c>
      <c r="AY262" s="582">
        <f t="shared" ref="AY262:AY273" si="485">ROUND($AV262*25/(CEILING(($I262*256)/FLOOR(256*MIN(175,MAX(15,100+IF(AS262="",$AS$1,AS262)+FLOOR((120*IF(AQ262="",$AQ$1,AQ262))/(120+IF(AQ262="",$AQ$1,AQ262)),1)-$Z262))/100,1),1)-1),0)</f>
        <v>308</v>
      </c>
      <c r="AZ262" s="582">
        <f t="shared" ref="AZ262:AZ273" si="486">ROUND($AV262*25/(CEILING(($L262*256)/FLOOR(256*MIN(175,MAX(15,100+IF(AS262="",$AS$1,AS262)+FLOOR((120*IF(AQ262="",$AQ$1,AQ262))/(120+IF(AQ262="",$AQ$1,AQ262)),1)-$Z262))/100,1),1)-1),0)</f>
        <v>308</v>
      </c>
      <c r="BA262" s="582">
        <f t="shared" ref="BA262:BA273" si="487">ROUND($AV262*25/(CEILING(($K262*256)/FLOOR(256*MIN(175,MAX(15,100+IF(AS262="",$AS$1,AS262)+FLOOR((120*IF(AQ262="",$AQ$1,AQ262))/(120+IF(AQ262="",$AQ$1,AQ262)),1)-$Z262))/100,1),1)-1),0)</f>
        <v>308</v>
      </c>
      <c r="BB262" s="582">
        <f t="shared" ref="BB262:BB273" si="488">ROUND($AV262*25/(CEILING(($M262*256)/FLOOR(256*MIN(175,MAX(15,100+IF(AS262="",$AS$1,AS262)+FLOOR((120*IF(AQ262="",$AQ$1,AQ262))/(120+IF(AQ262="",$AQ$1,AQ262)),1)-$Z262))/100,1),1)-1),0)</f>
        <v>308</v>
      </c>
      <c r="BC262" s="582">
        <f t="shared" ref="BC262:BC273" si="489">ROUND($AV262*25/(CEILING(($J262*256)/FLOOR(256*MIN(175,MAX(15,100+IF(AS262="",$AS$1,AS262)+FLOOR((120*IF(AQ262="",$AQ$1,AQ262))/(120+IF(AQ262="",$AQ$1,AQ262)),1)-$Z262))/100,1),1)-1),0)</f>
        <v>308</v>
      </c>
      <c r="BD262" s="582">
        <f t="shared" ref="BD262:BD273" si="490">ROUND($AV262*25/(CEILING((13*256)/FLOOR(FLOOR(256*9/FLOOR(256*IF($F262="2hs",19,J262)/FLOOR((100+IF($AR262="",$AR$1,$AR262)-$Z262)*256/100,1),1),1)*MIN(175,MAX(15,100+IF($AS262="",$AS$1,$AS262)+FLOOR((120*IF($AQ262="",$AQ$1,$AQ262))/(120+IF($AQ262="",$AQ$1,$AQ262)),1)-$Z262))/100,1),1)-1),0)</f>
        <v>241</v>
      </c>
      <c r="BE262" s="582">
        <f t="shared" ref="BE262:BE273" si="491">ROUND($AV262*25/(CEILING((12*256)/FLOOR(FLOOR(256*10/FLOOR(256*IF($F262="2hs",19,J262)/FLOOR((100+IF($AR262="",$AR$1,$AR262)-$Z262)*256/100,1),1),1)*MIN(175,MAX(15,100+IF($AS262="",$AS$1,$AS262)+FLOOR((120*IF($AQ262="",$AQ$1,$AQ262))/(120+IF($AQ262="",$AQ$1,$AQ262)),1)-$Z262))/100,1),1)-1),0)</f>
        <v>291</v>
      </c>
      <c r="BF262" s="582">
        <f t="shared" ref="BF262:BF273" si="492">ROUND($AV262*25/(CEILING((13*256)/FLOOR(FLOOR(256*9/FLOOR(256*IF($F262="2hs",16,I262)/FLOOR((100+IF($AR262="",$AR$1,$AR262)-$Z262)*256/100,1),1),1)*MIN(175,MAX(15,100+IF($AS262="",$AS$1,$AS262)+FLOOR((120*IF($AQ262="",$AQ$1,$AQ262))/(120+IF($AQ262="",$AQ$1,$AQ262)),1)-$Z262))/100,1),1)-1),0)</f>
        <v>241</v>
      </c>
      <c r="BG262" s="582">
        <f t="shared" ref="BG262:BG273" si="493">ROUND($AV262*25/(CEILING((12*256)/FLOOR(FLOOR(256*10/FLOOR(256*IF($F262="2hs",16,I262)/FLOOR((100+IF($AR262="",$AR$1,$AR262)-$Z262)*256/100,1),1),1)*MIN(175,MAX(15,100+IF($AS262="",$AS$1,$AS262)+FLOOR((120*IF($AQ262="",$AQ$1,$AQ262))/(120+IF($AQ262="",$AQ$1,$AQ262)),1)-$Z262))/100,1),1)-1),0)</f>
        <v>291</v>
      </c>
      <c r="BH262" s="582">
        <f t="shared" si="284"/>
        <v>291</v>
      </c>
      <c r="BI262" s="582">
        <f t="shared" ref="BI262:BI330" si="494">ROUND($AV262*25/(CEILING((12*256)/FLOOR(FLOOR(256*10/FLOOR(256*IF($F262="2hs",15,H262)/FLOOR((100+IF($AR262="",$AR$1,$AR262)-$Z262)*256/100,1),1),1)*MIN(175,MAX(15,100+IF($AS262="",$AS$1,$AS262)+FLOOR((120*IF($AQ262="",$AQ$1,$AQ262))/(120+IF($AQ262="",$AQ$1,$AQ262)),1)-$Z262))/100,1),1)-1),0)</f>
        <v>277</v>
      </c>
      <c r="BJ262" s="582">
        <f t="shared" ref="BJ262:BJ273" si="495">ROUND($AV262*25/(CEILING((12*256)/FLOOR(FLOOR(256*10/FLOOR(256*IF($F262="2hs",15,L262)/FLOOR((100+IF($AR262="",$AR$1,$AR262)-$Z262)*256/100,1),1),1)*MIN(175,MAX(15,100+IF($AS262="",$AS$1,$AS262)+FLOOR((120*IF($AQ262="",$AQ$1,$AQ262))/(120+IF($AQ262="",$AQ$1,$AQ262)),1)-$Z262))/100,1),1)-1),0)</f>
        <v>291</v>
      </c>
      <c r="BK262" s="582">
        <f t="shared" ref="BK262:BK273" si="496">ROUND($AV262*25/(CEILING((12*256)/FLOOR(FLOOR(256*10/FLOOR(256*IF($F262="2hs",19,K262)/FLOOR((100+IF($AR262="",$AR$1,$AR262)-$Z262)*256/100,1),1),1)*MIN(175,MAX(15,100+IF($AS262="",$AS$1,$AS262)+FLOOR((120*IF($AQ262="",$AQ$1,$AQ262))/(120+IF($AQ262="",$AQ$1,$AQ262)),1)-$Z262))/100,1),1)-1),0)</f>
        <v>291</v>
      </c>
      <c r="BL262" s="582">
        <f t="shared" ref="BL262:BL273" si="497">ROUND($AV262*25/(CEILING((12*256)/FLOOR(FLOOR(256*10/FLOOR(256*IF($F262="2hs",20,M262)/FLOOR((100+IF($AR262="",$AR$1,$AR262)-$Z262)*256/100,1),1),1)*MIN(175,MAX(15,100+IF($AS262="",$AS$1,$AS262)+FLOOR((120*IF($AQ262="",$AQ$1,$AQ262))/(120+IF($AQ262="",$AQ$1,$AQ262)),1)-$Z262))/100,1),1)-1),0)</f>
        <v>291</v>
      </c>
      <c r="BM262" s="582">
        <f t="shared" si="445"/>
        <v>426</v>
      </c>
      <c r="BN262" s="74"/>
      <c r="BO262" s="74"/>
      <c r="BP262" s="602">
        <f t="shared" si="33"/>
        <v>426</v>
      </c>
      <c r="BQ262" s="54">
        <v>6.0</v>
      </c>
      <c r="BR262" s="54">
        <v>9.0</v>
      </c>
      <c r="BS262" s="54">
        <v>-10.0</v>
      </c>
      <c r="BT262" s="74"/>
      <c r="BU262" s="54">
        <v>100.0</v>
      </c>
      <c r="BV262" s="83">
        <f t="shared" si="34"/>
        <v>7.5</v>
      </c>
      <c r="BW262" s="608">
        <f t="shared" si="35"/>
        <v>344.1</v>
      </c>
      <c r="BX262" s="582">
        <f t="shared" si="289"/>
        <v>477.9</v>
      </c>
      <c r="BY262" s="582">
        <f t="shared" ref="BY262:BY330" si="498">ROUND($BW262*25/(CEILING(($H262*256)/FLOOR(IF($F262="ht1",208,IF($F262="ht2",208,256))*MIN(175,MAX(15,100+$AS$1+FLOOR((120*$AQ$1)/(120+$AQ$1),1)-$BS262-30*$E262))/100,1),1)-1),1)</f>
        <v>452.8</v>
      </c>
      <c r="BZ262" s="582">
        <f t="shared" ref="BZ262:BZ273" si="499">ROUND($BW262*25/(CEILING(($I262*256)/FLOOR(256*MIN(175,MAX(15,100+$AS$1+FLOOR((120*$AQ$1)/(120+$AQ$1),1)-$BS262-30*$E262))/100,1),1)-1),1)</f>
        <v>477.9</v>
      </c>
      <c r="CA262" s="582">
        <f t="shared" ref="CA262:CA273" si="500">ROUND($BW262*25/(CEILING(($J262*256)/FLOOR(256*MIN(175,MAX(15,100+$AS$1+FLOOR((120*$AQ$1)/(120+$AQ$1),1)-$BS262-30*$E262))/100,1),1)-1),1)</f>
        <v>477.9</v>
      </c>
      <c r="CB262" s="582">
        <f t="shared" ref="CB262:CB273" si="501">ROUND($BW262*25/(CEILING(($K262*256)/FLOOR(256*MIN(175,MAX(15,100+$AS$1+FLOOR((120*$AQ$1)/(120+$AQ$1),1)-$BS262-30*$E262))/100,1),1)-1),1)</f>
        <v>477.9</v>
      </c>
      <c r="CC262" s="582">
        <f t="shared" ref="CC262:CC273" si="502">ROUND($BW262*25/(CEILING(($L262*256)/FLOOR(256*MIN(175,MAX(15,100+$AS$1+FLOOR((120*$AQ$1)/(120+$AQ$1),1)-$BS262-30*$E262))/100,1),1)-1),1)</f>
        <v>477.9</v>
      </c>
      <c r="CD262" s="582">
        <f t="shared" ref="CD262:CD273" si="503">ROUND($BW262*25/(CEILING(($M262*256)/FLOOR(256*MIN(175,MAX(15,100+$AS$1+FLOOR((120*$AQ$1)/(120+$AQ$1),1)-$BS262-30*$E262))/100,1),1)-1),1)</f>
        <v>477.9</v>
      </c>
      <c r="CE262" s="664">
        <f t="shared" si="43"/>
        <v>26.7</v>
      </c>
      <c r="CF262" s="706">
        <f t="shared" si="248"/>
        <v>-35.6</v>
      </c>
      <c r="CG262" s="602">
        <f t="shared" si="295"/>
        <v>-35.6</v>
      </c>
      <c r="CH262" s="575" t="s">
        <v>1448</v>
      </c>
      <c r="CI262" s="582">
        <f t="shared" ref="CI262:DF262" si="477">FLOOR($AV262/(CI$3/25),1)</f>
        <v>221</v>
      </c>
      <c r="CJ262" s="582">
        <f t="shared" si="477"/>
        <v>230</v>
      </c>
      <c r="CK262" s="582">
        <f t="shared" si="477"/>
        <v>240</v>
      </c>
      <c r="CL262" s="582">
        <f t="shared" si="477"/>
        <v>251</v>
      </c>
      <c r="CM262" s="582">
        <f t="shared" si="477"/>
        <v>263</v>
      </c>
      <c r="CN262" s="582">
        <f t="shared" si="477"/>
        <v>276</v>
      </c>
      <c r="CO262" s="582">
        <f t="shared" si="477"/>
        <v>291</v>
      </c>
      <c r="CP262" s="582">
        <f t="shared" si="477"/>
        <v>307</v>
      </c>
      <c r="CQ262" s="582">
        <f t="shared" si="477"/>
        <v>325</v>
      </c>
      <c r="CR262" s="582">
        <f t="shared" si="477"/>
        <v>346</v>
      </c>
      <c r="CS262" s="582">
        <f t="shared" si="477"/>
        <v>369</v>
      </c>
      <c r="CT262" s="582">
        <f t="shared" si="477"/>
        <v>395</v>
      </c>
      <c r="CU262" s="582">
        <f t="shared" si="477"/>
        <v>425</v>
      </c>
      <c r="CV262" s="582">
        <f t="shared" si="477"/>
        <v>461</v>
      </c>
      <c r="CW262" s="582">
        <f t="shared" si="477"/>
        <v>503</v>
      </c>
      <c r="CX262" s="582">
        <f t="shared" si="477"/>
        <v>553</v>
      </c>
      <c r="CY262" s="582">
        <f t="shared" si="477"/>
        <v>615</v>
      </c>
      <c r="CZ262" s="582">
        <f t="shared" si="477"/>
        <v>692</v>
      </c>
      <c r="DA262" s="582">
        <f t="shared" si="477"/>
        <v>791</v>
      </c>
      <c r="DB262" s="582">
        <f t="shared" si="477"/>
        <v>922</v>
      </c>
      <c r="DC262" s="582">
        <f t="shared" si="477"/>
        <v>1107</v>
      </c>
      <c r="DD262" s="582">
        <f t="shared" si="477"/>
        <v>1384</v>
      </c>
      <c r="DE262" s="582">
        <f t="shared" si="477"/>
        <v>1845</v>
      </c>
      <c r="DF262" s="602">
        <f t="shared" si="477"/>
        <v>2768</v>
      </c>
      <c r="DG262" s="575"/>
      <c r="DH262" s="575" t="str">
        <f t="shared" si="46"/>
        <v/>
      </c>
      <c r="DI262" s="74" t="str">
        <f t="shared" si="47"/>
        <v/>
      </c>
      <c r="DJ262" s="74" t="str">
        <f t="shared" si="48"/>
        <v/>
      </c>
      <c r="DK262" s="916">
        <f t="shared" si="49"/>
        <v>-5.3</v>
      </c>
      <c r="DL262" s="917">
        <v>9.0</v>
      </c>
      <c r="DM262" s="793"/>
      <c r="DN262" s="793"/>
      <c r="DO262" s="575"/>
      <c r="DP262" s="61" t="s">
        <v>2365</v>
      </c>
    </row>
    <row r="263">
      <c r="A263" s="552">
        <v>257.0</v>
      </c>
      <c r="B263" s="86">
        <v>93.0</v>
      </c>
      <c r="C263" s="54">
        <v>11.0</v>
      </c>
      <c r="D263" s="54">
        <v>19.0</v>
      </c>
      <c r="E263" s="74"/>
      <c r="F263" s="68" t="s">
        <v>2364</v>
      </c>
      <c r="G263" s="68">
        <f t="shared" si="269"/>
        <v>20</v>
      </c>
      <c r="H263" s="68">
        <f t="shared" si="478"/>
        <v>21</v>
      </c>
      <c r="I263" s="68">
        <f t="shared" si="479"/>
        <v>20</v>
      </c>
      <c r="J263" s="68">
        <f t="shared" si="480"/>
        <v>20</v>
      </c>
      <c r="K263" s="68">
        <f t="shared" si="481"/>
        <v>20</v>
      </c>
      <c r="L263" s="68">
        <f t="shared" si="482"/>
        <v>20</v>
      </c>
      <c r="M263" s="569">
        <f t="shared" si="483"/>
        <v>20</v>
      </c>
      <c r="N263" s="74" t="s">
        <v>458</v>
      </c>
      <c r="O263" s="570" t="s">
        <v>2063</v>
      </c>
      <c r="P263" s="571"/>
      <c r="Q263" s="571" t="s">
        <v>1313</v>
      </c>
      <c r="R263" s="571" t="s">
        <v>1380</v>
      </c>
      <c r="S263" s="791" t="s">
        <v>1456</v>
      </c>
      <c r="T263" s="572" t="s">
        <v>1458</v>
      </c>
      <c r="U263" s="54">
        <v>15.0</v>
      </c>
      <c r="V263" s="54">
        <v>0.0</v>
      </c>
      <c r="W263" s="54">
        <v>40.0</v>
      </c>
      <c r="X263" s="54">
        <v>33.0</v>
      </c>
      <c r="Y263" s="54">
        <v>4.0</v>
      </c>
      <c r="Z263" s="54">
        <v>0.0</v>
      </c>
      <c r="AA263" s="74"/>
      <c r="AB263" s="74"/>
      <c r="AC263" s="54">
        <v>2345.0</v>
      </c>
      <c r="AD263" s="54">
        <v>2.0</v>
      </c>
      <c r="AE263" s="74"/>
      <c r="AF263" s="54">
        <v>50.0</v>
      </c>
      <c r="AG263" s="54">
        <v>11.0</v>
      </c>
      <c r="AH263" s="54">
        <v>19.0</v>
      </c>
      <c r="AI263" s="574">
        <f t="shared" si="12"/>
        <v>15</v>
      </c>
      <c r="AJ263" s="909">
        <v>0.0</v>
      </c>
      <c r="AK263" s="74"/>
      <c r="AL263" s="74"/>
      <c r="AM263" s="74"/>
      <c r="AN263" s="74"/>
      <c r="AO263" s="74"/>
      <c r="AP263" s="74"/>
      <c r="AQ263" s="74"/>
      <c r="AR263" s="74"/>
      <c r="AS263" s="575"/>
      <c r="AT263" s="68">
        <f t="shared" si="13"/>
        <v>236</v>
      </c>
      <c r="AU263" s="68">
        <f t="shared" si="14"/>
        <v>312</v>
      </c>
      <c r="AV263" s="581">
        <f t="shared" si="15"/>
        <v>274</v>
      </c>
      <c r="AW263" s="582">
        <f t="shared" si="276"/>
        <v>361</v>
      </c>
      <c r="AX263" s="582">
        <f t="shared" si="484"/>
        <v>343</v>
      </c>
      <c r="AY263" s="582">
        <f t="shared" si="485"/>
        <v>361</v>
      </c>
      <c r="AZ263" s="582">
        <f t="shared" si="486"/>
        <v>361</v>
      </c>
      <c r="BA263" s="582">
        <f t="shared" si="487"/>
        <v>361</v>
      </c>
      <c r="BB263" s="582">
        <f t="shared" si="488"/>
        <v>361</v>
      </c>
      <c r="BC263" s="582">
        <f t="shared" si="489"/>
        <v>361</v>
      </c>
      <c r="BD263" s="582">
        <f t="shared" si="490"/>
        <v>245</v>
      </c>
      <c r="BE263" s="582">
        <f t="shared" si="491"/>
        <v>298</v>
      </c>
      <c r="BF263" s="582">
        <f t="shared" si="492"/>
        <v>245</v>
      </c>
      <c r="BG263" s="582">
        <f t="shared" si="493"/>
        <v>298</v>
      </c>
      <c r="BH263" s="582">
        <f t="shared" si="284"/>
        <v>298</v>
      </c>
      <c r="BI263" s="582">
        <f t="shared" si="494"/>
        <v>274</v>
      </c>
      <c r="BJ263" s="582">
        <f t="shared" si="495"/>
        <v>298</v>
      </c>
      <c r="BK263" s="582">
        <f t="shared" si="496"/>
        <v>298</v>
      </c>
      <c r="BL263" s="582">
        <f t="shared" si="497"/>
        <v>298</v>
      </c>
      <c r="BM263" s="582">
        <f t="shared" si="445"/>
        <v>489</v>
      </c>
      <c r="BN263" s="74"/>
      <c r="BO263" s="74"/>
      <c r="BP263" s="602">
        <f t="shared" si="33"/>
        <v>489</v>
      </c>
      <c r="BQ263" s="54">
        <v>9.0</v>
      </c>
      <c r="BR263" s="54">
        <v>16.0</v>
      </c>
      <c r="BS263" s="74"/>
      <c r="BT263" s="74"/>
      <c r="BU263" s="54">
        <v>100.0</v>
      </c>
      <c r="BV263" s="83">
        <f t="shared" si="34"/>
        <v>12.5</v>
      </c>
      <c r="BW263" s="608">
        <f t="shared" si="35"/>
        <v>424.8</v>
      </c>
      <c r="BX263" s="582">
        <f t="shared" si="289"/>
        <v>558.9</v>
      </c>
      <c r="BY263" s="582">
        <f t="shared" si="498"/>
        <v>531</v>
      </c>
      <c r="BZ263" s="582">
        <f t="shared" si="499"/>
        <v>558.9</v>
      </c>
      <c r="CA263" s="582">
        <f t="shared" si="500"/>
        <v>558.9</v>
      </c>
      <c r="CB263" s="582">
        <f t="shared" si="501"/>
        <v>558.9</v>
      </c>
      <c r="CC263" s="582">
        <f t="shared" si="502"/>
        <v>558.9</v>
      </c>
      <c r="CD263" s="582">
        <f t="shared" si="503"/>
        <v>558.9</v>
      </c>
      <c r="CE263" s="664">
        <f t="shared" si="43"/>
        <v>20</v>
      </c>
      <c r="CF263" s="706">
        <f t="shared" si="248"/>
        <v>-35.5</v>
      </c>
      <c r="CG263" s="552">
        <f t="shared" si="295"/>
        <v>-35.4</v>
      </c>
      <c r="CH263" s="575" t="s">
        <v>458</v>
      </c>
      <c r="CI263" s="582">
        <f t="shared" ref="CI263:DF263" si="504">FLOOR($AV263/(CI$3/25),1)</f>
        <v>274</v>
      </c>
      <c r="CJ263" s="582">
        <f t="shared" si="504"/>
        <v>285</v>
      </c>
      <c r="CK263" s="582">
        <f t="shared" si="504"/>
        <v>297</v>
      </c>
      <c r="CL263" s="582">
        <f t="shared" si="504"/>
        <v>311</v>
      </c>
      <c r="CM263" s="582">
        <f t="shared" si="504"/>
        <v>326</v>
      </c>
      <c r="CN263" s="582">
        <f t="shared" si="504"/>
        <v>342</v>
      </c>
      <c r="CO263" s="582">
        <f t="shared" si="504"/>
        <v>360</v>
      </c>
      <c r="CP263" s="582">
        <f t="shared" si="504"/>
        <v>380</v>
      </c>
      <c r="CQ263" s="582">
        <f t="shared" si="504"/>
        <v>402</v>
      </c>
      <c r="CR263" s="582">
        <f t="shared" si="504"/>
        <v>428</v>
      </c>
      <c r="CS263" s="582">
        <f t="shared" si="504"/>
        <v>456</v>
      </c>
      <c r="CT263" s="582">
        <f t="shared" si="504"/>
        <v>489</v>
      </c>
      <c r="CU263" s="582">
        <f t="shared" si="504"/>
        <v>526</v>
      </c>
      <c r="CV263" s="582">
        <f t="shared" si="504"/>
        <v>570</v>
      </c>
      <c r="CW263" s="582">
        <f t="shared" si="504"/>
        <v>622</v>
      </c>
      <c r="CX263" s="582">
        <f t="shared" si="504"/>
        <v>685</v>
      </c>
      <c r="CY263" s="582">
        <f t="shared" si="504"/>
        <v>761</v>
      </c>
      <c r="CZ263" s="582">
        <f t="shared" si="504"/>
        <v>856</v>
      </c>
      <c r="DA263" s="582">
        <f t="shared" si="504"/>
        <v>978</v>
      </c>
      <c r="DB263" s="582">
        <f t="shared" si="504"/>
        <v>1141</v>
      </c>
      <c r="DC263" s="582">
        <f t="shared" si="504"/>
        <v>1370</v>
      </c>
      <c r="DD263" s="582">
        <f t="shared" si="504"/>
        <v>1712</v>
      </c>
      <c r="DE263" s="582">
        <f t="shared" si="504"/>
        <v>2283</v>
      </c>
      <c r="DF263" s="602">
        <f t="shared" si="504"/>
        <v>3425</v>
      </c>
      <c r="DG263" s="575"/>
      <c r="DH263" s="575" t="str">
        <f t="shared" si="46"/>
        <v/>
      </c>
      <c r="DI263" s="74" t="str">
        <f t="shared" si="47"/>
        <v/>
      </c>
      <c r="DJ263" s="74" t="str">
        <f t="shared" si="48"/>
        <v/>
      </c>
      <c r="DK263" s="664">
        <f t="shared" si="49"/>
        <v>-6.7</v>
      </c>
      <c r="DL263" s="685">
        <v>14.0</v>
      </c>
      <c r="DM263" s="74"/>
      <c r="DN263" s="74"/>
      <c r="DO263" s="575"/>
      <c r="DP263" s="61" t="s">
        <v>2365</v>
      </c>
    </row>
    <row r="264">
      <c r="A264" s="552">
        <v>258.0</v>
      </c>
      <c r="B264" s="86">
        <v>94.0</v>
      </c>
      <c r="C264" s="54">
        <v>20.0</v>
      </c>
      <c r="D264" s="54">
        <v>33.0</v>
      </c>
      <c r="E264" s="74"/>
      <c r="F264" s="68" t="s">
        <v>2364</v>
      </c>
      <c r="G264" s="68">
        <f t="shared" si="269"/>
        <v>20</v>
      </c>
      <c r="H264" s="68">
        <f t="shared" si="478"/>
        <v>21</v>
      </c>
      <c r="I264" s="68">
        <f t="shared" si="479"/>
        <v>20</v>
      </c>
      <c r="J264" s="68">
        <f t="shared" si="480"/>
        <v>20</v>
      </c>
      <c r="K264" s="68">
        <f t="shared" si="481"/>
        <v>20</v>
      </c>
      <c r="L264" s="68">
        <f t="shared" si="482"/>
        <v>20</v>
      </c>
      <c r="M264" s="569">
        <f t="shared" si="483"/>
        <v>20</v>
      </c>
      <c r="N264" s="74" t="s">
        <v>1465</v>
      </c>
      <c r="O264" s="570" t="s">
        <v>2064</v>
      </c>
      <c r="P264" s="571"/>
      <c r="Q264" s="571" t="s">
        <v>1313</v>
      </c>
      <c r="R264" s="571" t="s">
        <v>1380</v>
      </c>
      <c r="S264" s="791" t="s">
        <v>1456</v>
      </c>
      <c r="T264" s="572" t="s">
        <v>1466</v>
      </c>
      <c r="U264" s="54">
        <v>24.0</v>
      </c>
      <c r="V264" s="54">
        <v>0.0</v>
      </c>
      <c r="W264" s="54">
        <v>60.0</v>
      </c>
      <c r="X264" s="54">
        <v>40.0</v>
      </c>
      <c r="Y264" s="54">
        <v>6.0</v>
      </c>
      <c r="Z264" s="54">
        <v>10.0</v>
      </c>
      <c r="AA264" s="74"/>
      <c r="AB264" s="74"/>
      <c r="AC264" s="54">
        <v>4096.0</v>
      </c>
      <c r="AD264" s="54">
        <v>2.0</v>
      </c>
      <c r="AE264" s="74"/>
      <c r="AF264" s="54">
        <v>50.0</v>
      </c>
      <c r="AG264" s="54">
        <v>20.0</v>
      </c>
      <c r="AH264" s="54">
        <v>33.0</v>
      </c>
      <c r="AI264" s="574">
        <f t="shared" si="12"/>
        <v>26.5</v>
      </c>
      <c r="AJ264" s="909">
        <v>0.0</v>
      </c>
      <c r="AK264" s="74"/>
      <c r="AL264" s="74"/>
      <c r="AM264" s="74"/>
      <c r="AN264" s="74"/>
      <c r="AO264" s="74"/>
      <c r="AP264" s="74"/>
      <c r="AQ264" s="74"/>
      <c r="AR264" s="74"/>
      <c r="AS264" s="575"/>
      <c r="AT264" s="68">
        <f t="shared" si="13"/>
        <v>322</v>
      </c>
      <c r="AU264" s="68">
        <f t="shared" si="14"/>
        <v>446</v>
      </c>
      <c r="AV264" s="581">
        <f t="shared" si="15"/>
        <v>384</v>
      </c>
      <c r="AW264" s="582">
        <f t="shared" si="276"/>
        <v>436</v>
      </c>
      <c r="AX264" s="582">
        <f t="shared" si="484"/>
        <v>417</v>
      </c>
      <c r="AY264" s="582">
        <f t="shared" si="485"/>
        <v>436</v>
      </c>
      <c r="AZ264" s="582">
        <f t="shared" si="486"/>
        <v>436</v>
      </c>
      <c r="BA264" s="582">
        <f t="shared" si="487"/>
        <v>436</v>
      </c>
      <c r="BB264" s="582">
        <f t="shared" si="488"/>
        <v>436</v>
      </c>
      <c r="BC264" s="582">
        <f t="shared" si="489"/>
        <v>436</v>
      </c>
      <c r="BD264" s="582">
        <f t="shared" si="490"/>
        <v>274</v>
      </c>
      <c r="BE264" s="582">
        <f t="shared" si="491"/>
        <v>331</v>
      </c>
      <c r="BF264" s="582">
        <f t="shared" si="492"/>
        <v>274</v>
      </c>
      <c r="BG264" s="582">
        <f t="shared" si="493"/>
        <v>331</v>
      </c>
      <c r="BH264" s="582">
        <f t="shared" si="284"/>
        <v>331</v>
      </c>
      <c r="BI264" s="582">
        <f t="shared" si="494"/>
        <v>310</v>
      </c>
      <c r="BJ264" s="582">
        <f t="shared" si="495"/>
        <v>331</v>
      </c>
      <c r="BK264" s="582">
        <f t="shared" si="496"/>
        <v>331</v>
      </c>
      <c r="BL264" s="582">
        <f t="shared" si="497"/>
        <v>331</v>
      </c>
      <c r="BM264" s="582">
        <f t="shared" si="445"/>
        <v>600</v>
      </c>
      <c r="BN264" s="74"/>
      <c r="BO264" s="74"/>
      <c r="BP264" s="602">
        <f t="shared" si="33"/>
        <v>600</v>
      </c>
      <c r="BQ264" s="54">
        <v>14.0</v>
      </c>
      <c r="BR264" s="54">
        <v>26.0</v>
      </c>
      <c r="BS264" s="54">
        <v>10.0</v>
      </c>
      <c r="BT264" s="74"/>
      <c r="BU264" s="54">
        <v>100.0</v>
      </c>
      <c r="BV264" s="83">
        <f t="shared" si="34"/>
        <v>20</v>
      </c>
      <c r="BW264" s="608">
        <f t="shared" si="35"/>
        <v>545.9</v>
      </c>
      <c r="BX264" s="582">
        <f t="shared" si="289"/>
        <v>620.3</v>
      </c>
      <c r="BY264" s="582">
        <f t="shared" si="498"/>
        <v>593.4</v>
      </c>
      <c r="BZ264" s="582">
        <f t="shared" si="499"/>
        <v>620.3</v>
      </c>
      <c r="CA264" s="582">
        <f t="shared" si="500"/>
        <v>620.3</v>
      </c>
      <c r="CB264" s="582">
        <f t="shared" si="501"/>
        <v>620.3</v>
      </c>
      <c r="CC264" s="582">
        <f t="shared" si="502"/>
        <v>620.3</v>
      </c>
      <c r="CD264" s="582">
        <f t="shared" si="503"/>
        <v>620.3</v>
      </c>
      <c r="CE264" s="664">
        <f t="shared" si="43"/>
        <v>32.5</v>
      </c>
      <c r="CF264" s="706">
        <f t="shared" si="248"/>
        <v>-29.7</v>
      </c>
      <c r="CG264" s="602">
        <f t="shared" si="295"/>
        <v>-29.7</v>
      </c>
      <c r="CH264" s="575" t="s">
        <v>1465</v>
      </c>
      <c r="CI264" s="582">
        <f t="shared" ref="CI264:DF264" si="505">FLOOR($AV264/(CI$3/25),1)</f>
        <v>384</v>
      </c>
      <c r="CJ264" s="582">
        <f t="shared" si="505"/>
        <v>400</v>
      </c>
      <c r="CK264" s="582">
        <f t="shared" si="505"/>
        <v>417</v>
      </c>
      <c r="CL264" s="582">
        <f t="shared" si="505"/>
        <v>436</v>
      </c>
      <c r="CM264" s="582">
        <f t="shared" si="505"/>
        <v>457</v>
      </c>
      <c r="CN264" s="582">
        <f t="shared" si="505"/>
        <v>480</v>
      </c>
      <c r="CO264" s="582">
        <f t="shared" si="505"/>
        <v>505</v>
      </c>
      <c r="CP264" s="582">
        <f t="shared" si="505"/>
        <v>533</v>
      </c>
      <c r="CQ264" s="582">
        <f t="shared" si="505"/>
        <v>564</v>
      </c>
      <c r="CR264" s="582">
        <f t="shared" si="505"/>
        <v>600</v>
      </c>
      <c r="CS264" s="582">
        <f t="shared" si="505"/>
        <v>640</v>
      </c>
      <c r="CT264" s="582">
        <f t="shared" si="505"/>
        <v>685</v>
      </c>
      <c r="CU264" s="582">
        <f t="shared" si="505"/>
        <v>738</v>
      </c>
      <c r="CV264" s="582">
        <f t="shared" si="505"/>
        <v>800</v>
      </c>
      <c r="CW264" s="582">
        <f t="shared" si="505"/>
        <v>872</v>
      </c>
      <c r="CX264" s="582">
        <f t="shared" si="505"/>
        <v>960</v>
      </c>
      <c r="CY264" s="582">
        <f t="shared" si="505"/>
        <v>1066</v>
      </c>
      <c r="CZ264" s="582">
        <f t="shared" si="505"/>
        <v>1200</v>
      </c>
      <c r="DA264" s="582">
        <f t="shared" si="505"/>
        <v>1371</v>
      </c>
      <c r="DB264" s="582">
        <f t="shared" si="505"/>
        <v>1600</v>
      </c>
      <c r="DC264" s="582">
        <f t="shared" si="505"/>
        <v>1920</v>
      </c>
      <c r="DD264" s="582">
        <f t="shared" si="505"/>
        <v>2400</v>
      </c>
      <c r="DE264" s="582">
        <f t="shared" si="505"/>
        <v>3200</v>
      </c>
      <c r="DF264" s="602">
        <f t="shared" si="505"/>
        <v>4800</v>
      </c>
      <c r="DG264" s="575"/>
      <c r="DH264" s="575" t="str">
        <f t="shared" si="46"/>
        <v/>
      </c>
      <c r="DI264" s="74" t="str">
        <f t="shared" si="47"/>
        <v/>
      </c>
      <c r="DJ264" s="74" t="str">
        <f t="shared" si="48"/>
        <v/>
      </c>
      <c r="DK264" s="664">
        <f t="shared" si="49"/>
        <v>-20.8</v>
      </c>
      <c r="DL264" s="685">
        <v>21.0</v>
      </c>
      <c r="DM264" s="74"/>
      <c r="DN264" s="74"/>
      <c r="DO264" s="575"/>
      <c r="DP264" s="61" t="s">
        <v>2365</v>
      </c>
    </row>
    <row r="265">
      <c r="A265" s="647">
        <v>259.0</v>
      </c>
      <c r="B265" s="141">
        <v>95.0</v>
      </c>
      <c r="C265" s="129">
        <v>9.0</v>
      </c>
      <c r="D265" s="129">
        <v>18.0</v>
      </c>
      <c r="E265" s="134"/>
      <c r="F265" s="154" t="s">
        <v>2364</v>
      </c>
      <c r="G265" s="154">
        <f t="shared" si="269"/>
        <v>20</v>
      </c>
      <c r="H265" s="154">
        <f t="shared" si="478"/>
        <v>21</v>
      </c>
      <c r="I265" s="154">
        <f t="shared" si="479"/>
        <v>20</v>
      </c>
      <c r="J265" s="154">
        <f t="shared" si="480"/>
        <v>20</v>
      </c>
      <c r="K265" s="154">
        <f t="shared" si="481"/>
        <v>20</v>
      </c>
      <c r="L265" s="154">
        <f t="shared" si="482"/>
        <v>20</v>
      </c>
      <c r="M265" s="648">
        <f t="shared" si="483"/>
        <v>20</v>
      </c>
      <c r="N265" s="134" t="s">
        <v>1473</v>
      </c>
      <c r="O265" s="649" t="s">
        <v>2065</v>
      </c>
      <c r="P265" s="650"/>
      <c r="Q265" s="650" t="s">
        <v>1313</v>
      </c>
      <c r="R265" s="650" t="s">
        <v>1380</v>
      </c>
      <c r="S265" s="796" t="s">
        <v>1456</v>
      </c>
      <c r="T265" s="651" t="s">
        <v>1474</v>
      </c>
      <c r="U265" s="129">
        <v>33.0</v>
      </c>
      <c r="V265" s="129">
        <v>0.0</v>
      </c>
      <c r="W265" s="129">
        <v>40.0</v>
      </c>
      <c r="X265" s="129">
        <v>50.0</v>
      </c>
      <c r="Y265" s="129">
        <v>5.0</v>
      </c>
      <c r="Z265" s="918">
        <v>-40.0</v>
      </c>
      <c r="AA265" s="134"/>
      <c r="AB265" s="134"/>
      <c r="AC265" s="129">
        <v>2739.0</v>
      </c>
      <c r="AD265" s="129">
        <v>2.0</v>
      </c>
      <c r="AE265" s="134"/>
      <c r="AF265" s="129">
        <v>50.0</v>
      </c>
      <c r="AG265" s="129">
        <v>9.0</v>
      </c>
      <c r="AH265" s="129">
        <v>18.0</v>
      </c>
      <c r="AI265" s="652">
        <f t="shared" si="12"/>
        <v>13.5</v>
      </c>
      <c r="AJ265" s="910">
        <v>0.0</v>
      </c>
      <c r="AK265" s="134"/>
      <c r="AL265" s="134"/>
      <c r="AM265" s="134"/>
      <c r="AN265" s="134"/>
      <c r="AO265" s="134"/>
      <c r="AP265" s="134"/>
      <c r="AQ265" s="134"/>
      <c r="AR265" s="134"/>
      <c r="AS265" s="653"/>
      <c r="AT265" s="154">
        <f t="shared" si="13"/>
        <v>217</v>
      </c>
      <c r="AU265" s="154">
        <f t="shared" si="14"/>
        <v>303</v>
      </c>
      <c r="AV265" s="654">
        <f t="shared" si="15"/>
        <v>260</v>
      </c>
      <c r="AW265" s="655">
        <f t="shared" si="276"/>
        <v>464</v>
      </c>
      <c r="AX265" s="655">
        <f t="shared" si="484"/>
        <v>433</v>
      </c>
      <c r="AY265" s="655">
        <f t="shared" si="485"/>
        <v>464</v>
      </c>
      <c r="AZ265" s="655">
        <f t="shared" si="486"/>
        <v>464</v>
      </c>
      <c r="BA265" s="655">
        <f t="shared" si="487"/>
        <v>464</v>
      </c>
      <c r="BB265" s="655">
        <f t="shared" si="488"/>
        <v>464</v>
      </c>
      <c r="BC265" s="655">
        <f t="shared" si="489"/>
        <v>464</v>
      </c>
      <c r="BD265" s="655">
        <f t="shared" si="490"/>
        <v>464</v>
      </c>
      <c r="BE265" s="655">
        <f t="shared" si="491"/>
        <v>542</v>
      </c>
      <c r="BF265" s="655">
        <f t="shared" si="492"/>
        <v>464</v>
      </c>
      <c r="BG265" s="655">
        <f t="shared" si="493"/>
        <v>542</v>
      </c>
      <c r="BH265" s="655">
        <f t="shared" si="284"/>
        <v>542</v>
      </c>
      <c r="BI265" s="655">
        <f t="shared" si="494"/>
        <v>542</v>
      </c>
      <c r="BJ265" s="655">
        <f t="shared" si="495"/>
        <v>542</v>
      </c>
      <c r="BK265" s="655">
        <f t="shared" si="496"/>
        <v>542</v>
      </c>
      <c r="BL265" s="655">
        <f t="shared" si="497"/>
        <v>542</v>
      </c>
      <c r="BM265" s="655">
        <f t="shared" si="445"/>
        <v>650</v>
      </c>
      <c r="BN265" s="134"/>
      <c r="BO265" s="134"/>
      <c r="BP265" s="656">
        <f t="shared" si="33"/>
        <v>650</v>
      </c>
      <c r="BQ265" s="129">
        <v>6.0</v>
      </c>
      <c r="BR265" s="129">
        <v>12.0</v>
      </c>
      <c r="BS265" s="129">
        <v>-40.0</v>
      </c>
      <c r="BT265" s="134"/>
      <c r="BU265" s="129">
        <v>100.0</v>
      </c>
      <c r="BV265" s="135">
        <f t="shared" si="34"/>
        <v>9</v>
      </c>
      <c r="BW265" s="657">
        <f t="shared" si="35"/>
        <v>368.3</v>
      </c>
      <c r="BX265" s="655">
        <f t="shared" si="289"/>
        <v>657.7</v>
      </c>
      <c r="BY265" s="655">
        <f t="shared" si="498"/>
        <v>613.8</v>
      </c>
      <c r="BZ265" s="655">
        <f t="shared" si="499"/>
        <v>657.7</v>
      </c>
      <c r="CA265" s="655">
        <f t="shared" si="500"/>
        <v>657.7</v>
      </c>
      <c r="CB265" s="655">
        <f t="shared" si="501"/>
        <v>657.7</v>
      </c>
      <c r="CC265" s="655">
        <f t="shared" si="502"/>
        <v>657.7</v>
      </c>
      <c r="CD265" s="655">
        <f t="shared" si="503"/>
        <v>657.7</v>
      </c>
      <c r="CE265" s="659">
        <f t="shared" si="43"/>
        <v>50</v>
      </c>
      <c r="CF265" s="712">
        <f t="shared" si="248"/>
        <v>-29.4</v>
      </c>
      <c r="CG265" s="647">
        <f t="shared" si="295"/>
        <v>-29.5</v>
      </c>
      <c r="CH265" s="653" t="s">
        <v>1473</v>
      </c>
      <c r="CI265" s="655">
        <f t="shared" ref="CI265:DF265" si="506">FLOOR($AV265/(CI$3/25),1)</f>
        <v>260</v>
      </c>
      <c r="CJ265" s="655">
        <f t="shared" si="506"/>
        <v>270</v>
      </c>
      <c r="CK265" s="655">
        <f t="shared" si="506"/>
        <v>282</v>
      </c>
      <c r="CL265" s="655">
        <f t="shared" si="506"/>
        <v>295</v>
      </c>
      <c r="CM265" s="655">
        <f t="shared" si="506"/>
        <v>309</v>
      </c>
      <c r="CN265" s="655">
        <f t="shared" si="506"/>
        <v>325</v>
      </c>
      <c r="CO265" s="655">
        <f t="shared" si="506"/>
        <v>342</v>
      </c>
      <c r="CP265" s="655">
        <f t="shared" si="506"/>
        <v>361</v>
      </c>
      <c r="CQ265" s="655">
        <f t="shared" si="506"/>
        <v>382</v>
      </c>
      <c r="CR265" s="655">
        <f t="shared" si="506"/>
        <v>406</v>
      </c>
      <c r="CS265" s="655">
        <f t="shared" si="506"/>
        <v>433</v>
      </c>
      <c r="CT265" s="655">
        <f t="shared" si="506"/>
        <v>464</v>
      </c>
      <c r="CU265" s="655">
        <f t="shared" si="506"/>
        <v>500</v>
      </c>
      <c r="CV265" s="655">
        <f t="shared" si="506"/>
        <v>541</v>
      </c>
      <c r="CW265" s="655">
        <f t="shared" si="506"/>
        <v>590</v>
      </c>
      <c r="CX265" s="655">
        <f t="shared" si="506"/>
        <v>650</v>
      </c>
      <c r="CY265" s="655">
        <f t="shared" si="506"/>
        <v>722</v>
      </c>
      <c r="CZ265" s="655">
        <f t="shared" si="506"/>
        <v>812</v>
      </c>
      <c r="DA265" s="655">
        <f t="shared" si="506"/>
        <v>928</v>
      </c>
      <c r="DB265" s="655">
        <f t="shared" si="506"/>
        <v>1083</v>
      </c>
      <c r="DC265" s="655">
        <f t="shared" si="506"/>
        <v>1300</v>
      </c>
      <c r="DD265" s="655">
        <f t="shared" si="506"/>
        <v>1625</v>
      </c>
      <c r="DE265" s="655">
        <f t="shared" si="506"/>
        <v>2166</v>
      </c>
      <c r="DF265" s="656">
        <f t="shared" si="506"/>
        <v>3250</v>
      </c>
      <c r="DG265" s="653"/>
      <c r="DH265" s="653" t="str">
        <f t="shared" si="46"/>
        <v/>
      </c>
      <c r="DI265" s="134" t="str">
        <f t="shared" si="47"/>
        <v/>
      </c>
      <c r="DJ265" s="134" t="str">
        <f t="shared" si="48"/>
        <v/>
      </c>
      <c r="DK265" s="662" t="str">
        <f t="shared" si="49"/>
        <v/>
      </c>
      <c r="DL265" s="134"/>
      <c r="DM265" s="134"/>
      <c r="DN265" s="134"/>
      <c r="DO265" s="653"/>
      <c r="DP265" s="872" t="s">
        <v>2365</v>
      </c>
    </row>
    <row r="266">
      <c r="A266" s="552">
        <v>260.0</v>
      </c>
      <c r="B266" s="86">
        <v>200.0</v>
      </c>
      <c r="C266" s="54">
        <v>19.0</v>
      </c>
      <c r="D266" s="54">
        <v>36.0</v>
      </c>
      <c r="E266" s="74"/>
      <c r="F266" s="68" t="s">
        <v>2364</v>
      </c>
      <c r="G266" s="68">
        <f t="shared" si="269"/>
        <v>20</v>
      </c>
      <c r="H266" s="68">
        <f t="shared" si="478"/>
        <v>21</v>
      </c>
      <c r="I266" s="68">
        <f t="shared" si="479"/>
        <v>20</v>
      </c>
      <c r="J266" s="68">
        <f t="shared" si="480"/>
        <v>20</v>
      </c>
      <c r="K266" s="68">
        <f t="shared" si="481"/>
        <v>20</v>
      </c>
      <c r="L266" s="68">
        <f t="shared" si="482"/>
        <v>20</v>
      </c>
      <c r="M266" s="569">
        <f t="shared" si="483"/>
        <v>20</v>
      </c>
      <c r="N266" s="74" t="s">
        <v>1451</v>
      </c>
      <c r="O266" s="570" t="s">
        <v>2066</v>
      </c>
      <c r="P266" s="571"/>
      <c r="Q266" s="571" t="s">
        <v>1670</v>
      </c>
      <c r="R266" s="571" t="s">
        <v>1380</v>
      </c>
      <c r="S266" s="791" t="s">
        <v>1456</v>
      </c>
      <c r="T266" s="572" t="s">
        <v>1452</v>
      </c>
      <c r="U266" s="54">
        <v>34.0</v>
      </c>
      <c r="V266" s="54">
        <v>22.0</v>
      </c>
      <c r="W266" s="54">
        <v>52.0</v>
      </c>
      <c r="X266" s="54">
        <v>61.0</v>
      </c>
      <c r="Y266" s="54">
        <v>4.0</v>
      </c>
      <c r="Z266" s="54">
        <v>-10.0</v>
      </c>
      <c r="AA266" s="74"/>
      <c r="AB266" s="74"/>
      <c r="AC266" s="54">
        <v>2709.0</v>
      </c>
      <c r="AD266" s="54">
        <v>2.0</v>
      </c>
      <c r="AE266" s="74"/>
      <c r="AF266" s="54">
        <v>50.0</v>
      </c>
      <c r="AG266" s="54">
        <v>20.0</v>
      </c>
      <c r="AH266" s="54">
        <v>38.0</v>
      </c>
      <c r="AI266" s="574">
        <f t="shared" si="12"/>
        <v>29</v>
      </c>
      <c r="AJ266" s="909">
        <v>0.0</v>
      </c>
      <c r="AK266" s="74"/>
      <c r="AL266" s="74"/>
      <c r="AM266" s="74"/>
      <c r="AN266" s="74"/>
      <c r="AO266" s="74"/>
      <c r="AP266" s="74"/>
      <c r="AQ266" s="74"/>
      <c r="AR266" s="74"/>
      <c r="AS266" s="575"/>
      <c r="AT266" s="68">
        <f t="shared" si="13"/>
        <v>322</v>
      </c>
      <c r="AU266" s="68">
        <f t="shared" si="14"/>
        <v>495</v>
      </c>
      <c r="AV266" s="581">
        <f t="shared" si="15"/>
        <v>408.5</v>
      </c>
      <c r="AW266" s="582">
        <f t="shared" si="276"/>
        <v>567</v>
      </c>
      <c r="AX266" s="582">
        <f t="shared" si="484"/>
        <v>538</v>
      </c>
      <c r="AY266" s="582">
        <f t="shared" si="485"/>
        <v>567</v>
      </c>
      <c r="AZ266" s="582">
        <f t="shared" si="486"/>
        <v>567</v>
      </c>
      <c r="BA266" s="582">
        <f t="shared" si="487"/>
        <v>567</v>
      </c>
      <c r="BB266" s="582">
        <f t="shared" si="488"/>
        <v>567</v>
      </c>
      <c r="BC266" s="582">
        <f t="shared" si="489"/>
        <v>567</v>
      </c>
      <c r="BD266" s="582">
        <f t="shared" si="490"/>
        <v>444</v>
      </c>
      <c r="BE266" s="582">
        <f t="shared" si="491"/>
        <v>538</v>
      </c>
      <c r="BF266" s="582">
        <f t="shared" si="492"/>
        <v>444</v>
      </c>
      <c r="BG266" s="582">
        <f t="shared" si="493"/>
        <v>538</v>
      </c>
      <c r="BH266" s="582">
        <f t="shared" si="284"/>
        <v>538</v>
      </c>
      <c r="BI266" s="582">
        <f t="shared" si="494"/>
        <v>511</v>
      </c>
      <c r="BJ266" s="582">
        <f t="shared" si="495"/>
        <v>538</v>
      </c>
      <c r="BK266" s="582">
        <f t="shared" si="496"/>
        <v>538</v>
      </c>
      <c r="BL266" s="582">
        <f t="shared" si="497"/>
        <v>538</v>
      </c>
      <c r="BM266" s="582">
        <f t="shared" si="445"/>
        <v>786</v>
      </c>
      <c r="BN266" s="74"/>
      <c r="BO266" s="74"/>
      <c r="BP266" s="602">
        <f t="shared" si="33"/>
        <v>786</v>
      </c>
      <c r="BQ266" s="54">
        <v>14.0</v>
      </c>
      <c r="BR266" s="54">
        <v>27.0</v>
      </c>
      <c r="BS266" s="54">
        <v>-10.0</v>
      </c>
      <c r="BT266" s="74"/>
      <c r="BU266" s="54">
        <v>100.0</v>
      </c>
      <c r="BV266" s="83">
        <f t="shared" si="34"/>
        <v>20.5</v>
      </c>
      <c r="BW266" s="608">
        <f t="shared" si="35"/>
        <v>553.9</v>
      </c>
      <c r="BX266" s="582">
        <f t="shared" si="289"/>
        <v>769.3</v>
      </c>
      <c r="BY266" s="582">
        <f t="shared" si="498"/>
        <v>728.8</v>
      </c>
      <c r="BZ266" s="582">
        <f t="shared" si="499"/>
        <v>769.3</v>
      </c>
      <c r="CA266" s="582">
        <f t="shared" si="500"/>
        <v>769.3</v>
      </c>
      <c r="CB266" s="582">
        <f t="shared" si="501"/>
        <v>769.3</v>
      </c>
      <c r="CC266" s="582">
        <f t="shared" si="502"/>
        <v>769.3</v>
      </c>
      <c r="CD266" s="582">
        <f t="shared" si="503"/>
        <v>769.3</v>
      </c>
      <c r="CE266" s="664">
        <f t="shared" si="43"/>
        <v>41.5</v>
      </c>
      <c r="CF266" s="706">
        <f t="shared" si="248"/>
        <v>-26.3</v>
      </c>
      <c r="CG266" s="552">
        <f t="shared" si="295"/>
        <v>-26.3</v>
      </c>
      <c r="CH266" s="575" t="s">
        <v>1451</v>
      </c>
      <c r="CI266" s="582">
        <f t="shared" ref="CI266:DF266" si="507">FLOOR($AV266/(CI$3/25),1)</f>
        <v>408</v>
      </c>
      <c r="CJ266" s="582">
        <f t="shared" si="507"/>
        <v>425</v>
      </c>
      <c r="CK266" s="582">
        <f t="shared" si="507"/>
        <v>444</v>
      </c>
      <c r="CL266" s="582">
        <f t="shared" si="507"/>
        <v>464</v>
      </c>
      <c r="CM266" s="582">
        <f t="shared" si="507"/>
        <v>486</v>
      </c>
      <c r="CN266" s="582">
        <f t="shared" si="507"/>
        <v>510</v>
      </c>
      <c r="CO266" s="582">
        <f t="shared" si="507"/>
        <v>537</v>
      </c>
      <c r="CP266" s="582">
        <f t="shared" si="507"/>
        <v>567</v>
      </c>
      <c r="CQ266" s="582">
        <f t="shared" si="507"/>
        <v>600</v>
      </c>
      <c r="CR266" s="582">
        <f t="shared" si="507"/>
        <v>638</v>
      </c>
      <c r="CS266" s="582">
        <f t="shared" si="507"/>
        <v>680</v>
      </c>
      <c r="CT266" s="582">
        <f t="shared" si="507"/>
        <v>729</v>
      </c>
      <c r="CU266" s="582">
        <f t="shared" si="507"/>
        <v>785</v>
      </c>
      <c r="CV266" s="582">
        <f t="shared" si="507"/>
        <v>851</v>
      </c>
      <c r="CW266" s="582">
        <f t="shared" si="507"/>
        <v>928</v>
      </c>
      <c r="CX266" s="582">
        <f t="shared" si="507"/>
        <v>1021</v>
      </c>
      <c r="CY266" s="582">
        <f t="shared" si="507"/>
        <v>1134</v>
      </c>
      <c r="CZ266" s="582">
        <f t="shared" si="507"/>
        <v>1276</v>
      </c>
      <c r="DA266" s="582">
        <f t="shared" si="507"/>
        <v>1458</v>
      </c>
      <c r="DB266" s="582">
        <f t="shared" si="507"/>
        <v>1702</v>
      </c>
      <c r="DC266" s="582">
        <f t="shared" si="507"/>
        <v>2042</v>
      </c>
      <c r="DD266" s="582">
        <f t="shared" si="507"/>
        <v>2553</v>
      </c>
      <c r="DE266" s="582">
        <f t="shared" si="507"/>
        <v>3404</v>
      </c>
      <c r="DF266" s="602">
        <f t="shared" si="507"/>
        <v>5106</v>
      </c>
      <c r="DG266" s="575"/>
      <c r="DH266" s="575" t="str">
        <f t="shared" si="46"/>
        <v/>
      </c>
      <c r="DI266" s="74" t="str">
        <f t="shared" si="47"/>
        <v/>
      </c>
      <c r="DJ266" s="74" t="str">
        <f t="shared" si="48"/>
        <v/>
      </c>
      <c r="DK266" s="623" t="str">
        <f t="shared" si="49"/>
        <v/>
      </c>
      <c r="DL266" s="74"/>
      <c r="DM266" s="74"/>
      <c r="DN266" s="582">
        <f t="shared" ref="DN266:DN273" si="509">IF(ISBLANK(DL266),ROUND(AI266/IF(ISBLANK(DL262),AI262,DL262),1),ROUND(DL266/IF(ISBLANK(DL262),AI262,DL262),1))</f>
        <v>3.2</v>
      </c>
      <c r="DO266" s="575"/>
      <c r="DP266" s="61" t="s">
        <v>2365</v>
      </c>
    </row>
    <row r="267">
      <c r="A267" s="552">
        <v>261.0</v>
      </c>
      <c r="B267" s="86">
        <v>201.0</v>
      </c>
      <c r="C267" s="54">
        <v>27.0</v>
      </c>
      <c r="D267" s="54">
        <v>57.0</v>
      </c>
      <c r="E267" s="74"/>
      <c r="F267" s="68" t="s">
        <v>2364</v>
      </c>
      <c r="G267" s="68">
        <f t="shared" si="269"/>
        <v>20</v>
      </c>
      <c r="H267" s="68">
        <f t="shared" si="478"/>
        <v>21</v>
      </c>
      <c r="I267" s="68">
        <f t="shared" si="479"/>
        <v>20</v>
      </c>
      <c r="J267" s="68">
        <f t="shared" si="480"/>
        <v>20</v>
      </c>
      <c r="K267" s="68">
        <f t="shared" si="481"/>
        <v>20</v>
      </c>
      <c r="L267" s="68">
        <f t="shared" si="482"/>
        <v>20</v>
      </c>
      <c r="M267" s="569">
        <f t="shared" si="483"/>
        <v>20</v>
      </c>
      <c r="N267" s="74" t="s">
        <v>1459</v>
      </c>
      <c r="O267" s="570" t="s">
        <v>2067</v>
      </c>
      <c r="P267" s="571"/>
      <c r="Q267" s="571" t="s">
        <v>1670</v>
      </c>
      <c r="R267" s="571" t="s">
        <v>1380</v>
      </c>
      <c r="S267" s="791" t="s">
        <v>1456</v>
      </c>
      <c r="T267" s="572" t="s">
        <v>1460</v>
      </c>
      <c r="U267" s="54">
        <v>40.0</v>
      </c>
      <c r="V267" s="54">
        <v>25.0</v>
      </c>
      <c r="W267" s="54">
        <v>80.0</v>
      </c>
      <c r="X267" s="54">
        <v>70.0</v>
      </c>
      <c r="Y267" s="54">
        <v>4.0</v>
      </c>
      <c r="Z267" s="54">
        <v>0.0</v>
      </c>
      <c r="AA267" s="74"/>
      <c r="AB267" s="74"/>
      <c r="AC267" s="54">
        <v>7335.0</v>
      </c>
      <c r="AD267" s="54">
        <v>2.0</v>
      </c>
      <c r="AE267" s="74"/>
      <c r="AF267" s="54">
        <v>50.0</v>
      </c>
      <c r="AG267" s="54">
        <v>28.0</v>
      </c>
      <c r="AH267" s="54">
        <v>60.0</v>
      </c>
      <c r="AI267" s="574">
        <f t="shared" si="12"/>
        <v>44</v>
      </c>
      <c r="AJ267" s="909">
        <v>0.0</v>
      </c>
      <c r="AK267" s="74"/>
      <c r="AL267" s="74"/>
      <c r="AM267" s="74"/>
      <c r="AN267" s="74"/>
      <c r="AO267" s="74"/>
      <c r="AP267" s="74"/>
      <c r="AQ267" s="74"/>
      <c r="AR267" s="74"/>
      <c r="AS267" s="575"/>
      <c r="AT267" s="68">
        <f t="shared" si="13"/>
        <v>398</v>
      </c>
      <c r="AU267" s="68">
        <f t="shared" si="14"/>
        <v>705</v>
      </c>
      <c r="AV267" s="581">
        <f t="shared" si="15"/>
        <v>551.5</v>
      </c>
      <c r="AW267" s="582">
        <f t="shared" si="276"/>
        <v>726</v>
      </c>
      <c r="AX267" s="582">
        <f t="shared" si="484"/>
        <v>689</v>
      </c>
      <c r="AY267" s="582">
        <f t="shared" si="485"/>
        <v>726</v>
      </c>
      <c r="AZ267" s="582">
        <f t="shared" si="486"/>
        <v>726</v>
      </c>
      <c r="BA267" s="582">
        <f t="shared" si="487"/>
        <v>726</v>
      </c>
      <c r="BB267" s="582">
        <f t="shared" si="488"/>
        <v>726</v>
      </c>
      <c r="BC267" s="582">
        <f t="shared" si="489"/>
        <v>726</v>
      </c>
      <c r="BD267" s="582">
        <f t="shared" si="490"/>
        <v>492</v>
      </c>
      <c r="BE267" s="582">
        <f t="shared" si="491"/>
        <v>599</v>
      </c>
      <c r="BF267" s="582">
        <f t="shared" si="492"/>
        <v>492</v>
      </c>
      <c r="BG267" s="582">
        <f t="shared" si="493"/>
        <v>599</v>
      </c>
      <c r="BH267" s="582">
        <f t="shared" si="284"/>
        <v>599</v>
      </c>
      <c r="BI267" s="582">
        <f t="shared" si="494"/>
        <v>552</v>
      </c>
      <c r="BJ267" s="582">
        <f t="shared" si="495"/>
        <v>599</v>
      </c>
      <c r="BK267" s="582">
        <f t="shared" si="496"/>
        <v>599</v>
      </c>
      <c r="BL267" s="582">
        <f t="shared" si="497"/>
        <v>599</v>
      </c>
      <c r="BM267" s="582">
        <f t="shared" si="445"/>
        <v>985</v>
      </c>
      <c r="BN267" s="74"/>
      <c r="BO267" s="74"/>
      <c r="BP267" s="602">
        <f t="shared" si="33"/>
        <v>985</v>
      </c>
      <c r="BQ267" s="54">
        <v>20.0</v>
      </c>
      <c r="BR267" s="54">
        <v>42.0</v>
      </c>
      <c r="BS267" s="74"/>
      <c r="BT267" s="74"/>
      <c r="BU267" s="54">
        <v>100.0</v>
      </c>
      <c r="BV267" s="83">
        <f t="shared" si="34"/>
        <v>31</v>
      </c>
      <c r="BW267" s="608">
        <f t="shared" si="35"/>
        <v>723.4</v>
      </c>
      <c r="BX267" s="582">
        <f t="shared" si="289"/>
        <v>951.8</v>
      </c>
      <c r="BY267" s="582">
        <f t="shared" si="498"/>
        <v>904.3</v>
      </c>
      <c r="BZ267" s="582">
        <f t="shared" si="499"/>
        <v>951.8</v>
      </c>
      <c r="CA267" s="582">
        <f t="shared" si="500"/>
        <v>951.8</v>
      </c>
      <c r="CB267" s="582">
        <f t="shared" si="501"/>
        <v>951.8</v>
      </c>
      <c r="CC267" s="582">
        <f t="shared" si="502"/>
        <v>951.8</v>
      </c>
      <c r="CD267" s="582">
        <f t="shared" si="503"/>
        <v>951.8</v>
      </c>
      <c r="CE267" s="664">
        <f t="shared" si="43"/>
        <v>41.9</v>
      </c>
      <c r="CF267" s="706">
        <f t="shared" si="248"/>
        <v>-23.8</v>
      </c>
      <c r="CG267" s="552">
        <f t="shared" si="295"/>
        <v>-23.7</v>
      </c>
      <c r="CH267" s="575" t="s">
        <v>1459</v>
      </c>
      <c r="CI267" s="582">
        <f t="shared" ref="CI267:DF267" si="508">FLOOR($AV267/(CI$3/25),1)</f>
        <v>551</v>
      </c>
      <c r="CJ267" s="582">
        <f t="shared" si="508"/>
        <v>574</v>
      </c>
      <c r="CK267" s="582">
        <f t="shared" si="508"/>
        <v>599</v>
      </c>
      <c r="CL267" s="582">
        <f t="shared" si="508"/>
        <v>626</v>
      </c>
      <c r="CM267" s="582">
        <f t="shared" si="508"/>
        <v>656</v>
      </c>
      <c r="CN267" s="582">
        <f t="shared" si="508"/>
        <v>689</v>
      </c>
      <c r="CO267" s="582">
        <f t="shared" si="508"/>
        <v>725</v>
      </c>
      <c r="CP267" s="582">
        <f t="shared" si="508"/>
        <v>765</v>
      </c>
      <c r="CQ267" s="582">
        <f t="shared" si="508"/>
        <v>811</v>
      </c>
      <c r="CR267" s="582">
        <f t="shared" si="508"/>
        <v>861</v>
      </c>
      <c r="CS267" s="582">
        <f t="shared" si="508"/>
        <v>919</v>
      </c>
      <c r="CT267" s="582">
        <f t="shared" si="508"/>
        <v>984</v>
      </c>
      <c r="CU267" s="582">
        <f t="shared" si="508"/>
        <v>1060</v>
      </c>
      <c r="CV267" s="582">
        <f t="shared" si="508"/>
        <v>1148</v>
      </c>
      <c r="CW267" s="582">
        <f t="shared" si="508"/>
        <v>1253</v>
      </c>
      <c r="CX267" s="582">
        <f t="shared" si="508"/>
        <v>1378</v>
      </c>
      <c r="CY267" s="582">
        <f t="shared" si="508"/>
        <v>1531</v>
      </c>
      <c r="CZ267" s="582">
        <f t="shared" si="508"/>
        <v>1723</v>
      </c>
      <c r="DA267" s="582">
        <f t="shared" si="508"/>
        <v>1969</v>
      </c>
      <c r="DB267" s="582">
        <f t="shared" si="508"/>
        <v>2297</v>
      </c>
      <c r="DC267" s="582">
        <f t="shared" si="508"/>
        <v>2757</v>
      </c>
      <c r="DD267" s="582">
        <f t="shared" si="508"/>
        <v>3446</v>
      </c>
      <c r="DE267" s="582">
        <f t="shared" si="508"/>
        <v>4595</v>
      </c>
      <c r="DF267" s="602">
        <f t="shared" si="508"/>
        <v>6893</v>
      </c>
      <c r="DG267" s="575"/>
      <c r="DH267" s="575" t="str">
        <f t="shared" si="46"/>
        <v/>
      </c>
      <c r="DI267" s="74" t="str">
        <f t="shared" si="47"/>
        <v/>
      </c>
      <c r="DJ267" s="74" t="str">
        <f t="shared" si="48"/>
        <v/>
      </c>
      <c r="DK267" s="623" t="str">
        <f t="shared" si="49"/>
        <v/>
      </c>
      <c r="DL267" s="74"/>
      <c r="DM267" s="74"/>
      <c r="DN267" s="582">
        <f t="shared" si="509"/>
        <v>3.1</v>
      </c>
      <c r="DO267" s="575"/>
      <c r="DP267" s="61" t="s">
        <v>2365</v>
      </c>
    </row>
    <row r="268">
      <c r="A268" s="552">
        <v>262.0</v>
      </c>
      <c r="B268" s="86">
        <v>202.0</v>
      </c>
      <c r="C268" s="54">
        <v>45.0</v>
      </c>
      <c r="D268" s="54">
        <v>74.0</v>
      </c>
      <c r="E268" s="74"/>
      <c r="F268" s="68" t="s">
        <v>2364</v>
      </c>
      <c r="G268" s="68">
        <f t="shared" si="269"/>
        <v>20</v>
      </c>
      <c r="H268" s="68">
        <f t="shared" si="478"/>
        <v>21</v>
      </c>
      <c r="I268" s="68">
        <f t="shared" si="479"/>
        <v>20</v>
      </c>
      <c r="J268" s="68">
        <f t="shared" si="480"/>
        <v>20</v>
      </c>
      <c r="K268" s="68">
        <f t="shared" si="481"/>
        <v>20</v>
      </c>
      <c r="L268" s="68">
        <f t="shared" si="482"/>
        <v>20</v>
      </c>
      <c r="M268" s="569">
        <f t="shared" si="483"/>
        <v>20</v>
      </c>
      <c r="N268" s="37" t="s">
        <v>1467</v>
      </c>
      <c r="O268" s="570" t="s">
        <v>2068</v>
      </c>
      <c r="P268" s="571"/>
      <c r="Q268" s="571" t="s">
        <v>1670</v>
      </c>
      <c r="R268" s="571" t="s">
        <v>1380</v>
      </c>
      <c r="S268" s="791" t="s">
        <v>1456</v>
      </c>
      <c r="T268" s="572" t="s">
        <v>1468</v>
      </c>
      <c r="U268" s="54">
        <v>47.0</v>
      </c>
      <c r="V268" s="54">
        <v>25.0</v>
      </c>
      <c r="W268" s="54">
        <v>110.0</v>
      </c>
      <c r="X268" s="54">
        <v>80.0</v>
      </c>
      <c r="Y268" s="54">
        <v>6.0</v>
      </c>
      <c r="Z268" s="54">
        <v>10.0</v>
      </c>
      <c r="AA268" s="74"/>
      <c r="AB268" s="74"/>
      <c r="AC268" s="54">
        <v>12588.0</v>
      </c>
      <c r="AD268" s="54">
        <v>2.0</v>
      </c>
      <c r="AE268" s="74"/>
      <c r="AF268" s="54">
        <v>50.0</v>
      </c>
      <c r="AG268" s="54">
        <v>47.0</v>
      </c>
      <c r="AH268" s="54">
        <v>78.0</v>
      </c>
      <c r="AI268" s="574">
        <f t="shared" si="12"/>
        <v>62.5</v>
      </c>
      <c r="AJ268" s="909">
        <v>0.0</v>
      </c>
      <c r="AK268" s="74"/>
      <c r="AL268" s="74"/>
      <c r="AM268" s="74"/>
      <c r="AN268" s="74"/>
      <c r="AO268" s="74"/>
      <c r="AP268" s="74"/>
      <c r="AQ268" s="74"/>
      <c r="AR268" s="74"/>
      <c r="AS268" s="575"/>
      <c r="AT268" s="68">
        <f t="shared" si="13"/>
        <v>581</v>
      </c>
      <c r="AU268" s="68">
        <f t="shared" si="14"/>
        <v>877</v>
      </c>
      <c r="AV268" s="581">
        <f t="shared" si="15"/>
        <v>729</v>
      </c>
      <c r="AW268" s="582">
        <f t="shared" si="276"/>
        <v>828</v>
      </c>
      <c r="AX268" s="582">
        <f t="shared" si="484"/>
        <v>792</v>
      </c>
      <c r="AY268" s="582">
        <f t="shared" si="485"/>
        <v>828</v>
      </c>
      <c r="AZ268" s="582">
        <f t="shared" si="486"/>
        <v>828</v>
      </c>
      <c r="BA268" s="582">
        <f t="shared" si="487"/>
        <v>828</v>
      </c>
      <c r="BB268" s="582">
        <f t="shared" si="488"/>
        <v>828</v>
      </c>
      <c r="BC268" s="582">
        <f t="shared" si="489"/>
        <v>828</v>
      </c>
      <c r="BD268" s="582">
        <f t="shared" si="490"/>
        <v>521</v>
      </c>
      <c r="BE268" s="582">
        <f t="shared" si="491"/>
        <v>628</v>
      </c>
      <c r="BF268" s="582">
        <f t="shared" si="492"/>
        <v>521</v>
      </c>
      <c r="BG268" s="582">
        <f t="shared" si="493"/>
        <v>628</v>
      </c>
      <c r="BH268" s="582">
        <f t="shared" si="284"/>
        <v>628</v>
      </c>
      <c r="BI268" s="582">
        <f t="shared" si="494"/>
        <v>588</v>
      </c>
      <c r="BJ268" s="582">
        <f t="shared" si="495"/>
        <v>628</v>
      </c>
      <c r="BK268" s="582">
        <f t="shared" si="496"/>
        <v>628</v>
      </c>
      <c r="BL268" s="582">
        <f t="shared" si="497"/>
        <v>628</v>
      </c>
      <c r="BM268" s="582">
        <f t="shared" si="445"/>
        <v>1139</v>
      </c>
      <c r="BN268" s="74"/>
      <c r="BO268" s="74"/>
      <c r="BP268" s="602">
        <f t="shared" si="33"/>
        <v>1139</v>
      </c>
      <c r="BQ268" s="54">
        <v>33.0</v>
      </c>
      <c r="BR268" s="54">
        <v>55.0</v>
      </c>
      <c r="BS268" s="54">
        <v>10.0</v>
      </c>
      <c r="BT268" s="74"/>
      <c r="BU268" s="54">
        <v>100.0</v>
      </c>
      <c r="BV268" s="83">
        <f t="shared" si="34"/>
        <v>44</v>
      </c>
      <c r="BW268" s="608">
        <f t="shared" si="35"/>
        <v>933.3</v>
      </c>
      <c r="BX268" s="582">
        <f t="shared" si="289"/>
        <v>1060.6</v>
      </c>
      <c r="BY268" s="582">
        <f t="shared" si="498"/>
        <v>1014.5</v>
      </c>
      <c r="BZ268" s="582">
        <f t="shared" si="499"/>
        <v>1060.6</v>
      </c>
      <c r="CA268" s="582">
        <f t="shared" si="500"/>
        <v>1060.6</v>
      </c>
      <c r="CB268" s="582">
        <f t="shared" si="501"/>
        <v>1060.6</v>
      </c>
      <c r="CC268" s="582">
        <f t="shared" si="502"/>
        <v>1060.6</v>
      </c>
      <c r="CD268" s="582">
        <f t="shared" si="503"/>
        <v>1060.6</v>
      </c>
      <c r="CE268" s="664">
        <f t="shared" si="43"/>
        <v>42</v>
      </c>
      <c r="CF268" s="706">
        <f t="shared" si="248"/>
        <v>-21.9</v>
      </c>
      <c r="CG268" s="552">
        <f t="shared" si="295"/>
        <v>-21.9</v>
      </c>
      <c r="CH268" s="575" t="s">
        <v>2366</v>
      </c>
      <c r="CI268" s="582">
        <f t="shared" ref="CI268:DF268" si="510">FLOOR($AV268/(CI$3/25),1)</f>
        <v>729</v>
      </c>
      <c r="CJ268" s="582">
        <f t="shared" si="510"/>
        <v>759</v>
      </c>
      <c r="CK268" s="582">
        <f t="shared" si="510"/>
        <v>792</v>
      </c>
      <c r="CL268" s="582">
        <f t="shared" si="510"/>
        <v>828</v>
      </c>
      <c r="CM268" s="582">
        <f t="shared" si="510"/>
        <v>867</v>
      </c>
      <c r="CN268" s="582">
        <f t="shared" si="510"/>
        <v>911</v>
      </c>
      <c r="CO268" s="582">
        <f t="shared" si="510"/>
        <v>959</v>
      </c>
      <c r="CP268" s="582">
        <f t="shared" si="510"/>
        <v>1012</v>
      </c>
      <c r="CQ268" s="582">
        <f t="shared" si="510"/>
        <v>1072</v>
      </c>
      <c r="CR268" s="582">
        <f t="shared" si="510"/>
        <v>1139</v>
      </c>
      <c r="CS268" s="582">
        <f t="shared" si="510"/>
        <v>1215</v>
      </c>
      <c r="CT268" s="582">
        <f t="shared" si="510"/>
        <v>1301</v>
      </c>
      <c r="CU268" s="582">
        <f t="shared" si="510"/>
        <v>1401</v>
      </c>
      <c r="CV268" s="582">
        <f t="shared" si="510"/>
        <v>1518</v>
      </c>
      <c r="CW268" s="582">
        <f t="shared" si="510"/>
        <v>1656</v>
      </c>
      <c r="CX268" s="582">
        <f t="shared" si="510"/>
        <v>1822</v>
      </c>
      <c r="CY268" s="582">
        <f t="shared" si="510"/>
        <v>2025</v>
      </c>
      <c r="CZ268" s="582">
        <f t="shared" si="510"/>
        <v>2278</v>
      </c>
      <c r="DA268" s="582">
        <f t="shared" si="510"/>
        <v>2603</v>
      </c>
      <c r="DB268" s="582">
        <f t="shared" si="510"/>
        <v>3037</v>
      </c>
      <c r="DC268" s="582">
        <f t="shared" si="510"/>
        <v>3645</v>
      </c>
      <c r="DD268" s="582">
        <f t="shared" si="510"/>
        <v>4556</v>
      </c>
      <c r="DE268" s="582">
        <f t="shared" si="510"/>
        <v>6075</v>
      </c>
      <c r="DF268" s="602">
        <f t="shared" si="510"/>
        <v>9112</v>
      </c>
      <c r="DG268" s="575"/>
      <c r="DH268" s="575" t="str">
        <f t="shared" si="46"/>
        <v/>
      </c>
      <c r="DI268" s="74" t="str">
        <f t="shared" si="47"/>
        <v/>
      </c>
      <c r="DJ268" s="74" t="str">
        <f t="shared" si="48"/>
        <v/>
      </c>
      <c r="DK268" s="623" t="str">
        <f t="shared" si="49"/>
        <v/>
      </c>
      <c r="DL268" s="74"/>
      <c r="DM268" s="74"/>
      <c r="DN268" s="582">
        <f t="shared" si="509"/>
        <v>3</v>
      </c>
      <c r="DO268" s="575"/>
      <c r="DP268" s="61" t="s">
        <v>2365</v>
      </c>
    </row>
    <row r="269">
      <c r="A269" s="647">
        <v>263.0</v>
      </c>
      <c r="B269" s="141">
        <v>203.0</v>
      </c>
      <c r="C269" s="129">
        <v>21.0</v>
      </c>
      <c r="D269" s="129">
        <v>48.0</v>
      </c>
      <c r="E269" s="134"/>
      <c r="F269" s="154" t="s">
        <v>2364</v>
      </c>
      <c r="G269" s="154">
        <f t="shared" si="269"/>
        <v>20</v>
      </c>
      <c r="H269" s="154">
        <f t="shared" si="478"/>
        <v>21</v>
      </c>
      <c r="I269" s="154">
        <f t="shared" si="479"/>
        <v>20</v>
      </c>
      <c r="J269" s="154">
        <f t="shared" si="480"/>
        <v>20</v>
      </c>
      <c r="K269" s="154">
        <f t="shared" si="481"/>
        <v>20</v>
      </c>
      <c r="L269" s="154">
        <f t="shared" si="482"/>
        <v>20</v>
      </c>
      <c r="M269" s="648">
        <f t="shared" si="483"/>
        <v>20</v>
      </c>
      <c r="N269" s="134" t="s">
        <v>1475</v>
      </c>
      <c r="O269" s="649" t="s">
        <v>2069</v>
      </c>
      <c r="P269" s="650"/>
      <c r="Q269" s="650" t="s">
        <v>1670</v>
      </c>
      <c r="R269" s="650" t="s">
        <v>1380</v>
      </c>
      <c r="S269" s="796" t="s">
        <v>1456</v>
      </c>
      <c r="T269" s="651" t="s">
        <v>1476</v>
      </c>
      <c r="U269" s="129">
        <v>54.0</v>
      </c>
      <c r="V269" s="129">
        <v>25.0</v>
      </c>
      <c r="W269" s="129">
        <v>80.0</v>
      </c>
      <c r="X269" s="799">
        <v>95.0</v>
      </c>
      <c r="Y269" s="129">
        <v>5.0</v>
      </c>
      <c r="Z269" s="129">
        <v>-60.0</v>
      </c>
      <c r="AA269" s="134"/>
      <c r="AB269" s="134"/>
      <c r="AC269" s="129">
        <v>8517.0</v>
      </c>
      <c r="AD269" s="129">
        <v>2.0</v>
      </c>
      <c r="AE269" s="134"/>
      <c r="AF269" s="129">
        <v>50.0</v>
      </c>
      <c r="AG269" s="129">
        <v>22.0</v>
      </c>
      <c r="AH269" s="129">
        <v>50.0</v>
      </c>
      <c r="AI269" s="652">
        <f t="shared" si="12"/>
        <v>36</v>
      </c>
      <c r="AJ269" s="910">
        <v>0.0</v>
      </c>
      <c r="AK269" s="134"/>
      <c r="AL269" s="134"/>
      <c r="AM269" s="134"/>
      <c r="AN269" s="134"/>
      <c r="AO269" s="134"/>
      <c r="AP269" s="134"/>
      <c r="AQ269" s="134"/>
      <c r="AR269" s="134"/>
      <c r="AS269" s="653"/>
      <c r="AT269" s="154">
        <f t="shared" si="13"/>
        <v>341</v>
      </c>
      <c r="AU269" s="154">
        <f t="shared" si="14"/>
        <v>610</v>
      </c>
      <c r="AV269" s="654">
        <f t="shared" si="15"/>
        <v>475.5</v>
      </c>
      <c r="AW269" s="655">
        <f t="shared" si="276"/>
        <v>991</v>
      </c>
      <c r="AX269" s="655">
        <f t="shared" si="484"/>
        <v>914</v>
      </c>
      <c r="AY269" s="655">
        <f t="shared" si="485"/>
        <v>991</v>
      </c>
      <c r="AZ269" s="655">
        <f t="shared" si="486"/>
        <v>991</v>
      </c>
      <c r="BA269" s="655">
        <f t="shared" si="487"/>
        <v>991</v>
      </c>
      <c r="BB269" s="655">
        <f t="shared" si="488"/>
        <v>991</v>
      </c>
      <c r="BC269" s="655">
        <f t="shared" si="489"/>
        <v>991</v>
      </c>
      <c r="BD269" s="655">
        <f t="shared" si="490"/>
        <v>1189</v>
      </c>
      <c r="BE269" s="655">
        <f t="shared" si="491"/>
        <v>1321</v>
      </c>
      <c r="BF269" s="655">
        <f t="shared" si="492"/>
        <v>1189</v>
      </c>
      <c r="BG269" s="655">
        <f t="shared" si="493"/>
        <v>1321</v>
      </c>
      <c r="BH269" s="655">
        <f t="shared" si="284"/>
        <v>1321</v>
      </c>
      <c r="BI269" s="655">
        <f t="shared" si="494"/>
        <v>1321</v>
      </c>
      <c r="BJ269" s="655">
        <f t="shared" si="495"/>
        <v>1321</v>
      </c>
      <c r="BK269" s="655">
        <f t="shared" si="496"/>
        <v>1321</v>
      </c>
      <c r="BL269" s="655">
        <f t="shared" si="497"/>
        <v>1321</v>
      </c>
      <c r="BM269" s="655">
        <f t="shared" si="445"/>
        <v>1321</v>
      </c>
      <c r="BN269" s="134"/>
      <c r="BO269" s="134"/>
      <c r="BP269" s="656">
        <f t="shared" si="33"/>
        <v>1321</v>
      </c>
      <c r="BQ269" s="129">
        <v>14.0</v>
      </c>
      <c r="BR269" s="129">
        <v>32.0</v>
      </c>
      <c r="BS269" s="129">
        <v>-60.0</v>
      </c>
      <c r="BT269" s="134"/>
      <c r="BU269" s="129">
        <v>100.0</v>
      </c>
      <c r="BV269" s="135">
        <f t="shared" si="34"/>
        <v>23</v>
      </c>
      <c r="BW269" s="657">
        <f t="shared" si="35"/>
        <v>594.3</v>
      </c>
      <c r="BX269" s="655">
        <f t="shared" si="289"/>
        <v>1238.1</v>
      </c>
      <c r="BY269" s="655">
        <f t="shared" si="498"/>
        <v>1142.9</v>
      </c>
      <c r="BZ269" s="655">
        <f t="shared" si="499"/>
        <v>1238.1</v>
      </c>
      <c r="CA269" s="655">
        <f t="shared" si="500"/>
        <v>1238.1</v>
      </c>
      <c r="CB269" s="655">
        <f t="shared" si="501"/>
        <v>1238.1</v>
      </c>
      <c r="CC269" s="655">
        <f t="shared" si="502"/>
        <v>1238.1</v>
      </c>
      <c r="CD269" s="655">
        <f t="shared" si="503"/>
        <v>1238.1</v>
      </c>
      <c r="CE269" s="659">
        <f t="shared" si="43"/>
        <v>56.5</v>
      </c>
      <c r="CF269" s="712">
        <f t="shared" si="248"/>
        <v>-20</v>
      </c>
      <c r="CG269" s="647">
        <f t="shared" si="295"/>
        <v>-20</v>
      </c>
      <c r="CH269" s="653" t="s">
        <v>1475</v>
      </c>
      <c r="CI269" s="655">
        <f t="shared" ref="CI269:DF269" si="511">FLOOR($AV269/(CI$3/25),1)</f>
        <v>475</v>
      </c>
      <c r="CJ269" s="655">
        <f t="shared" si="511"/>
        <v>495</v>
      </c>
      <c r="CK269" s="655">
        <f t="shared" si="511"/>
        <v>516</v>
      </c>
      <c r="CL269" s="655">
        <f t="shared" si="511"/>
        <v>540</v>
      </c>
      <c r="CM269" s="655">
        <f t="shared" si="511"/>
        <v>566</v>
      </c>
      <c r="CN269" s="655">
        <f t="shared" si="511"/>
        <v>594</v>
      </c>
      <c r="CO269" s="655">
        <f t="shared" si="511"/>
        <v>625</v>
      </c>
      <c r="CP269" s="655">
        <f t="shared" si="511"/>
        <v>660</v>
      </c>
      <c r="CQ269" s="655">
        <f t="shared" si="511"/>
        <v>699</v>
      </c>
      <c r="CR269" s="655">
        <f t="shared" si="511"/>
        <v>742</v>
      </c>
      <c r="CS269" s="655">
        <f t="shared" si="511"/>
        <v>792</v>
      </c>
      <c r="CT269" s="655">
        <f t="shared" si="511"/>
        <v>849</v>
      </c>
      <c r="CU269" s="655">
        <f t="shared" si="511"/>
        <v>914</v>
      </c>
      <c r="CV269" s="655">
        <f t="shared" si="511"/>
        <v>990</v>
      </c>
      <c r="CW269" s="655">
        <f t="shared" si="511"/>
        <v>1080</v>
      </c>
      <c r="CX269" s="655">
        <f t="shared" si="511"/>
        <v>1188</v>
      </c>
      <c r="CY269" s="655">
        <f t="shared" si="511"/>
        <v>1320</v>
      </c>
      <c r="CZ269" s="655">
        <f t="shared" si="511"/>
        <v>1485</v>
      </c>
      <c r="DA269" s="655">
        <f t="shared" si="511"/>
        <v>1698</v>
      </c>
      <c r="DB269" s="655">
        <f t="shared" si="511"/>
        <v>1981</v>
      </c>
      <c r="DC269" s="655">
        <f t="shared" si="511"/>
        <v>2377</v>
      </c>
      <c r="DD269" s="655">
        <f t="shared" si="511"/>
        <v>2971</v>
      </c>
      <c r="DE269" s="655">
        <f t="shared" si="511"/>
        <v>3962</v>
      </c>
      <c r="DF269" s="656">
        <f t="shared" si="511"/>
        <v>5943</v>
      </c>
      <c r="DG269" s="653"/>
      <c r="DH269" s="653" t="str">
        <f t="shared" si="46"/>
        <v/>
      </c>
      <c r="DI269" s="134" t="str">
        <f t="shared" si="47"/>
        <v/>
      </c>
      <c r="DJ269" s="134" t="str">
        <f t="shared" si="48"/>
        <v/>
      </c>
      <c r="DK269" s="662" t="str">
        <f t="shared" si="49"/>
        <v/>
      </c>
      <c r="DL269" s="134"/>
      <c r="DM269" s="134"/>
      <c r="DN269" s="655">
        <f t="shared" si="509"/>
        <v>2.7</v>
      </c>
      <c r="DO269" s="653"/>
      <c r="DP269" s="872" t="s">
        <v>2365</v>
      </c>
    </row>
    <row r="270">
      <c r="A270" s="552">
        <v>264.0</v>
      </c>
      <c r="B270" s="86">
        <v>319.0</v>
      </c>
      <c r="C270" s="54">
        <v>36.0</v>
      </c>
      <c r="D270" s="54">
        <v>90.0</v>
      </c>
      <c r="E270" s="74"/>
      <c r="F270" s="68" t="s">
        <v>2364</v>
      </c>
      <c r="G270" s="68">
        <f t="shared" si="269"/>
        <v>20</v>
      </c>
      <c r="H270" s="68">
        <f t="shared" si="478"/>
        <v>21</v>
      </c>
      <c r="I270" s="68">
        <f t="shared" si="479"/>
        <v>20</v>
      </c>
      <c r="J270" s="68">
        <f t="shared" si="480"/>
        <v>20</v>
      </c>
      <c r="K270" s="68">
        <f t="shared" si="481"/>
        <v>20</v>
      </c>
      <c r="L270" s="68">
        <f t="shared" si="482"/>
        <v>20</v>
      </c>
      <c r="M270" s="569">
        <f t="shared" si="483"/>
        <v>20</v>
      </c>
      <c r="N270" s="74" t="s">
        <v>1453</v>
      </c>
      <c r="O270" s="678"/>
      <c r="P270" s="571"/>
      <c r="Q270" s="571" t="s">
        <v>1676</v>
      </c>
      <c r="R270" s="571" t="s">
        <v>1380</v>
      </c>
      <c r="S270" s="791" t="s">
        <v>1456</v>
      </c>
      <c r="T270" s="572" t="s">
        <v>1454</v>
      </c>
      <c r="U270" s="54">
        <v>57.0</v>
      </c>
      <c r="V270" s="54">
        <v>42.0</v>
      </c>
      <c r="W270" s="54">
        <v>83.0</v>
      </c>
      <c r="X270" s="679">
        <v>155.0</v>
      </c>
      <c r="Y270" s="54">
        <v>4.0</v>
      </c>
      <c r="Z270" s="54">
        <v>-10.0</v>
      </c>
      <c r="AA270" s="74"/>
      <c r="AB270" s="74"/>
      <c r="AC270" s="54">
        <v>19512.0</v>
      </c>
      <c r="AD270" s="54">
        <v>2.0</v>
      </c>
      <c r="AE270" s="74"/>
      <c r="AF270" s="54">
        <v>50.0</v>
      </c>
      <c r="AG270" s="54">
        <v>40.0</v>
      </c>
      <c r="AH270" s="54">
        <v>99.0</v>
      </c>
      <c r="AI270" s="574">
        <f t="shared" si="12"/>
        <v>69.5</v>
      </c>
      <c r="AJ270" s="909">
        <v>0.0</v>
      </c>
      <c r="AK270" s="74"/>
      <c r="AL270" s="74"/>
      <c r="AM270" s="74"/>
      <c r="AN270" s="74"/>
      <c r="AO270" s="74"/>
      <c r="AP270" s="74"/>
      <c r="AQ270" s="74"/>
      <c r="AR270" s="74"/>
      <c r="AS270" s="575"/>
      <c r="AT270" s="68">
        <f t="shared" si="13"/>
        <v>513</v>
      </c>
      <c r="AU270" s="68">
        <f t="shared" si="14"/>
        <v>1078</v>
      </c>
      <c r="AV270" s="581">
        <f t="shared" si="15"/>
        <v>795.5</v>
      </c>
      <c r="AW270" s="582">
        <f t="shared" si="276"/>
        <v>1105</v>
      </c>
      <c r="AX270" s="582">
        <f t="shared" si="484"/>
        <v>1047</v>
      </c>
      <c r="AY270" s="582">
        <f t="shared" si="485"/>
        <v>1105</v>
      </c>
      <c r="AZ270" s="582">
        <f t="shared" si="486"/>
        <v>1105</v>
      </c>
      <c r="BA270" s="582">
        <f t="shared" si="487"/>
        <v>1105</v>
      </c>
      <c r="BB270" s="582">
        <f t="shared" si="488"/>
        <v>1105</v>
      </c>
      <c r="BC270" s="582">
        <f t="shared" si="489"/>
        <v>1105</v>
      </c>
      <c r="BD270" s="582">
        <f t="shared" si="490"/>
        <v>865</v>
      </c>
      <c r="BE270" s="582">
        <f t="shared" si="491"/>
        <v>1047</v>
      </c>
      <c r="BF270" s="582">
        <f t="shared" si="492"/>
        <v>865</v>
      </c>
      <c r="BG270" s="582">
        <f t="shared" si="493"/>
        <v>1047</v>
      </c>
      <c r="BH270" s="582">
        <f t="shared" si="284"/>
        <v>1047</v>
      </c>
      <c r="BI270" s="582">
        <f t="shared" si="494"/>
        <v>994</v>
      </c>
      <c r="BJ270" s="582">
        <f t="shared" si="495"/>
        <v>1047</v>
      </c>
      <c r="BK270" s="582">
        <f t="shared" si="496"/>
        <v>1047</v>
      </c>
      <c r="BL270" s="582">
        <f t="shared" si="497"/>
        <v>1047</v>
      </c>
      <c r="BM270" s="582">
        <f t="shared" si="445"/>
        <v>1530</v>
      </c>
      <c r="BN270" s="74"/>
      <c r="BO270" s="74"/>
      <c r="BP270" s="602">
        <f t="shared" si="33"/>
        <v>1530</v>
      </c>
      <c r="BQ270" s="670">
        <v>28.0</v>
      </c>
      <c r="BR270" s="670">
        <v>73.0</v>
      </c>
      <c r="BS270" s="670">
        <v>-10.0</v>
      </c>
      <c r="BT270" s="365"/>
      <c r="BU270" s="670">
        <v>100.0</v>
      </c>
      <c r="BV270" s="671">
        <f t="shared" si="34"/>
        <v>50.5</v>
      </c>
      <c r="BW270" s="672">
        <f t="shared" si="35"/>
        <v>1038.2</v>
      </c>
      <c r="BX270" s="673">
        <f t="shared" si="289"/>
        <v>1441.9</v>
      </c>
      <c r="BY270" s="673">
        <f t="shared" si="498"/>
        <v>1366.1</v>
      </c>
      <c r="BZ270" s="673">
        <f t="shared" si="499"/>
        <v>1441.9</v>
      </c>
      <c r="CA270" s="673">
        <f t="shared" si="500"/>
        <v>1441.9</v>
      </c>
      <c r="CB270" s="673">
        <f t="shared" si="501"/>
        <v>1441.9</v>
      </c>
      <c r="CC270" s="673">
        <f t="shared" si="502"/>
        <v>1441.9</v>
      </c>
      <c r="CD270" s="673">
        <f t="shared" si="503"/>
        <v>1441.9</v>
      </c>
      <c r="CE270" s="674">
        <f t="shared" si="43"/>
        <v>37.6</v>
      </c>
      <c r="CF270" s="763">
        <f t="shared" si="248"/>
        <v>-23.4</v>
      </c>
      <c r="CG270" s="676">
        <f t="shared" si="295"/>
        <v>-23.4</v>
      </c>
      <c r="CH270" s="575" t="s">
        <v>1453</v>
      </c>
      <c r="CI270" s="582">
        <f t="shared" ref="CI270:DF270" si="512">FLOOR($AV270/(CI$3/25),1)</f>
        <v>795</v>
      </c>
      <c r="CJ270" s="582">
        <f t="shared" si="512"/>
        <v>828</v>
      </c>
      <c r="CK270" s="582">
        <f t="shared" si="512"/>
        <v>864</v>
      </c>
      <c r="CL270" s="582">
        <f t="shared" si="512"/>
        <v>903</v>
      </c>
      <c r="CM270" s="582">
        <f t="shared" si="512"/>
        <v>947</v>
      </c>
      <c r="CN270" s="582">
        <f t="shared" si="512"/>
        <v>994</v>
      </c>
      <c r="CO270" s="582">
        <f t="shared" si="512"/>
        <v>1046</v>
      </c>
      <c r="CP270" s="582">
        <f t="shared" si="512"/>
        <v>1104</v>
      </c>
      <c r="CQ270" s="582">
        <f t="shared" si="512"/>
        <v>1169</v>
      </c>
      <c r="CR270" s="582">
        <f t="shared" si="512"/>
        <v>1242</v>
      </c>
      <c r="CS270" s="582">
        <f t="shared" si="512"/>
        <v>1325</v>
      </c>
      <c r="CT270" s="582">
        <f t="shared" si="512"/>
        <v>1420</v>
      </c>
      <c r="CU270" s="582">
        <f t="shared" si="512"/>
        <v>1529</v>
      </c>
      <c r="CV270" s="582">
        <f t="shared" si="512"/>
        <v>1657</v>
      </c>
      <c r="CW270" s="582">
        <f t="shared" si="512"/>
        <v>1807</v>
      </c>
      <c r="CX270" s="582">
        <f t="shared" si="512"/>
        <v>1988</v>
      </c>
      <c r="CY270" s="582">
        <f t="shared" si="512"/>
        <v>2209</v>
      </c>
      <c r="CZ270" s="582">
        <f t="shared" si="512"/>
        <v>2485</v>
      </c>
      <c r="DA270" s="582">
        <f t="shared" si="512"/>
        <v>2841</v>
      </c>
      <c r="DB270" s="582">
        <f t="shared" si="512"/>
        <v>3314</v>
      </c>
      <c r="DC270" s="582">
        <f t="shared" si="512"/>
        <v>3977</v>
      </c>
      <c r="DD270" s="582">
        <f t="shared" si="512"/>
        <v>4971</v>
      </c>
      <c r="DE270" s="582">
        <f t="shared" si="512"/>
        <v>6629</v>
      </c>
      <c r="DF270" s="602">
        <f t="shared" si="512"/>
        <v>9943</v>
      </c>
      <c r="DG270" s="575"/>
      <c r="DH270" s="575" t="str">
        <f t="shared" si="46"/>
        <v/>
      </c>
      <c r="DI270" s="74" t="str">
        <f t="shared" si="47"/>
        <v/>
      </c>
      <c r="DJ270" s="74" t="str">
        <f t="shared" si="48"/>
        <v/>
      </c>
      <c r="DK270" s="623" t="str">
        <f t="shared" si="49"/>
        <v/>
      </c>
      <c r="DL270" s="74"/>
      <c r="DM270" s="74"/>
      <c r="DN270" s="582">
        <f t="shared" si="509"/>
        <v>2.4</v>
      </c>
      <c r="DO270" s="575"/>
      <c r="DP270" s="61" t="s">
        <v>2365</v>
      </c>
    </row>
    <row r="271">
      <c r="A271" s="552">
        <v>265.0</v>
      </c>
      <c r="B271" s="86">
        <v>320.0</v>
      </c>
      <c r="C271" s="54">
        <v>35.0</v>
      </c>
      <c r="D271" s="54">
        <v>110.0</v>
      </c>
      <c r="E271" s="74"/>
      <c r="F271" s="68" t="s">
        <v>2364</v>
      </c>
      <c r="G271" s="68">
        <f t="shared" si="269"/>
        <v>20</v>
      </c>
      <c r="H271" s="68">
        <f t="shared" si="478"/>
        <v>21</v>
      </c>
      <c r="I271" s="68">
        <f t="shared" si="479"/>
        <v>20</v>
      </c>
      <c r="J271" s="68">
        <f t="shared" si="480"/>
        <v>20</v>
      </c>
      <c r="K271" s="68">
        <f t="shared" si="481"/>
        <v>20</v>
      </c>
      <c r="L271" s="68">
        <f t="shared" si="482"/>
        <v>20</v>
      </c>
      <c r="M271" s="569">
        <f t="shared" si="483"/>
        <v>20</v>
      </c>
      <c r="N271" s="74" t="s">
        <v>1461</v>
      </c>
      <c r="O271" s="678"/>
      <c r="P271" s="571"/>
      <c r="Q271" s="571" t="s">
        <v>1676</v>
      </c>
      <c r="R271" s="571" t="s">
        <v>1380</v>
      </c>
      <c r="S271" s="791" t="s">
        <v>1456</v>
      </c>
      <c r="T271" s="572" t="s">
        <v>1462</v>
      </c>
      <c r="U271" s="54">
        <v>67.0</v>
      </c>
      <c r="V271" s="54">
        <v>50.0</v>
      </c>
      <c r="W271" s="54">
        <v>117.0</v>
      </c>
      <c r="X271" s="679">
        <v>105.0</v>
      </c>
      <c r="Y271" s="54">
        <v>4.0</v>
      </c>
      <c r="Z271" s="54">
        <v>0.0</v>
      </c>
      <c r="AA271" s="74"/>
      <c r="AB271" s="74"/>
      <c r="AC271" s="54">
        <v>22305.0</v>
      </c>
      <c r="AD271" s="54">
        <v>2.0</v>
      </c>
      <c r="AE271" s="74"/>
      <c r="AF271" s="54">
        <v>50.0</v>
      </c>
      <c r="AG271" s="54">
        <v>39.0</v>
      </c>
      <c r="AH271" s="54">
        <v>120.0</v>
      </c>
      <c r="AI271" s="574">
        <f t="shared" si="12"/>
        <v>79.5</v>
      </c>
      <c r="AJ271" s="909">
        <v>0.0</v>
      </c>
      <c r="AK271" s="74"/>
      <c r="AL271" s="74"/>
      <c r="AM271" s="74"/>
      <c r="AN271" s="74"/>
      <c r="AO271" s="74"/>
      <c r="AP271" s="74"/>
      <c r="AQ271" s="74"/>
      <c r="AR271" s="74"/>
      <c r="AS271" s="575"/>
      <c r="AT271" s="68">
        <f t="shared" si="13"/>
        <v>503</v>
      </c>
      <c r="AU271" s="68">
        <f t="shared" si="14"/>
        <v>1280</v>
      </c>
      <c r="AV271" s="581">
        <f t="shared" si="15"/>
        <v>891.5</v>
      </c>
      <c r="AW271" s="582">
        <f t="shared" si="276"/>
        <v>1173</v>
      </c>
      <c r="AX271" s="582">
        <f t="shared" si="484"/>
        <v>1114</v>
      </c>
      <c r="AY271" s="582">
        <f t="shared" si="485"/>
        <v>1173</v>
      </c>
      <c r="AZ271" s="582">
        <f t="shared" si="486"/>
        <v>1173</v>
      </c>
      <c r="BA271" s="582">
        <f t="shared" si="487"/>
        <v>1173</v>
      </c>
      <c r="BB271" s="582">
        <f t="shared" si="488"/>
        <v>1173</v>
      </c>
      <c r="BC271" s="582">
        <f t="shared" si="489"/>
        <v>1173</v>
      </c>
      <c r="BD271" s="582">
        <f t="shared" si="490"/>
        <v>796</v>
      </c>
      <c r="BE271" s="582">
        <f t="shared" si="491"/>
        <v>969</v>
      </c>
      <c r="BF271" s="582">
        <f t="shared" si="492"/>
        <v>796</v>
      </c>
      <c r="BG271" s="582">
        <f t="shared" si="493"/>
        <v>969</v>
      </c>
      <c r="BH271" s="582">
        <f t="shared" si="284"/>
        <v>969</v>
      </c>
      <c r="BI271" s="582">
        <f t="shared" si="494"/>
        <v>892</v>
      </c>
      <c r="BJ271" s="582">
        <f t="shared" si="495"/>
        <v>969</v>
      </c>
      <c r="BK271" s="582">
        <f t="shared" si="496"/>
        <v>969</v>
      </c>
      <c r="BL271" s="582">
        <f t="shared" si="497"/>
        <v>969</v>
      </c>
      <c r="BM271" s="582">
        <f t="shared" si="445"/>
        <v>1592</v>
      </c>
      <c r="BN271" s="74"/>
      <c r="BO271" s="74"/>
      <c r="BP271" s="602">
        <f t="shared" si="33"/>
        <v>1592</v>
      </c>
      <c r="BQ271" s="670">
        <v>25.0</v>
      </c>
      <c r="BR271" s="670">
        <v>87.0</v>
      </c>
      <c r="BS271" s="365"/>
      <c r="BT271" s="365"/>
      <c r="BU271" s="670">
        <v>100.0</v>
      </c>
      <c r="BV271" s="671">
        <f t="shared" si="34"/>
        <v>56</v>
      </c>
      <c r="BW271" s="672">
        <f t="shared" si="35"/>
        <v>1127</v>
      </c>
      <c r="BX271" s="673">
        <f t="shared" si="289"/>
        <v>1482.9</v>
      </c>
      <c r="BY271" s="673">
        <f t="shared" si="498"/>
        <v>1408.8</v>
      </c>
      <c r="BZ271" s="673">
        <f t="shared" si="499"/>
        <v>1482.9</v>
      </c>
      <c r="CA271" s="673">
        <f t="shared" si="500"/>
        <v>1482.9</v>
      </c>
      <c r="CB271" s="673">
        <f t="shared" si="501"/>
        <v>1482.9</v>
      </c>
      <c r="CC271" s="673">
        <f t="shared" si="502"/>
        <v>1482.9</v>
      </c>
      <c r="CD271" s="673">
        <f t="shared" si="503"/>
        <v>1482.9</v>
      </c>
      <c r="CE271" s="674">
        <f t="shared" si="43"/>
        <v>42</v>
      </c>
      <c r="CF271" s="763">
        <f t="shared" si="248"/>
        <v>-20.9</v>
      </c>
      <c r="CG271" s="676">
        <f t="shared" si="295"/>
        <v>-20.9</v>
      </c>
      <c r="CH271" s="575" t="s">
        <v>1461</v>
      </c>
      <c r="CI271" s="582">
        <f t="shared" ref="CI271:DF271" si="513">FLOOR($AV271/(CI$3/25),1)</f>
        <v>891</v>
      </c>
      <c r="CJ271" s="582">
        <f t="shared" si="513"/>
        <v>928</v>
      </c>
      <c r="CK271" s="582">
        <f t="shared" si="513"/>
        <v>969</v>
      </c>
      <c r="CL271" s="582">
        <f t="shared" si="513"/>
        <v>1013</v>
      </c>
      <c r="CM271" s="582">
        <f t="shared" si="513"/>
        <v>1061</v>
      </c>
      <c r="CN271" s="582">
        <f t="shared" si="513"/>
        <v>1114</v>
      </c>
      <c r="CO271" s="582">
        <f t="shared" si="513"/>
        <v>1173</v>
      </c>
      <c r="CP271" s="582">
        <f t="shared" si="513"/>
        <v>1238</v>
      </c>
      <c r="CQ271" s="582">
        <f t="shared" si="513"/>
        <v>1311</v>
      </c>
      <c r="CR271" s="582">
        <f t="shared" si="513"/>
        <v>1392</v>
      </c>
      <c r="CS271" s="582">
        <f t="shared" si="513"/>
        <v>1485</v>
      </c>
      <c r="CT271" s="582">
        <f t="shared" si="513"/>
        <v>1591</v>
      </c>
      <c r="CU271" s="582">
        <f t="shared" si="513"/>
        <v>1714</v>
      </c>
      <c r="CV271" s="582">
        <f t="shared" si="513"/>
        <v>1857</v>
      </c>
      <c r="CW271" s="582">
        <f t="shared" si="513"/>
        <v>2026</v>
      </c>
      <c r="CX271" s="582">
        <f t="shared" si="513"/>
        <v>2228</v>
      </c>
      <c r="CY271" s="582">
        <f t="shared" si="513"/>
        <v>2476</v>
      </c>
      <c r="CZ271" s="582">
        <f t="shared" si="513"/>
        <v>2785</v>
      </c>
      <c r="DA271" s="582">
        <f t="shared" si="513"/>
        <v>3183</v>
      </c>
      <c r="DB271" s="582">
        <f t="shared" si="513"/>
        <v>3714</v>
      </c>
      <c r="DC271" s="582">
        <f t="shared" si="513"/>
        <v>4457</v>
      </c>
      <c r="DD271" s="582">
        <f t="shared" si="513"/>
        <v>5571</v>
      </c>
      <c r="DE271" s="582">
        <f t="shared" si="513"/>
        <v>7429</v>
      </c>
      <c r="DF271" s="602">
        <f t="shared" si="513"/>
        <v>11143</v>
      </c>
      <c r="DG271" s="575"/>
      <c r="DH271" s="575" t="str">
        <f t="shared" si="46"/>
        <v/>
      </c>
      <c r="DI271" s="74" t="str">
        <f t="shared" si="47"/>
        <v/>
      </c>
      <c r="DJ271" s="74" t="str">
        <f t="shared" si="48"/>
        <v/>
      </c>
      <c r="DK271" s="623" t="str">
        <f t="shared" si="49"/>
        <v/>
      </c>
      <c r="DL271" s="74"/>
      <c r="DM271" s="74"/>
      <c r="DN271" s="582">
        <f t="shared" si="509"/>
        <v>1.8</v>
      </c>
      <c r="DO271" s="575" t="s">
        <v>2367</v>
      </c>
      <c r="DP271" s="61" t="s">
        <v>2365</v>
      </c>
    </row>
    <row r="272">
      <c r="A272" s="552">
        <v>266.0</v>
      </c>
      <c r="B272" s="86">
        <v>321.0</v>
      </c>
      <c r="C272" s="54">
        <v>43.0</v>
      </c>
      <c r="D272" s="54">
        <v>114.0</v>
      </c>
      <c r="E272" s="74"/>
      <c r="F272" s="68" t="s">
        <v>2364</v>
      </c>
      <c r="G272" s="68">
        <f t="shared" si="269"/>
        <v>20</v>
      </c>
      <c r="H272" s="68">
        <f t="shared" si="478"/>
        <v>21</v>
      </c>
      <c r="I272" s="68">
        <f t="shared" si="479"/>
        <v>20</v>
      </c>
      <c r="J272" s="68">
        <f t="shared" si="480"/>
        <v>20</v>
      </c>
      <c r="K272" s="68">
        <f t="shared" si="481"/>
        <v>20</v>
      </c>
      <c r="L272" s="68">
        <f t="shared" si="482"/>
        <v>20</v>
      </c>
      <c r="M272" s="569">
        <f t="shared" si="483"/>
        <v>20</v>
      </c>
      <c r="N272" s="74" t="s">
        <v>1470</v>
      </c>
      <c r="O272" s="570" t="s">
        <v>2070</v>
      </c>
      <c r="P272" s="571"/>
      <c r="Q272" s="571" t="s">
        <v>1676</v>
      </c>
      <c r="R272" s="571" t="s">
        <v>1380</v>
      </c>
      <c r="S272" s="791" t="s">
        <v>1456</v>
      </c>
      <c r="T272" s="572" t="s">
        <v>1471</v>
      </c>
      <c r="U272" s="54">
        <v>75.0</v>
      </c>
      <c r="V272" s="54">
        <v>56.0</v>
      </c>
      <c r="W272" s="679">
        <v>163.0</v>
      </c>
      <c r="X272" s="54">
        <v>77.0</v>
      </c>
      <c r="Y272" s="54">
        <v>6.0</v>
      </c>
      <c r="Z272" s="54">
        <v>10.0</v>
      </c>
      <c r="AA272" s="74"/>
      <c r="AB272" s="74"/>
      <c r="AC272" s="54">
        <v>26065.0</v>
      </c>
      <c r="AD272" s="54">
        <v>2.0</v>
      </c>
      <c r="AE272" s="74"/>
      <c r="AF272" s="54">
        <v>50.0</v>
      </c>
      <c r="AG272" s="54">
        <v>47.0</v>
      </c>
      <c r="AH272" s="54">
        <v>125.0</v>
      </c>
      <c r="AI272" s="574">
        <f t="shared" si="12"/>
        <v>86</v>
      </c>
      <c r="AJ272" s="909">
        <v>0.0</v>
      </c>
      <c r="AK272" s="37"/>
      <c r="AL272" s="74"/>
      <c r="AM272" s="74"/>
      <c r="AN272" s="74"/>
      <c r="AO272" s="74"/>
      <c r="AP272" s="74"/>
      <c r="AQ272" s="37"/>
      <c r="AR272" s="37"/>
      <c r="AS272" s="575"/>
      <c r="AT272" s="68">
        <f t="shared" si="13"/>
        <v>581</v>
      </c>
      <c r="AU272" s="68">
        <f t="shared" si="14"/>
        <v>1328</v>
      </c>
      <c r="AV272" s="581">
        <f t="shared" si="15"/>
        <v>954.5</v>
      </c>
      <c r="AW272" s="582">
        <f t="shared" si="276"/>
        <v>1085</v>
      </c>
      <c r="AX272" s="582">
        <f t="shared" si="484"/>
        <v>1038</v>
      </c>
      <c r="AY272" s="582">
        <f t="shared" si="485"/>
        <v>1085</v>
      </c>
      <c r="AZ272" s="582">
        <f t="shared" si="486"/>
        <v>1085</v>
      </c>
      <c r="BA272" s="582">
        <f t="shared" si="487"/>
        <v>1085</v>
      </c>
      <c r="BB272" s="582">
        <f t="shared" si="488"/>
        <v>1085</v>
      </c>
      <c r="BC272" s="582">
        <f t="shared" si="489"/>
        <v>1085</v>
      </c>
      <c r="BD272" s="582">
        <f t="shared" si="490"/>
        <v>682</v>
      </c>
      <c r="BE272" s="582">
        <f t="shared" si="491"/>
        <v>823</v>
      </c>
      <c r="BF272" s="582">
        <f t="shared" si="492"/>
        <v>682</v>
      </c>
      <c r="BG272" s="582">
        <f t="shared" si="493"/>
        <v>823</v>
      </c>
      <c r="BH272" s="582">
        <f t="shared" si="284"/>
        <v>823</v>
      </c>
      <c r="BI272" s="582">
        <f t="shared" si="494"/>
        <v>770</v>
      </c>
      <c r="BJ272" s="582">
        <f t="shared" si="495"/>
        <v>823</v>
      </c>
      <c r="BK272" s="582">
        <f t="shared" si="496"/>
        <v>823</v>
      </c>
      <c r="BL272" s="582">
        <f t="shared" si="497"/>
        <v>823</v>
      </c>
      <c r="BM272" s="582">
        <f t="shared" si="445"/>
        <v>1491</v>
      </c>
      <c r="BN272" s="74"/>
      <c r="BO272" s="74"/>
      <c r="BP272" s="602">
        <f t="shared" si="33"/>
        <v>1491</v>
      </c>
      <c r="BQ272" s="670">
        <v>32.0</v>
      </c>
      <c r="BR272" s="670">
        <v>91.0</v>
      </c>
      <c r="BS272" s="670">
        <v>10.0</v>
      </c>
      <c r="BT272" s="365"/>
      <c r="BU272" s="670">
        <v>100.0</v>
      </c>
      <c r="BV272" s="671">
        <f t="shared" si="34"/>
        <v>61.5</v>
      </c>
      <c r="BW272" s="672">
        <f t="shared" si="35"/>
        <v>1215.8</v>
      </c>
      <c r="BX272" s="673">
        <f t="shared" si="289"/>
        <v>1381.6</v>
      </c>
      <c r="BY272" s="673">
        <f t="shared" si="498"/>
        <v>1321.5</v>
      </c>
      <c r="BZ272" s="673">
        <f t="shared" si="499"/>
        <v>1381.6</v>
      </c>
      <c r="CA272" s="673">
        <f t="shared" si="500"/>
        <v>1381.6</v>
      </c>
      <c r="CB272" s="673">
        <f t="shared" si="501"/>
        <v>1381.6</v>
      </c>
      <c r="CC272" s="673">
        <f t="shared" si="502"/>
        <v>1381.6</v>
      </c>
      <c r="CD272" s="673">
        <f t="shared" si="503"/>
        <v>1381.6</v>
      </c>
      <c r="CE272" s="674">
        <f t="shared" si="43"/>
        <v>39.8</v>
      </c>
      <c r="CF272" s="763">
        <f t="shared" si="248"/>
        <v>-21.5</v>
      </c>
      <c r="CG272" s="676">
        <f t="shared" si="295"/>
        <v>-21.5</v>
      </c>
      <c r="CH272" s="575" t="s">
        <v>1470</v>
      </c>
      <c r="CI272" s="582">
        <f t="shared" ref="CI272:DF272" si="514">FLOOR($AV272/(CI$3/25),1)</f>
        <v>954</v>
      </c>
      <c r="CJ272" s="582">
        <f t="shared" si="514"/>
        <v>994</v>
      </c>
      <c r="CK272" s="582">
        <f t="shared" si="514"/>
        <v>1037</v>
      </c>
      <c r="CL272" s="582">
        <f t="shared" si="514"/>
        <v>1084</v>
      </c>
      <c r="CM272" s="582">
        <f t="shared" si="514"/>
        <v>1136</v>
      </c>
      <c r="CN272" s="582">
        <f t="shared" si="514"/>
        <v>1193</v>
      </c>
      <c r="CO272" s="582">
        <f t="shared" si="514"/>
        <v>1255</v>
      </c>
      <c r="CP272" s="582">
        <f t="shared" si="514"/>
        <v>1325</v>
      </c>
      <c r="CQ272" s="582">
        <f t="shared" si="514"/>
        <v>1403</v>
      </c>
      <c r="CR272" s="582">
        <f t="shared" si="514"/>
        <v>1491</v>
      </c>
      <c r="CS272" s="582">
        <f t="shared" si="514"/>
        <v>1590</v>
      </c>
      <c r="CT272" s="582">
        <f t="shared" si="514"/>
        <v>1704</v>
      </c>
      <c r="CU272" s="582">
        <f t="shared" si="514"/>
        <v>1835</v>
      </c>
      <c r="CV272" s="582">
        <f t="shared" si="514"/>
        <v>1988</v>
      </c>
      <c r="CW272" s="582">
        <f t="shared" si="514"/>
        <v>2169</v>
      </c>
      <c r="CX272" s="582">
        <f t="shared" si="514"/>
        <v>2386</v>
      </c>
      <c r="CY272" s="582">
        <f t="shared" si="514"/>
        <v>2651</v>
      </c>
      <c r="CZ272" s="582">
        <f t="shared" si="514"/>
        <v>2982</v>
      </c>
      <c r="DA272" s="582">
        <f t="shared" si="514"/>
        <v>3408</v>
      </c>
      <c r="DB272" s="582">
        <f t="shared" si="514"/>
        <v>3977</v>
      </c>
      <c r="DC272" s="582">
        <f t="shared" si="514"/>
        <v>4772</v>
      </c>
      <c r="DD272" s="582">
        <f t="shared" si="514"/>
        <v>5965</v>
      </c>
      <c r="DE272" s="582">
        <f t="shared" si="514"/>
        <v>7954</v>
      </c>
      <c r="DF272" s="602">
        <f t="shared" si="514"/>
        <v>11931</v>
      </c>
      <c r="DG272" s="575"/>
      <c r="DH272" s="575" t="str">
        <f t="shared" si="46"/>
        <v/>
      </c>
      <c r="DI272" s="74" t="str">
        <f t="shared" si="47"/>
        <v/>
      </c>
      <c r="DJ272" s="74" t="str">
        <f t="shared" si="48"/>
        <v/>
      </c>
      <c r="DK272" s="623" t="str">
        <f t="shared" si="49"/>
        <v/>
      </c>
      <c r="DL272" s="74"/>
      <c r="DM272" s="74"/>
      <c r="DN272" s="582">
        <f t="shared" si="509"/>
        <v>1.4</v>
      </c>
      <c r="DO272" s="575"/>
      <c r="DP272" s="61" t="s">
        <v>2365</v>
      </c>
    </row>
    <row r="273">
      <c r="A273" s="764">
        <v>267.0</v>
      </c>
      <c r="B273" s="765">
        <v>322.0</v>
      </c>
      <c r="C273" s="766">
        <v>39.0</v>
      </c>
      <c r="D273" s="766">
        <v>60.0</v>
      </c>
      <c r="E273" s="767"/>
      <c r="F273" s="768" t="s">
        <v>2364</v>
      </c>
      <c r="G273" s="768">
        <f t="shared" si="269"/>
        <v>20</v>
      </c>
      <c r="H273" s="768">
        <f t="shared" si="478"/>
        <v>21</v>
      </c>
      <c r="I273" s="768">
        <f t="shared" si="479"/>
        <v>20</v>
      </c>
      <c r="J273" s="768">
        <f t="shared" si="480"/>
        <v>20</v>
      </c>
      <c r="K273" s="768">
        <f t="shared" si="481"/>
        <v>20</v>
      </c>
      <c r="L273" s="768">
        <f t="shared" si="482"/>
        <v>20</v>
      </c>
      <c r="M273" s="769">
        <f t="shared" si="483"/>
        <v>20</v>
      </c>
      <c r="N273" s="767" t="s">
        <v>1477</v>
      </c>
      <c r="O273" s="770" t="s">
        <v>2071</v>
      </c>
      <c r="P273" s="771"/>
      <c r="Q273" s="771" t="s">
        <v>1676</v>
      </c>
      <c r="R273" s="771" t="s">
        <v>1380</v>
      </c>
      <c r="S273" s="800" t="s">
        <v>1456</v>
      </c>
      <c r="T273" s="772" t="s">
        <v>1478</v>
      </c>
      <c r="U273" s="766">
        <v>84.0</v>
      </c>
      <c r="V273" s="766">
        <v>63.0</v>
      </c>
      <c r="W273" s="773">
        <v>141.0</v>
      </c>
      <c r="X273" s="773">
        <v>98.0</v>
      </c>
      <c r="Y273" s="766">
        <v>5.0</v>
      </c>
      <c r="Z273" s="766">
        <v>-60.0</v>
      </c>
      <c r="AA273" s="767"/>
      <c r="AB273" s="767"/>
      <c r="AC273" s="766">
        <v>25851.0</v>
      </c>
      <c r="AD273" s="766">
        <v>2.0</v>
      </c>
      <c r="AE273" s="767"/>
      <c r="AF273" s="766">
        <v>50.0</v>
      </c>
      <c r="AG273" s="766">
        <v>43.0</v>
      </c>
      <c r="AH273" s="766">
        <v>66.0</v>
      </c>
      <c r="AI273" s="775">
        <f t="shared" si="12"/>
        <v>54.5</v>
      </c>
      <c r="AJ273" s="914">
        <v>0.0</v>
      </c>
      <c r="AK273" s="801"/>
      <c r="AL273" s="767"/>
      <c r="AM273" s="767"/>
      <c r="AN273" s="767"/>
      <c r="AO273" s="801"/>
      <c r="AP273" s="767"/>
      <c r="AQ273" s="801"/>
      <c r="AR273" s="767"/>
      <c r="AS273" s="776"/>
      <c r="AT273" s="768">
        <f t="shared" si="13"/>
        <v>543</v>
      </c>
      <c r="AU273" s="768">
        <f t="shared" si="14"/>
        <v>761</v>
      </c>
      <c r="AV273" s="777">
        <f t="shared" si="15"/>
        <v>652</v>
      </c>
      <c r="AW273" s="778">
        <f t="shared" si="276"/>
        <v>1358</v>
      </c>
      <c r="AX273" s="778">
        <f t="shared" si="484"/>
        <v>1254</v>
      </c>
      <c r="AY273" s="778">
        <f t="shared" si="485"/>
        <v>1358</v>
      </c>
      <c r="AZ273" s="778">
        <f t="shared" si="486"/>
        <v>1358</v>
      </c>
      <c r="BA273" s="778">
        <f t="shared" si="487"/>
        <v>1358</v>
      </c>
      <c r="BB273" s="778">
        <f t="shared" si="488"/>
        <v>1358</v>
      </c>
      <c r="BC273" s="778">
        <f t="shared" si="489"/>
        <v>1358</v>
      </c>
      <c r="BD273" s="778">
        <f t="shared" si="490"/>
        <v>1630</v>
      </c>
      <c r="BE273" s="778">
        <f t="shared" si="491"/>
        <v>1811</v>
      </c>
      <c r="BF273" s="778">
        <f t="shared" si="492"/>
        <v>1630</v>
      </c>
      <c r="BG273" s="778">
        <f t="shared" si="493"/>
        <v>1811</v>
      </c>
      <c r="BH273" s="778">
        <f t="shared" si="284"/>
        <v>1811</v>
      </c>
      <c r="BI273" s="778">
        <f t="shared" si="494"/>
        <v>1811</v>
      </c>
      <c r="BJ273" s="778">
        <f t="shared" si="495"/>
        <v>1811</v>
      </c>
      <c r="BK273" s="778">
        <f t="shared" si="496"/>
        <v>1811</v>
      </c>
      <c r="BL273" s="778">
        <f t="shared" si="497"/>
        <v>1811</v>
      </c>
      <c r="BM273" s="778">
        <f t="shared" si="445"/>
        <v>1811</v>
      </c>
      <c r="BN273" s="767"/>
      <c r="BO273" s="767"/>
      <c r="BP273" s="779">
        <f t="shared" si="33"/>
        <v>1811</v>
      </c>
      <c r="BQ273" s="780">
        <v>26.0</v>
      </c>
      <c r="BR273" s="780">
        <v>40.0</v>
      </c>
      <c r="BS273" s="780">
        <v>-60.0</v>
      </c>
      <c r="BT273" s="781"/>
      <c r="BU273" s="780">
        <v>100.0</v>
      </c>
      <c r="BV273" s="782">
        <f t="shared" si="34"/>
        <v>33</v>
      </c>
      <c r="BW273" s="783">
        <f t="shared" si="35"/>
        <v>755.7</v>
      </c>
      <c r="BX273" s="784">
        <f t="shared" si="289"/>
        <v>1574.4</v>
      </c>
      <c r="BY273" s="784">
        <f t="shared" si="498"/>
        <v>1453.3</v>
      </c>
      <c r="BZ273" s="784">
        <f t="shared" si="499"/>
        <v>1574.4</v>
      </c>
      <c r="CA273" s="784">
        <f t="shared" si="500"/>
        <v>1574.4</v>
      </c>
      <c r="CB273" s="784">
        <f t="shared" si="501"/>
        <v>1574.4</v>
      </c>
      <c r="CC273" s="784">
        <f t="shared" si="502"/>
        <v>1574.4</v>
      </c>
      <c r="CD273" s="784">
        <f t="shared" si="503"/>
        <v>1574.4</v>
      </c>
      <c r="CE273" s="785">
        <f t="shared" si="43"/>
        <v>65.2</v>
      </c>
      <c r="CF273" s="786">
        <f t="shared" si="248"/>
        <v>-13.7</v>
      </c>
      <c r="CG273" s="787">
        <f t="shared" si="295"/>
        <v>-13.7</v>
      </c>
      <c r="CH273" s="776" t="s">
        <v>1477</v>
      </c>
      <c r="CI273" s="778">
        <f t="shared" ref="CI273:DF273" si="515">FLOOR($AV273/(CI$3/25),1)</f>
        <v>652</v>
      </c>
      <c r="CJ273" s="778">
        <f t="shared" si="515"/>
        <v>679</v>
      </c>
      <c r="CK273" s="778">
        <f t="shared" si="515"/>
        <v>708</v>
      </c>
      <c r="CL273" s="778">
        <f t="shared" si="515"/>
        <v>740</v>
      </c>
      <c r="CM273" s="778">
        <f t="shared" si="515"/>
        <v>776</v>
      </c>
      <c r="CN273" s="778">
        <f t="shared" si="515"/>
        <v>815</v>
      </c>
      <c r="CO273" s="778">
        <f t="shared" si="515"/>
        <v>857</v>
      </c>
      <c r="CP273" s="778">
        <f t="shared" si="515"/>
        <v>905</v>
      </c>
      <c r="CQ273" s="778">
        <f t="shared" si="515"/>
        <v>958</v>
      </c>
      <c r="CR273" s="778">
        <f t="shared" si="515"/>
        <v>1018</v>
      </c>
      <c r="CS273" s="778">
        <f t="shared" si="515"/>
        <v>1086</v>
      </c>
      <c r="CT273" s="778">
        <f t="shared" si="515"/>
        <v>1164</v>
      </c>
      <c r="CU273" s="778">
        <f t="shared" si="515"/>
        <v>1253</v>
      </c>
      <c r="CV273" s="778">
        <f t="shared" si="515"/>
        <v>1358</v>
      </c>
      <c r="CW273" s="778">
        <f t="shared" si="515"/>
        <v>1481</v>
      </c>
      <c r="CX273" s="778">
        <f t="shared" si="515"/>
        <v>1630</v>
      </c>
      <c r="CY273" s="778">
        <f t="shared" si="515"/>
        <v>1811</v>
      </c>
      <c r="CZ273" s="778">
        <f t="shared" si="515"/>
        <v>2037</v>
      </c>
      <c r="DA273" s="778">
        <f t="shared" si="515"/>
        <v>2328</v>
      </c>
      <c r="DB273" s="778">
        <f t="shared" si="515"/>
        <v>2716</v>
      </c>
      <c r="DC273" s="778">
        <f t="shared" si="515"/>
        <v>3260</v>
      </c>
      <c r="DD273" s="778">
        <f t="shared" si="515"/>
        <v>4075</v>
      </c>
      <c r="DE273" s="778">
        <f t="shared" si="515"/>
        <v>5433</v>
      </c>
      <c r="DF273" s="779">
        <f t="shared" si="515"/>
        <v>8150</v>
      </c>
      <c r="DG273" s="776"/>
      <c r="DH273" s="776" t="str">
        <f t="shared" si="46"/>
        <v/>
      </c>
      <c r="DI273" s="767" t="str">
        <f t="shared" si="47"/>
        <v/>
      </c>
      <c r="DJ273" s="767" t="str">
        <f t="shared" si="48"/>
        <v/>
      </c>
      <c r="DK273" s="803" t="str">
        <f t="shared" si="49"/>
        <v/>
      </c>
      <c r="DL273" s="767"/>
      <c r="DM273" s="767"/>
      <c r="DN273" s="778">
        <f t="shared" si="509"/>
        <v>1.5</v>
      </c>
      <c r="DO273" s="776" t="s">
        <v>2368</v>
      </c>
      <c r="DP273" s="874" t="s">
        <v>2365</v>
      </c>
    </row>
    <row r="274">
      <c r="A274" s="552">
        <v>268.0</v>
      </c>
      <c r="B274" s="86">
        <v>207.0</v>
      </c>
      <c r="C274" s="54">
        <v>5.0</v>
      </c>
      <c r="D274" s="54">
        <v>8.0</v>
      </c>
      <c r="E274" s="74"/>
      <c r="F274" s="68" t="s">
        <v>2369</v>
      </c>
      <c r="G274" s="74"/>
      <c r="H274" s="68">
        <f t="shared" si="478"/>
        <v>11.5</v>
      </c>
      <c r="I274" s="74"/>
      <c r="J274" s="74"/>
      <c r="K274" s="74"/>
      <c r="L274" s="74"/>
      <c r="M274" s="575"/>
      <c r="N274" s="74" t="s">
        <v>676</v>
      </c>
      <c r="O274" s="678"/>
      <c r="P274" s="571"/>
      <c r="Q274" s="571" t="s">
        <v>1313</v>
      </c>
      <c r="R274" s="571" t="s">
        <v>1314</v>
      </c>
      <c r="S274" s="791" t="s">
        <v>1486</v>
      </c>
      <c r="T274" s="572" t="s">
        <v>1480</v>
      </c>
      <c r="U274" s="54">
        <v>1.0</v>
      </c>
      <c r="V274" s="54">
        <v>0.0</v>
      </c>
      <c r="W274" s="54">
        <v>20.0</v>
      </c>
      <c r="X274" s="54">
        <v>20.0</v>
      </c>
      <c r="Y274" s="573">
        <v>2.0</v>
      </c>
      <c r="Z274" s="669">
        <v>-10.0</v>
      </c>
      <c r="AA274" s="54">
        <v>2.0</v>
      </c>
      <c r="AB274" s="54">
        <v>96.0</v>
      </c>
      <c r="AC274" s="54">
        <v>82.0</v>
      </c>
      <c r="AD274" s="54">
        <v>2.0</v>
      </c>
      <c r="AE274" s="54">
        <v>75.0</v>
      </c>
      <c r="AF274" s="54">
        <v>75.0</v>
      </c>
      <c r="AG274" s="54">
        <v>5.0</v>
      </c>
      <c r="AH274" s="54">
        <v>8.0</v>
      </c>
      <c r="AI274" s="574">
        <f t="shared" si="12"/>
        <v>6.5</v>
      </c>
      <c r="AJ274" s="74"/>
      <c r="AK274" s="74"/>
      <c r="AL274" s="74"/>
      <c r="AM274" s="74"/>
      <c r="AN274" s="74"/>
      <c r="AO274" s="74"/>
      <c r="AP274" s="74"/>
      <c r="AQ274" s="74"/>
      <c r="AR274" s="74"/>
      <c r="AS274" s="575"/>
      <c r="AT274" s="68">
        <f t="shared" si="13"/>
        <v>370</v>
      </c>
      <c r="AU274" s="68">
        <f t="shared" si="14"/>
        <v>431</v>
      </c>
      <c r="AV274" s="581">
        <f t="shared" si="15"/>
        <v>400.5</v>
      </c>
      <c r="AW274" s="74"/>
      <c r="AX274" s="582">
        <f t="shared" si="484"/>
        <v>834</v>
      </c>
      <c r="AY274" s="74"/>
      <c r="AZ274" s="74"/>
      <c r="BA274" s="74"/>
      <c r="BB274" s="74"/>
      <c r="BC274" s="74"/>
      <c r="BD274" s="74"/>
      <c r="BE274" s="74"/>
      <c r="BF274" s="74"/>
      <c r="BG274" s="74"/>
      <c r="BH274" s="74"/>
      <c r="BI274" s="582">
        <f t="shared" si="494"/>
        <v>1001</v>
      </c>
      <c r="BJ274" s="74"/>
      <c r="BK274" s="74"/>
      <c r="BL274" s="74"/>
      <c r="BM274" s="74"/>
      <c r="BN274" s="74"/>
      <c r="BO274" s="74"/>
      <c r="BP274" s="575" t="str">
        <f t="shared" si="33"/>
        <v/>
      </c>
      <c r="BQ274" s="54">
        <v>4.0</v>
      </c>
      <c r="BR274" s="54">
        <v>7.0</v>
      </c>
      <c r="BS274" s="54">
        <v>-10.0</v>
      </c>
      <c r="BT274" s="54">
        <v>75.0</v>
      </c>
      <c r="BU274" s="54">
        <v>75.0</v>
      </c>
      <c r="BV274" s="83">
        <f t="shared" si="34"/>
        <v>5.5</v>
      </c>
      <c r="BW274" s="608">
        <f t="shared" si="35"/>
        <v>461.1</v>
      </c>
      <c r="BX274" s="74"/>
      <c r="BY274" s="582">
        <f t="shared" si="498"/>
        <v>960.6</v>
      </c>
      <c r="BZ274" s="74"/>
      <c r="CA274" s="74"/>
      <c r="CB274" s="74"/>
      <c r="CC274" s="74"/>
      <c r="CD274" s="74"/>
      <c r="CE274" s="664">
        <f t="shared" si="43"/>
        <v>18.2</v>
      </c>
      <c r="CF274" s="86">
        <f t="shared" si="248"/>
        <v>-13.1</v>
      </c>
      <c r="CG274" s="552">
        <f t="shared" ref="CG274:CG294" si="517">IF(ROUND(100*(AX274/BY274)-100,1)=0,"",ROUND(100*(AX274/BY274)-100,1))</f>
        <v>-13.2</v>
      </c>
      <c r="CH274" s="575" t="s">
        <v>676</v>
      </c>
      <c r="CI274" s="582">
        <f t="shared" ref="CI274:DF274" si="516">FLOOR($AV274/(CI$3/25),1)</f>
        <v>400</v>
      </c>
      <c r="CJ274" s="582">
        <f t="shared" si="516"/>
        <v>417</v>
      </c>
      <c r="CK274" s="582">
        <f t="shared" si="516"/>
        <v>435</v>
      </c>
      <c r="CL274" s="582">
        <f t="shared" si="516"/>
        <v>455</v>
      </c>
      <c r="CM274" s="582">
        <f t="shared" si="516"/>
        <v>476</v>
      </c>
      <c r="CN274" s="582">
        <f t="shared" si="516"/>
        <v>500</v>
      </c>
      <c r="CO274" s="582">
        <f t="shared" si="516"/>
        <v>526</v>
      </c>
      <c r="CP274" s="582">
        <f t="shared" si="516"/>
        <v>556</v>
      </c>
      <c r="CQ274" s="582">
        <f t="shared" si="516"/>
        <v>588</v>
      </c>
      <c r="CR274" s="582">
        <f t="shared" si="516"/>
        <v>625</v>
      </c>
      <c r="CS274" s="582">
        <f t="shared" si="516"/>
        <v>667</v>
      </c>
      <c r="CT274" s="582">
        <f t="shared" si="516"/>
        <v>715</v>
      </c>
      <c r="CU274" s="582">
        <f t="shared" si="516"/>
        <v>770</v>
      </c>
      <c r="CV274" s="582">
        <f t="shared" si="516"/>
        <v>834</v>
      </c>
      <c r="CW274" s="582">
        <f t="shared" si="516"/>
        <v>910</v>
      </c>
      <c r="CX274" s="582">
        <f t="shared" si="516"/>
        <v>1001</v>
      </c>
      <c r="CY274" s="582">
        <f t="shared" si="516"/>
        <v>1112</v>
      </c>
      <c r="CZ274" s="582">
        <f t="shared" si="516"/>
        <v>1251</v>
      </c>
      <c r="DA274" s="582">
        <f t="shared" si="516"/>
        <v>1430</v>
      </c>
      <c r="DB274" s="582">
        <f t="shared" si="516"/>
        <v>1668</v>
      </c>
      <c r="DC274" s="582">
        <f t="shared" si="516"/>
        <v>2002</v>
      </c>
      <c r="DD274" s="582">
        <f t="shared" si="516"/>
        <v>2503</v>
      </c>
      <c r="DE274" s="582">
        <f t="shared" si="516"/>
        <v>3337</v>
      </c>
      <c r="DF274" s="602">
        <f t="shared" si="516"/>
        <v>5006</v>
      </c>
      <c r="DG274" s="575"/>
      <c r="DH274" s="575" t="str">
        <f t="shared" si="46"/>
        <v/>
      </c>
      <c r="DI274" s="74" t="str">
        <f t="shared" si="47"/>
        <v/>
      </c>
      <c r="DJ274" s="74" t="str">
        <f t="shared" si="48"/>
        <v/>
      </c>
      <c r="DK274" s="916">
        <f t="shared" si="49"/>
        <v>-7.7</v>
      </c>
      <c r="DL274" s="917">
        <v>6.0</v>
      </c>
      <c r="DM274" s="793"/>
      <c r="DN274" s="793"/>
      <c r="DO274" s="575"/>
      <c r="DP274" s="61" t="s">
        <v>1487</v>
      </c>
    </row>
    <row r="275">
      <c r="A275" s="552">
        <v>269.0</v>
      </c>
      <c r="B275" s="86">
        <v>208.0</v>
      </c>
      <c r="C275" s="54">
        <v>6.0</v>
      </c>
      <c r="D275" s="54">
        <v>10.0</v>
      </c>
      <c r="E275" s="74"/>
      <c r="F275" s="68" t="s">
        <v>2369</v>
      </c>
      <c r="G275" s="74"/>
      <c r="H275" s="68">
        <f t="shared" si="478"/>
        <v>11.5</v>
      </c>
      <c r="I275" s="74"/>
      <c r="J275" s="74"/>
      <c r="K275" s="74"/>
      <c r="L275" s="74"/>
      <c r="M275" s="575"/>
      <c r="N275" s="74" t="s">
        <v>1488</v>
      </c>
      <c r="O275" s="678"/>
      <c r="P275" s="571"/>
      <c r="Q275" s="571" t="s">
        <v>1313</v>
      </c>
      <c r="R275" s="571" t="s">
        <v>1314</v>
      </c>
      <c r="S275" s="791" t="s">
        <v>1486</v>
      </c>
      <c r="T275" s="572" t="s">
        <v>1489</v>
      </c>
      <c r="U275" s="54">
        <v>9.0</v>
      </c>
      <c r="V275" s="54">
        <v>0.0</v>
      </c>
      <c r="W275" s="54">
        <v>33.0</v>
      </c>
      <c r="X275" s="54">
        <v>33.0</v>
      </c>
      <c r="Y275" s="573">
        <v>2.0</v>
      </c>
      <c r="Z275" s="573">
        <v>0.0</v>
      </c>
      <c r="AA275" s="54">
        <v>2.0</v>
      </c>
      <c r="AB275" s="573">
        <v>104.0</v>
      </c>
      <c r="AC275" s="54">
        <v>94.0</v>
      </c>
      <c r="AD275" s="54">
        <v>2.0</v>
      </c>
      <c r="AE275" s="54">
        <v>75.0</v>
      </c>
      <c r="AF275" s="54">
        <v>75.0</v>
      </c>
      <c r="AG275" s="54">
        <v>6.0</v>
      </c>
      <c r="AH275" s="54">
        <v>10.0</v>
      </c>
      <c r="AI275" s="574">
        <f t="shared" si="12"/>
        <v>8</v>
      </c>
      <c r="AJ275" s="74"/>
      <c r="AK275" s="74"/>
      <c r="AL275" s="74"/>
      <c r="AM275" s="74"/>
      <c r="AN275" s="74"/>
      <c r="AO275" s="74"/>
      <c r="AP275" s="74"/>
      <c r="AQ275" s="74"/>
      <c r="AR275" s="74"/>
      <c r="AS275" s="575"/>
      <c r="AT275" s="68">
        <f t="shared" si="13"/>
        <v>392</v>
      </c>
      <c r="AU275" s="68">
        <f t="shared" si="14"/>
        <v>470</v>
      </c>
      <c r="AV275" s="581">
        <f t="shared" si="15"/>
        <v>431</v>
      </c>
      <c r="AW275" s="74"/>
      <c r="AX275" s="582">
        <f t="shared" si="484"/>
        <v>770</v>
      </c>
      <c r="AY275" s="74"/>
      <c r="AZ275" s="74"/>
      <c r="BA275" s="74"/>
      <c r="BB275" s="74"/>
      <c r="BC275" s="74"/>
      <c r="BD275" s="74"/>
      <c r="BE275" s="74"/>
      <c r="BF275" s="74"/>
      <c r="BG275" s="74"/>
      <c r="BH275" s="74"/>
      <c r="BI275" s="582">
        <f t="shared" si="494"/>
        <v>829</v>
      </c>
      <c r="BJ275" s="74"/>
      <c r="BK275" s="74"/>
      <c r="BL275" s="74"/>
      <c r="BM275" s="74"/>
      <c r="BN275" s="74"/>
      <c r="BO275" s="74"/>
      <c r="BP275" s="575" t="str">
        <f t="shared" si="33"/>
        <v/>
      </c>
      <c r="BQ275" s="54">
        <v>5.0</v>
      </c>
      <c r="BR275" s="54">
        <v>9.0</v>
      </c>
      <c r="BS275" s="74"/>
      <c r="BT275" s="54">
        <v>75.0</v>
      </c>
      <c r="BU275" s="54">
        <v>75.0</v>
      </c>
      <c r="BV275" s="83">
        <f t="shared" si="34"/>
        <v>7</v>
      </c>
      <c r="BW275" s="608">
        <f t="shared" si="35"/>
        <v>496.9</v>
      </c>
      <c r="BX275" s="74"/>
      <c r="BY275" s="582">
        <f t="shared" si="498"/>
        <v>887.3</v>
      </c>
      <c r="BZ275" s="74"/>
      <c r="CA275" s="74"/>
      <c r="CB275" s="74"/>
      <c r="CC275" s="74"/>
      <c r="CD275" s="74"/>
      <c r="CE275" s="664">
        <f t="shared" si="43"/>
        <v>14.3</v>
      </c>
      <c r="CF275" s="86">
        <f t="shared" si="248"/>
        <v>-13.3</v>
      </c>
      <c r="CG275" s="602">
        <f t="shared" si="517"/>
        <v>-13.2</v>
      </c>
      <c r="CH275" s="575" t="s">
        <v>1488</v>
      </c>
      <c r="CI275" s="582">
        <f t="shared" ref="CI275:DF275" si="518">FLOOR($AV275/(CI$3/25),1)</f>
        <v>431</v>
      </c>
      <c r="CJ275" s="582">
        <f t="shared" si="518"/>
        <v>448</v>
      </c>
      <c r="CK275" s="582">
        <f t="shared" si="518"/>
        <v>468</v>
      </c>
      <c r="CL275" s="582">
        <f t="shared" si="518"/>
        <v>489</v>
      </c>
      <c r="CM275" s="582">
        <f t="shared" si="518"/>
        <v>513</v>
      </c>
      <c r="CN275" s="582">
        <f t="shared" si="518"/>
        <v>538</v>
      </c>
      <c r="CO275" s="582">
        <f t="shared" si="518"/>
        <v>567</v>
      </c>
      <c r="CP275" s="582">
        <f t="shared" si="518"/>
        <v>598</v>
      </c>
      <c r="CQ275" s="582">
        <f t="shared" si="518"/>
        <v>633</v>
      </c>
      <c r="CR275" s="582">
        <f t="shared" si="518"/>
        <v>673</v>
      </c>
      <c r="CS275" s="582">
        <f t="shared" si="518"/>
        <v>718</v>
      </c>
      <c r="CT275" s="582">
        <f t="shared" si="518"/>
        <v>769</v>
      </c>
      <c r="CU275" s="582">
        <f t="shared" si="518"/>
        <v>828</v>
      </c>
      <c r="CV275" s="582">
        <f t="shared" si="518"/>
        <v>897</v>
      </c>
      <c r="CW275" s="582">
        <f t="shared" si="518"/>
        <v>979</v>
      </c>
      <c r="CX275" s="582">
        <f t="shared" si="518"/>
        <v>1077</v>
      </c>
      <c r="CY275" s="582">
        <f t="shared" si="518"/>
        <v>1197</v>
      </c>
      <c r="CZ275" s="582">
        <f t="shared" si="518"/>
        <v>1346</v>
      </c>
      <c r="DA275" s="582">
        <f t="shared" si="518"/>
        <v>1539</v>
      </c>
      <c r="DB275" s="582">
        <f t="shared" si="518"/>
        <v>1795</v>
      </c>
      <c r="DC275" s="582">
        <f t="shared" si="518"/>
        <v>2155</v>
      </c>
      <c r="DD275" s="582">
        <f t="shared" si="518"/>
        <v>2693</v>
      </c>
      <c r="DE275" s="582">
        <f t="shared" si="518"/>
        <v>3591</v>
      </c>
      <c r="DF275" s="602">
        <f t="shared" si="518"/>
        <v>5387</v>
      </c>
      <c r="DG275" s="575"/>
      <c r="DH275" s="575" t="str">
        <f t="shared" si="46"/>
        <v/>
      </c>
      <c r="DI275" s="74" t="str">
        <f t="shared" si="47"/>
        <v/>
      </c>
      <c r="DJ275" s="74" t="str">
        <f t="shared" si="48"/>
        <v/>
      </c>
      <c r="DK275" s="664">
        <f t="shared" si="49"/>
        <v>-6.3</v>
      </c>
      <c r="DL275" s="685">
        <v>7.5</v>
      </c>
      <c r="DM275" s="74"/>
      <c r="DN275" s="74"/>
      <c r="DO275" s="575"/>
      <c r="DP275" s="61" t="s">
        <v>1487</v>
      </c>
    </row>
    <row r="276">
      <c r="A276" s="552">
        <v>270.0</v>
      </c>
      <c r="B276" s="86">
        <v>209.0</v>
      </c>
      <c r="C276" s="54">
        <v>3.0</v>
      </c>
      <c r="D276" s="54">
        <v>17.0</v>
      </c>
      <c r="E276" s="74"/>
      <c r="F276" s="68" t="s">
        <v>2369</v>
      </c>
      <c r="G276" s="74"/>
      <c r="H276" s="68">
        <f t="shared" si="478"/>
        <v>11.5</v>
      </c>
      <c r="I276" s="74"/>
      <c r="J276" s="74"/>
      <c r="K276" s="74"/>
      <c r="L276" s="74"/>
      <c r="M276" s="575"/>
      <c r="N276" s="74" t="s">
        <v>1494</v>
      </c>
      <c r="O276" s="678"/>
      <c r="P276" s="571"/>
      <c r="Q276" s="571" t="s">
        <v>1313</v>
      </c>
      <c r="R276" s="571" t="s">
        <v>1314</v>
      </c>
      <c r="S276" s="791" t="s">
        <v>1486</v>
      </c>
      <c r="T276" s="572" t="s">
        <v>1495</v>
      </c>
      <c r="U276" s="54">
        <v>12.0</v>
      </c>
      <c r="V276" s="54">
        <v>0.0</v>
      </c>
      <c r="W276" s="54">
        <v>37.0</v>
      </c>
      <c r="X276" s="54">
        <v>37.0</v>
      </c>
      <c r="Y276" s="573">
        <v>2.0</v>
      </c>
      <c r="Z276" s="54">
        <v>10.0</v>
      </c>
      <c r="AA276" s="54">
        <v>2.0</v>
      </c>
      <c r="AB276" s="573">
        <v>112.0</v>
      </c>
      <c r="AC276" s="54">
        <v>158.0</v>
      </c>
      <c r="AD276" s="54">
        <v>2.0</v>
      </c>
      <c r="AE276" s="54">
        <v>75.0</v>
      </c>
      <c r="AF276" s="54">
        <v>75.0</v>
      </c>
      <c r="AG276" s="54">
        <v>3.0</v>
      </c>
      <c r="AH276" s="54">
        <v>17.0</v>
      </c>
      <c r="AI276" s="574">
        <f t="shared" si="12"/>
        <v>10</v>
      </c>
      <c r="AJ276" s="74"/>
      <c r="AK276" s="74"/>
      <c r="AL276" s="74"/>
      <c r="AM276" s="74"/>
      <c r="AN276" s="74"/>
      <c r="AO276" s="74"/>
      <c r="AP276" s="74"/>
      <c r="AQ276" s="74"/>
      <c r="AR276" s="74"/>
      <c r="AS276" s="575"/>
      <c r="AT276" s="68">
        <f t="shared" si="13"/>
        <v>331</v>
      </c>
      <c r="AU276" s="68">
        <f t="shared" si="14"/>
        <v>610</v>
      </c>
      <c r="AV276" s="581">
        <f t="shared" si="15"/>
        <v>470.5</v>
      </c>
      <c r="AW276" s="74"/>
      <c r="AX276" s="582">
        <f t="shared" si="484"/>
        <v>784</v>
      </c>
      <c r="AY276" s="74"/>
      <c r="AZ276" s="74"/>
      <c r="BA276" s="74"/>
      <c r="BB276" s="74"/>
      <c r="BC276" s="74"/>
      <c r="BD276" s="74"/>
      <c r="BE276" s="74"/>
      <c r="BF276" s="74"/>
      <c r="BG276" s="74"/>
      <c r="BH276" s="74"/>
      <c r="BI276" s="582">
        <f t="shared" si="494"/>
        <v>735</v>
      </c>
      <c r="BJ276" s="74"/>
      <c r="BK276" s="74"/>
      <c r="BL276" s="74"/>
      <c r="BM276" s="74"/>
      <c r="BN276" s="74"/>
      <c r="BO276" s="74"/>
      <c r="BP276" s="575" t="str">
        <f t="shared" si="33"/>
        <v/>
      </c>
      <c r="BQ276" s="54">
        <v>2.0</v>
      </c>
      <c r="BR276" s="54">
        <v>15.0</v>
      </c>
      <c r="BS276" s="54">
        <v>10.0</v>
      </c>
      <c r="BT276" s="54">
        <v>75.0</v>
      </c>
      <c r="BU276" s="54">
        <v>75.0</v>
      </c>
      <c r="BV276" s="83">
        <f t="shared" si="34"/>
        <v>8.5</v>
      </c>
      <c r="BW276" s="608">
        <f t="shared" si="35"/>
        <v>532.7</v>
      </c>
      <c r="BX276" s="74"/>
      <c r="BY276" s="582">
        <f t="shared" si="498"/>
        <v>887.8</v>
      </c>
      <c r="BZ276" s="74"/>
      <c r="CA276" s="74"/>
      <c r="CB276" s="74"/>
      <c r="CC276" s="74"/>
      <c r="CD276" s="74"/>
      <c r="CE276" s="664">
        <f t="shared" si="43"/>
        <v>17.6</v>
      </c>
      <c r="CF276" s="86">
        <f t="shared" si="248"/>
        <v>-11.7</v>
      </c>
      <c r="CG276" s="552">
        <f t="shared" si="517"/>
        <v>-11.7</v>
      </c>
      <c r="CH276" s="575" t="s">
        <v>1494</v>
      </c>
      <c r="CI276" s="582">
        <f t="shared" ref="CI276:DF276" si="519">FLOOR($AV276/(CI$3/25),1)</f>
        <v>470</v>
      </c>
      <c r="CJ276" s="582">
        <f t="shared" si="519"/>
        <v>490</v>
      </c>
      <c r="CK276" s="582">
        <f t="shared" si="519"/>
        <v>511</v>
      </c>
      <c r="CL276" s="582">
        <f t="shared" si="519"/>
        <v>534</v>
      </c>
      <c r="CM276" s="582">
        <f t="shared" si="519"/>
        <v>560</v>
      </c>
      <c r="CN276" s="582">
        <f t="shared" si="519"/>
        <v>588</v>
      </c>
      <c r="CO276" s="582">
        <f t="shared" si="519"/>
        <v>619</v>
      </c>
      <c r="CP276" s="582">
        <f t="shared" si="519"/>
        <v>653</v>
      </c>
      <c r="CQ276" s="582">
        <f t="shared" si="519"/>
        <v>691</v>
      </c>
      <c r="CR276" s="582">
        <f t="shared" si="519"/>
        <v>735</v>
      </c>
      <c r="CS276" s="582">
        <f t="shared" si="519"/>
        <v>784</v>
      </c>
      <c r="CT276" s="582">
        <f t="shared" si="519"/>
        <v>840</v>
      </c>
      <c r="CU276" s="582">
        <f t="shared" si="519"/>
        <v>904</v>
      </c>
      <c r="CV276" s="582">
        <f t="shared" si="519"/>
        <v>980</v>
      </c>
      <c r="CW276" s="582">
        <f t="shared" si="519"/>
        <v>1069</v>
      </c>
      <c r="CX276" s="582">
        <f t="shared" si="519"/>
        <v>1176</v>
      </c>
      <c r="CY276" s="582">
        <f t="shared" si="519"/>
        <v>1306</v>
      </c>
      <c r="CZ276" s="582">
        <f t="shared" si="519"/>
        <v>1470</v>
      </c>
      <c r="DA276" s="582">
        <f t="shared" si="519"/>
        <v>1680</v>
      </c>
      <c r="DB276" s="582">
        <f t="shared" si="519"/>
        <v>1960</v>
      </c>
      <c r="DC276" s="582">
        <f t="shared" si="519"/>
        <v>2352</v>
      </c>
      <c r="DD276" s="582">
        <f t="shared" si="519"/>
        <v>2940</v>
      </c>
      <c r="DE276" s="582">
        <f t="shared" si="519"/>
        <v>3920</v>
      </c>
      <c r="DF276" s="602">
        <f t="shared" si="519"/>
        <v>5881</v>
      </c>
      <c r="DG276" s="575"/>
      <c r="DH276" s="575" t="str">
        <f t="shared" si="46"/>
        <v/>
      </c>
      <c r="DI276" s="74" t="str">
        <f t="shared" si="47"/>
        <v/>
      </c>
      <c r="DJ276" s="74" t="str">
        <f t="shared" si="48"/>
        <v/>
      </c>
      <c r="DK276" s="623" t="str">
        <f t="shared" si="49"/>
        <v/>
      </c>
      <c r="DL276" s="74"/>
      <c r="DM276" s="74"/>
      <c r="DN276" s="74"/>
      <c r="DO276" s="575"/>
      <c r="DP276" s="61" t="s">
        <v>1487</v>
      </c>
    </row>
    <row r="277">
      <c r="A277" s="552">
        <v>271.0</v>
      </c>
      <c r="B277" s="86">
        <v>210.0</v>
      </c>
      <c r="C277" s="54">
        <v>8.0</v>
      </c>
      <c r="D277" s="54">
        <v>17.0</v>
      </c>
      <c r="E277" s="74"/>
      <c r="F277" s="68" t="s">
        <v>2369</v>
      </c>
      <c r="G277" s="74"/>
      <c r="H277" s="68">
        <f t="shared" si="478"/>
        <v>11.5</v>
      </c>
      <c r="I277" s="74"/>
      <c r="J277" s="74"/>
      <c r="K277" s="74"/>
      <c r="L277" s="74"/>
      <c r="M277" s="575"/>
      <c r="N277" s="74" t="s">
        <v>1503</v>
      </c>
      <c r="O277" s="678"/>
      <c r="P277" s="571"/>
      <c r="Q277" s="571" t="s">
        <v>1313</v>
      </c>
      <c r="R277" s="571" t="s">
        <v>1314</v>
      </c>
      <c r="S277" s="791" t="s">
        <v>1486</v>
      </c>
      <c r="T277" s="572" t="s">
        <v>1504</v>
      </c>
      <c r="U277" s="54">
        <v>15.0</v>
      </c>
      <c r="V277" s="54">
        <v>0.0</v>
      </c>
      <c r="W277" s="54">
        <v>42.0</v>
      </c>
      <c r="X277" s="54">
        <v>42.0</v>
      </c>
      <c r="Y277" s="573">
        <v>2.0</v>
      </c>
      <c r="Z277" s="573">
        <v>0.0</v>
      </c>
      <c r="AA277" s="54">
        <v>2.0</v>
      </c>
      <c r="AB277" s="54">
        <v>144.0</v>
      </c>
      <c r="AC277" s="54">
        <v>324.0</v>
      </c>
      <c r="AD277" s="54">
        <v>2.0</v>
      </c>
      <c r="AE277" s="54">
        <v>75.0</v>
      </c>
      <c r="AF277" s="54">
        <v>75.0</v>
      </c>
      <c r="AG277" s="54">
        <v>8.0</v>
      </c>
      <c r="AH277" s="54">
        <v>17.0</v>
      </c>
      <c r="AI277" s="574">
        <f t="shared" si="12"/>
        <v>12.5</v>
      </c>
      <c r="AJ277" s="74"/>
      <c r="AK277" s="74"/>
      <c r="AL277" s="74"/>
      <c r="AM277" s="74"/>
      <c r="AN277" s="74"/>
      <c r="AO277" s="74"/>
      <c r="AP277" s="74"/>
      <c r="AQ277" s="74"/>
      <c r="AR277" s="74"/>
      <c r="AS277" s="575"/>
      <c r="AT277" s="68">
        <f t="shared" si="13"/>
        <v>431</v>
      </c>
      <c r="AU277" s="68">
        <f t="shared" si="14"/>
        <v>610</v>
      </c>
      <c r="AV277" s="581">
        <f t="shared" si="15"/>
        <v>520.5</v>
      </c>
      <c r="AW277" s="74"/>
      <c r="AX277" s="582">
        <f t="shared" si="484"/>
        <v>929</v>
      </c>
      <c r="AY277" s="74"/>
      <c r="AZ277" s="74"/>
      <c r="BA277" s="74"/>
      <c r="BB277" s="74"/>
      <c r="BC277" s="74"/>
      <c r="BD277" s="74"/>
      <c r="BE277" s="74"/>
      <c r="BF277" s="74"/>
      <c r="BG277" s="74"/>
      <c r="BH277" s="74"/>
      <c r="BI277" s="582">
        <f t="shared" si="494"/>
        <v>1001</v>
      </c>
      <c r="BJ277" s="74"/>
      <c r="BK277" s="74"/>
      <c r="BL277" s="74"/>
      <c r="BM277" s="74"/>
      <c r="BN277" s="74"/>
      <c r="BO277" s="74"/>
      <c r="BP277" s="575" t="str">
        <f t="shared" si="33"/>
        <v/>
      </c>
      <c r="BQ277" s="54">
        <v>7.0</v>
      </c>
      <c r="BR277" s="54">
        <v>15.0</v>
      </c>
      <c r="BS277" s="74"/>
      <c r="BT277" s="54">
        <v>75.0</v>
      </c>
      <c r="BU277" s="54">
        <v>75.0</v>
      </c>
      <c r="BV277" s="83">
        <f t="shared" si="34"/>
        <v>11</v>
      </c>
      <c r="BW277" s="608">
        <f t="shared" si="35"/>
        <v>592.4</v>
      </c>
      <c r="BX277" s="74"/>
      <c r="BY277" s="582">
        <f t="shared" si="498"/>
        <v>1057.9</v>
      </c>
      <c r="BZ277" s="74"/>
      <c r="CA277" s="74"/>
      <c r="CB277" s="74"/>
      <c r="CC277" s="74"/>
      <c r="CD277" s="74"/>
      <c r="CE277" s="664">
        <f t="shared" si="43"/>
        <v>13.6</v>
      </c>
      <c r="CF277" s="86">
        <f t="shared" si="248"/>
        <v>-12.1</v>
      </c>
      <c r="CG277" s="552">
        <f t="shared" si="517"/>
        <v>-12.2</v>
      </c>
      <c r="CH277" s="575" t="s">
        <v>1503</v>
      </c>
      <c r="CI277" s="582">
        <f t="shared" ref="CI277:DF277" si="520">FLOOR($AV277/(CI$3/25),1)</f>
        <v>520</v>
      </c>
      <c r="CJ277" s="582">
        <f t="shared" si="520"/>
        <v>542</v>
      </c>
      <c r="CK277" s="582">
        <f t="shared" si="520"/>
        <v>565</v>
      </c>
      <c r="CL277" s="582">
        <f t="shared" si="520"/>
        <v>591</v>
      </c>
      <c r="CM277" s="582">
        <f t="shared" si="520"/>
        <v>619</v>
      </c>
      <c r="CN277" s="582">
        <f t="shared" si="520"/>
        <v>650</v>
      </c>
      <c r="CO277" s="582">
        <f t="shared" si="520"/>
        <v>684</v>
      </c>
      <c r="CP277" s="582">
        <f t="shared" si="520"/>
        <v>722</v>
      </c>
      <c r="CQ277" s="582">
        <f t="shared" si="520"/>
        <v>765</v>
      </c>
      <c r="CR277" s="582">
        <f t="shared" si="520"/>
        <v>813</v>
      </c>
      <c r="CS277" s="582">
        <f t="shared" si="520"/>
        <v>867</v>
      </c>
      <c r="CT277" s="582">
        <f t="shared" si="520"/>
        <v>929</v>
      </c>
      <c r="CU277" s="582">
        <f t="shared" si="520"/>
        <v>1000</v>
      </c>
      <c r="CV277" s="582">
        <f t="shared" si="520"/>
        <v>1084</v>
      </c>
      <c r="CW277" s="582">
        <f t="shared" si="520"/>
        <v>1182</v>
      </c>
      <c r="CX277" s="582">
        <f t="shared" si="520"/>
        <v>1301</v>
      </c>
      <c r="CY277" s="582">
        <f t="shared" si="520"/>
        <v>1445</v>
      </c>
      <c r="CZ277" s="582">
        <f t="shared" si="520"/>
        <v>1626</v>
      </c>
      <c r="DA277" s="582">
        <f t="shared" si="520"/>
        <v>1858</v>
      </c>
      <c r="DB277" s="582">
        <f t="shared" si="520"/>
        <v>2168</v>
      </c>
      <c r="DC277" s="582">
        <f t="shared" si="520"/>
        <v>2602</v>
      </c>
      <c r="DD277" s="582">
        <f t="shared" si="520"/>
        <v>3253</v>
      </c>
      <c r="DE277" s="582">
        <f t="shared" si="520"/>
        <v>4337</v>
      </c>
      <c r="DF277" s="602">
        <f t="shared" si="520"/>
        <v>6506</v>
      </c>
      <c r="DG277" s="575"/>
      <c r="DH277" s="575" t="str">
        <f t="shared" si="46"/>
        <v/>
      </c>
      <c r="DI277" s="74" t="str">
        <f t="shared" si="47"/>
        <v/>
      </c>
      <c r="DJ277" s="74" t="str">
        <f t="shared" si="48"/>
        <v/>
      </c>
      <c r="DK277" s="664">
        <f t="shared" si="49"/>
        <v>-8</v>
      </c>
      <c r="DL277" s="685">
        <v>11.5</v>
      </c>
      <c r="DM277" s="74"/>
      <c r="DN277" s="74"/>
      <c r="DO277" s="575"/>
      <c r="DP277" s="61" t="s">
        <v>1487</v>
      </c>
    </row>
    <row r="278">
      <c r="A278" s="552">
        <v>272.0</v>
      </c>
      <c r="B278" s="86">
        <v>211.0</v>
      </c>
      <c r="C278" s="54">
        <v>9.0</v>
      </c>
      <c r="D278" s="54">
        <v>16.0</v>
      </c>
      <c r="E278" s="74"/>
      <c r="F278" s="68" t="s">
        <v>2369</v>
      </c>
      <c r="G278" s="74"/>
      <c r="H278" s="68">
        <f t="shared" si="478"/>
        <v>11.5</v>
      </c>
      <c r="I278" s="74"/>
      <c r="J278" s="74"/>
      <c r="K278" s="74"/>
      <c r="L278" s="74"/>
      <c r="M278" s="575"/>
      <c r="N278" s="74" t="s">
        <v>1510</v>
      </c>
      <c r="O278" s="678"/>
      <c r="P278" s="571"/>
      <c r="Q278" s="571" t="s">
        <v>1313</v>
      </c>
      <c r="R278" s="571" t="s">
        <v>1314</v>
      </c>
      <c r="S278" s="791" t="s">
        <v>1486</v>
      </c>
      <c r="T278" s="572" t="s">
        <v>1511</v>
      </c>
      <c r="U278" s="54">
        <v>18.0</v>
      </c>
      <c r="V278" s="54">
        <v>0.0</v>
      </c>
      <c r="W278" s="54">
        <v>46.0</v>
      </c>
      <c r="X278" s="54">
        <v>46.0</v>
      </c>
      <c r="Y278" s="54">
        <v>3.0</v>
      </c>
      <c r="Z278" s="573">
        <v>-10.0</v>
      </c>
      <c r="AA278" s="54">
        <v>2.0</v>
      </c>
      <c r="AB278" s="669">
        <v>128.0</v>
      </c>
      <c r="AC278" s="54">
        <v>671.0</v>
      </c>
      <c r="AD278" s="54">
        <v>2.0</v>
      </c>
      <c r="AE278" s="54">
        <v>75.0</v>
      </c>
      <c r="AF278" s="54">
        <v>75.0</v>
      </c>
      <c r="AG278" s="54">
        <v>9.0</v>
      </c>
      <c r="AH278" s="54">
        <v>16.0</v>
      </c>
      <c r="AI278" s="574">
        <f t="shared" si="12"/>
        <v>12.5</v>
      </c>
      <c r="AJ278" s="74"/>
      <c r="AK278" s="74"/>
      <c r="AL278" s="74"/>
      <c r="AM278" s="74"/>
      <c r="AN278" s="74"/>
      <c r="AO278" s="74"/>
      <c r="AP278" s="74"/>
      <c r="AQ278" s="74"/>
      <c r="AR278" s="74"/>
      <c r="AS278" s="575"/>
      <c r="AT278" s="68">
        <f t="shared" si="13"/>
        <v>452</v>
      </c>
      <c r="AU278" s="68">
        <f t="shared" si="14"/>
        <v>588</v>
      </c>
      <c r="AV278" s="581">
        <f t="shared" si="15"/>
        <v>520</v>
      </c>
      <c r="AW278" s="74"/>
      <c r="AX278" s="582">
        <f t="shared" si="484"/>
        <v>1083</v>
      </c>
      <c r="AY278" s="74"/>
      <c r="AZ278" s="74"/>
      <c r="BA278" s="74"/>
      <c r="BB278" s="74"/>
      <c r="BC278" s="74"/>
      <c r="BD278" s="74"/>
      <c r="BE278" s="74"/>
      <c r="BF278" s="74"/>
      <c r="BG278" s="74"/>
      <c r="BH278" s="74"/>
      <c r="BI278" s="582">
        <f t="shared" si="494"/>
        <v>1300</v>
      </c>
      <c r="BJ278" s="74"/>
      <c r="BK278" s="74"/>
      <c r="BL278" s="74"/>
      <c r="BM278" s="74"/>
      <c r="BN278" s="74"/>
      <c r="BO278" s="74"/>
      <c r="BP278" s="575" t="str">
        <f t="shared" si="33"/>
        <v/>
      </c>
      <c r="BQ278" s="54">
        <v>8.0</v>
      </c>
      <c r="BR278" s="54">
        <v>15.0</v>
      </c>
      <c r="BS278" s="54">
        <v>-10.0</v>
      </c>
      <c r="BT278" s="54">
        <v>75.0</v>
      </c>
      <c r="BU278" s="54">
        <v>75.0</v>
      </c>
      <c r="BV278" s="83">
        <f t="shared" si="34"/>
        <v>11.5</v>
      </c>
      <c r="BW278" s="608">
        <f t="shared" si="35"/>
        <v>604.3</v>
      </c>
      <c r="BX278" s="74"/>
      <c r="BY278" s="582">
        <f t="shared" si="498"/>
        <v>1259</v>
      </c>
      <c r="BZ278" s="74"/>
      <c r="CA278" s="74"/>
      <c r="CB278" s="74"/>
      <c r="CC278" s="74"/>
      <c r="CD278" s="74"/>
      <c r="CE278" s="664">
        <f t="shared" si="43"/>
        <v>8.7</v>
      </c>
      <c r="CF278" s="86">
        <f t="shared" si="248"/>
        <v>-14</v>
      </c>
      <c r="CG278" s="552">
        <f t="shared" si="517"/>
        <v>-14</v>
      </c>
      <c r="CH278" s="575" t="s">
        <v>1510</v>
      </c>
      <c r="CI278" s="582">
        <f t="shared" ref="CI278:DF278" si="521">FLOOR($AV278/(CI$3/25),1)</f>
        <v>520</v>
      </c>
      <c r="CJ278" s="582">
        <f t="shared" si="521"/>
        <v>541</v>
      </c>
      <c r="CK278" s="582">
        <f t="shared" si="521"/>
        <v>565</v>
      </c>
      <c r="CL278" s="582">
        <f t="shared" si="521"/>
        <v>590</v>
      </c>
      <c r="CM278" s="582">
        <f t="shared" si="521"/>
        <v>619</v>
      </c>
      <c r="CN278" s="582">
        <f t="shared" si="521"/>
        <v>650</v>
      </c>
      <c r="CO278" s="582">
        <f t="shared" si="521"/>
        <v>684</v>
      </c>
      <c r="CP278" s="582">
        <f t="shared" si="521"/>
        <v>722</v>
      </c>
      <c r="CQ278" s="582">
        <f t="shared" si="521"/>
        <v>764</v>
      </c>
      <c r="CR278" s="582">
        <f t="shared" si="521"/>
        <v>812</v>
      </c>
      <c r="CS278" s="582">
        <f t="shared" si="521"/>
        <v>866</v>
      </c>
      <c r="CT278" s="582">
        <f t="shared" si="521"/>
        <v>928</v>
      </c>
      <c r="CU278" s="582">
        <f t="shared" si="521"/>
        <v>1000</v>
      </c>
      <c r="CV278" s="582">
        <f t="shared" si="521"/>
        <v>1083</v>
      </c>
      <c r="CW278" s="582">
        <f t="shared" si="521"/>
        <v>1181</v>
      </c>
      <c r="CX278" s="582">
        <f t="shared" si="521"/>
        <v>1300</v>
      </c>
      <c r="CY278" s="582">
        <f t="shared" si="521"/>
        <v>1444</v>
      </c>
      <c r="CZ278" s="582">
        <f t="shared" si="521"/>
        <v>1625</v>
      </c>
      <c r="DA278" s="582">
        <f t="shared" si="521"/>
        <v>1857</v>
      </c>
      <c r="DB278" s="582">
        <f t="shared" si="521"/>
        <v>2166</v>
      </c>
      <c r="DC278" s="582">
        <f t="shared" si="521"/>
        <v>2600</v>
      </c>
      <c r="DD278" s="582">
        <f t="shared" si="521"/>
        <v>3250</v>
      </c>
      <c r="DE278" s="582">
        <f t="shared" si="521"/>
        <v>4333</v>
      </c>
      <c r="DF278" s="602">
        <f t="shared" si="521"/>
        <v>6500</v>
      </c>
      <c r="DG278" s="575"/>
      <c r="DH278" s="575" t="str">
        <f t="shared" si="46"/>
        <v/>
      </c>
      <c r="DI278" s="74" t="str">
        <f t="shared" si="47"/>
        <v/>
      </c>
      <c r="DJ278" s="74" t="str">
        <f t="shared" si="48"/>
        <v/>
      </c>
      <c r="DK278" s="623" t="str">
        <f t="shared" si="49"/>
        <v/>
      </c>
      <c r="DL278" s="74"/>
      <c r="DM278" s="74"/>
      <c r="DN278" s="74"/>
      <c r="DO278" s="575"/>
      <c r="DP278" s="61" t="s">
        <v>1487</v>
      </c>
    </row>
    <row r="279">
      <c r="A279" s="552">
        <v>273.0</v>
      </c>
      <c r="B279" s="86">
        <v>212.0</v>
      </c>
      <c r="C279" s="54">
        <v>11.0</v>
      </c>
      <c r="D279" s="54">
        <v>15.0</v>
      </c>
      <c r="E279" s="74"/>
      <c r="F279" s="68" t="s">
        <v>2369</v>
      </c>
      <c r="G279" s="74"/>
      <c r="H279" s="68">
        <f t="shared" si="478"/>
        <v>11.5</v>
      </c>
      <c r="I279" s="74"/>
      <c r="J279" s="74"/>
      <c r="K279" s="74"/>
      <c r="L279" s="74"/>
      <c r="M279" s="575"/>
      <c r="N279" s="74" t="s">
        <v>1519</v>
      </c>
      <c r="O279" s="678"/>
      <c r="P279" s="571"/>
      <c r="Q279" s="571" t="s">
        <v>1313</v>
      </c>
      <c r="R279" s="571" t="s">
        <v>1314</v>
      </c>
      <c r="S279" s="791" t="s">
        <v>1486</v>
      </c>
      <c r="T279" s="572" t="s">
        <v>1520</v>
      </c>
      <c r="U279" s="54">
        <v>21.0</v>
      </c>
      <c r="V279" s="54">
        <v>0.0</v>
      </c>
      <c r="W279" s="54">
        <v>50.0</v>
      </c>
      <c r="X279" s="54">
        <v>50.0</v>
      </c>
      <c r="Y279" s="54">
        <v>3.0</v>
      </c>
      <c r="Z279" s="573">
        <v>-20.0</v>
      </c>
      <c r="AA279" s="54">
        <v>2.0</v>
      </c>
      <c r="AB279" s="54">
        <v>138.0</v>
      </c>
      <c r="AC279" s="54">
        <v>1392.0</v>
      </c>
      <c r="AD279" s="54">
        <v>2.0</v>
      </c>
      <c r="AE279" s="54">
        <v>75.0</v>
      </c>
      <c r="AF279" s="54">
        <v>75.0</v>
      </c>
      <c r="AG279" s="54">
        <v>11.0</v>
      </c>
      <c r="AH279" s="54">
        <v>15.0</v>
      </c>
      <c r="AI279" s="574">
        <f t="shared" si="12"/>
        <v>13</v>
      </c>
      <c r="AJ279" s="74"/>
      <c r="AK279" s="74"/>
      <c r="AL279" s="74"/>
      <c r="AM279" s="74"/>
      <c r="AN279" s="74"/>
      <c r="AO279" s="74"/>
      <c r="AP279" s="74"/>
      <c r="AQ279" s="74"/>
      <c r="AR279" s="74"/>
      <c r="AS279" s="575"/>
      <c r="AT279" s="68">
        <f t="shared" si="13"/>
        <v>492</v>
      </c>
      <c r="AU279" s="68">
        <f t="shared" si="14"/>
        <v>571</v>
      </c>
      <c r="AV279" s="581">
        <f t="shared" si="15"/>
        <v>531.5</v>
      </c>
      <c r="AW279" s="74"/>
      <c r="AX279" s="582">
        <f t="shared" si="484"/>
        <v>1208</v>
      </c>
      <c r="AY279" s="74"/>
      <c r="AZ279" s="74"/>
      <c r="BA279" s="74"/>
      <c r="BB279" s="74"/>
      <c r="BC279" s="74"/>
      <c r="BD279" s="74"/>
      <c r="BE279" s="74"/>
      <c r="BF279" s="74"/>
      <c r="BG279" s="74"/>
      <c r="BH279" s="74"/>
      <c r="BI279" s="582">
        <f t="shared" si="494"/>
        <v>1476</v>
      </c>
      <c r="BJ279" s="74"/>
      <c r="BK279" s="74"/>
      <c r="BL279" s="74"/>
      <c r="BM279" s="74"/>
      <c r="BN279" s="74"/>
      <c r="BO279" s="74"/>
      <c r="BP279" s="575" t="str">
        <f t="shared" si="33"/>
        <v/>
      </c>
      <c r="BQ279" s="54">
        <v>10.0</v>
      </c>
      <c r="BR279" s="54">
        <v>14.0</v>
      </c>
      <c r="BS279" s="54">
        <v>-20.0</v>
      </c>
      <c r="BT279" s="54">
        <v>75.0</v>
      </c>
      <c r="BU279" s="54">
        <v>75.0</v>
      </c>
      <c r="BV279" s="83">
        <f t="shared" si="34"/>
        <v>12</v>
      </c>
      <c r="BW279" s="608">
        <f t="shared" si="35"/>
        <v>616.3</v>
      </c>
      <c r="BX279" s="74"/>
      <c r="BY279" s="582">
        <f t="shared" si="498"/>
        <v>1400.7</v>
      </c>
      <c r="BZ279" s="74"/>
      <c r="CA279" s="74"/>
      <c r="CB279" s="74"/>
      <c r="CC279" s="74"/>
      <c r="CD279" s="74"/>
      <c r="CE279" s="664">
        <f t="shared" si="43"/>
        <v>8.3</v>
      </c>
      <c r="CF279" s="86">
        <f t="shared" si="248"/>
        <v>-13.8</v>
      </c>
      <c r="CG279" s="552">
        <f t="shared" si="517"/>
        <v>-13.8</v>
      </c>
      <c r="CH279" s="575" t="s">
        <v>1519</v>
      </c>
      <c r="CI279" s="582">
        <f t="shared" ref="CI279:DF279" si="522">FLOOR($AV279/(CI$3/25),1)</f>
        <v>531</v>
      </c>
      <c r="CJ279" s="582">
        <f t="shared" si="522"/>
        <v>553</v>
      </c>
      <c r="CK279" s="582">
        <f t="shared" si="522"/>
        <v>577</v>
      </c>
      <c r="CL279" s="582">
        <f t="shared" si="522"/>
        <v>603</v>
      </c>
      <c r="CM279" s="582">
        <f t="shared" si="522"/>
        <v>632</v>
      </c>
      <c r="CN279" s="582">
        <f t="shared" si="522"/>
        <v>664</v>
      </c>
      <c r="CO279" s="582">
        <f t="shared" si="522"/>
        <v>699</v>
      </c>
      <c r="CP279" s="582">
        <f t="shared" si="522"/>
        <v>738</v>
      </c>
      <c r="CQ279" s="582">
        <f t="shared" si="522"/>
        <v>781</v>
      </c>
      <c r="CR279" s="582">
        <f t="shared" si="522"/>
        <v>830</v>
      </c>
      <c r="CS279" s="582">
        <f t="shared" si="522"/>
        <v>885</v>
      </c>
      <c r="CT279" s="582">
        <f t="shared" si="522"/>
        <v>949</v>
      </c>
      <c r="CU279" s="582">
        <f t="shared" si="522"/>
        <v>1022</v>
      </c>
      <c r="CV279" s="582">
        <f t="shared" si="522"/>
        <v>1107</v>
      </c>
      <c r="CW279" s="582">
        <f t="shared" si="522"/>
        <v>1207</v>
      </c>
      <c r="CX279" s="582">
        <f t="shared" si="522"/>
        <v>1328</v>
      </c>
      <c r="CY279" s="582">
        <f t="shared" si="522"/>
        <v>1476</v>
      </c>
      <c r="CZ279" s="582">
        <f t="shared" si="522"/>
        <v>1660</v>
      </c>
      <c r="DA279" s="582">
        <f t="shared" si="522"/>
        <v>1898</v>
      </c>
      <c r="DB279" s="582">
        <f t="shared" si="522"/>
        <v>2214</v>
      </c>
      <c r="DC279" s="582">
        <f t="shared" si="522"/>
        <v>2657</v>
      </c>
      <c r="DD279" s="582">
        <f t="shared" si="522"/>
        <v>3321</v>
      </c>
      <c r="DE279" s="582">
        <f t="shared" si="522"/>
        <v>4429</v>
      </c>
      <c r="DF279" s="602">
        <f t="shared" si="522"/>
        <v>6643</v>
      </c>
      <c r="DG279" s="575"/>
      <c r="DH279" s="575" t="str">
        <f t="shared" si="46"/>
        <v/>
      </c>
      <c r="DI279" s="74" t="str">
        <f t="shared" si="47"/>
        <v/>
      </c>
      <c r="DJ279" s="74" t="str">
        <f t="shared" si="48"/>
        <v/>
      </c>
      <c r="DK279" s="623" t="str">
        <f t="shared" si="49"/>
        <v/>
      </c>
      <c r="DL279" s="74"/>
      <c r="DM279" s="74"/>
      <c r="DN279" s="74"/>
      <c r="DO279" s="575"/>
      <c r="DP279" s="61" t="s">
        <v>1487</v>
      </c>
    </row>
    <row r="280">
      <c r="A280" s="647">
        <v>274.0</v>
      </c>
      <c r="B280" s="141">
        <v>213.0</v>
      </c>
      <c r="C280" s="129">
        <v>10.0</v>
      </c>
      <c r="D280" s="129">
        <v>19.0</v>
      </c>
      <c r="E280" s="134"/>
      <c r="F280" s="154" t="s">
        <v>2369</v>
      </c>
      <c r="G280" s="134"/>
      <c r="H280" s="154">
        <f t="shared" si="478"/>
        <v>11.5</v>
      </c>
      <c r="I280" s="134"/>
      <c r="J280" s="134"/>
      <c r="K280" s="134"/>
      <c r="L280" s="134"/>
      <c r="M280" s="653"/>
      <c r="N280" s="134" t="s">
        <v>1525</v>
      </c>
      <c r="O280" s="876"/>
      <c r="P280" s="650"/>
      <c r="Q280" s="650" t="s">
        <v>1313</v>
      </c>
      <c r="R280" s="650" t="s">
        <v>1314</v>
      </c>
      <c r="S280" s="796" t="s">
        <v>1486</v>
      </c>
      <c r="T280" s="651" t="s">
        <v>1527</v>
      </c>
      <c r="U280" s="129">
        <v>24.0</v>
      </c>
      <c r="V280" s="129">
        <v>0.0</v>
      </c>
      <c r="W280" s="129">
        <v>55.0</v>
      </c>
      <c r="X280" s="129">
        <v>55.0</v>
      </c>
      <c r="Y280" s="129">
        <v>3.0</v>
      </c>
      <c r="Z280" s="907">
        <v>-10.0</v>
      </c>
      <c r="AA280" s="129">
        <v>2.0</v>
      </c>
      <c r="AB280" s="129">
        <v>136.0</v>
      </c>
      <c r="AC280" s="129">
        <v>1535.0</v>
      </c>
      <c r="AD280" s="129">
        <v>2.0</v>
      </c>
      <c r="AE280" s="129">
        <v>75.0</v>
      </c>
      <c r="AF280" s="129">
        <v>75.0</v>
      </c>
      <c r="AG280" s="129">
        <v>10.0</v>
      </c>
      <c r="AH280" s="129">
        <v>19.0</v>
      </c>
      <c r="AI280" s="652">
        <f t="shared" si="12"/>
        <v>14.5</v>
      </c>
      <c r="AJ280" s="134"/>
      <c r="AK280" s="134"/>
      <c r="AL280" s="134"/>
      <c r="AM280" s="134"/>
      <c r="AN280" s="134"/>
      <c r="AO280" s="134"/>
      <c r="AP280" s="134"/>
      <c r="AQ280" s="134"/>
      <c r="AR280" s="134"/>
      <c r="AS280" s="653"/>
      <c r="AT280" s="154">
        <f t="shared" si="13"/>
        <v>470</v>
      </c>
      <c r="AU280" s="154">
        <f t="shared" si="14"/>
        <v>650</v>
      </c>
      <c r="AV280" s="654">
        <f t="shared" si="15"/>
        <v>560</v>
      </c>
      <c r="AW280" s="134"/>
      <c r="AX280" s="655">
        <f t="shared" si="484"/>
        <v>1167</v>
      </c>
      <c r="AY280" s="134"/>
      <c r="AZ280" s="134"/>
      <c r="BA280" s="134"/>
      <c r="BB280" s="134"/>
      <c r="BC280" s="134"/>
      <c r="BD280" s="134"/>
      <c r="BE280" s="134"/>
      <c r="BF280" s="134"/>
      <c r="BG280" s="134"/>
      <c r="BH280" s="134"/>
      <c r="BI280" s="655">
        <f t="shared" si="494"/>
        <v>1400</v>
      </c>
      <c r="BJ280" s="134"/>
      <c r="BK280" s="134"/>
      <c r="BL280" s="134"/>
      <c r="BM280" s="134"/>
      <c r="BN280" s="134"/>
      <c r="BO280" s="134"/>
      <c r="BP280" s="653" t="str">
        <f t="shared" si="33"/>
        <v/>
      </c>
      <c r="BQ280" s="129">
        <v>9.0</v>
      </c>
      <c r="BR280" s="129">
        <v>17.0</v>
      </c>
      <c r="BS280" s="129">
        <v>-10.0</v>
      </c>
      <c r="BT280" s="129">
        <v>75.0</v>
      </c>
      <c r="BU280" s="129">
        <v>75.0</v>
      </c>
      <c r="BV280" s="135">
        <f t="shared" si="34"/>
        <v>13</v>
      </c>
      <c r="BW280" s="657">
        <f t="shared" si="35"/>
        <v>640.1</v>
      </c>
      <c r="BX280" s="134"/>
      <c r="BY280" s="655">
        <f t="shared" si="498"/>
        <v>1333.5</v>
      </c>
      <c r="BZ280" s="134"/>
      <c r="CA280" s="134"/>
      <c r="CB280" s="134"/>
      <c r="CC280" s="134"/>
      <c r="CD280" s="134"/>
      <c r="CE280" s="659">
        <f t="shared" si="43"/>
        <v>11.5</v>
      </c>
      <c r="CF280" s="141">
        <f t="shared" si="248"/>
        <v>-12.5</v>
      </c>
      <c r="CG280" s="647">
        <f t="shared" si="517"/>
        <v>-12.5</v>
      </c>
      <c r="CH280" s="653" t="s">
        <v>1525</v>
      </c>
      <c r="CI280" s="655">
        <f t="shared" ref="CI280:DF280" si="523">FLOOR($AV280/(CI$3/25),1)</f>
        <v>560</v>
      </c>
      <c r="CJ280" s="655">
        <f t="shared" si="523"/>
        <v>583</v>
      </c>
      <c r="CK280" s="655">
        <f t="shared" si="523"/>
        <v>608</v>
      </c>
      <c r="CL280" s="655">
        <f t="shared" si="523"/>
        <v>636</v>
      </c>
      <c r="CM280" s="655">
        <f t="shared" si="523"/>
        <v>666</v>
      </c>
      <c r="CN280" s="655">
        <f t="shared" si="523"/>
        <v>700</v>
      </c>
      <c r="CO280" s="655">
        <f t="shared" si="523"/>
        <v>736</v>
      </c>
      <c r="CP280" s="655">
        <f t="shared" si="523"/>
        <v>777</v>
      </c>
      <c r="CQ280" s="655">
        <f t="shared" si="523"/>
        <v>823</v>
      </c>
      <c r="CR280" s="655">
        <f t="shared" si="523"/>
        <v>875</v>
      </c>
      <c r="CS280" s="655">
        <f t="shared" si="523"/>
        <v>933</v>
      </c>
      <c r="CT280" s="655">
        <f t="shared" si="523"/>
        <v>1000</v>
      </c>
      <c r="CU280" s="655">
        <f t="shared" si="523"/>
        <v>1076</v>
      </c>
      <c r="CV280" s="655">
        <f t="shared" si="523"/>
        <v>1166</v>
      </c>
      <c r="CW280" s="655">
        <f t="shared" si="523"/>
        <v>1272</v>
      </c>
      <c r="CX280" s="655">
        <f t="shared" si="523"/>
        <v>1400</v>
      </c>
      <c r="CY280" s="655">
        <f t="shared" si="523"/>
        <v>1555</v>
      </c>
      <c r="CZ280" s="655">
        <f t="shared" si="523"/>
        <v>1750</v>
      </c>
      <c r="DA280" s="655">
        <f t="shared" si="523"/>
        <v>2000</v>
      </c>
      <c r="DB280" s="655">
        <f t="shared" si="523"/>
        <v>2333</v>
      </c>
      <c r="DC280" s="655">
        <f t="shared" si="523"/>
        <v>2800</v>
      </c>
      <c r="DD280" s="655">
        <f t="shared" si="523"/>
        <v>3500</v>
      </c>
      <c r="DE280" s="655">
        <f t="shared" si="523"/>
        <v>4666</v>
      </c>
      <c r="DF280" s="656">
        <f t="shared" si="523"/>
        <v>7000</v>
      </c>
      <c r="DG280" s="653"/>
      <c r="DH280" s="653" t="str">
        <f t="shared" si="46"/>
        <v/>
      </c>
      <c r="DI280" s="134" t="str">
        <f t="shared" si="47"/>
        <v/>
      </c>
      <c r="DJ280" s="134" t="str">
        <f t="shared" si="48"/>
        <v/>
      </c>
      <c r="DK280" s="659">
        <f t="shared" si="49"/>
        <v>3.4</v>
      </c>
      <c r="DL280" s="903">
        <v>15.0</v>
      </c>
      <c r="DM280" s="134"/>
      <c r="DN280" s="134"/>
      <c r="DO280" s="653"/>
      <c r="DP280" s="872" t="s">
        <v>1487</v>
      </c>
    </row>
    <row r="281">
      <c r="A281" s="552">
        <v>275.0</v>
      </c>
      <c r="B281" s="86">
        <v>214.0</v>
      </c>
      <c r="C281" s="54">
        <v>13.0</v>
      </c>
      <c r="D281" s="54">
        <v>30.0</v>
      </c>
      <c r="E281" s="74"/>
      <c r="F281" s="68" t="s">
        <v>2369</v>
      </c>
      <c r="G281" s="74"/>
      <c r="H281" s="68">
        <f t="shared" si="478"/>
        <v>11.5</v>
      </c>
      <c r="I281" s="74"/>
      <c r="J281" s="74"/>
      <c r="K281" s="74"/>
      <c r="L281" s="74"/>
      <c r="M281" s="575"/>
      <c r="N281" s="74" t="s">
        <v>1482</v>
      </c>
      <c r="O281" s="570" t="s">
        <v>2370</v>
      </c>
      <c r="P281" s="571"/>
      <c r="Q281" s="571" t="s">
        <v>1670</v>
      </c>
      <c r="R281" s="571" t="s">
        <v>1314</v>
      </c>
      <c r="S281" s="791" t="s">
        <v>1486</v>
      </c>
      <c r="T281" s="572" t="s">
        <v>1483</v>
      </c>
      <c r="U281" s="54">
        <v>28.0</v>
      </c>
      <c r="V281" s="54">
        <v>21.0</v>
      </c>
      <c r="W281" s="54">
        <v>57.0</v>
      </c>
      <c r="X281" s="54">
        <v>57.0</v>
      </c>
      <c r="Y281" s="54">
        <v>3.0</v>
      </c>
      <c r="Z281" s="54">
        <v>0.0</v>
      </c>
      <c r="AA281" s="54">
        <v>2.0</v>
      </c>
      <c r="AB281" s="54">
        <v>96.0</v>
      </c>
      <c r="AC281" s="54">
        <v>2334.0</v>
      </c>
      <c r="AD281" s="54">
        <v>2.0</v>
      </c>
      <c r="AE281" s="54">
        <v>75.0</v>
      </c>
      <c r="AF281" s="54">
        <v>75.0</v>
      </c>
      <c r="AG281" s="54">
        <v>15.0</v>
      </c>
      <c r="AH281" s="54">
        <v>35.0</v>
      </c>
      <c r="AI281" s="574">
        <f t="shared" si="12"/>
        <v>25</v>
      </c>
      <c r="AJ281" s="74"/>
      <c r="AK281" s="74"/>
      <c r="AL281" s="74"/>
      <c r="AM281" s="74"/>
      <c r="AN281" s="74"/>
      <c r="AO281" s="74"/>
      <c r="AP281" s="74"/>
      <c r="AQ281" s="74"/>
      <c r="AR281" s="74"/>
      <c r="AS281" s="575"/>
      <c r="AT281" s="68">
        <f t="shared" si="13"/>
        <v>571</v>
      </c>
      <c r="AU281" s="68">
        <f t="shared" si="14"/>
        <v>967</v>
      </c>
      <c r="AV281" s="581">
        <f t="shared" si="15"/>
        <v>769</v>
      </c>
      <c r="AW281" s="74"/>
      <c r="AX281" s="582">
        <f t="shared" si="484"/>
        <v>1373</v>
      </c>
      <c r="AY281" s="74"/>
      <c r="AZ281" s="74"/>
      <c r="BA281" s="74"/>
      <c r="BB281" s="74"/>
      <c r="BC281" s="74"/>
      <c r="BD281" s="74"/>
      <c r="BE281" s="74"/>
      <c r="BF281" s="74"/>
      <c r="BG281" s="74"/>
      <c r="BH281" s="74"/>
      <c r="BI281" s="582">
        <f t="shared" si="494"/>
        <v>1479</v>
      </c>
      <c r="BJ281" s="74"/>
      <c r="BK281" s="74"/>
      <c r="BL281" s="74"/>
      <c r="BM281" s="74"/>
      <c r="BN281" s="74"/>
      <c r="BO281" s="74"/>
      <c r="BP281" s="575" t="str">
        <f t="shared" si="33"/>
        <v/>
      </c>
      <c r="BQ281" s="54">
        <v>11.0</v>
      </c>
      <c r="BR281" s="54">
        <v>24.0</v>
      </c>
      <c r="BS281" s="74"/>
      <c r="BT281" s="54">
        <v>75.0</v>
      </c>
      <c r="BU281" s="54">
        <v>75.0</v>
      </c>
      <c r="BV281" s="83">
        <f t="shared" si="34"/>
        <v>17.5</v>
      </c>
      <c r="BW281" s="608">
        <f t="shared" si="35"/>
        <v>747.6</v>
      </c>
      <c r="BX281" s="74"/>
      <c r="BY281" s="582">
        <f t="shared" si="498"/>
        <v>1335</v>
      </c>
      <c r="BZ281" s="74"/>
      <c r="CA281" s="74"/>
      <c r="CB281" s="74"/>
      <c r="CC281" s="74"/>
      <c r="CD281" s="74"/>
      <c r="CE281" s="664">
        <f t="shared" si="43"/>
        <v>42.9</v>
      </c>
      <c r="CF281" s="86">
        <f t="shared" si="248"/>
        <v>2.9</v>
      </c>
      <c r="CG281" s="552">
        <f t="shared" si="517"/>
        <v>2.8</v>
      </c>
      <c r="CH281" s="575" t="s">
        <v>1482</v>
      </c>
      <c r="CI281" s="582">
        <f t="shared" ref="CI281:DF281" si="524">FLOOR($AV281/(CI$3/25),1)</f>
        <v>769</v>
      </c>
      <c r="CJ281" s="582">
        <f t="shared" si="524"/>
        <v>801</v>
      </c>
      <c r="CK281" s="582">
        <f t="shared" si="524"/>
        <v>835</v>
      </c>
      <c r="CL281" s="582">
        <f t="shared" si="524"/>
        <v>873</v>
      </c>
      <c r="CM281" s="582">
        <f t="shared" si="524"/>
        <v>915</v>
      </c>
      <c r="CN281" s="582">
        <f t="shared" si="524"/>
        <v>961</v>
      </c>
      <c r="CO281" s="582">
        <f t="shared" si="524"/>
        <v>1011</v>
      </c>
      <c r="CP281" s="582">
        <f t="shared" si="524"/>
        <v>1068</v>
      </c>
      <c r="CQ281" s="582">
        <f t="shared" si="524"/>
        <v>1130</v>
      </c>
      <c r="CR281" s="582">
        <f t="shared" si="524"/>
        <v>1201</v>
      </c>
      <c r="CS281" s="582">
        <f t="shared" si="524"/>
        <v>1281</v>
      </c>
      <c r="CT281" s="582">
        <f t="shared" si="524"/>
        <v>1373</v>
      </c>
      <c r="CU281" s="582">
        <f t="shared" si="524"/>
        <v>1478</v>
      </c>
      <c r="CV281" s="582">
        <f t="shared" si="524"/>
        <v>1602</v>
      </c>
      <c r="CW281" s="582">
        <f t="shared" si="524"/>
        <v>1747</v>
      </c>
      <c r="CX281" s="582">
        <f t="shared" si="524"/>
        <v>1922</v>
      </c>
      <c r="CY281" s="582">
        <f t="shared" si="524"/>
        <v>2136</v>
      </c>
      <c r="CZ281" s="582">
        <f t="shared" si="524"/>
        <v>2403</v>
      </c>
      <c r="DA281" s="582">
        <f t="shared" si="524"/>
        <v>2746</v>
      </c>
      <c r="DB281" s="582">
        <f t="shared" si="524"/>
        <v>3204</v>
      </c>
      <c r="DC281" s="582">
        <f t="shared" si="524"/>
        <v>3845</v>
      </c>
      <c r="DD281" s="582">
        <f t="shared" si="524"/>
        <v>4806</v>
      </c>
      <c r="DE281" s="582">
        <f t="shared" si="524"/>
        <v>6408</v>
      </c>
      <c r="DF281" s="602">
        <f t="shared" si="524"/>
        <v>9612</v>
      </c>
      <c r="DG281" s="575"/>
      <c r="DH281" s="575" t="str">
        <f t="shared" si="46"/>
        <v/>
      </c>
      <c r="DI281" s="74" t="str">
        <f t="shared" si="47"/>
        <v/>
      </c>
      <c r="DJ281" s="74" t="str">
        <f t="shared" si="48"/>
        <v/>
      </c>
      <c r="DK281" s="623" t="str">
        <f t="shared" si="49"/>
        <v/>
      </c>
      <c r="DL281" s="74"/>
      <c r="DM281" s="74"/>
      <c r="DN281" s="582">
        <f t="shared" ref="DN281:DN294" si="526">IF(ISBLANK(DL281),ROUND(AI281/IF(ISBLANK(DL274),AI274,DL274),1),ROUND(DL281/IF(ISBLANK(DL274),AI274,DL274),1))</f>
        <v>4.2</v>
      </c>
      <c r="DO281" s="575"/>
      <c r="DP281" s="61" t="s">
        <v>1487</v>
      </c>
    </row>
    <row r="282">
      <c r="A282" s="552">
        <v>276.0</v>
      </c>
      <c r="B282" s="86">
        <v>215.0</v>
      </c>
      <c r="C282" s="54">
        <v>17.0</v>
      </c>
      <c r="D282" s="54">
        <v>40.0</v>
      </c>
      <c r="E282" s="74"/>
      <c r="F282" s="68" t="s">
        <v>2369</v>
      </c>
      <c r="G282" s="74"/>
      <c r="H282" s="68">
        <f t="shared" si="478"/>
        <v>11.5</v>
      </c>
      <c r="I282" s="74"/>
      <c r="J282" s="74"/>
      <c r="K282" s="74"/>
      <c r="L282" s="74"/>
      <c r="M282" s="575"/>
      <c r="N282" s="74" t="s">
        <v>1490</v>
      </c>
      <c r="O282" s="678"/>
      <c r="P282" s="571"/>
      <c r="Q282" s="571" t="s">
        <v>1670</v>
      </c>
      <c r="R282" s="571" t="s">
        <v>1314</v>
      </c>
      <c r="S282" s="791" t="s">
        <v>1486</v>
      </c>
      <c r="T282" s="572" t="s">
        <v>1491</v>
      </c>
      <c r="U282" s="54">
        <v>32.0</v>
      </c>
      <c r="V282" s="54">
        <v>24.0</v>
      </c>
      <c r="W282" s="54">
        <v>66.0</v>
      </c>
      <c r="X282" s="54">
        <v>66.0</v>
      </c>
      <c r="Y282" s="54">
        <v>3.0</v>
      </c>
      <c r="Z282" s="54">
        <v>-10.0</v>
      </c>
      <c r="AA282" s="54">
        <v>2.0</v>
      </c>
      <c r="AB282" s="54">
        <v>112.0</v>
      </c>
      <c r="AC282" s="54">
        <v>4203.0</v>
      </c>
      <c r="AD282" s="54">
        <v>2.0</v>
      </c>
      <c r="AE282" s="54">
        <v>75.0</v>
      </c>
      <c r="AF282" s="54">
        <v>75.0</v>
      </c>
      <c r="AG282" s="54">
        <v>20.0</v>
      </c>
      <c r="AH282" s="54">
        <v>46.0</v>
      </c>
      <c r="AI282" s="574">
        <f t="shared" si="12"/>
        <v>33</v>
      </c>
      <c r="AJ282" s="74"/>
      <c r="AK282" s="74"/>
      <c r="AL282" s="74"/>
      <c r="AM282" s="74"/>
      <c r="AN282" s="74"/>
      <c r="AO282" s="74"/>
      <c r="AP282" s="74"/>
      <c r="AQ282" s="74"/>
      <c r="AR282" s="74"/>
      <c r="AS282" s="575"/>
      <c r="AT282" s="68">
        <f t="shared" si="13"/>
        <v>671</v>
      </c>
      <c r="AU282" s="68">
        <f t="shared" si="14"/>
        <v>1186</v>
      </c>
      <c r="AV282" s="581">
        <f t="shared" si="15"/>
        <v>928.5</v>
      </c>
      <c r="AW282" s="74"/>
      <c r="AX282" s="582">
        <f t="shared" si="484"/>
        <v>1934</v>
      </c>
      <c r="AY282" s="74"/>
      <c r="AZ282" s="74"/>
      <c r="BA282" s="74"/>
      <c r="BB282" s="74"/>
      <c r="BC282" s="74"/>
      <c r="BD282" s="74"/>
      <c r="BE282" s="74"/>
      <c r="BF282" s="74"/>
      <c r="BG282" s="74"/>
      <c r="BH282" s="74"/>
      <c r="BI282" s="582">
        <f t="shared" si="494"/>
        <v>2321</v>
      </c>
      <c r="BJ282" s="74"/>
      <c r="BK282" s="74"/>
      <c r="BL282" s="74"/>
      <c r="BM282" s="74"/>
      <c r="BN282" s="74"/>
      <c r="BO282" s="74"/>
      <c r="BP282" s="575" t="str">
        <f t="shared" si="33"/>
        <v/>
      </c>
      <c r="BQ282" s="54">
        <v>13.0</v>
      </c>
      <c r="BR282" s="54">
        <v>27.0</v>
      </c>
      <c r="BS282" s="54">
        <v>-10.0</v>
      </c>
      <c r="BT282" s="54">
        <v>75.0</v>
      </c>
      <c r="BU282" s="54">
        <v>75.0</v>
      </c>
      <c r="BV282" s="83">
        <f t="shared" si="34"/>
        <v>20</v>
      </c>
      <c r="BW282" s="608">
        <f t="shared" si="35"/>
        <v>807.2</v>
      </c>
      <c r="BX282" s="74"/>
      <c r="BY282" s="582">
        <f t="shared" si="498"/>
        <v>1681.7</v>
      </c>
      <c r="BZ282" s="74"/>
      <c r="CA282" s="74"/>
      <c r="CB282" s="74"/>
      <c r="CC282" s="74"/>
      <c r="CD282" s="74"/>
      <c r="CE282" s="664">
        <f t="shared" si="43"/>
        <v>65</v>
      </c>
      <c r="CF282" s="86">
        <f t="shared" si="248"/>
        <v>15</v>
      </c>
      <c r="CG282" s="552">
        <f t="shared" si="517"/>
        <v>15</v>
      </c>
      <c r="CH282" s="575" t="s">
        <v>1490</v>
      </c>
      <c r="CI282" s="582">
        <f t="shared" ref="CI282:DF282" si="525">FLOOR($AV282/(CI$3/25),1)</f>
        <v>928</v>
      </c>
      <c r="CJ282" s="582">
        <f t="shared" si="525"/>
        <v>967</v>
      </c>
      <c r="CK282" s="582">
        <f t="shared" si="525"/>
        <v>1009</v>
      </c>
      <c r="CL282" s="582">
        <f t="shared" si="525"/>
        <v>1055</v>
      </c>
      <c r="CM282" s="582">
        <f t="shared" si="525"/>
        <v>1105</v>
      </c>
      <c r="CN282" s="582">
        <f t="shared" si="525"/>
        <v>1160</v>
      </c>
      <c r="CO282" s="582">
        <f t="shared" si="525"/>
        <v>1221</v>
      </c>
      <c r="CP282" s="582">
        <f t="shared" si="525"/>
        <v>1289</v>
      </c>
      <c r="CQ282" s="582">
        <f t="shared" si="525"/>
        <v>1365</v>
      </c>
      <c r="CR282" s="582">
        <f t="shared" si="525"/>
        <v>1450</v>
      </c>
      <c r="CS282" s="582">
        <f t="shared" si="525"/>
        <v>1547</v>
      </c>
      <c r="CT282" s="582">
        <f t="shared" si="525"/>
        <v>1658</v>
      </c>
      <c r="CU282" s="582">
        <f t="shared" si="525"/>
        <v>1785</v>
      </c>
      <c r="CV282" s="582">
        <f t="shared" si="525"/>
        <v>1934</v>
      </c>
      <c r="CW282" s="582">
        <f t="shared" si="525"/>
        <v>2110</v>
      </c>
      <c r="CX282" s="582">
        <f t="shared" si="525"/>
        <v>2321</v>
      </c>
      <c r="CY282" s="582">
        <f t="shared" si="525"/>
        <v>2579</v>
      </c>
      <c r="CZ282" s="582">
        <f t="shared" si="525"/>
        <v>2901</v>
      </c>
      <c r="DA282" s="582">
        <f t="shared" si="525"/>
        <v>3316</v>
      </c>
      <c r="DB282" s="582">
        <f t="shared" si="525"/>
        <v>3868</v>
      </c>
      <c r="DC282" s="582">
        <f t="shared" si="525"/>
        <v>4642</v>
      </c>
      <c r="DD282" s="582">
        <f t="shared" si="525"/>
        <v>5803</v>
      </c>
      <c r="DE282" s="582">
        <f t="shared" si="525"/>
        <v>7737</v>
      </c>
      <c r="DF282" s="602">
        <f t="shared" si="525"/>
        <v>11606</v>
      </c>
      <c r="DG282" s="575"/>
      <c r="DH282" s="575" t="str">
        <f t="shared" si="46"/>
        <v/>
      </c>
      <c r="DI282" s="74" t="str">
        <f t="shared" si="47"/>
        <v/>
      </c>
      <c r="DJ282" s="74" t="str">
        <f t="shared" si="48"/>
        <v/>
      </c>
      <c r="DK282" s="664">
        <f t="shared" si="49"/>
        <v>-28.8</v>
      </c>
      <c r="DL282" s="685">
        <v>23.5</v>
      </c>
      <c r="DM282" s="74"/>
      <c r="DN282" s="582">
        <f t="shared" si="526"/>
        <v>3.1</v>
      </c>
      <c r="DO282" s="575"/>
      <c r="DP282" s="61" t="s">
        <v>1487</v>
      </c>
    </row>
    <row r="283">
      <c r="A283" s="552">
        <v>277.0</v>
      </c>
      <c r="B283" s="86">
        <v>216.0</v>
      </c>
      <c r="C283" s="54">
        <v>10.0</v>
      </c>
      <c r="D283" s="54">
        <v>46.0</v>
      </c>
      <c r="E283" s="74"/>
      <c r="F283" s="68" t="s">
        <v>2369</v>
      </c>
      <c r="G283" s="74"/>
      <c r="H283" s="68">
        <f t="shared" si="478"/>
        <v>11.5</v>
      </c>
      <c r="I283" s="74"/>
      <c r="J283" s="74"/>
      <c r="K283" s="74"/>
      <c r="L283" s="74"/>
      <c r="M283" s="575"/>
      <c r="N283" s="74" t="s">
        <v>1497</v>
      </c>
      <c r="O283" s="678"/>
      <c r="P283" s="571"/>
      <c r="Q283" s="571" t="s">
        <v>1670</v>
      </c>
      <c r="R283" s="571" t="s">
        <v>1314</v>
      </c>
      <c r="S283" s="791" t="s">
        <v>1486</v>
      </c>
      <c r="T283" s="572" t="s">
        <v>1498</v>
      </c>
      <c r="U283" s="54">
        <v>36.0</v>
      </c>
      <c r="V283" s="54">
        <v>27.0</v>
      </c>
      <c r="W283" s="54">
        <v>69.0</v>
      </c>
      <c r="X283" s="54">
        <v>69.0</v>
      </c>
      <c r="Y283" s="54">
        <v>3.0</v>
      </c>
      <c r="Z283" s="54">
        <v>10.0</v>
      </c>
      <c r="AA283" s="54">
        <v>2.0</v>
      </c>
      <c r="AB283" s="54">
        <v>128.0</v>
      </c>
      <c r="AC283" s="54">
        <v>4203.0</v>
      </c>
      <c r="AD283" s="54">
        <v>2.0</v>
      </c>
      <c r="AE283" s="54">
        <v>75.0</v>
      </c>
      <c r="AF283" s="54">
        <v>75.0</v>
      </c>
      <c r="AG283" s="54">
        <v>12.0</v>
      </c>
      <c r="AH283" s="54">
        <v>53.0</v>
      </c>
      <c r="AI283" s="574">
        <f t="shared" si="12"/>
        <v>32.5</v>
      </c>
      <c r="AJ283" s="74"/>
      <c r="AK283" s="74"/>
      <c r="AL283" s="74"/>
      <c r="AM283" s="74"/>
      <c r="AN283" s="74"/>
      <c r="AO283" s="74"/>
      <c r="AP283" s="74"/>
      <c r="AQ283" s="74"/>
      <c r="AR283" s="74"/>
      <c r="AS283" s="575"/>
      <c r="AT283" s="68">
        <f t="shared" si="13"/>
        <v>510</v>
      </c>
      <c r="AU283" s="68">
        <f t="shared" si="14"/>
        <v>1325</v>
      </c>
      <c r="AV283" s="581">
        <f t="shared" si="15"/>
        <v>917.5</v>
      </c>
      <c r="AW283" s="74"/>
      <c r="AX283" s="582">
        <f t="shared" si="484"/>
        <v>1529</v>
      </c>
      <c r="AY283" s="74"/>
      <c r="AZ283" s="74"/>
      <c r="BA283" s="74"/>
      <c r="BB283" s="74"/>
      <c r="BC283" s="74"/>
      <c r="BD283" s="74"/>
      <c r="BE283" s="74"/>
      <c r="BF283" s="74"/>
      <c r="BG283" s="74"/>
      <c r="BH283" s="74"/>
      <c r="BI283" s="582">
        <f t="shared" si="494"/>
        <v>1434</v>
      </c>
      <c r="BJ283" s="74"/>
      <c r="BK283" s="74"/>
      <c r="BL283" s="74"/>
      <c r="BM283" s="74"/>
      <c r="BN283" s="74"/>
      <c r="BO283" s="74"/>
      <c r="BP283" s="575" t="str">
        <f t="shared" si="33"/>
        <v/>
      </c>
      <c r="BQ283" s="54">
        <v>8.0</v>
      </c>
      <c r="BR283" s="54">
        <v>37.0</v>
      </c>
      <c r="BS283" s="54">
        <v>10.0</v>
      </c>
      <c r="BT283" s="54">
        <v>75.0</v>
      </c>
      <c r="BU283" s="54">
        <v>75.0</v>
      </c>
      <c r="BV283" s="83">
        <f t="shared" si="34"/>
        <v>22.5</v>
      </c>
      <c r="BW283" s="608">
        <f t="shared" si="35"/>
        <v>866.9</v>
      </c>
      <c r="BX283" s="74"/>
      <c r="BY283" s="582">
        <f t="shared" si="498"/>
        <v>1444.8</v>
      </c>
      <c r="BZ283" s="74"/>
      <c r="CA283" s="74"/>
      <c r="CB283" s="74"/>
      <c r="CC283" s="74"/>
      <c r="CD283" s="74"/>
      <c r="CE283" s="664">
        <f t="shared" si="43"/>
        <v>44.4</v>
      </c>
      <c r="CF283" s="86">
        <f t="shared" si="248"/>
        <v>5.8</v>
      </c>
      <c r="CG283" s="552">
        <f t="shared" si="517"/>
        <v>5.8</v>
      </c>
      <c r="CH283" s="575" t="s">
        <v>1497</v>
      </c>
      <c r="CI283" s="582">
        <f t="shared" ref="CI283:DF283" si="527">FLOOR($AV283/(CI$3/25),1)</f>
        <v>917</v>
      </c>
      <c r="CJ283" s="582">
        <f t="shared" si="527"/>
        <v>955</v>
      </c>
      <c r="CK283" s="582">
        <f t="shared" si="527"/>
        <v>997</v>
      </c>
      <c r="CL283" s="582">
        <f t="shared" si="527"/>
        <v>1042</v>
      </c>
      <c r="CM283" s="582">
        <f t="shared" si="527"/>
        <v>1092</v>
      </c>
      <c r="CN283" s="582">
        <f t="shared" si="527"/>
        <v>1146</v>
      </c>
      <c r="CO283" s="582">
        <f t="shared" si="527"/>
        <v>1207</v>
      </c>
      <c r="CP283" s="582">
        <f t="shared" si="527"/>
        <v>1274</v>
      </c>
      <c r="CQ283" s="582">
        <f t="shared" si="527"/>
        <v>1349</v>
      </c>
      <c r="CR283" s="582">
        <f t="shared" si="527"/>
        <v>1433</v>
      </c>
      <c r="CS283" s="582">
        <f t="shared" si="527"/>
        <v>1529</v>
      </c>
      <c r="CT283" s="582">
        <f t="shared" si="527"/>
        <v>1638</v>
      </c>
      <c r="CU283" s="582">
        <f t="shared" si="527"/>
        <v>1764</v>
      </c>
      <c r="CV283" s="582">
        <f t="shared" si="527"/>
        <v>1911</v>
      </c>
      <c r="CW283" s="582">
        <f t="shared" si="527"/>
        <v>2085</v>
      </c>
      <c r="CX283" s="582">
        <f t="shared" si="527"/>
        <v>2293</v>
      </c>
      <c r="CY283" s="582">
        <f t="shared" si="527"/>
        <v>2548</v>
      </c>
      <c r="CZ283" s="582">
        <f t="shared" si="527"/>
        <v>2867</v>
      </c>
      <c r="DA283" s="582">
        <f t="shared" si="527"/>
        <v>3276</v>
      </c>
      <c r="DB283" s="582">
        <f t="shared" si="527"/>
        <v>3822</v>
      </c>
      <c r="DC283" s="582">
        <f t="shared" si="527"/>
        <v>4587</v>
      </c>
      <c r="DD283" s="582">
        <f t="shared" si="527"/>
        <v>5734</v>
      </c>
      <c r="DE283" s="582">
        <f t="shared" si="527"/>
        <v>7645</v>
      </c>
      <c r="DF283" s="602">
        <f t="shared" si="527"/>
        <v>11468</v>
      </c>
      <c r="DG283" s="575"/>
      <c r="DH283" s="575" t="str">
        <f t="shared" si="46"/>
        <v/>
      </c>
      <c r="DI283" s="74" t="str">
        <f t="shared" si="47"/>
        <v/>
      </c>
      <c r="DJ283" s="74" t="str">
        <f t="shared" si="48"/>
        <v/>
      </c>
      <c r="DK283" s="623" t="str">
        <f t="shared" si="49"/>
        <v/>
      </c>
      <c r="DL283" s="74"/>
      <c r="DM283" s="74"/>
      <c r="DN283" s="582">
        <f t="shared" si="526"/>
        <v>3.3</v>
      </c>
      <c r="DO283" s="575"/>
      <c r="DP283" s="61" t="s">
        <v>1487</v>
      </c>
    </row>
    <row r="284">
      <c r="A284" s="552">
        <v>278.0</v>
      </c>
      <c r="B284" s="86">
        <v>217.0</v>
      </c>
      <c r="C284" s="54">
        <v>20.0</v>
      </c>
      <c r="D284" s="54">
        <v>40.0</v>
      </c>
      <c r="E284" s="74"/>
      <c r="F284" s="68" t="s">
        <v>2369</v>
      </c>
      <c r="G284" s="74"/>
      <c r="H284" s="68">
        <f t="shared" si="478"/>
        <v>11.5</v>
      </c>
      <c r="I284" s="74"/>
      <c r="J284" s="74"/>
      <c r="K284" s="74"/>
      <c r="L284" s="74"/>
      <c r="M284" s="575"/>
      <c r="N284" s="74" t="s">
        <v>1505</v>
      </c>
      <c r="O284" s="678"/>
      <c r="P284" s="571"/>
      <c r="Q284" s="571" t="s">
        <v>1670</v>
      </c>
      <c r="R284" s="571" t="s">
        <v>1314</v>
      </c>
      <c r="S284" s="791" t="s">
        <v>1486</v>
      </c>
      <c r="T284" s="572" t="s">
        <v>1506</v>
      </c>
      <c r="U284" s="54">
        <v>41.0</v>
      </c>
      <c r="V284" s="54">
        <v>30.0</v>
      </c>
      <c r="W284" s="54">
        <v>73.0</v>
      </c>
      <c r="X284" s="54">
        <v>73.0</v>
      </c>
      <c r="Y284" s="54">
        <v>3.0</v>
      </c>
      <c r="Z284" s="54">
        <v>-10.0</v>
      </c>
      <c r="AA284" s="54">
        <v>2.0</v>
      </c>
      <c r="AB284" s="54">
        <v>144.0</v>
      </c>
      <c r="AC284" s="54">
        <v>2964.0</v>
      </c>
      <c r="AD284" s="54">
        <v>2.0</v>
      </c>
      <c r="AE284" s="54">
        <v>75.0</v>
      </c>
      <c r="AF284" s="54">
        <v>75.0</v>
      </c>
      <c r="AG284" s="54">
        <v>23.0</v>
      </c>
      <c r="AH284" s="54">
        <v>46.0</v>
      </c>
      <c r="AI284" s="574">
        <f t="shared" si="12"/>
        <v>34.5</v>
      </c>
      <c r="AJ284" s="74"/>
      <c r="AK284" s="74"/>
      <c r="AL284" s="74"/>
      <c r="AM284" s="74"/>
      <c r="AN284" s="74"/>
      <c r="AO284" s="74"/>
      <c r="AP284" s="74"/>
      <c r="AQ284" s="74"/>
      <c r="AR284" s="74"/>
      <c r="AS284" s="575"/>
      <c r="AT284" s="68">
        <f t="shared" si="13"/>
        <v>727</v>
      </c>
      <c r="AU284" s="68">
        <f t="shared" si="14"/>
        <v>1186</v>
      </c>
      <c r="AV284" s="581">
        <f t="shared" si="15"/>
        <v>956.5</v>
      </c>
      <c r="AW284" s="74"/>
      <c r="AX284" s="582">
        <f t="shared" si="484"/>
        <v>1993</v>
      </c>
      <c r="AY284" s="74"/>
      <c r="AZ284" s="74"/>
      <c r="BA284" s="74"/>
      <c r="BB284" s="74"/>
      <c r="BC284" s="74"/>
      <c r="BD284" s="74"/>
      <c r="BE284" s="74"/>
      <c r="BF284" s="74"/>
      <c r="BG284" s="74"/>
      <c r="BH284" s="74"/>
      <c r="BI284" s="582">
        <f t="shared" si="494"/>
        <v>2391</v>
      </c>
      <c r="BJ284" s="74"/>
      <c r="BK284" s="74"/>
      <c r="BL284" s="74"/>
      <c r="BM284" s="74"/>
      <c r="BN284" s="74"/>
      <c r="BO284" s="74"/>
      <c r="BP284" s="575" t="str">
        <f t="shared" si="33"/>
        <v/>
      </c>
      <c r="BQ284" s="54">
        <v>16.0</v>
      </c>
      <c r="BR284" s="54">
        <v>37.0</v>
      </c>
      <c r="BS284" s="54">
        <v>-10.0</v>
      </c>
      <c r="BT284" s="54">
        <v>75.0</v>
      </c>
      <c r="BU284" s="54">
        <v>75.0</v>
      </c>
      <c r="BV284" s="83">
        <f t="shared" si="34"/>
        <v>26.5</v>
      </c>
      <c r="BW284" s="608">
        <f t="shared" si="35"/>
        <v>962.4</v>
      </c>
      <c r="BX284" s="74"/>
      <c r="BY284" s="582">
        <f t="shared" si="498"/>
        <v>2005</v>
      </c>
      <c r="BZ284" s="74"/>
      <c r="CA284" s="74"/>
      <c r="CB284" s="74"/>
      <c r="CC284" s="74"/>
      <c r="CD284" s="74"/>
      <c r="CE284" s="664">
        <f t="shared" si="43"/>
        <v>30.2</v>
      </c>
      <c r="CF284" s="86">
        <f t="shared" si="248"/>
        <v>-0.6</v>
      </c>
      <c r="CG284" s="552">
        <f t="shared" si="517"/>
        <v>-0.6</v>
      </c>
      <c r="CH284" s="575" t="s">
        <v>1505</v>
      </c>
      <c r="CI284" s="582">
        <f t="shared" ref="CI284:DF284" si="528">FLOOR($AV284/(CI$3/25),1)</f>
        <v>956</v>
      </c>
      <c r="CJ284" s="582">
        <f t="shared" si="528"/>
        <v>996</v>
      </c>
      <c r="CK284" s="582">
        <f t="shared" si="528"/>
        <v>1039</v>
      </c>
      <c r="CL284" s="582">
        <f t="shared" si="528"/>
        <v>1086</v>
      </c>
      <c r="CM284" s="582">
        <f t="shared" si="528"/>
        <v>1138</v>
      </c>
      <c r="CN284" s="582">
        <f t="shared" si="528"/>
        <v>1195</v>
      </c>
      <c r="CO284" s="582">
        <f t="shared" si="528"/>
        <v>1258</v>
      </c>
      <c r="CP284" s="582">
        <f t="shared" si="528"/>
        <v>1328</v>
      </c>
      <c r="CQ284" s="582">
        <f t="shared" si="528"/>
        <v>1406</v>
      </c>
      <c r="CR284" s="582">
        <f t="shared" si="528"/>
        <v>1494</v>
      </c>
      <c r="CS284" s="582">
        <f t="shared" si="528"/>
        <v>1594</v>
      </c>
      <c r="CT284" s="582">
        <f t="shared" si="528"/>
        <v>1708</v>
      </c>
      <c r="CU284" s="582">
        <f t="shared" si="528"/>
        <v>1839</v>
      </c>
      <c r="CV284" s="582">
        <f t="shared" si="528"/>
        <v>1992</v>
      </c>
      <c r="CW284" s="582">
        <f t="shared" si="528"/>
        <v>2173</v>
      </c>
      <c r="CX284" s="582">
        <f t="shared" si="528"/>
        <v>2391</v>
      </c>
      <c r="CY284" s="582">
        <f t="shared" si="528"/>
        <v>2656</v>
      </c>
      <c r="CZ284" s="582">
        <f t="shared" si="528"/>
        <v>2989</v>
      </c>
      <c r="DA284" s="582">
        <f t="shared" si="528"/>
        <v>3416</v>
      </c>
      <c r="DB284" s="582">
        <f t="shared" si="528"/>
        <v>3985</v>
      </c>
      <c r="DC284" s="582">
        <f t="shared" si="528"/>
        <v>4782</v>
      </c>
      <c r="DD284" s="582">
        <f t="shared" si="528"/>
        <v>5978</v>
      </c>
      <c r="DE284" s="582">
        <f t="shared" si="528"/>
        <v>7970</v>
      </c>
      <c r="DF284" s="602">
        <f t="shared" si="528"/>
        <v>11956</v>
      </c>
      <c r="DG284" s="575"/>
      <c r="DH284" s="575" t="str">
        <f t="shared" si="46"/>
        <v/>
      </c>
      <c r="DI284" s="74" t="str">
        <f t="shared" si="47"/>
        <v/>
      </c>
      <c r="DJ284" s="74" t="str">
        <f t="shared" si="48"/>
        <v/>
      </c>
      <c r="DK284" s="623" t="str">
        <f t="shared" si="49"/>
        <v/>
      </c>
      <c r="DL284" s="74"/>
      <c r="DM284" s="74"/>
      <c r="DN284" s="582">
        <f t="shared" si="526"/>
        <v>3</v>
      </c>
      <c r="DO284" s="575"/>
      <c r="DP284" s="61" t="s">
        <v>1487</v>
      </c>
    </row>
    <row r="285">
      <c r="A285" s="552">
        <v>279.0</v>
      </c>
      <c r="B285" s="86">
        <v>218.0</v>
      </c>
      <c r="C285" s="54">
        <v>20.0</v>
      </c>
      <c r="D285" s="54">
        <v>46.0</v>
      </c>
      <c r="E285" s="74"/>
      <c r="F285" s="68" t="s">
        <v>2369</v>
      </c>
      <c r="G285" s="74"/>
      <c r="H285" s="68">
        <f t="shared" si="478"/>
        <v>11.5</v>
      </c>
      <c r="I285" s="74"/>
      <c r="J285" s="74"/>
      <c r="K285" s="74"/>
      <c r="L285" s="74"/>
      <c r="M285" s="575"/>
      <c r="N285" s="74" t="s">
        <v>1514</v>
      </c>
      <c r="O285" s="678"/>
      <c r="P285" s="571"/>
      <c r="Q285" s="571" t="s">
        <v>1670</v>
      </c>
      <c r="R285" s="571" t="s">
        <v>1314</v>
      </c>
      <c r="S285" s="791" t="s">
        <v>1486</v>
      </c>
      <c r="T285" s="572" t="s">
        <v>1515</v>
      </c>
      <c r="U285" s="54">
        <v>45.0</v>
      </c>
      <c r="V285" s="54">
        <v>33.0</v>
      </c>
      <c r="W285" s="54">
        <v>76.0</v>
      </c>
      <c r="X285" s="54">
        <v>76.0</v>
      </c>
      <c r="Y285" s="54">
        <v>3.0</v>
      </c>
      <c r="Z285" s="54">
        <v>-20.0</v>
      </c>
      <c r="AA285" s="54">
        <v>2.0</v>
      </c>
      <c r="AB285" s="54">
        <v>104.0</v>
      </c>
      <c r="AC285" s="54">
        <v>5061.0</v>
      </c>
      <c r="AD285" s="54">
        <v>2.0</v>
      </c>
      <c r="AE285" s="54">
        <v>75.0</v>
      </c>
      <c r="AF285" s="54">
        <v>75.0</v>
      </c>
      <c r="AG285" s="54">
        <v>23.0</v>
      </c>
      <c r="AH285" s="54">
        <v>53.0</v>
      </c>
      <c r="AI285" s="574">
        <f t="shared" si="12"/>
        <v>38</v>
      </c>
      <c r="AJ285" s="74"/>
      <c r="AK285" s="74"/>
      <c r="AL285" s="74"/>
      <c r="AM285" s="74"/>
      <c r="AN285" s="74"/>
      <c r="AO285" s="74"/>
      <c r="AP285" s="74"/>
      <c r="AQ285" s="74"/>
      <c r="AR285" s="74"/>
      <c r="AS285" s="575"/>
      <c r="AT285" s="68">
        <f t="shared" si="13"/>
        <v>727</v>
      </c>
      <c r="AU285" s="68">
        <f t="shared" si="14"/>
        <v>1325</v>
      </c>
      <c r="AV285" s="581">
        <f t="shared" si="15"/>
        <v>1026</v>
      </c>
      <c r="AW285" s="74"/>
      <c r="AX285" s="582">
        <f t="shared" si="484"/>
        <v>2332</v>
      </c>
      <c r="AY285" s="74"/>
      <c r="AZ285" s="74"/>
      <c r="BA285" s="74"/>
      <c r="BB285" s="74"/>
      <c r="BC285" s="74"/>
      <c r="BD285" s="74"/>
      <c r="BE285" s="74"/>
      <c r="BF285" s="74"/>
      <c r="BG285" s="74"/>
      <c r="BH285" s="74"/>
      <c r="BI285" s="582">
        <f t="shared" si="494"/>
        <v>2850</v>
      </c>
      <c r="BJ285" s="74"/>
      <c r="BK285" s="74"/>
      <c r="BL285" s="74"/>
      <c r="BM285" s="74"/>
      <c r="BN285" s="74"/>
      <c r="BO285" s="74"/>
      <c r="BP285" s="575" t="str">
        <f t="shared" si="33"/>
        <v/>
      </c>
      <c r="BQ285" s="54">
        <v>18.0</v>
      </c>
      <c r="BR285" s="54">
        <v>37.0</v>
      </c>
      <c r="BS285" s="54">
        <v>-20.0</v>
      </c>
      <c r="BT285" s="54">
        <v>75.0</v>
      </c>
      <c r="BU285" s="54">
        <v>75.0</v>
      </c>
      <c r="BV285" s="83">
        <f t="shared" si="34"/>
        <v>27.5</v>
      </c>
      <c r="BW285" s="608">
        <f t="shared" si="35"/>
        <v>986.3</v>
      </c>
      <c r="BX285" s="74"/>
      <c r="BY285" s="582">
        <f t="shared" si="498"/>
        <v>2241.6</v>
      </c>
      <c r="BZ285" s="74"/>
      <c r="CA285" s="74"/>
      <c r="CB285" s="74"/>
      <c r="CC285" s="74"/>
      <c r="CD285" s="74"/>
      <c r="CE285" s="664">
        <f t="shared" si="43"/>
        <v>38.2</v>
      </c>
      <c r="CF285" s="86">
        <f t="shared" si="248"/>
        <v>4</v>
      </c>
      <c r="CG285" s="552">
        <f t="shared" si="517"/>
        <v>4</v>
      </c>
      <c r="CH285" s="575" t="s">
        <v>1514</v>
      </c>
      <c r="CI285" s="582">
        <f t="shared" ref="CI285:DF285" si="529">FLOOR($AV285/(CI$3/25),1)</f>
        <v>1026</v>
      </c>
      <c r="CJ285" s="582">
        <f t="shared" si="529"/>
        <v>1068</v>
      </c>
      <c r="CK285" s="582">
        <f t="shared" si="529"/>
        <v>1115</v>
      </c>
      <c r="CL285" s="582">
        <f t="shared" si="529"/>
        <v>1165</v>
      </c>
      <c r="CM285" s="582">
        <f t="shared" si="529"/>
        <v>1221</v>
      </c>
      <c r="CN285" s="582">
        <f t="shared" si="529"/>
        <v>1282</v>
      </c>
      <c r="CO285" s="582">
        <f t="shared" si="529"/>
        <v>1350</v>
      </c>
      <c r="CP285" s="582">
        <f t="shared" si="529"/>
        <v>1425</v>
      </c>
      <c r="CQ285" s="582">
        <f t="shared" si="529"/>
        <v>1508</v>
      </c>
      <c r="CR285" s="582">
        <f t="shared" si="529"/>
        <v>1603</v>
      </c>
      <c r="CS285" s="582">
        <f t="shared" si="529"/>
        <v>1710</v>
      </c>
      <c r="CT285" s="582">
        <f t="shared" si="529"/>
        <v>1832</v>
      </c>
      <c r="CU285" s="582">
        <f t="shared" si="529"/>
        <v>1973</v>
      </c>
      <c r="CV285" s="582">
        <f t="shared" si="529"/>
        <v>2137</v>
      </c>
      <c r="CW285" s="582">
        <f t="shared" si="529"/>
        <v>2331</v>
      </c>
      <c r="CX285" s="582">
        <f t="shared" si="529"/>
        <v>2565</v>
      </c>
      <c r="CY285" s="582">
        <f t="shared" si="529"/>
        <v>2850</v>
      </c>
      <c r="CZ285" s="582">
        <f t="shared" si="529"/>
        <v>3206</v>
      </c>
      <c r="DA285" s="582">
        <f t="shared" si="529"/>
        <v>3664</v>
      </c>
      <c r="DB285" s="582">
        <f t="shared" si="529"/>
        <v>4275</v>
      </c>
      <c r="DC285" s="582">
        <f t="shared" si="529"/>
        <v>5130</v>
      </c>
      <c r="DD285" s="582">
        <f t="shared" si="529"/>
        <v>6412</v>
      </c>
      <c r="DE285" s="582">
        <f t="shared" si="529"/>
        <v>8550</v>
      </c>
      <c r="DF285" s="602">
        <f t="shared" si="529"/>
        <v>12825</v>
      </c>
      <c r="DG285" s="575"/>
      <c r="DH285" s="575" t="str">
        <f t="shared" si="46"/>
        <v/>
      </c>
      <c r="DI285" s="74" t="str">
        <f t="shared" si="47"/>
        <v/>
      </c>
      <c r="DJ285" s="74" t="str">
        <f t="shared" si="48"/>
        <v/>
      </c>
      <c r="DK285" s="664">
        <f t="shared" si="49"/>
        <v>-19.7</v>
      </c>
      <c r="DL285" s="685">
        <v>30.5</v>
      </c>
      <c r="DM285" s="74"/>
      <c r="DN285" s="582">
        <f t="shared" si="526"/>
        <v>2.4</v>
      </c>
      <c r="DO285" s="575"/>
      <c r="DP285" s="61" t="s">
        <v>1487</v>
      </c>
    </row>
    <row r="286">
      <c r="A286" s="552">
        <v>280.0</v>
      </c>
      <c r="B286" s="86">
        <v>219.0</v>
      </c>
      <c r="C286" s="54">
        <v>22.0</v>
      </c>
      <c r="D286" s="54">
        <v>39.0</v>
      </c>
      <c r="E286" s="74"/>
      <c r="F286" s="68" t="s">
        <v>2369</v>
      </c>
      <c r="G286" s="74"/>
      <c r="H286" s="68">
        <f t="shared" si="478"/>
        <v>11.5</v>
      </c>
      <c r="I286" s="74"/>
      <c r="J286" s="74"/>
      <c r="K286" s="74"/>
      <c r="L286" s="74"/>
      <c r="M286" s="575"/>
      <c r="N286" s="74" t="s">
        <v>1521</v>
      </c>
      <c r="O286" s="570" t="s">
        <v>2107</v>
      </c>
      <c r="P286" s="571"/>
      <c r="Q286" s="571" t="s">
        <v>1670</v>
      </c>
      <c r="R286" s="571" t="s">
        <v>1314</v>
      </c>
      <c r="S286" s="791" t="s">
        <v>1486</v>
      </c>
      <c r="T286" s="572" t="s">
        <v>1522</v>
      </c>
      <c r="U286" s="54">
        <v>50.0</v>
      </c>
      <c r="V286" s="54">
        <v>37.0</v>
      </c>
      <c r="W286" s="54">
        <v>79.0</v>
      </c>
      <c r="X286" s="54">
        <v>79.0</v>
      </c>
      <c r="Y286" s="54">
        <v>3.0</v>
      </c>
      <c r="Z286" s="54">
        <v>-30.0</v>
      </c>
      <c r="AA286" s="54">
        <v>2.0</v>
      </c>
      <c r="AB286" s="54">
        <v>138.0</v>
      </c>
      <c r="AC286" s="54">
        <v>9291.0</v>
      </c>
      <c r="AD286" s="54">
        <v>2.0</v>
      </c>
      <c r="AE286" s="54">
        <v>75.0</v>
      </c>
      <c r="AF286" s="54">
        <v>75.0</v>
      </c>
      <c r="AG286" s="54">
        <v>25.0</v>
      </c>
      <c r="AH286" s="54">
        <v>45.0</v>
      </c>
      <c r="AI286" s="574">
        <f t="shared" si="12"/>
        <v>35</v>
      </c>
      <c r="AJ286" s="74"/>
      <c r="AK286" s="74"/>
      <c r="AL286" s="74"/>
      <c r="AM286" s="74"/>
      <c r="AN286" s="74"/>
      <c r="AO286" s="74"/>
      <c r="AP286" s="74"/>
      <c r="AQ286" s="74"/>
      <c r="AR286" s="74"/>
      <c r="AS286" s="575"/>
      <c r="AT286" s="68">
        <f t="shared" si="13"/>
        <v>771</v>
      </c>
      <c r="AU286" s="68">
        <f t="shared" si="14"/>
        <v>1168</v>
      </c>
      <c r="AV286" s="581">
        <f t="shared" si="15"/>
        <v>969.5</v>
      </c>
      <c r="AW286" s="74"/>
      <c r="AX286" s="582">
        <f t="shared" si="484"/>
        <v>2424</v>
      </c>
      <c r="AY286" s="74"/>
      <c r="AZ286" s="74"/>
      <c r="BA286" s="74"/>
      <c r="BB286" s="74"/>
      <c r="BC286" s="74"/>
      <c r="BD286" s="74"/>
      <c r="BE286" s="74"/>
      <c r="BF286" s="74"/>
      <c r="BG286" s="74"/>
      <c r="BH286" s="74"/>
      <c r="BI286" s="582">
        <f t="shared" si="494"/>
        <v>3463</v>
      </c>
      <c r="BJ286" s="74"/>
      <c r="BK286" s="74"/>
      <c r="BL286" s="74"/>
      <c r="BM286" s="74"/>
      <c r="BN286" s="74"/>
      <c r="BO286" s="74"/>
      <c r="BP286" s="575" t="str">
        <f t="shared" si="33"/>
        <v/>
      </c>
      <c r="BQ286" s="54">
        <v>21.0</v>
      </c>
      <c r="BR286" s="54">
        <v>35.0</v>
      </c>
      <c r="BS286" s="54">
        <v>-30.0</v>
      </c>
      <c r="BT286" s="54">
        <v>75.0</v>
      </c>
      <c r="BU286" s="54">
        <v>75.0</v>
      </c>
      <c r="BV286" s="83">
        <f t="shared" si="34"/>
        <v>28</v>
      </c>
      <c r="BW286" s="608">
        <f t="shared" si="35"/>
        <v>998.2</v>
      </c>
      <c r="BX286" s="74"/>
      <c r="BY286" s="582">
        <f t="shared" si="498"/>
        <v>2495.5</v>
      </c>
      <c r="BZ286" s="74"/>
      <c r="CA286" s="74"/>
      <c r="CB286" s="74"/>
      <c r="CC286" s="74"/>
      <c r="CD286" s="74"/>
      <c r="CE286" s="664">
        <f t="shared" si="43"/>
        <v>25</v>
      </c>
      <c r="CF286" s="86">
        <f t="shared" si="248"/>
        <v>-2.9</v>
      </c>
      <c r="CG286" s="552">
        <f t="shared" si="517"/>
        <v>-2.9</v>
      </c>
      <c r="CH286" s="575" t="s">
        <v>1521</v>
      </c>
      <c r="CI286" s="582">
        <f t="shared" ref="CI286:DF286" si="530">FLOOR($AV286/(CI$3/25),1)</f>
        <v>969</v>
      </c>
      <c r="CJ286" s="582">
        <f t="shared" si="530"/>
        <v>1009</v>
      </c>
      <c r="CK286" s="582">
        <f t="shared" si="530"/>
        <v>1053</v>
      </c>
      <c r="CL286" s="582">
        <f t="shared" si="530"/>
        <v>1101</v>
      </c>
      <c r="CM286" s="582">
        <f t="shared" si="530"/>
        <v>1154</v>
      </c>
      <c r="CN286" s="582">
        <f t="shared" si="530"/>
        <v>1211</v>
      </c>
      <c r="CO286" s="582">
        <f t="shared" si="530"/>
        <v>1275</v>
      </c>
      <c r="CP286" s="582">
        <f t="shared" si="530"/>
        <v>1346</v>
      </c>
      <c r="CQ286" s="582">
        <f t="shared" si="530"/>
        <v>1425</v>
      </c>
      <c r="CR286" s="582">
        <f t="shared" si="530"/>
        <v>1514</v>
      </c>
      <c r="CS286" s="582">
        <f t="shared" si="530"/>
        <v>1615</v>
      </c>
      <c r="CT286" s="582">
        <f t="shared" si="530"/>
        <v>1731</v>
      </c>
      <c r="CU286" s="582">
        <f t="shared" si="530"/>
        <v>1864</v>
      </c>
      <c r="CV286" s="582">
        <f t="shared" si="530"/>
        <v>2019</v>
      </c>
      <c r="CW286" s="582">
        <f t="shared" si="530"/>
        <v>2203</v>
      </c>
      <c r="CX286" s="582">
        <f t="shared" si="530"/>
        <v>2423</v>
      </c>
      <c r="CY286" s="582">
        <f t="shared" si="530"/>
        <v>2693</v>
      </c>
      <c r="CZ286" s="582">
        <f t="shared" si="530"/>
        <v>3029</v>
      </c>
      <c r="DA286" s="582">
        <f t="shared" si="530"/>
        <v>3462</v>
      </c>
      <c r="DB286" s="582">
        <f t="shared" si="530"/>
        <v>4039</v>
      </c>
      <c r="DC286" s="582">
        <f t="shared" si="530"/>
        <v>4847</v>
      </c>
      <c r="DD286" s="582">
        <f t="shared" si="530"/>
        <v>6059</v>
      </c>
      <c r="DE286" s="582">
        <f t="shared" si="530"/>
        <v>8079</v>
      </c>
      <c r="DF286" s="602">
        <f t="shared" si="530"/>
        <v>12118</v>
      </c>
      <c r="DG286" s="575"/>
      <c r="DH286" s="575" t="str">
        <f t="shared" si="46"/>
        <v/>
      </c>
      <c r="DI286" s="74" t="str">
        <f t="shared" si="47"/>
        <v/>
      </c>
      <c r="DJ286" s="74" t="str">
        <f t="shared" si="48"/>
        <v/>
      </c>
      <c r="DK286" s="664">
        <f t="shared" si="49"/>
        <v>-11.4</v>
      </c>
      <c r="DL286" s="685">
        <v>31.0</v>
      </c>
      <c r="DM286" s="74"/>
      <c r="DN286" s="582">
        <f t="shared" si="526"/>
        <v>2.4</v>
      </c>
      <c r="DO286" s="575"/>
      <c r="DP286" s="61" t="s">
        <v>1487</v>
      </c>
    </row>
    <row r="287">
      <c r="A287" s="647">
        <v>281.0</v>
      </c>
      <c r="B287" s="141">
        <v>220.0</v>
      </c>
      <c r="C287" s="129">
        <v>24.0</v>
      </c>
      <c r="D287" s="129">
        <v>50.0</v>
      </c>
      <c r="E287" s="134"/>
      <c r="F287" s="154" t="s">
        <v>2369</v>
      </c>
      <c r="G287" s="134"/>
      <c r="H287" s="154">
        <f t="shared" si="478"/>
        <v>11.5</v>
      </c>
      <c r="I287" s="134"/>
      <c r="J287" s="134"/>
      <c r="K287" s="134"/>
      <c r="L287" s="134"/>
      <c r="M287" s="653"/>
      <c r="N287" s="134" t="s">
        <v>1529</v>
      </c>
      <c r="O287" s="876"/>
      <c r="P287" s="650"/>
      <c r="Q287" s="650" t="s">
        <v>1670</v>
      </c>
      <c r="R287" s="650" t="s">
        <v>1314</v>
      </c>
      <c r="S287" s="796" t="s">
        <v>1486</v>
      </c>
      <c r="T287" s="651" t="s">
        <v>1530</v>
      </c>
      <c r="U287" s="129">
        <v>54.0</v>
      </c>
      <c r="V287" s="129">
        <v>40.0</v>
      </c>
      <c r="W287" s="129">
        <v>82.0</v>
      </c>
      <c r="X287" s="799">
        <v>82.0</v>
      </c>
      <c r="Y287" s="129">
        <v>3.0</v>
      </c>
      <c r="Z287" s="129">
        <v>0.0</v>
      </c>
      <c r="AA287" s="129">
        <v>2.0</v>
      </c>
      <c r="AB287" s="129">
        <v>136.0</v>
      </c>
      <c r="AC287" s="129">
        <v>14223.0</v>
      </c>
      <c r="AD287" s="129">
        <v>2.0</v>
      </c>
      <c r="AE287" s="129">
        <v>75.0</v>
      </c>
      <c r="AF287" s="129">
        <v>75.0</v>
      </c>
      <c r="AG287" s="129">
        <v>28.0</v>
      </c>
      <c r="AH287" s="129">
        <v>58.0</v>
      </c>
      <c r="AI287" s="652">
        <f t="shared" si="12"/>
        <v>43</v>
      </c>
      <c r="AJ287" s="134"/>
      <c r="AK287" s="134"/>
      <c r="AL287" s="134"/>
      <c r="AM287" s="134"/>
      <c r="AN287" s="134"/>
      <c r="AO287" s="134"/>
      <c r="AP287" s="134"/>
      <c r="AQ287" s="134"/>
      <c r="AR287" s="134"/>
      <c r="AS287" s="653"/>
      <c r="AT287" s="154">
        <f t="shared" si="13"/>
        <v>828</v>
      </c>
      <c r="AU287" s="154">
        <f t="shared" si="14"/>
        <v>1426</v>
      </c>
      <c r="AV287" s="654">
        <f t="shared" si="15"/>
        <v>1127</v>
      </c>
      <c r="AW287" s="134"/>
      <c r="AX287" s="655">
        <f t="shared" si="484"/>
        <v>2013</v>
      </c>
      <c r="AY287" s="134"/>
      <c r="AZ287" s="134"/>
      <c r="BA287" s="134"/>
      <c r="BB287" s="134"/>
      <c r="BC287" s="134"/>
      <c r="BD287" s="134"/>
      <c r="BE287" s="134"/>
      <c r="BF287" s="134"/>
      <c r="BG287" s="134"/>
      <c r="BH287" s="134"/>
      <c r="BI287" s="655">
        <f t="shared" si="494"/>
        <v>2167</v>
      </c>
      <c r="BJ287" s="134"/>
      <c r="BK287" s="134"/>
      <c r="BL287" s="134"/>
      <c r="BM287" s="134"/>
      <c r="BN287" s="134"/>
      <c r="BO287" s="134"/>
      <c r="BP287" s="653" t="str">
        <f t="shared" si="33"/>
        <v/>
      </c>
      <c r="BQ287" s="129">
        <v>19.0</v>
      </c>
      <c r="BR287" s="129">
        <v>40.0</v>
      </c>
      <c r="BS287" s="134"/>
      <c r="BT287" s="129">
        <v>75.0</v>
      </c>
      <c r="BU287" s="129">
        <v>75.0</v>
      </c>
      <c r="BV287" s="135">
        <f t="shared" si="34"/>
        <v>29.5</v>
      </c>
      <c r="BW287" s="657">
        <f t="shared" si="35"/>
        <v>1034</v>
      </c>
      <c r="BX287" s="134"/>
      <c r="BY287" s="655">
        <f t="shared" si="498"/>
        <v>1846.4</v>
      </c>
      <c r="BZ287" s="134"/>
      <c r="CA287" s="134"/>
      <c r="CB287" s="134"/>
      <c r="CC287" s="134"/>
      <c r="CD287" s="134"/>
      <c r="CE287" s="659">
        <f t="shared" si="43"/>
        <v>45.8</v>
      </c>
      <c r="CF287" s="141">
        <f t="shared" si="248"/>
        <v>9</v>
      </c>
      <c r="CG287" s="647">
        <f t="shared" si="517"/>
        <v>9</v>
      </c>
      <c r="CH287" s="653" t="s">
        <v>1529</v>
      </c>
      <c r="CI287" s="655">
        <f t="shared" ref="CI287:DF287" si="531">FLOOR($AV287/(CI$3/25),1)</f>
        <v>1127</v>
      </c>
      <c r="CJ287" s="655">
        <f t="shared" si="531"/>
        <v>1173</v>
      </c>
      <c r="CK287" s="655">
        <f t="shared" si="531"/>
        <v>1225</v>
      </c>
      <c r="CL287" s="655">
        <f t="shared" si="531"/>
        <v>1280</v>
      </c>
      <c r="CM287" s="655">
        <f t="shared" si="531"/>
        <v>1341</v>
      </c>
      <c r="CN287" s="655">
        <f t="shared" si="531"/>
        <v>1408</v>
      </c>
      <c r="CO287" s="655">
        <f t="shared" si="531"/>
        <v>1482</v>
      </c>
      <c r="CP287" s="655">
        <f t="shared" si="531"/>
        <v>1565</v>
      </c>
      <c r="CQ287" s="655">
        <f t="shared" si="531"/>
        <v>1657</v>
      </c>
      <c r="CR287" s="655">
        <f t="shared" si="531"/>
        <v>1760</v>
      </c>
      <c r="CS287" s="655">
        <f t="shared" si="531"/>
        <v>1878</v>
      </c>
      <c r="CT287" s="655">
        <f t="shared" si="531"/>
        <v>2012</v>
      </c>
      <c r="CU287" s="655">
        <f t="shared" si="531"/>
        <v>2167</v>
      </c>
      <c r="CV287" s="655">
        <f t="shared" si="531"/>
        <v>2347</v>
      </c>
      <c r="CW287" s="655">
        <f t="shared" si="531"/>
        <v>2561</v>
      </c>
      <c r="CX287" s="655">
        <f t="shared" si="531"/>
        <v>2817</v>
      </c>
      <c r="CY287" s="655">
        <f t="shared" si="531"/>
        <v>3130</v>
      </c>
      <c r="CZ287" s="655">
        <f t="shared" si="531"/>
        <v>3521</v>
      </c>
      <c r="DA287" s="655">
        <f t="shared" si="531"/>
        <v>4025</v>
      </c>
      <c r="DB287" s="655">
        <f t="shared" si="531"/>
        <v>4695</v>
      </c>
      <c r="DC287" s="655">
        <f t="shared" si="531"/>
        <v>5635</v>
      </c>
      <c r="DD287" s="655">
        <f t="shared" si="531"/>
        <v>7043</v>
      </c>
      <c r="DE287" s="655">
        <f t="shared" si="531"/>
        <v>9391</v>
      </c>
      <c r="DF287" s="656">
        <f t="shared" si="531"/>
        <v>14087</v>
      </c>
      <c r="DG287" s="653"/>
      <c r="DH287" s="653" t="str">
        <f t="shared" si="46"/>
        <v/>
      </c>
      <c r="DI287" s="134" t="str">
        <f t="shared" si="47"/>
        <v/>
      </c>
      <c r="DJ287" s="134" t="str">
        <f t="shared" si="48"/>
        <v/>
      </c>
      <c r="DK287" s="659">
        <f t="shared" si="49"/>
        <v>-5.8</v>
      </c>
      <c r="DL287" s="903">
        <v>40.5</v>
      </c>
      <c r="DM287" s="134"/>
      <c r="DN287" s="655">
        <f t="shared" si="526"/>
        <v>2.7</v>
      </c>
      <c r="DO287" s="653"/>
      <c r="DP287" s="872" t="s">
        <v>1487</v>
      </c>
    </row>
    <row r="288">
      <c r="A288" s="552">
        <v>282.0</v>
      </c>
      <c r="B288" s="86">
        <v>221.0</v>
      </c>
      <c r="C288" s="54">
        <v>43.0</v>
      </c>
      <c r="D288" s="54">
        <v>57.0</v>
      </c>
      <c r="E288" s="74"/>
      <c r="F288" s="68" t="s">
        <v>2369</v>
      </c>
      <c r="G288" s="74"/>
      <c r="H288" s="68">
        <f t="shared" si="478"/>
        <v>11.5</v>
      </c>
      <c r="I288" s="74"/>
      <c r="J288" s="74"/>
      <c r="K288" s="74"/>
      <c r="L288" s="74"/>
      <c r="M288" s="575"/>
      <c r="N288" s="74" t="s">
        <v>1484</v>
      </c>
      <c r="O288" s="678"/>
      <c r="P288" s="571"/>
      <c r="Q288" s="571" t="s">
        <v>1676</v>
      </c>
      <c r="R288" s="571" t="s">
        <v>1314</v>
      </c>
      <c r="S288" s="791" t="s">
        <v>1486</v>
      </c>
      <c r="T288" s="572" t="s">
        <v>1485</v>
      </c>
      <c r="U288" s="54">
        <v>59.0</v>
      </c>
      <c r="V288" s="54">
        <v>44.0</v>
      </c>
      <c r="W288" s="54">
        <v>99.0</v>
      </c>
      <c r="X288" s="679">
        <v>99.0</v>
      </c>
      <c r="Y288" s="54">
        <v>3.0</v>
      </c>
      <c r="Z288" s="54">
        <v>0.0</v>
      </c>
      <c r="AA288" s="54">
        <v>2.0</v>
      </c>
      <c r="AB288" s="54">
        <v>96.0</v>
      </c>
      <c r="AC288" s="54">
        <v>16205.0</v>
      </c>
      <c r="AD288" s="54">
        <v>2.0</v>
      </c>
      <c r="AE288" s="54">
        <v>75.0</v>
      </c>
      <c r="AF288" s="54">
        <v>75.0</v>
      </c>
      <c r="AG288" s="54">
        <v>54.0</v>
      </c>
      <c r="AH288" s="54">
        <v>71.0</v>
      </c>
      <c r="AI288" s="574">
        <f t="shared" si="12"/>
        <v>62.5</v>
      </c>
      <c r="AJ288" s="74"/>
      <c r="AK288" s="74"/>
      <c r="AL288" s="74"/>
      <c r="AM288" s="74"/>
      <c r="AN288" s="74"/>
      <c r="AO288" s="74"/>
      <c r="AP288" s="74"/>
      <c r="AQ288" s="74"/>
      <c r="AR288" s="74"/>
      <c r="AS288" s="575"/>
      <c r="AT288" s="68">
        <f t="shared" si="13"/>
        <v>1347</v>
      </c>
      <c r="AU288" s="68">
        <f t="shared" si="14"/>
        <v>1683</v>
      </c>
      <c r="AV288" s="581">
        <f t="shared" si="15"/>
        <v>1515</v>
      </c>
      <c r="AW288" s="74"/>
      <c r="AX288" s="582">
        <f t="shared" si="484"/>
        <v>2705</v>
      </c>
      <c r="AY288" s="74"/>
      <c r="AZ288" s="74"/>
      <c r="BA288" s="74"/>
      <c r="BB288" s="74"/>
      <c r="BC288" s="74"/>
      <c r="BD288" s="74"/>
      <c r="BE288" s="74"/>
      <c r="BF288" s="74"/>
      <c r="BG288" s="74"/>
      <c r="BH288" s="74"/>
      <c r="BI288" s="582">
        <f t="shared" si="494"/>
        <v>2913</v>
      </c>
      <c r="BJ288" s="74"/>
      <c r="BK288" s="74"/>
      <c r="BL288" s="74"/>
      <c r="BM288" s="74"/>
      <c r="BN288" s="74"/>
      <c r="BO288" s="74"/>
      <c r="BP288" s="575" t="str">
        <f t="shared" si="33"/>
        <v/>
      </c>
      <c r="BQ288" s="670">
        <v>39.0</v>
      </c>
      <c r="BR288" s="670">
        <v>52.0</v>
      </c>
      <c r="BS288" s="365"/>
      <c r="BT288" s="670">
        <v>75.0</v>
      </c>
      <c r="BU288" s="670">
        <v>75.0</v>
      </c>
      <c r="BV288" s="671">
        <f t="shared" si="34"/>
        <v>45.5</v>
      </c>
      <c r="BW288" s="672">
        <f t="shared" si="35"/>
        <v>1416</v>
      </c>
      <c r="BX288" s="365"/>
      <c r="BY288" s="673">
        <f t="shared" si="498"/>
        <v>2528.6</v>
      </c>
      <c r="BZ288" s="365"/>
      <c r="CA288" s="365"/>
      <c r="CB288" s="365"/>
      <c r="CC288" s="365"/>
      <c r="CD288" s="365"/>
      <c r="CE288" s="674">
        <f t="shared" si="43"/>
        <v>37.4</v>
      </c>
      <c r="CF288" s="675">
        <f t="shared" si="248"/>
        <v>7</v>
      </c>
      <c r="CG288" s="676">
        <f t="shared" si="517"/>
        <v>7</v>
      </c>
      <c r="CH288" s="575" t="s">
        <v>1484</v>
      </c>
      <c r="CI288" s="582">
        <f t="shared" ref="CI288:DF288" si="532">FLOOR($AV288/(CI$3/25),1)</f>
        <v>1515</v>
      </c>
      <c r="CJ288" s="582">
        <f t="shared" si="532"/>
        <v>1578</v>
      </c>
      <c r="CK288" s="582">
        <f t="shared" si="532"/>
        <v>1646</v>
      </c>
      <c r="CL288" s="582">
        <f t="shared" si="532"/>
        <v>1721</v>
      </c>
      <c r="CM288" s="582">
        <f t="shared" si="532"/>
        <v>1803</v>
      </c>
      <c r="CN288" s="582">
        <f t="shared" si="532"/>
        <v>1893</v>
      </c>
      <c r="CO288" s="582">
        <f t="shared" si="532"/>
        <v>1993</v>
      </c>
      <c r="CP288" s="582">
        <f t="shared" si="532"/>
        <v>2104</v>
      </c>
      <c r="CQ288" s="582">
        <f t="shared" si="532"/>
        <v>2227</v>
      </c>
      <c r="CR288" s="582">
        <f t="shared" si="532"/>
        <v>2367</v>
      </c>
      <c r="CS288" s="582">
        <f t="shared" si="532"/>
        <v>2525</v>
      </c>
      <c r="CT288" s="582">
        <f t="shared" si="532"/>
        <v>2705</v>
      </c>
      <c r="CU288" s="582">
        <f t="shared" si="532"/>
        <v>2913</v>
      </c>
      <c r="CV288" s="582">
        <f t="shared" si="532"/>
        <v>3156</v>
      </c>
      <c r="CW288" s="582">
        <f t="shared" si="532"/>
        <v>3443</v>
      </c>
      <c r="CX288" s="582">
        <f t="shared" si="532"/>
        <v>3787</v>
      </c>
      <c r="CY288" s="582">
        <f t="shared" si="532"/>
        <v>4208</v>
      </c>
      <c r="CZ288" s="582">
        <f t="shared" si="532"/>
        <v>4734</v>
      </c>
      <c r="DA288" s="582">
        <f t="shared" si="532"/>
        <v>5410</v>
      </c>
      <c r="DB288" s="582">
        <f t="shared" si="532"/>
        <v>6312</v>
      </c>
      <c r="DC288" s="582">
        <f t="shared" si="532"/>
        <v>7575</v>
      </c>
      <c r="DD288" s="582">
        <f t="shared" si="532"/>
        <v>9468</v>
      </c>
      <c r="DE288" s="582">
        <f t="shared" si="532"/>
        <v>12625</v>
      </c>
      <c r="DF288" s="602">
        <f t="shared" si="532"/>
        <v>18937</v>
      </c>
      <c r="DG288" s="575"/>
      <c r="DH288" s="575" t="str">
        <f t="shared" si="46"/>
        <v/>
      </c>
      <c r="DI288" s="74" t="str">
        <f t="shared" si="47"/>
        <v/>
      </c>
      <c r="DJ288" s="74" t="str">
        <f t="shared" si="48"/>
        <v/>
      </c>
      <c r="DK288" s="623" t="str">
        <f t="shared" si="49"/>
        <v/>
      </c>
      <c r="DL288" s="74"/>
      <c r="DM288" s="74"/>
      <c r="DN288" s="582">
        <f t="shared" si="526"/>
        <v>2.5</v>
      </c>
      <c r="DO288" s="575"/>
      <c r="DP288" s="61" t="s">
        <v>1487</v>
      </c>
    </row>
    <row r="289">
      <c r="A289" s="552">
        <v>283.0</v>
      </c>
      <c r="B289" s="86">
        <v>222.0</v>
      </c>
      <c r="C289" s="54">
        <v>37.0</v>
      </c>
      <c r="D289" s="54">
        <v>50.0</v>
      </c>
      <c r="E289" s="74"/>
      <c r="F289" s="68" t="s">
        <v>2369</v>
      </c>
      <c r="G289" s="74"/>
      <c r="H289" s="68">
        <f t="shared" si="478"/>
        <v>11.5</v>
      </c>
      <c r="I289" s="74"/>
      <c r="J289" s="74"/>
      <c r="K289" s="74"/>
      <c r="L289" s="74"/>
      <c r="M289" s="575"/>
      <c r="N289" s="74" t="s">
        <v>1492</v>
      </c>
      <c r="O289" s="570" t="s">
        <v>2108</v>
      </c>
      <c r="P289" s="571"/>
      <c r="Q289" s="571" t="s">
        <v>1676</v>
      </c>
      <c r="R289" s="571" t="s">
        <v>1314</v>
      </c>
      <c r="S289" s="791" t="s">
        <v>1486</v>
      </c>
      <c r="T289" s="572" t="s">
        <v>1493</v>
      </c>
      <c r="U289" s="54">
        <v>62.0</v>
      </c>
      <c r="V289" s="54">
        <v>46.0</v>
      </c>
      <c r="W289" s="54">
        <v>105.0</v>
      </c>
      <c r="X289" s="679">
        <v>105.0</v>
      </c>
      <c r="Y289" s="54">
        <v>3.0</v>
      </c>
      <c r="Z289" s="54">
        <v>-10.0</v>
      </c>
      <c r="AA289" s="54">
        <v>2.0</v>
      </c>
      <c r="AB289" s="54">
        <v>112.0</v>
      </c>
      <c r="AC289" s="54">
        <v>16996.0</v>
      </c>
      <c r="AD289" s="54">
        <v>2.0</v>
      </c>
      <c r="AE289" s="54">
        <v>75.0</v>
      </c>
      <c r="AF289" s="54">
        <v>75.0</v>
      </c>
      <c r="AG289" s="54">
        <v>46.0</v>
      </c>
      <c r="AH289" s="54">
        <v>63.0</v>
      </c>
      <c r="AI289" s="574">
        <f t="shared" si="12"/>
        <v>54.5</v>
      </c>
      <c r="AJ289" s="74"/>
      <c r="AK289" s="74"/>
      <c r="AL289" s="74"/>
      <c r="AM289" s="74"/>
      <c r="AN289" s="74"/>
      <c r="AO289" s="74"/>
      <c r="AP289" s="74"/>
      <c r="AQ289" s="74"/>
      <c r="AR289" s="74"/>
      <c r="AS289" s="575"/>
      <c r="AT289" s="68">
        <f t="shared" si="13"/>
        <v>1186</v>
      </c>
      <c r="AU289" s="68">
        <f t="shared" si="14"/>
        <v>1526</v>
      </c>
      <c r="AV289" s="581">
        <f t="shared" si="15"/>
        <v>1356</v>
      </c>
      <c r="AW289" s="74"/>
      <c r="AX289" s="582">
        <f t="shared" si="484"/>
        <v>2825</v>
      </c>
      <c r="AY289" s="74"/>
      <c r="AZ289" s="74"/>
      <c r="BA289" s="74"/>
      <c r="BB289" s="74"/>
      <c r="BC289" s="74"/>
      <c r="BD289" s="74"/>
      <c r="BE289" s="74"/>
      <c r="BF289" s="74"/>
      <c r="BG289" s="74"/>
      <c r="BH289" s="74"/>
      <c r="BI289" s="582">
        <f t="shared" si="494"/>
        <v>3390</v>
      </c>
      <c r="BJ289" s="74"/>
      <c r="BK289" s="74"/>
      <c r="BL289" s="74"/>
      <c r="BM289" s="74"/>
      <c r="BN289" s="74"/>
      <c r="BO289" s="74"/>
      <c r="BP289" s="575" t="str">
        <f t="shared" si="33"/>
        <v/>
      </c>
      <c r="BQ289" s="670">
        <v>34.0</v>
      </c>
      <c r="BR289" s="670">
        <v>45.0</v>
      </c>
      <c r="BS289" s="670">
        <v>-10.0</v>
      </c>
      <c r="BT289" s="670">
        <v>75.0</v>
      </c>
      <c r="BU289" s="670">
        <v>75.0</v>
      </c>
      <c r="BV289" s="671">
        <f t="shared" si="34"/>
        <v>39.5</v>
      </c>
      <c r="BW289" s="672">
        <f t="shared" si="35"/>
        <v>1272.7</v>
      </c>
      <c r="BX289" s="365"/>
      <c r="BY289" s="673">
        <f t="shared" si="498"/>
        <v>2651.5</v>
      </c>
      <c r="BZ289" s="365"/>
      <c r="CA289" s="365"/>
      <c r="CB289" s="365"/>
      <c r="CC289" s="365"/>
      <c r="CD289" s="365"/>
      <c r="CE289" s="674">
        <f t="shared" si="43"/>
        <v>38</v>
      </c>
      <c r="CF289" s="675">
        <f t="shared" si="248"/>
        <v>6.5</v>
      </c>
      <c r="CG289" s="676">
        <f t="shared" si="517"/>
        <v>6.5</v>
      </c>
      <c r="CH289" s="575" t="s">
        <v>1492</v>
      </c>
      <c r="CI289" s="582">
        <f t="shared" ref="CI289:DF289" si="533">FLOOR($AV289/(CI$3/25),1)</f>
        <v>1356</v>
      </c>
      <c r="CJ289" s="582">
        <f t="shared" si="533"/>
        <v>1412</v>
      </c>
      <c r="CK289" s="582">
        <f t="shared" si="533"/>
        <v>1473</v>
      </c>
      <c r="CL289" s="582">
        <f t="shared" si="533"/>
        <v>1540</v>
      </c>
      <c r="CM289" s="582">
        <f t="shared" si="533"/>
        <v>1614</v>
      </c>
      <c r="CN289" s="582">
        <f t="shared" si="533"/>
        <v>1695</v>
      </c>
      <c r="CO289" s="582">
        <f t="shared" si="533"/>
        <v>1784</v>
      </c>
      <c r="CP289" s="582">
        <f t="shared" si="533"/>
        <v>1883</v>
      </c>
      <c r="CQ289" s="582">
        <f t="shared" si="533"/>
        <v>1994</v>
      </c>
      <c r="CR289" s="582">
        <f t="shared" si="533"/>
        <v>2118</v>
      </c>
      <c r="CS289" s="582">
        <f t="shared" si="533"/>
        <v>2260</v>
      </c>
      <c r="CT289" s="582">
        <f t="shared" si="533"/>
        <v>2421</v>
      </c>
      <c r="CU289" s="582">
        <f t="shared" si="533"/>
        <v>2607</v>
      </c>
      <c r="CV289" s="582">
        <f t="shared" si="533"/>
        <v>2825</v>
      </c>
      <c r="CW289" s="582">
        <f t="shared" si="533"/>
        <v>3081</v>
      </c>
      <c r="CX289" s="582">
        <f t="shared" si="533"/>
        <v>3390</v>
      </c>
      <c r="CY289" s="582">
        <f t="shared" si="533"/>
        <v>3766</v>
      </c>
      <c r="CZ289" s="582">
        <f t="shared" si="533"/>
        <v>4237</v>
      </c>
      <c r="DA289" s="582">
        <f t="shared" si="533"/>
        <v>4842</v>
      </c>
      <c r="DB289" s="582">
        <f t="shared" si="533"/>
        <v>5650</v>
      </c>
      <c r="DC289" s="582">
        <f t="shared" si="533"/>
        <v>6780</v>
      </c>
      <c r="DD289" s="582">
        <f t="shared" si="533"/>
        <v>8475</v>
      </c>
      <c r="DE289" s="582">
        <f t="shared" si="533"/>
        <v>11300</v>
      </c>
      <c r="DF289" s="602">
        <f t="shared" si="533"/>
        <v>16950</v>
      </c>
      <c r="DG289" s="575"/>
      <c r="DH289" s="575" t="str">
        <f t="shared" si="46"/>
        <v/>
      </c>
      <c r="DI289" s="74" t="str">
        <f t="shared" si="47"/>
        <v/>
      </c>
      <c r="DJ289" s="74" t="str">
        <f t="shared" si="48"/>
        <v/>
      </c>
      <c r="DK289" s="623" t="str">
        <f t="shared" si="49"/>
        <v/>
      </c>
      <c r="DL289" s="74"/>
      <c r="DM289" s="74"/>
      <c r="DN289" s="582">
        <f t="shared" si="526"/>
        <v>2.3</v>
      </c>
      <c r="DO289" s="575"/>
      <c r="DP289" s="61" t="s">
        <v>1487</v>
      </c>
    </row>
    <row r="290">
      <c r="A290" s="552">
        <v>284.0</v>
      </c>
      <c r="B290" s="86">
        <v>223.0</v>
      </c>
      <c r="C290" s="54">
        <v>48.0</v>
      </c>
      <c r="D290" s="54">
        <v>58.0</v>
      </c>
      <c r="E290" s="74"/>
      <c r="F290" s="68" t="s">
        <v>2369</v>
      </c>
      <c r="G290" s="74"/>
      <c r="H290" s="68">
        <f t="shared" si="478"/>
        <v>11.5</v>
      </c>
      <c r="I290" s="74"/>
      <c r="J290" s="74"/>
      <c r="K290" s="74"/>
      <c r="L290" s="74"/>
      <c r="M290" s="575"/>
      <c r="N290" s="74" t="s">
        <v>1500</v>
      </c>
      <c r="O290" s="678"/>
      <c r="P290" s="571"/>
      <c r="Q290" s="571" t="s">
        <v>1676</v>
      </c>
      <c r="R290" s="571" t="s">
        <v>1314</v>
      </c>
      <c r="S290" s="791" t="s">
        <v>1486</v>
      </c>
      <c r="T290" s="572" t="s">
        <v>1501</v>
      </c>
      <c r="U290" s="54">
        <v>68.0</v>
      </c>
      <c r="V290" s="54">
        <v>51.0</v>
      </c>
      <c r="W290" s="54">
        <v>108.0</v>
      </c>
      <c r="X290" s="679">
        <v>108.0</v>
      </c>
      <c r="Y290" s="54">
        <v>3.0</v>
      </c>
      <c r="Z290" s="54">
        <v>10.0</v>
      </c>
      <c r="AA290" s="54">
        <v>2.0</v>
      </c>
      <c r="AB290" s="54">
        <v>128.0</v>
      </c>
      <c r="AC290" s="54">
        <v>15784.0</v>
      </c>
      <c r="AD290" s="54">
        <v>2.0</v>
      </c>
      <c r="AE290" s="54">
        <v>75.0</v>
      </c>
      <c r="AF290" s="54">
        <v>75.0</v>
      </c>
      <c r="AG290" s="54">
        <v>60.0</v>
      </c>
      <c r="AH290" s="54">
        <v>73.0</v>
      </c>
      <c r="AI290" s="574">
        <f t="shared" si="12"/>
        <v>66.5</v>
      </c>
      <c r="AJ290" s="37">
        <v>25.0</v>
      </c>
      <c r="AK290" s="37"/>
      <c r="AL290" s="74"/>
      <c r="AM290" s="74"/>
      <c r="AN290" s="74"/>
      <c r="AO290" s="74"/>
      <c r="AP290" s="74"/>
      <c r="AQ290" s="74"/>
      <c r="AR290" s="74"/>
      <c r="AS290" s="575"/>
      <c r="AT290" s="68">
        <f t="shared" si="13"/>
        <v>1766</v>
      </c>
      <c r="AU290" s="68">
        <f t="shared" si="14"/>
        <v>2062</v>
      </c>
      <c r="AV290" s="581">
        <f t="shared" si="15"/>
        <v>1914</v>
      </c>
      <c r="AW290" s="74"/>
      <c r="AX290" s="582">
        <f t="shared" si="484"/>
        <v>3190</v>
      </c>
      <c r="AY290" s="74"/>
      <c r="AZ290" s="74"/>
      <c r="BA290" s="74"/>
      <c r="BB290" s="74"/>
      <c r="BC290" s="74"/>
      <c r="BD290" s="74"/>
      <c r="BE290" s="74"/>
      <c r="BF290" s="74"/>
      <c r="BG290" s="74"/>
      <c r="BH290" s="74"/>
      <c r="BI290" s="582">
        <f t="shared" si="494"/>
        <v>2991</v>
      </c>
      <c r="BJ290" s="74"/>
      <c r="BK290" s="74"/>
      <c r="BL290" s="74"/>
      <c r="BM290" s="74"/>
      <c r="BN290" s="74"/>
      <c r="BO290" s="74"/>
      <c r="BP290" s="575" t="str">
        <f t="shared" si="33"/>
        <v/>
      </c>
      <c r="BQ290" s="670">
        <v>44.0</v>
      </c>
      <c r="BR290" s="670">
        <v>53.0</v>
      </c>
      <c r="BS290" s="670">
        <v>10.0</v>
      </c>
      <c r="BT290" s="670">
        <v>75.0</v>
      </c>
      <c r="BU290" s="670">
        <v>75.0</v>
      </c>
      <c r="BV290" s="671">
        <f t="shared" si="34"/>
        <v>48.5</v>
      </c>
      <c r="BW290" s="672">
        <f t="shared" si="35"/>
        <v>1487.6</v>
      </c>
      <c r="BX290" s="365"/>
      <c r="BY290" s="673">
        <f t="shared" si="498"/>
        <v>2479.3</v>
      </c>
      <c r="BZ290" s="365"/>
      <c r="CA290" s="365"/>
      <c r="CB290" s="365"/>
      <c r="CC290" s="365"/>
      <c r="CD290" s="365"/>
      <c r="CE290" s="674">
        <f t="shared" si="43"/>
        <v>37.1</v>
      </c>
      <c r="CF290" s="675">
        <f t="shared" si="248"/>
        <v>28.7</v>
      </c>
      <c r="CG290" s="676">
        <f t="shared" si="517"/>
        <v>28.7</v>
      </c>
      <c r="CH290" s="575" t="s">
        <v>1500</v>
      </c>
      <c r="CI290" s="582">
        <f t="shared" ref="CI290:DF290" si="534">FLOOR($AV290/(CI$3/25),1)</f>
        <v>1914</v>
      </c>
      <c r="CJ290" s="582">
        <f t="shared" si="534"/>
        <v>1993</v>
      </c>
      <c r="CK290" s="582">
        <f t="shared" si="534"/>
        <v>2080</v>
      </c>
      <c r="CL290" s="582">
        <f t="shared" si="534"/>
        <v>2175</v>
      </c>
      <c r="CM290" s="582">
        <f t="shared" si="534"/>
        <v>2278</v>
      </c>
      <c r="CN290" s="582">
        <f t="shared" si="534"/>
        <v>2392</v>
      </c>
      <c r="CO290" s="582">
        <f t="shared" si="534"/>
        <v>2518</v>
      </c>
      <c r="CP290" s="582">
        <f t="shared" si="534"/>
        <v>2658</v>
      </c>
      <c r="CQ290" s="582">
        <f t="shared" si="534"/>
        <v>2814</v>
      </c>
      <c r="CR290" s="582">
        <f t="shared" si="534"/>
        <v>2990</v>
      </c>
      <c r="CS290" s="582">
        <f t="shared" si="534"/>
        <v>3190</v>
      </c>
      <c r="CT290" s="582">
        <f t="shared" si="534"/>
        <v>3417</v>
      </c>
      <c r="CU290" s="582">
        <f t="shared" si="534"/>
        <v>3680</v>
      </c>
      <c r="CV290" s="582">
        <f t="shared" si="534"/>
        <v>3987</v>
      </c>
      <c r="CW290" s="582">
        <f t="shared" si="534"/>
        <v>4350</v>
      </c>
      <c r="CX290" s="582">
        <f t="shared" si="534"/>
        <v>4785</v>
      </c>
      <c r="CY290" s="582">
        <f t="shared" si="534"/>
        <v>5316</v>
      </c>
      <c r="CZ290" s="582">
        <f t="shared" si="534"/>
        <v>5981</v>
      </c>
      <c r="DA290" s="582">
        <f t="shared" si="534"/>
        <v>6835</v>
      </c>
      <c r="DB290" s="582">
        <f t="shared" si="534"/>
        <v>7975</v>
      </c>
      <c r="DC290" s="582">
        <f t="shared" si="534"/>
        <v>9570</v>
      </c>
      <c r="DD290" s="582">
        <f t="shared" si="534"/>
        <v>11962</v>
      </c>
      <c r="DE290" s="582">
        <f t="shared" si="534"/>
        <v>15950</v>
      </c>
      <c r="DF290" s="602">
        <f t="shared" si="534"/>
        <v>23925</v>
      </c>
      <c r="DG290" s="575"/>
      <c r="DH290" s="575" t="str">
        <f t="shared" si="46"/>
        <v/>
      </c>
      <c r="DI290" s="74" t="str">
        <f t="shared" si="47"/>
        <v/>
      </c>
      <c r="DJ290" s="74" t="str">
        <f t="shared" si="48"/>
        <v/>
      </c>
      <c r="DK290" s="623" t="str">
        <f t="shared" si="49"/>
        <v/>
      </c>
      <c r="DL290" s="74"/>
      <c r="DM290" s="74"/>
      <c r="DN290" s="582">
        <f t="shared" si="526"/>
        <v>2</v>
      </c>
      <c r="DO290" s="575"/>
      <c r="DP290" s="61" t="s">
        <v>1487</v>
      </c>
    </row>
    <row r="291">
      <c r="A291" s="552">
        <v>285.0</v>
      </c>
      <c r="B291" s="86">
        <v>224.0</v>
      </c>
      <c r="C291" s="54">
        <v>36.0</v>
      </c>
      <c r="D291" s="54">
        <v>42.0</v>
      </c>
      <c r="E291" s="74"/>
      <c r="F291" s="68" t="s">
        <v>2369</v>
      </c>
      <c r="G291" s="74"/>
      <c r="H291" s="68">
        <f t="shared" si="478"/>
        <v>11.5</v>
      </c>
      <c r="I291" s="74"/>
      <c r="J291" s="74"/>
      <c r="K291" s="74"/>
      <c r="L291" s="74"/>
      <c r="M291" s="575"/>
      <c r="N291" s="74" t="s">
        <v>1508</v>
      </c>
      <c r="O291" s="570" t="s">
        <v>2109</v>
      </c>
      <c r="P291" s="571"/>
      <c r="Q291" s="571" t="s">
        <v>1676</v>
      </c>
      <c r="R291" s="571" t="s">
        <v>1314</v>
      </c>
      <c r="S291" s="791" t="s">
        <v>1486</v>
      </c>
      <c r="T291" s="572" t="s">
        <v>1509</v>
      </c>
      <c r="U291" s="54">
        <v>73.0</v>
      </c>
      <c r="V291" s="54">
        <v>54.0</v>
      </c>
      <c r="W291" s="54">
        <v>110.0</v>
      </c>
      <c r="X291" s="679">
        <v>110.0</v>
      </c>
      <c r="Y291" s="54">
        <v>3.0</v>
      </c>
      <c r="Z291" s="54">
        <v>-10.0</v>
      </c>
      <c r="AA291" s="54">
        <v>2.0</v>
      </c>
      <c r="AB291" s="54">
        <v>144.0</v>
      </c>
      <c r="AC291" s="54">
        <v>15537.0</v>
      </c>
      <c r="AD291" s="54">
        <v>2.0</v>
      </c>
      <c r="AE291" s="54">
        <v>75.0</v>
      </c>
      <c r="AF291" s="54">
        <v>75.0</v>
      </c>
      <c r="AG291" s="54">
        <v>45.0</v>
      </c>
      <c r="AH291" s="54">
        <v>53.0</v>
      </c>
      <c r="AI291" s="574">
        <f t="shared" si="12"/>
        <v>49</v>
      </c>
      <c r="AJ291" s="74"/>
      <c r="AK291" s="74"/>
      <c r="AL291" s="74"/>
      <c r="AM291" s="74"/>
      <c r="AN291" s="74"/>
      <c r="AO291" s="74"/>
      <c r="AP291" s="74"/>
      <c r="AQ291" s="74"/>
      <c r="AR291" s="74"/>
      <c r="AS291" s="575"/>
      <c r="AT291" s="68">
        <f t="shared" si="13"/>
        <v>1168</v>
      </c>
      <c r="AU291" s="68">
        <f t="shared" si="14"/>
        <v>1325</v>
      </c>
      <c r="AV291" s="581">
        <f t="shared" si="15"/>
        <v>1246.5</v>
      </c>
      <c r="AW291" s="74"/>
      <c r="AX291" s="582">
        <f t="shared" si="484"/>
        <v>2597</v>
      </c>
      <c r="AY291" s="74"/>
      <c r="AZ291" s="74"/>
      <c r="BA291" s="74"/>
      <c r="BB291" s="74"/>
      <c r="BC291" s="74"/>
      <c r="BD291" s="74"/>
      <c r="BE291" s="74"/>
      <c r="BF291" s="74"/>
      <c r="BG291" s="74"/>
      <c r="BH291" s="74"/>
      <c r="BI291" s="582">
        <f t="shared" si="494"/>
        <v>3116</v>
      </c>
      <c r="BJ291" s="74"/>
      <c r="BK291" s="74"/>
      <c r="BL291" s="74"/>
      <c r="BM291" s="74"/>
      <c r="BN291" s="74"/>
      <c r="BO291" s="74"/>
      <c r="BP291" s="575" t="str">
        <f t="shared" si="33"/>
        <v/>
      </c>
      <c r="BQ291" s="670">
        <v>36.0</v>
      </c>
      <c r="BR291" s="670">
        <v>42.0</v>
      </c>
      <c r="BS291" s="670">
        <v>-10.0</v>
      </c>
      <c r="BT291" s="670">
        <v>75.0</v>
      </c>
      <c r="BU291" s="670">
        <v>75.0</v>
      </c>
      <c r="BV291" s="671">
        <f t="shared" si="34"/>
        <v>39</v>
      </c>
      <c r="BW291" s="672">
        <f t="shared" si="35"/>
        <v>1260.8</v>
      </c>
      <c r="BX291" s="365"/>
      <c r="BY291" s="673">
        <f t="shared" si="498"/>
        <v>2626.7</v>
      </c>
      <c r="BZ291" s="365"/>
      <c r="CA291" s="365"/>
      <c r="CB291" s="365"/>
      <c r="CC291" s="365"/>
      <c r="CD291" s="365"/>
      <c r="CE291" s="674">
        <f t="shared" si="43"/>
        <v>25.6</v>
      </c>
      <c r="CF291" s="675">
        <f t="shared" si="248"/>
        <v>-1.1</v>
      </c>
      <c r="CG291" s="676">
        <f t="shared" si="517"/>
        <v>-1.1</v>
      </c>
      <c r="CH291" s="575" t="s">
        <v>1508</v>
      </c>
      <c r="CI291" s="582">
        <f t="shared" ref="CI291:DF291" si="535">FLOOR($AV291/(CI$3/25),1)</f>
        <v>1246</v>
      </c>
      <c r="CJ291" s="582">
        <f t="shared" si="535"/>
        <v>1298</v>
      </c>
      <c r="CK291" s="582">
        <f t="shared" si="535"/>
        <v>1354</v>
      </c>
      <c r="CL291" s="582">
        <f t="shared" si="535"/>
        <v>1416</v>
      </c>
      <c r="CM291" s="582">
        <f t="shared" si="535"/>
        <v>1483</v>
      </c>
      <c r="CN291" s="582">
        <f t="shared" si="535"/>
        <v>1558</v>
      </c>
      <c r="CO291" s="582">
        <f t="shared" si="535"/>
        <v>1640</v>
      </c>
      <c r="CP291" s="582">
        <f t="shared" si="535"/>
        <v>1731</v>
      </c>
      <c r="CQ291" s="582">
        <f t="shared" si="535"/>
        <v>1833</v>
      </c>
      <c r="CR291" s="582">
        <f t="shared" si="535"/>
        <v>1947</v>
      </c>
      <c r="CS291" s="582">
        <f t="shared" si="535"/>
        <v>2077</v>
      </c>
      <c r="CT291" s="582">
        <f t="shared" si="535"/>
        <v>2225</v>
      </c>
      <c r="CU291" s="582">
        <f t="shared" si="535"/>
        <v>2397</v>
      </c>
      <c r="CV291" s="582">
        <f t="shared" si="535"/>
        <v>2596</v>
      </c>
      <c r="CW291" s="582">
        <f t="shared" si="535"/>
        <v>2832</v>
      </c>
      <c r="CX291" s="582">
        <f t="shared" si="535"/>
        <v>3116</v>
      </c>
      <c r="CY291" s="582">
        <f t="shared" si="535"/>
        <v>3462</v>
      </c>
      <c r="CZ291" s="582">
        <f t="shared" si="535"/>
        <v>3895</v>
      </c>
      <c r="DA291" s="582">
        <f t="shared" si="535"/>
        <v>4451</v>
      </c>
      <c r="DB291" s="582">
        <f t="shared" si="535"/>
        <v>5193</v>
      </c>
      <c r="DC291" s="582">
        <f t="shared" si="535"/>
        <v>6232</v>
      </c>
      <c r="DD291" s="582">
        <f t="shared" si="535"/>
        <v>7790</v>
      </c>
      <c r="DE291" s="582">
        <f t="shared" si="535"/>
        <v>10387</v>
      </c>
      <c r="DF291" s="602">
        <f t="shared" si="535"/>
        <v>15581</v>
      </c>
      <c r="DG291" s="575"/>
      <c r="DH291" s="575" t="str">
        <f t="shared" si="46"/>
        <v/>
      </c>
      <c r="DI291" s="74" t="str">
        <f t="shared" si="47"/>
        <v/>
      </c>
      <c r="DJ291" s="74" t="str">
        <f t="shared" si="48"/>
        <v/>
      </c>
      <c r="DK291" s="664">
        <f t="shared" si="49"/>
        <v>-11.2</v>
      </c>
      <c r="DL291" s="685">
        <v>43.5</v>
      </c>
      <c r="DM291" s="74"/>
      <c r="DN291" s="582">
        <f t="shared" si="526"/>
        <v>1.3</v>
      </c>
      <c r="DO291" s="575" t="s">
        <v>2371</v>
      </c>
      <c r="DP291" s="61" t="s">
        <v>1487</v>
      </c>
    </row>
    <row r="292">
      <c r="A292" s="552">
        <v>286.0</v>
      </c>
      <c r="B292" s="86">
        <v>225.0</v>
      </c>
      <c r="C292" s="54">
        <v>24.0</v>
      </c>
      <c r="D292" s="54">
        <v>58.0</v>
      </c>
      <c r="E292" s="74"/>
      <c r="F292" s="68" t="s">
        <v>2369</v>
      </c>
      <c r="G292" s="74"/>
      <c r="H292" s="68">
        <f t="shared" si="478"/>
        <v>11.5</v>
      </c>
      <c r="I292" s="74"/>
      <c r="J292" s="74"/>
      <c r="K292" s="74"/>
      <c r="L292" s="74"/>
      <c r="M292" s="575"/>
      <c r="N292" s="74" t="s">
        <v>1516</v>
      </c>
      <c r="O292" s="570" t="s">
        <v>2110</v>
      </c>
      <c r="P292" s="571"/>
      <c r="Q292" s="571" t="s">
        <v>1676</v>
      </c>
      <c r="R292" s="571" t="s">
        <v>1314</v>
      </c>
      <c r="S292" s="791" t="s">
        <v>1486</v>
      </c>
      <c r="T292" s="572" t="s">
        <v>1517</v>
      </c>
      <c r="U292" s="54">
        <v>78.0</v>
      </c>
      <c r="V292" s="54">
        <v>58.0</v>
      </c>
      <c r="W292" s="54">
        <v>113.0</v>
      </c>
      <c r="X292" s="679">
        <v>113.0</v>
      </c>
      <c r="Y292" s="54">
        <v>3.0</v>
      </c>
      <c r="Z292" s="54">
        <v>-20.0</v>
      </c>
      <c r="AA292" s="54">
        <v>2.0</v>
      </c>
      <c r="AB292" s="54">
        <v>104.0</v>
      </c>
      <c r="AC292" s="54">
        <v>16035.0</v>
      </c>
      <c r="AD292" s="54">
        <v>2.0</v>
      </c>
      <c r="AE292" s="54">
        <v>75.0</v>
      </c>
      <c r="AF292" s="54">
        <v>75.0</v>
      </c>
      <c r="AG292" s="54">
        <v>30.0</v>
      </c>
      <c r="AH292" s="54">
        <v>73.0</v>
      </c>
      <c r="AI292" s="574">
        <f t="shared" si="12"/>
        <v>51.5</v>
      </c>
      <c r="AJ292" s="74"/>
      <c r="AK292" s="74"/>
      <c r="AL292" s="74"/>
      <c r="AM292" s="74"/>
      <c r="AN292" s="74"/>
      <c r="AO292" s="74"/>
      <c r="AP292" s="74"/>
      <c r="AQ292" s="74"/>
      <c r="AR292" s="74"/>
      <c r="AS292" s="575"/>
      <c r="AT292" s="68">
        <f t="shared" si="13"/>
        <v>867</v>
      </c>
      <c r="AU292" s="68">
        <f t="shared" si="14"/>
        <v>1722</v>
      </c>
      <c r="AV292" s="581">
        <f t="shared" si="15"/>
        <v>1294.5</v>
      </c>
      <c r="AW292" s="74"/>
      <c r="AX292" s="582">
        <f t="shared" si="484"/>
        <v>2942</v>
      </c>
      <c r="AY292" s="74"/>
      <c r="AZ292" s="74"/>
      <c r="BA292" s="74"/>
      <c r="BB292" s="74"/>
      <c r="BC292" s="74"/>
      <c r="BD292" s="74"/>
      <c r="BE292" s="74"/>
      <c r="BF292" s="74"/>
      <c r="BG292" s="74"/>
      <c r="BH292" s="74"/>
      <c r="BI292" s="582">
        <f t="shared" si="494"/>
        <v>3596</v>
      </c>
      <c r="BJ292" s="74"/>
      <c r="BK292" s="74"/>
      <c r="BL292" s="74"/>
      <c r="BM292" s="74"/>
      <c r="BN292" s="74"/>
      <c r="BO292" s="74"/>
      <c r="BP292" s="575" t="str">
        <f t="shared" si="33"/>
        <v/>
      </c>
      <c r="BQ292" s="670">
        <v>22.0</v>
      </c>
      <c r="BR292" s="670">
        <v>53.0</v>
      </c>
      <c r="BS292" s="670">
        <v>-20.0</v>
      </c>
      <c r="BT292" s="670">
        <v>75.0</v>
      </c>
      <c r="BU292" s="670">
        <v>75.0</v>
      </c>
      <c r="BV292" s="671">
        <f t="shared" si="34"/>
        <v>37.5</v>
      </c>
      <c r="BW292" s="672">
        <f t="shared" si="35"/>
        <v>1225</v>
      </c>
      <c r="BX292" s="365"/>
      <c r="BY292" s="673">
        <f t="shared" si="498"/>
        <v>2784.1</v>
      </c>
      <c r="BZ292" s="365"/>
      <c r="CA292" s="365"/>
      <c r="CB292" s="365"/>
      <c r="CC292" s="365"/>
      <c r="CD292" s="365"/>
      <c r="CE292" s="674">
        <f t="shared" si="43"/>
        <v>37.3</v>
      </c>
      <c r="CF292" s="675">
        <f t="shared" si="248"/>
        <v>5.7</v>
      </c>
      <c r="CG292" s="676">
        <f t="shared" si="517"/>
        <v>5.7</v>
      </c>
      <c r="CH292" s="575" t="s">
        <v>1516</v>
      </c>
      <c r="CI292" s="582">
        <f t="shared" ref="CI292:DF292" si="536">FLOOR($AV292/(CI$3/25),1)</f>
        <v>1294</v>
      </c>
      <c r="CJ292" s="582">
        <f t="shared" si="536"/>
        <v>1348</v>
      </c>
      <c r="CK292" s="582">
        <f t="shared" si="536"/>
        <v>1407</v>
      </c>
      <c r="CL292" s="582">
        <f t="shared" si="536"/>
        <v>1471</v>
      </c>
      <c r="CM292" s="582">
        <f t="shared" si="536"/>
        <v>1541</v>
      </c>
      <c r="CN292" s="582">
        <f t="shared" si="536"/>
        <v>1618</v>
      </c>
      <c r="CO292" s="582">
        <f t="shared" si="536"/>
        <v>1703</v>
      </c>
      <c r="CP292" s="582">
        <f t="shared" si="536"/>
        <v>1797</v>
      </c>
      <c r="CQ292" s="582">
        <f t="shared" si="536"/>
        <v>1903</v>
      </c>
      <c r="CR292" s="582">
        <f t="shared" si="536"/>
        <v>2022</v>
      </c>
      <c r="CS292" s="582">
        <f t="shared" si="536"/>
        <v>2157</v>
      </c>
      <c r="CT292" s="582">
        <f t="shared" si="536"/>
        <v>2311</v>
      </c>
      <c r="CU292" s="582">
        <f t="shared" si="536"/>
        <v>2489</v>
      </c>
      <c r="CV292" s="582">
        <f t="shared" si="536"/>
        <v>2696</v>
      </c>
      <c r="CW292" s="582">
        <f t="shared" si="536"/>
        <v>2942</v>
      </c>
      <c r="CX292" s="582">
        <f t="shared" si="536"/>
        <v>3236</v>
      </c>
      <c r="CY292" s="582">
        <f t="shared" si="536"/>
        <v>3595</v>
      </c>
      <c r="CZ292" s="582">
        <f t="shared" si="536"/>
        <v>4045</v>
      </c>
      <c r="DA292" s="582">
        <f t="shared" si="536"/>
        <v>4623</v>
      </c>
      <c r="DB292" s="582">
        <f t="shared" si="536"/>
        <v>5393</v>
      </c>
      <c r="DC292" s="582">
        <f t="shared" si="536"/>
        <v>6472</v>
      </c>
      <c r="DD292" s="582">
        <f t="shared" si="536"/>
        <v>8090</v>
      </c>
      <c r="DE292" s="582">
        <f t="shared" si="536"/>
        <v>10787</v>
      </c>
      <c r="DF292" s="602">
        <f t="shared" si="536"/>
        <v>16181</v>
      </c>
      <c r="DG292" s="575"/>
      <c r="DH292" s="575" t="str">
        <f t="shared" si="46"/>
        <v/>
      </c>
      <c r="DI292" s="74" t="str">
        <f t="shared" si="47"/>
        <v/>
      </c>
      <c r="DJ292" s="74" t="str">
        <f t="shared" si="48"/>
        <v/>
      </c>
      <c r="DK292" s="623" t="str">
        <f t="shared" si="49"/>
        <v/>
      </c>
      <c r="DL292" s="74"/>
      <c r="DM292" s="74"/>
      <c r="DN292" s="582">
        <f t="shared" si="526"/>
        <v>1.7</v>
      </c>
      <c r="DO292" s="575"/>
      <c r="DP292" s="61" t="s">
        <v>1487</v>
      </c>
    </row>
    <row r="293">
      <c r="A293" s="552">
        <v>287.0</v>
      </c>
      <c r="B293" s="86">
        <v>226.0</v>
      </c>
      <c r="C293" s="54">
        <v>26.0</v>
      </c>
      <c r="D293" s="54">
        <v>48.0</v>
      </c>
      <c r="E293" s="74"/>
      <c r="F293" s="68" t="s">
        <v>2369</v>
      </c>
      <c r="G293" s="74"/>
      <c r="H293" s="68">
        <f t="shared" si="478"/>
        <v>11.5</v>
      </c>
      <c r="I293" s="74"/>
      <c r="J293" s="74"/>
      <c r="K293" s="74"/>
      <c r="L293" s="74"/>
      <c r="M293" s="575"/>
      <c r="N293" s="74" t="s">
        <v>1523</v>
      </c>
      <c r="O293" s="570" t="s">
        <v>2372</v>
      </c>
      <c r="P293" s="571"/>
      <c r="Q293" s="571" t="s">
        <v>1676</v>
      </c>
      <c r="R293" s="571" t="s">
        <v>1314</v>
      </c>
      <c r="S293" s="791" t="s">
        <v>1486</v>
      </c>
      <c r="T293" s="572" t="s">
        <v>1524</v>
      </c>
      <c r="U293" s="54">
        <v>81.0</v>
      </c>
      <c r="V293" s="54">
        <v>60.0</v>
      </c>
      <c r="W293" s="54">
        <v>115.0</v>
      </c>
      <c r="X293" s="679">
        <v>115.0</v>
      </c>
      <c r="Y293" s="54">
        <v>3.0</v>
      </c>
      <c r="Z293" s="54">
        <v>-30.0</v>
      </c>
      <c r="AA293" s="54">
        <v>2.0</v>
      </c>
      <c r="AB293" s="54">
        <v>138.0</v>
      </c>
      <c r="AC293" s="54">
        <v>17396.0</v>
      </c>
      <c r="AD293" s="54">
        <v>2.0</v>
      </c>
      <c r="AE293" s="54">
        <v>75.0</v>
      </c>
      <c r="AF293" s="54">
        <v>75.0</v>
      </c>
      <c r="AG293" s="54">
        <v>33.0</v>
      </c>
      <c r="AH293" s="54">
        <v>60.0</v>
      </c>
      <c r="AI293" s="574">
        <f t="shared" si="12"/>
        <v>46.5</v>
      </c>
      <c r="AJ293" s="74"/>
      <c r="AK293" s="74"/>
      <c r="AL293" s="74"/>
      <c r="AM293" s="74"/>
      <c r="AN293" s="74"/>
      <c r="AO293" s="74"/>
      <c r="AP293" s="74"/>
      <c r="AQ293" s="74"/>
      <c r="AR293" s="74"/>
      <c r="AS293" s="575"/>
      <c r="AT293" s="68">
        <f t="shared" si="13"/>
        <v>928</v>
      </c>
      <c r="AU293" s="68">
        <f t="shared" si="14"/>
        <v>1465</v>
      </c>
      <c r="AV293" s="581">
        <f t="shared" si="15"/>
        <v>1196.5</v>
      </c>
      <c r="AW293" s="74"/>
      <c r="AX293" s="582">
        <f t="shared" si="484"/>
        <v>2991</v>
      </c>
      <c r="AY293" s="74"/>
      <c r="AZ293" s="74"/>
      <c r="BA293" s="74"/>
      <c r="BB293" s="74"/>
      <c r="BC293" s="74"/>
      <c r="BD293" s="74"/>
      <c r="BE293" s="74"/>
      <c r="BF293" s="74"/>
      <c r="BG293" s="74"/>
      <c r="BH293" s="74"/>
      <c r="BI293" s="582">
        <f t="shared" si="494"/>
        <v>4273</v>
      </c>
      <c r="BJ293" s="74"/>
      <c r="BK293" s="74"/>
      <c r="BL293" s="74"/>
      <c r="BM293" s="74"/>
      <c r="BN293" s="74"/>
      <c r="BO293" s="74"/>
      <c r="BP293" s="575" t="str">
        <f t="shared" si="33"/>
        <v/>
      </c>
      <c r="BQ293" s="670">
        <v>24.0</v>
      </c>
      <c r="BR293" s="670">
        <v>44.0</v>
      </c>
      <c r="BS293" s="670">
        <v>-30.0</v>
      </c>
      <c r="BT293" s="670">
        <v>75.0</v>
      </c>
      <c r="BU293" s="670">
        <v>75.0</v>
      </c>
      <c r="BV293" s="671">
        <f t="shared" si="34"/>
        <v>34</v>
      </c>
      <c r="BW293" s="672">
        <f t="shared" si="35"/>
        <v>1141.4</v>
      </c>
      <c r="BX293" s="365"/>
      <c r="BY293" s="673">
        <f t="shared" si="498"/>
        <v>2853.5</v>
      </c>
      <c r="BZ293" s="365"/>
      <c r="CA293" s="365"/>
      <c r="CB293" s="365"/>
      <c r="CC293" s="365"/>
      <c r="CD293" s="365"/>
      <c r="CE293" s="674">
        <f t="shared" si="43"/>
        <v>36.8</v>
      </c>
      <c r="CF293" s="675">
        <f t="shared" si="248"/>
        <v>4.8</v>
      </c>
      <c r="CG293" s="676">
        <f t="shared" si="517"/>
        <v>4.8</v>
      </c>
      <c r="CH293" s="575" t="s">
        <v>1523</v>
      </c>
      <c r="CI293" s="582">
        <f t="shared" ref="CI293:DF293" si="537">FLOOR($AV293/(CI$3/25),1)</f>
        <v>1196</v>
      </c>
      <c r="CJ293" s="582">
        <f t="shared" si="537"/>
        <v>1246</v>
      </c>
      <c r="CK293" s="582">
        <f t="shared" si="537"/>
        <v>1300</v>
      </c>
      <c r="CL293" s="582">
        <f t="shared" si="537"/>
        <v>1359</v>
      </c>
      <c r="CM293" s="582">
        <f t="shared" si="537"/>
        <v>1424</v>
      </c>
      <c r="CN293" s="582">
        <f t="shared" si="537"/>
        <v>1495</v>
      </c>
      <c r="CO293" s="582">
        <f t="shared" si="537"/>
        <v>1574</v>
      </c>
      <c r="CP293" s="582">
        <f t="shared" si="537"/>
        <v>1661</v>
      </c>
      <c r="CQ293" s="582">
        <f t="shared" si="537"/>
        <v>1759</v>
      </c>
      <c r="CR293" s="582">
        <f t="shared" si="537"/>
        <v>1869</v>
      </c>
      <c r="CS293" s="582">
        <f t="shared" si="537"/>
        <v>1994</v>
      </c>
      <c r="CT293" s="582">
        <f t="shared" si="537"/>
        <v>2136</v>
      </c>
      <c r="CU293" s="582">
        <f t="shared" si="537"/>
        <v>2300</v>
      </c>
      <c r="CV293" s="582">
        <f t="shared" si="537"/>
        <v>2492</v>
      </c>
      <c r="CW293" s="582">
        <f t="shared" si="537"/>
        <v>2719</v>
      </c>
      <c r="CX293" s="582">
        <f t="shared" si="537"/>
        <v>2991</v>
      </c>
      <c r="CY293" s="582">
        <f t="shared" si="537"/>
        <v>3323</v>
      </c>
      <c r="CZ293" s="582">
        <f t="shared" si="537"/>
        <v>3739</v>
      </c>
      <c r="DA293" s="582">
        <f t="shared" si="537"/>
        <v>4273</v>
      </c>
      <c r="DB293" s="582">
        <f t="shared" si="537"/>
        <v>4985</v>
      </c>
      <c r="DC293" s="582">
        <f t="shared" si="537"/>
        <v>5982</v>
      </c>
      <c r="DD293" s="582">
        <f t="shared" si="537"/>
        <v>7478</v>
      </c>
      <c r="DE293" s="582">
        <f t="shared" si="537"/>
        <v>9970</v>
      </c>
      <c r="DF293" s="602">
        <f t="shared" si="537"/>
        <v>14956</v>
      </c>
      <c r="DG293" s="575"/>
      <c r="DH293" s="575" t="str">
        <f t="shared" si="46"/>
        <v/>
      </c>
      <c r="DI293" s="74" t="str">
        <f t="shared" si="47"/>
        <v/>
      </c>
      <c r="DJ293" s="74" t="str">
        <f t="shared" si="48"/>
        <v/>
      </c>
      <c r="DK293" s="623" t="str">
        <f t="shared" si="49"/>
        <v/>
      </c>
      <c r="DL293" s="74"/>
      <c r="DM293" s="74"/>
      <c r="DN293" s="582">
        <f t="shared" si="526"/>
        <v>1.5</v>
      </c>
      <c r="DO293" s="575"/>
      <c r="DP293" s="61" t="s">
        <v>1487</v>
      </c>
    </row>
    <row r="294">
      <c r="A294" s="764">
        <v>288.0</v>
      </c>
      <c r="B294" s="765">
        <v>227.0</v>
      </c>
      <c r="C294" s="766">
        <v>44.0</v>
      </c>
      <c r="D294" s="766">
        <v>56.0</v>
      </c>
      <c r="E294" s="767"/>
      <c r="F294" s="768" t="s">
        <v>2369</v>
      </c>
      <c r="G294" s="767"/>
      <c r="H294" s="768">
        <f t="shared" si="478"/>
        <v>11.5</v>
      </c>
      <c r="I294" s="767"/>
      <c r="J294" s="767"/>
      <c r="K294" s="767"/>
      <c r="L294" s="767"/>
      <c r="M294" s="776"/>
      <c r="N294" s="767" t="s">
        <v>1531</v>
      </c>
      <c r="O294" s="770" t="s">
        <v>2373</v>
      </c>
      <c r="P294" s="919" t="s">
        <v>2243</v>
      </c>
      <c r="Q294" s="771" t="s">
        <v>1676</v>
      </c>
      <c r="R294" s="771" t="s">
        <v>1314</v>
      </c>
      <c r="S294" s="800" t="s">
        <v>1486</v>
      </c>
      <c r="T294" s="772" t="s">
        <v>1532</v>
      </c>
      <c r="U294" s="766">
        <v>85.0</v>
      </c>
      <c r="V294" s="766">
        <v>64.0</v>
      </c>
      <c r="W294" s="766">
        <v>118.0</v>
      </c>
      <c r="X294" s="773">
        <v>118.0</v>
      </c>
      <c r="Y294" s="766">
        <v>3.0</v>
      </c>
      <c r="Z294" s="766">
        <v>0.0</v>
      </c>
      <c r="AA294" s="766">
        <v>2.0</v>
      </c>
      <c r="AB294" s="766">
        <v>136.0</v>
      </c>
      <c r="AC294" s="766">
        <v>18002.0</v>
      </c>
      <c r="AD294" s="766">
        <v>2.0</v>
      </c>
      <c r="AE294" s="766">
        <v>75.0</v>
      </c>
      <c r="AF294" s="766">
        <v>75.0</v>
      </c>
      <c r="AG294" s="766">
        <v>55.0</v>
      </c>
      <c r="AH294" s="766">
        <v>70.0</v>
      </c>
      <c r="AI294" s="775">
        <f t="shared" si="12"/>
        <v>62.5</v>
      </c>
      <c r="AJ294" s="767"/>
      <c r="AK294" s="767"/>
      <c r="AL294" s="767"/>
      <c r="AM294" s="767"/>
      <c r="AN294" s="767"/>
      <c r="AO294" s="767"/>
      <c r="AP294" s="767"/>
      <c r="AQ294" s="767"/>
      <c r="AR294" s="767"/>
      <c r="AS294" s="776"/>
      <c r="AT294" s="768">
        <f t="shared" si="13"/>
        <v>1365</v>
      </c>
      <c r="AU294" s="768">
        <f t="shared" si="14"/>
        <v>1666</v>
      </c>
      <c r="AV294" s="777">
        <f t="shared" si="15"/>
        <v>1515.5</v>
      </c>
      <c r="AW294" s="767"/>
      <c r="AX294" s="778">
        <f t="shared" si="484"/>
        <v>2706</v>
      </c>
      <c r="AY294" s="767"/>
      <c r="AZ294" s="767"/>
      <c r="BA294" s="767"/>
      <c r="BB294" s="767"/>
      <c r="BC294" s="767"/>
      <c r="BD294" s="767"/>
      <c r="BE294" s="767"/>
      <c r="BF294" s="767"/>
      <c r="BG294" s="767"/>
      <c r="BH294" s="767"/>
      <c r="BI294" s="778">
        <f t="shared" si="494"/>
        <v>2914</v>
      </c>
      <c r="BJ294" s="767"/>
      <c r="BK294" s="767"/>
      <c r="BL294" s="767"/>
      <c r="BM294" s="767"/>
      <c r="BN294" s="767"/>
      <c r="BO294" s="767"/>
      <c r="BP294" s="776" t="str">
        <f t="shared" si="33"/>
        <v/>
      </c>
      <c r="BQ294" s="780">
        <v>40.0</v>
      </c>
      <c r="BR294" s="780">
        <v>51.0</v>
      </c>
      <c r="BS294" s="781"/>
      <c r="BT294" s="780">
        <v>75.0</v>
      </c>
      <c r="BU294" s="780">
        <v>75.0</v>
      </c>
      <c r="BV294" s="782">
        <f t="shared" si="34"/>
        <v>45.5</v>
      </c>
      <c r="BW294" s="783">
        <f t="shared" si="35"/>
        <v>1416</v>
      </c>
      <c r="BX294" s="781"/>
      <c r="BY294" s="784">
        <f t="shared" si="498"/>
        <v>2528.6</v>
      </c>
      <c r="BZ294" s="781"/>
      <c r="CA294" s="781"/>
      <c r="CB294" s="781"/>
      <c r="CC294" s="781"/>
      <c r="CD294" s="781"/>
      <c r="CE294" s="785">
        <f t="shared" si="43"/>
        <v>37.4</v>
      </c>
      <c r="CF294" s="802">
        <f t="shared" si="248"/>
        <v>7</v>
      </c>
      <c r="CG294" s="787">
        <f t="shared" si="517"/>
        <v>7</v>
      </c>
      <c r="CH294" s="776" t="s">
        <v>1531</v>
      </c>
      <c r="CI294" s="778">
        <f t="shared" ref="CI294:DF294" si="538">FLOOR($AV294/(CI$3/25),1)</f>
        <v>1515</v>
      </c>
      <c r="CJ294" s="778">
        <f t="shared" si="538"/>
        <v>1578</v>
      </c>
      <c r="CK294" s="778">
        <f t="shared" si="538"/>
        <v>1647</v>
      </c>
      <c r="CL294" s="778">
        <f t="shared" si="538"/>
        <v>1722</v>
      </c>
      <c r="CM294" s="778">
        <f t="shared" si="538"/>
        <v>1804</v>
      </c>
      <c r="CN294" s="778">
        <f t="shared" si="538"/>
        <v>1894</v>
      </c>
      <c r="CO294" s="778">
        <f t="shared" si="538"/>
        <v>1994</v>
      </c>
      <c r="CP294" s="778">
        <f t="shared" si="538"/>
        <v>2104</v>
      </c>
      <c r="CQ294" s="778">
        <f t="shared" si="538"/>
        <v>2228</v>
      </c>
      <c r="CR294" s="778">
        <f t="shared" si="538"/>
        <v>2367</v>
      </c>
      <c r="CS294" s="778">
        <f t="shared" si="538"/>
        <v>2525</v>
      </c>
      <c r="CT294" s="778">
        <f t="shared" si="538"/>
        <v>2706</v>
      </c>
      <c r="CU294" s="778">
        <f t="shared" si="538"/>
        <v>2914</v>
      </c>
      <c r="CV294" s="778">
        <f t="shared" si="538"/>
        <v>3157</v>
      </c>
      <c r="CW294" s="778">
        <f t="shared" si="538"/>
        <v>3444</v>
      </c>
      <c r="CX294" s="778">
        <f t="shared" si="538"/>
        <v>3788</v>
      </c>
      <c r="CY294" s="778">
        <f t="shared" si="538"/>
        <v>4209</v>
      </c>
      <c r="CZ294" s="778">
        <f t="shared" si="538"/>
        <v>4735</v>
      </c>
      <c r="DA294" s="778">
        <f t="shared" si="538"/>
        <v>5412</v>
      </c>
      <c r="DB294" s="778">
        <f t="shared" si="538"/>
        <v>6314</v>
      </c>
      <c r="DC294" s="778">
        <f t="shared" si="538"/>
        <v>7577</v>
      </c>
      <c r="DD294" s="778">
        <f t="shared" si="538"/>
        <v>9471</v>
      </c>
      <c r="DE294" s="778">
        <f t="shared" si="538"/>
        <v>12629</v>
      </c>
      <c r="DF294" s="779">
        <f t="shared" si="538"/>
        <v>18943</v>
      </c>
      <c r="DG294" s="776"/>
      <c r="DH294" s="776" t="str">
        <f t="shared" si="46"/>
        <v/>
      </c>
      <c r="DI294" s="767" t="str">
        <f t="shared" si="47"/>
        <v/>
      </c>
      <c r="DJ294" s="767" t="str">
        <f t="shared" si="48"/>
        <v/>
      </c>
      <c r="DK294" s="803" t="str">
        <f t="shared" si="49"/>
        <v/>
      </c>
      <c r="DL294" s="767"/>
      <c r="DM294" s="767"/>
      <c r="DN294" s="778">
        <f t="shared" si="526"/>
        <v>1.5</v>
      </c>
      <c r="DO294" s="776"/>
      <c r="DP294" s="874" t="s">
        <v>1487</v>
      </c>
    </row>
    <row r="295">
      <c r="A295" s="552">
        <v>289.0</v>
      </c>
      <c r="B295" s="86">
        <v>16.0</v>
      </c>
      <c r="C295" s="54">
        <v>6.0</v>
      </c>
      <c r="D295" s="54">
        <v>11.0</v>
      </c>
      <c r="E295" s="74"/>
      <c r="F295" s="68" t="s">
        <v>1246</v>
      </c>
      <c r="G295" s="68">
        <f t="shared" ref="G295:G330" si="540">IF($E295=1,16,IF($F295="1hs",16,IF($F295="1ht",15,IF($F295="2hs",20,IF($F295="2ht",18,IF($F295="bow",14,IF($F295="hth",13,IF($F295="stf",20,IF($F295="xbw",20,0)))))))))</f>
        <v>16</v>
      </c>
      <c r="H295" s="68">
        <f t="shared" si="478"/>
        <v>15</v>
      </c>
      <c r="I295" s="68">
        <f t="shared" ref="I295:I330" si="541">IF($E295=1,16,IF($F295="1hs",16,IF($F295="1ht",16,IF($F295="1js",16,IF($F295="1jt",16,IF($F295="1ss",16,IF($F295="1st",16,IF($F295="2hs",18,IF($F295="2ht",19,IF($F295="bow",15,IF($F295="hth",12,IF($F295="stf",19,IF($F295="xbw",20,0)))))))))))))</f>
        <v>16</v>
      </c>
      <c r="J295" s="68">
        <f t="shared" ref="J295:J330" si="542">IF($E295=1,18,IF($F295="1hs",19,IF($F295="1ht",19,IF($F295="2hs",21,IF($F295="2ht",23,IF($F295="bow",16,IF($F295="hth",16,IF($F295="stf",17,IF($F295="xbw",20,0)))))))))</f>
        <v>19</v>
      </c>
      <c r="K295" s="68">
        <f t="shared" ref="K295:K330" si="543">IF($E295=1,20,IF($F295="1hs",19,IF($F295="1ht",19,IF($F295="2hs",23,IF($F295="2ht",24,IF($F295="bow",18,IF($F295="hth",15,IF($F295="stf",20,IF($F295="xbw",20,0)))))))))</f>
        <v>19</v>
      </c>
      <c r="L295" s="68">
        <f t="shared" ref="L295:L330" si="544">IF($E295=1,16,IF($F295="1hs",15,IF($F295="1ht",17,IF($F295="2hs",18.5,IF($F295="2ht",20,IF($F295="bow",16,IF($F295="hth",14,IF($F295="stf",18,IF($F295="xbw",20,0)))))))))</f>
        <v>15</v>
      </c>
      <c r="M295" s="569">
        <f t="shared" ref="M295:M345" si="545">IF($E295=1,20,IF($F295="1hs",20,IF($F295="1ht",19,IF($F295="2hs",24,IF($F295="2ht",23,IF($F295="bow",17,IF($F295="hth",16,IF($F295="stf",18,IF($F295="xbw",20,0)))))))))</f>
        <v>20</v>
      </c>
      <c r="N295" s="74" t="s">
        <v>656</v>
      </c>
      <c r="O295" s="570" t="s">
        <v>2096</v>
      </c>
      <c r="P295" s="571"/>
      <c r="Q295" s="571" t="s">
        <v>1313</v>
      </c>
      <c r="R295" s="571" t="s">
        <v>1314</v>
      </c>
      <c r="S295" s="791" t="s">
        <v>1539</v>
      </c>
      <c r="T295" s="572" t="s">
        <v>1534</v>
      </c>
      <c r="U295" s="54">
        <v>3.0</v>
      </c>
      <c r="V295" s="54">
        <v>0.0</v>
      </c>
      <c r="W295" s="54">
        <v>25.0</v>
      </c>
      <c r="X295" s="74"/>
      <c r="Y295" s="573">
        <v>2.0</v>
      </c>
      <c r="Z295" s="54">
        <v>0.0</v>
      </c>
      <c r="AA295" s="54">
        <v>2.0</v>
      </c>
      <c r="AB295" s="54">
        <v>100.0</v>
      </c>
      <c r="AC295" s="54">
        <v>350.0</v>
      </c>
      <c r="AD295" s="54">
        <v>2.0</v>
      </c>
      <c r="AE295" s="54">
        <v>100.0</v>
      </c>
      <c r="AF295" s="74"/>
      <c r="AG295" s="54">
        <v>6.0</v>
      </c>
      <c r="AH295" s="54">
        <v>11.0</v>
      </c>
      <c r="AI295" s="574">
        <f t="shared" si="12"/>
        <v>8.5</v>
      </c>
      <c r="AJ295" s="74"/>
      <c r="AK295" s="74"/>
      <c r="AL295" s="74"/>
      <c r="AM295" s="74"/>
      <c r="AN295" s="74"/>
      <c r="AO295" s="74"/>
      <c r="AP295" s="74"/>
      <c r="AQ295" s="74"/>
      <c r="AR295" s="74"/>
      <c r="AS295" s="575"/>
      <c r="AT295" s="68">
        <f t="shared" si="13"/>
        <v>332</v>
      </c>
      <c r="AU295" s="68">
        <f t="shared" si="14"/>
        <v>417</v>
      </c>
      <c r="AV295" s="581">
        <f t="shared" si="15"/>
        <v>374.5</v>
      </c>
      <c r="AW295" s="582">
        <f t="shared" ref="AW295:AW330" si="546">ROUND($AV295*25/(CEILING(($G295*256)/FLOOR(256*MIN(175,MAX(15,100+IF(AS295="",$AS$1,AS295)+FLOOR((120*IF(AQ295="",$AQ$1,AQ295))/(120+IF(AQ295="",$AQ$1,AQ295)),1)-$Z295))/100,1),1)-1),0)</f>
        <v>624</v>
      </c>
      <c r="AX295" s="582">
        <f t="shared" si="484"/>
        <v>669</v>
      </c>
      <c r="AY295" s="582">
        <f t="shared" ref="AY295:AY330" si="547">ROUND($AV295*25/(CEILING(($I295*256)/FLOOR(256*MIN(175,MAX(15,100+IF(AS295="",$AS$1,AS295)+FLOOR((120*IF(AQ295="",$AQ$1,AQ295))/(120+IF(AQ295="",$AQ$1,AQ295)),1)-$Z295))/100,1),1)-1),0)</f>
        <v>624</v>
      </c>
      <c r="AZ295" s="582">
        <f t="shared" ref="AZ295:AZ330" si="548">ROUND($AV295*25/(CEILING(($L295*256)/FLOOR(256*MIN(175,MAX(15,100+IF(AS295="",$AS$1,AS295)+FLOOR((120*IF(AQ295="",$AQ$1,AQ295))/(120+IF(AQ295="",$AQ$1,AQ295)),1)-$Z295))/100,1),1)-1),0)</f>
        <v>669</v>
      </c>
      <c r="BA295" s="582">
        <f t="shared" ref="BA295:BA330" si="549">ROUND($AV295*25/(CEILING(($K295*256)/FLOOR(256*MIN(175,MAX(15,100+IF(AS295="",$AS$1,AS295)+FLOOR((120*IF(AQ295="",$AQ$1,AQ295))/(120+IF(AQ295="",$AQ$1,AQ295)),1)-$Z295))/100,1),1)-1),0)</f>
        <v>520</v>
      </c>
      <c r="BB295" s="582">
        <f t="shared" ref="BB295:BB345" si="550">ROUND($AV295*25/(CEILING(($M295*256)/FLOOR(256*MIN(175,MAX(15,100+IF(AS295="",$AS$1,AS295)+FLOOR((120*IF(AQ295="",$AQ$1,AQ295))/(120+IF(AQ295="",$AQ$1,AQ295)),1)-$Z295))/100,1),1)-1),0)</f>
        <v>493</v>
      </c>
      <c r="BC295" s="582">
        <f t="shared" ref="BC295:BC330" si="551">ROUND($AV295*25/(CEILING(($J295*256)/FLOOR(256*MIN(175,MAX(15,100+IF(AS295="",$AS$1,AS295)+FLOOR((120*IF(AQ295="",$AQ$1,AQ295))/(120+IF(AQ295="",$AQ$1,AQ295)),1)-$Z295))/100,1),1)-1),0)</f>
        <v>520</v>
      </c>
      <c r="BD295" s="582">
        <f t="shared" ref="BD295:BD330" si="552">ROUND($AV295*25/(CEILING((13*256)/FLOOR(FLOOR(256*9/FLOOR(256*IF($F295="2hs",19,J295)/FLOOR((100+IF($AR295="",$AR$1,$AR295)-$Z295)*256/100,1),1),1)*MIN(175,MAX(15,100+IF($AS295="",$AS$1,$AS295)+FLOOR((120*IF($AQ295="",$AQ$1,$AQ295))/(120+IF($AQ295="",$AQ$1,$AQ295)),1)-$Z295))/100,1),1)-1),0)</f>
        <v>347</v>
      </c>
      <c r="BE295" s="582">
        <f t="shared" ref="BE295:BE330" si="553">ROUND($AV295*25/(CEILING((12*256)/FLOOR(FLOOR(256*10/FLOOR(256*IF($F295="2hs",19,J295)/FLOOR((100+IF($AR295="",$AR$1,$AR295)-$Z295)*256/100,1),1),1)*MIN(175,MAX(15,100+IF($AS295="",$AS$1,$AS295)+FLOOR((120*IF($AQ295="",$AQ$1,$AQ295))/(120+IF($AQ295="",$AQ$1,$AQ295)),1)-$Z295))/100,1),1)-1),0)</f>
        <v>426</v>
      </c>
      <c r="BF295" s="582">
        <f t="shared" ref="BF295:BF330" si="554">ROUND($AV295*25/(CEILING((13*256)/FLOOR(FLOOR(256*9/FLOOR(256*IF($F295="2hs",16,I295)/FLOOR((100+IF($AR295="",$AR$1,$AR295)-$Z295)*256/100,1),1),1)*MIN(175,MAX(15,100+IF($AS295="",$AS$1,$AS295)+FLOOR((120*IF($AQ295="",$AQ$1,$AQ295))/(120+IF($AQ295="",$AQ$1,$AQ295)),1)-$Z295))/100,1),1)-1),0)</f>
        <v>407</v>
      </c>
      <c r="BG295" s="582">
        <f t="shared" ref="BG295:BG330" si="555">ROUND($AV295*25/(CEILING((12*256)/FLOOR(FLOOR(256*10/FLOOR(256*IF($F295="2hs",16,I295)/FLOOR((100+IF($AR295="",$AR$1,$AR295)-$Z295)*256/100,1),1),1)*MIN(175,MAX(15,100+IF($AS295="",$AS$1,$AS295)+FLOOR((120*IF($AQ295="",$AQ$1,$AQ295))/(120+IF($AQ295="",$AQ$1,$AQ295)),1)-$Z295))/100,1),1)-1),0)</f>
        <v>493</v>
      </c>
      <c r="BH295" s="582">
        <f t="shared" ref="BH295:BH330" si="556">ROUND($AV295*25/(CEILING((12*256)/FLOOR(FLOOR(256*10/FLOOR(256*IF($F295="2hs",16,G295)/FLOOR((100+IF($AR295="",$AR$1,$AR295)-$Z295)*256/100,1),1),1)*MIN(175,MAX(15,100+IF($AS295="",$AS$1,$AS295)+FLOOR((120*IF($AQ295="",$AQ$1,$AQ295))/(120+IF($AQ295="",$AQ$1,$AQ295)),1)-$Z295))/100,1),1)-1),0)</f>
        <v>493</v>
      </c>
      <c r="BI295" s="582">
        <f t="shared" si="494"/>
        <v>520</v>
      </c>
      <c r="BJ295" s="582">
        <f t="shared" ref="BJ295:BJ330" si="557">ROUND($AV295*25/(CEILING((12*256)/FLOOR(FLOOR(256*10/FLOOR(256*IF($F295="2hs",15,L295)/FLOOR((100+IF($AR295="",$AR$1,$AR295)-$Z295)*256/100,1),1),1)*MIN(175,MAX(15,100+IF($AS295="",$AS$1,$AS295)+FLOOR((120*IF($AQ295="",$AQ$1,$AQ295))/(120+IF($AQ295="",$AQ$1,$AQ295)),1)-$Z295))/100,1),1)-1),0)</f>
        <v>520</v>
      </c>
      <c r="BK295" s="582">
        <f t="shared" ref="BK295:BK330" si="558">ROUND($AV295*25/(CEILING((12*256)/FLOOR(FLOOR(256*10/FLOOR(256*IF($F295="2hs",19,K295)/FLOOR((100+IF($AR295="",$AR$1,$AR295)-$Z295)*256/100,1),1),1)*MIN(175,MAX(15,100+IF($AS295="",$AS$1,$AS295)+FLOOR((120*IF($AQ295="",$AQ$1,$AQ295))/(120+IF($AQ295="",$AQ$1,$AQ295)),1)-$Z295))/100,1),1)-1),0)</f>
        <v>426</v>
      </c>
      <c r="BL295" s="582">
        <f t="shared" ref="BL295:BL345" si="559">ROUND($AV295*25/(CEILING((12*256)/FLOOR(FLOOR(256*10/FLOOR(256*IF($F295="2hs",20,M295)/FLOOR((100+IF($AR295="",$AR$1,$AR295)-$Z295)*256/100,1),1),1)*MIN(175,MAX(15,100+IF($AS295="",$AS$1,$AS295)+FLOOR((120*IF($AQ295="",$AQ$1,$AQ295))/(120+IF($AQ295="",$AQ$1,$AQ295)),1)-$Z295))/100,1),1)-1),0)</f>
        <v>407</v>
      </c>
      <c r="BM295" s="74"/>
      <c r="BN295" s="74"/>
      <c r="BO295" s="74"/>
      <c r="BP295" s="575" t="str">
        <f t="shared" si="33"/>
        <v/>
      </c>
      <c r="BQ295" s="54">
        <v>6.0</v>
      </c>
      <c r="BR295" s="54">
        <v>11.0</v>
      </c>
      <c r="BS295" s="74"/>
      <c r="BT295" s="54">
        <v>100.0</v>
      </c>
      <c r="BU295" s="74"/>
      <c r="BV295" s="83">
        <f t="shared" si="34"/>
        <v>8.5</v>
      </c>
      <c r="BW295" s="608">
        <f t="shared" si="35"/>
        <v>451.8</v>
      </c>
      <c r="BX295" s="582">
        <f t="shared" ref="BX295:BX330" si="560">ROUND($BW295*25/(CEILING(($G295*256)/FLOOR(256*MIN(175,MAX(15,100+$AS$1+FLOOR((120*$AQ$1)/(120+$AQ$1),1)-$BS295-30*$E295))/100,1),1)-1),1)</f>
        <v>753</v>
      </c>
      <c r="BY295" s="582">
        <f t="shared" si="498"/>
        <v>806.8</v>
      </c>
      <c r="BZ295" s="582">
        <f t="shared" ref="BZ295:BZ330" si="561">ROUND($BW295*25/(CEILING(($I295*256)/FLOOR(256*MIN(175,MAX(15,100+$AS$1+FLOOR((120*$AQ$1)/(120+$AQ$1),1)-$BS295-30*$E295))/100,1),1)-1),1)</f>
        <v>753</v>
      </c>
      <c r="CA295" s="582">
        <f t="shared" ref="CA295:CA330" si="562">ROUND($BW295*25/(CEILING(($J295*256)/FLOOR(256*MIN(175,MAX(15,100+$AS$1+FLOOR((120*$AQ$1)/(120+$AQ$1),1)-$BS295-30*$E295))/100,1),1)-1),1)</f>
        <v>627.5</v>
      </c>
      <c r="CB295" s="582">
        <f t="shared" ref="CB295:CB330" si="563">ROUND($BW295*25/(CEILING(($K295*256)/FLOOR(256*MIN(175,MAX(15,100+$AS$1+FLOOR((120*$AQ$1)/(120+$AQ$1),1)-$BS295-30*$E295))/100,1),1)-1),1)</f>
        <v>627.5</v>
      </c>
      <c r="CC295" s="582">
        <f t="shared" ref="CC295:CC330" si="564">ROUND($BW295*25/(CEILING(($L295*256)/FLOOR(256*MIN(175,MAX(15,100+$AS$1+FLOOR((120*$AQ$1)/(120+$AQ$1),1)-$BS295-30*$E295))/100,1),1)-1),1)</f>
        <v>806.8</v>
      </c>
      <c r="CD295" s="582">
        <f t="shared" ref="CD295:CD345" si="565">ROUND($BW295*25/(CEILING(($M295*256)/FLOOR(256*MIN(175,MAX(15,100+$AS$1+FLOOR((120*$AQ$1)/(120+$AQ$1),1)-$BS295-30*$E295))/100,1),1)-1),1)</f>
        <v>594.5</v>
      </c>
      <c r="CE295" s="623" t="str">
        <f t="shared" si="43"/>
        <v/>
      </c>
      <c r="CF295" s="74">
        <f t="shared" si="248"/>
        <v>-17.1</v>
      </c>
      <c r="CG295" s="552">
        <f t="shared" ref="CG295:CG330" si="566">IF(ROUND(100*(AW295/BX295)-100,1)=0,"",ROUND(100*(AW295/BX295)-100,1))</f>
        <v>-17.1</v>
      </c>
      <c r="CH295" s="575" t="s">
        <v>656</v>
      </c>
      <c r="CI295" s="582">
        <f t="shared" ref="CI295:DF295" si="539">FLOOR($AV295/(CI$3/25),1)</f>
        <v>374</v>
      </c>
      <c r="CJ295" s="582">
        <f t="shared" si="539"/>
        <v>390</v>
      </c>
      <c r="CK295" s="582">
        <f t="shared" si="539"/>
        <v>407</v>
      </c>
      <c r="CL295" s="582">
        <f t="shared" si="539"/>
        <v>425</v>
      </c>
      <c r="CM295" s="582">
        <f t="shared" si="539"/>
        <v>445</v>
      </c>
      <c r="CN295" s="582">
        <f t="shared" si="539"/>
        <v>468</v>
      </c>
      <c r="CO295" s="582">
        <f t="shared" si="539"/>
        <v>492</v>
      </c>
      <c r="CP295" s="582">
        <f t="shared" si="539"/>
        <v>520</v>
      </c>
      <c r="CQ295" s="582">
        <f t="shared" si="539"/>
        <v>550</v>
      </c>
      <c r="CR295" s="582">
        <f t="shared" si="539"/>
        <v>585</v>
      </c>
      <c r="CS295" s="582">
        <f t="shared" si="539"/>
        <v>624</v>
      </c>
      <c r="CT295" s="582">
        <f t="shared" si="539"/>
        <v>668</v>
      </c>
      <c r="CU295" s="582">
        <f t="shared" si="539"/>
        <v>720</v>
      </c>
      <c r="CV295" s="582">
        <f t="shared" si="539"/>
        <v>780</v>
      </c>
      <c r="CW295" s="582">
        <f t="shared" si="539"/>
        <v>851</v>
      </c>
      <c r="CX295" s="582">
        <f t="shared" si="539"/>
        <v>936</v>
      </c>
      <c r="CY295" s="582">
        <f t="shared" si="539"/>
        <v>1040</v>
      </c>
      <c r="CZ295" s="582">
        <f t="shared" si="539"/>
        <v>1170</v>
      </c>
      <c r="DA295" s="582">
        <f t="shared" si="539"/>
        <v>1337</v>
      </c>
      <c r="DB295" s="582">
        <f t="shared" si="539"/>
        <v>1560</v>
      </c>
      <c r="DC295" s="582">
        <f t="shared" si="539"/>
        <v>1872</v>
      </c>
      <c r="DD295" s="582">
        <f t="shared" si="539"/>
        <v>2340</v>
      </c>
      <c r="DE295" s="582">
        <f t="shared" si="539"/>
        <v>3120</v>
      </c>
      <c r="DF295" s="602">
        <f t="shared" si="539"/>
        <v>4681</v>
      </c>
      <c r="DG295" s="575"/>
      <c r="DH295" s="575" t="str">
        <f t="shared" si="46"/>
        <v/>
      </c>
      <c r="DI295" s="74" t="str">
        <f t="shared" si="47"/>
        <v/>
      </c>
      <c r="DJ295" s="74" t="str">
        <f t="shared" si="48"/>
        <v/>
      </c>
      <c r="DK295" s="792" t="str">
        <f t="shared" si="49"/>
        <v/>
      </c>
      <c r="DL295" s="793"/>
      <c r="DM295" s="793"/>
      <c r="DN295" s="793"/>
      <c r="DO295" s="575"/>
      <c r="DP295" s="61" t="s">
        <v>1540</v>
      </c>
    </row>
    <row r="296">
      <c r="A296" s="552">
        <v>290.0</v>
      </c>
      <c r="B296" s="86">
        <v>17.0</v>
      </c>
      <c r="C296" s="54">
        <v>8.0</v>
      </c>
      <c r="D296" s="54">
        <v>18.0</v>
      </c>
      <c r="E296" s="74"/>
      <c r="F296" s="68" t="s">
        <v>1246</v>
      </c>
      <c r="G296" s="68">
        <f t="shared" si="540"/>
        <v>16</v>
      </c>
      <c r="H296" s="68">
        <f t="shared" si="478"/>
        <v>15</v>
      </c>
      <c r="I296" s="68">
        <f t="shared" si="541"/>
        <v>16</v>
      </c>
      <c r="J296" s="68">
        <f t="shared" si="542"/>
        <v>19</v>
      </c>
      <c r="K296" s="68">
        <f t="shared" si="543"/>
        <v>19</v>
      </c>
      <c r="L296" s="68">
        <f t="shared" si="544"/>
        <v>15</v>
      </c>
      <c r="M296" s="569">
        <f t="shared" si="545"/>
        <v>20</v>
      </c>
      <c r="N296" s="74" t="s">
        <v>1542</v>
      </c>
      <c r="O296" s="570" t="s">
        <v>2097</v>
      </c>
      <c r="P296" s="639" t="s">
        <v>2161</v>
      </c>
      <c r="Q296" s="571" t="s">
        <v>1313</v>
      </c>
      <c r="R296" s="571" t="s">
        <v>1314</v>
      </c>
      <c r="S296" s="791" t="s">
        <v>1539</v>
      </c>
      <c r="T296" s="572" t="s">
        <v>1543</v>
      </c>
      <c r="U296" s="54">
        <v>15.0</v>
      </c>
      <c r="V296" s="54">
        <v>0.0</v>
      </c>
      <c r="W296" s="54">
        <v>37.0</v>
      </c>
      <c r="X296" s="74"/>
      <c r="Y296" s="54">
        <v>3.0</v>
      </c>
      <c r="Z296" s="54">
        <v>10.0</v>
      </c>
      <c r="AA296" s="54">
        <v>2.0</v>
      </c>
      <c r="AB296" s="54">
        <v>120.0</v>
      </c>
      <c r="AC296" s="54">
        <v>1109.0</v>
      </c>
      <c r="AD296" s="54">
        <v>4.0</v>
      </c>
      <c r="AE296" s="54">
        <v>100.0</v>
      </c>
      <c r="AF296" s="74"/>
      <c r="AG296" s="54">
        <v>8.0</v>
      </c>
      <c r="AH296" s="54">
        <v>18.0</v>
      </c>
      <c r="AI296" s="574">
        <f t="shared" si="12"/>
        <v>13</v>
      </c>
      <c r="AJ296" s="74"/>
      <c r="AK296" s="74"/>
      <c r="AL296" s="74"/>
      <c r="AM296" s="74"/>
      <c r="AN296" s="74"/>
      <c r="AO296" s="74"/>
      <c r="AP296" s="74"/>
      <c r="AQ296" s="74"/>
      <c r="AR296" s="74"/>
      <c r="AS296" s="575"/>
      <c r="AT296" s="68">
        <f t="shared" si="13"/>
        <v>366</v>
      </c>
      <c r="AU296" s="68">
        <f t="shared" si="14"/>
        <v>536</v>
      </c>
      <c r="AV296" s="581">
        <f t="shared" si="15"/>
        <v>451</v>
      </c>
      <c r="AW296" s="582">
        <f t="shared" si="546"/>
        <v>663</v>
      </c>
      <c r="AX296" s="582">
        <f t="shared" si="484"/>
        <v>705</v>
      </c>
      <c r="AY296" s="582">
        <f t="shared" si="547"/>
        <v>663</v>
      </c>
      <c r="AZ296" s="582">
        <f t="shared" si="548"/>
        <v>705</v>
      </c>
      <c r="BA296" s="582">
        <f t="shared" si="549"/>
        <v>537</v>
      </c>
      <c r="BB296" s="582">
        <f t="shared" si="550"/>
        <v>513</v>
      </c>
      <c r="BC296" s="582">
        <f t="shared" si="551"/>
        <v>537</v>
      </c>
      <c r="BD296" s="582">
        <f t="shared" si="552"/>
        <v>342</v>
      </c>
      <c r="BE296" s="582">
        <f t="shared" si="553"/>
        <v>403</v>
      </c>
      <c r="BF296" s="582">
        <f t="shared" si="554"/>
        <v>418</v>
      </c>
      <c r="BG296" s="582">
        <f t="shared" si="555"/>
        <v>513</v>
      </c>
      <c r="BH296" s="582">
        <f t="shared" si="556"/>
        <v>513</v>
      </c>
      <c r="BI296" s="582">
        <f t="shared" si="494"/>
        <v>537</v>
      </c>
      <c r="BJ296" s="582">
        <f t="shared" si="557"/>
        <v>537</v>
      </c>
      <c r="BK296" s="582">
        <f t="shared" si="558"/>
        <v>403</v>
      </c>
      <c r="BL296" s="582">
        <f t="shared" si="559"/>
        <v>389</v>
      </c>
      <c r="BM296" s="74"/>
      <c r="BN296" s="74"/>
      <c r="BO296" s="74"/>
      <c r="BP296" s="575" t="str">
        <f t="shared" si="33"/>
        <v/>
      </c>
      <c r="BQ296" s="54">
        <v>8.0</v>
      </c>
      <c r="BR296" s="54">
        <v>18.0</v>
      </c>
      <c r="BS296" s="54">
        <v>10.0</v>
      </c>
      <c r="BT296" s="54">
        <v>100.0</v>
      </c>
      <c r="BU296" s="74"/>
      <c r="BV296" s="83">
        <f t="shared" si="34"/>
        <v>13</v>
      </c>
      <c r="BW296" s="608">
        <f t="shared" si="35"/>
        <v>542.9</v>
      </c>
      <c r="BX296" s="582">
        <f t="shared" si="560"/>
        <v>798.4</v>
      </c>
      <c r="BY296" s="582">
        <f t="shared" si="498"/>
        <v>848.3</v>
      </c>
      <c r="BZ296" s="582">
        <f t="shared" si="561"/>
        <v>798.4</v>
      </c>
      <c r="CA296" s="582">
        <f t="shared" si="562"/>
        <v>646.3</v>
      </c>
      <c r="CB296" s="582">
        <f t="shared" si="563"/>
        <v>646.3</v>
      </c>
      <c r="CC296" s="582">
        <f t="shared" si="564"/>
        <v>848.3</v>
      </c>
      <c r="CD296" s="582">
        <f t="shared" si="565"/>
        <v>616.9</v>
      </c>
      <c r="CE296" s="623" t="str">
        <f t="shared" si="43"/>
        <v/>
      </c>
      <c r="CF296" s="74">
        <f t="shared" si="248"/>
        <v>-16.9</v>
      </c>
      <c r="CG296" s="575">
        <f t="shared" si="566"/>
        <v>-17</v>
      </c>
      <c r="CH296" s="575" t="s">
        <v>1542</v>
      </c>
      <c r="CI296" s="582">
        <f t="shared" ref="CI296:DF296" si="567">FLOOR($AV296/(CI$3/25),1)</f>
        <v>451</v>
      </c>
      <c r="CJ296" s="582">
        <f t="shared" si="567"/>
        <v>469</v>
      </c>
      <c r="CK296" s="582">
        <f t="shared" si="567"/>
        <v>490</v>
      </c>
      <c r="CL296" s="582">
        <f t="shared" si="567"/>
        <v>512</v>
      </c>
      <c r="CM296" s="582">
        <f t="shared" si="567"/>
        <v>536</v>
      </c>
      <c r="CN296" s="582">
        <f t="shared" si="567"/>
        <v>563</v>
      </c>
      <c r="CO296" s="582">
        <f t="shared" si="567"/>
        <v>593</v>
      </c>
      <c r="CP296" s="582">
        <f t="shared" si="567"/>
        <v>626</v>
      </c>
      <c r="CQ296" s="582">
        <f t="shared" si="567"/>
        <v>663</v>
      </c>
      <c r="CR296" s="582">
        <f t="shared" si="567"/>
        <v>704</v>
      </c>
      <c r="CS296" s="582">
        <f t="shared" si="567"/>
        <v>751</v>
      </c>
      <c r="CT296" s="582">
        <f t="shared" si="567"/>
        <v>805</v>
      </c>
      <c r="CU296" s="582">
        <f t="shared" si="567"/>
        <v>867</v>
      </c>
      <c r="CV296" s="582">
        <f t="shared" si="567"/>
        <v>939</v>
      </c>
      <c r="CW296" s="582">
        <f t="shared" si="567"/>
        <v>1025</v>
      </c>
      <c r="CX296" s="582">
        <f t="shared" si="567"/>
        <v>1127</v>
      </c>
      <c r="CY296" s="582">
        <f t="shared" si="567"/>
        <v>1252</v>
      </c>
      <c r="CZ296" s="582">
        <f t="shared" si="567"/>
        <v>1409</v>
      </c>
      <c r="DA296" s="582">
        <f t="shared" si="567"/>
        <v>1610</v>
      </c>
      <c r="DB296" s="582">
        <f t="shared" si="567"/>
        <v>1879</v>
      </c>
      <c r="DC296" s="582">
        <f t="shared" si="567"/>
        <v>2255</v>
      </c>
      <c r="DD296" s="582">
        <f t="shared" si="567"/>
        <v>2818</v>
      </c>
      <c r="DE296" s="582">
        <f t="shared" si="567"/>
        <v>3758</v>
      </c>
      <c r="DF296" s="602">
        <f t="shared" si="567"/>
        <v>5637</v>
      </c>
      <c r="DG296" s="575"/>
      <c r="DH296" s="575" t="str">
        <f t="shared" si="46"/>
        <v/>
      </c>
      <c r="DI296" s="74" t="str">
        <f t="shared" si="47"/>
        <v/>
      </c>
      <c r="DJ296" s="74" t="str">
        <f t="shared" si="48"/>
        <v/>
      </c>
      <c r="DK296" s="623" t="str">
        <f t="shared" si="49"/>
        <v/>
      </c>
      <c r="DL296" s="74"/>
      <c r="DM296" s="74"/>
      <c r="DN296" s="74"/>
      <c r="DO296" s="575"/>
      <c r="DP296" s="61" t="s">
        <v>1540</v>
      </c>
    </row>
    <row r="297">
      <c r="A297" s="647">
        <v>291.0</v>
      </c>
      <c r="B297" s="141">
        <v>18.0</v>
      </c>
      <c r="C297" s="129">
        <v>12.0</v>
      </c>
      <c r="D297" s="129">
        <v>19.0</v>
      </c>
      <c r="E297" s="134"/>
      <c r="F297" s="154" t="s">
        <v>1246</v>
      </c>
      <c r="G297" s="154">
        <f t="shared" si="540"/>
        <v>16</v>
      </c>
      <c r="H297" s="154">
        <f t="shared" si="478"/>
        <v>15</v>
      </c>
      <c r="I297" s="154">
        <f t="shared" si="541"/>
        <v>16</v>
      </c>
      <c r="J297" s="154">
        <f t="shared" si="542"/>
        <v>19</v>
      </c>
      <c r="K297" s="154">
        <f t="shared" si="543"/>
        <v>19</v>
      </c>
      <c r="L297" s="154">
        <f t="shared" si="544"/>
        <v>15</v>
      </c>
      <c r="M297" s="648">
        <f t="shared" si="545"/>
        <v>20</v>
      </c>
      <c r="N297" s="134" t="s">
        <v>1548</v>
      </c>
      <c r="O297" s="649" t="s">
        <v>2098</v>
      </c>
      <c r="P297" s="804" t="s">
        <v>2179</v>
      </c>
      <c r="Q297" s="650" t="s">
        <v>1313</v>
      </c>
      <c r="R297" s="650" t="s">
        <v>1314</v>
      </c>
      <c r="S297" s="796" t="s">
        <v>1539</v>
      </c>
      <c r="T297" s="651" t="s">
        <v>1549</v>
      </c>
      <c r="U297" s="129">
        <v>21.0</v>
      </c>
      <c r="V297" s="129">
        <v>0.0</v>
      </c>
      <c r="W297" s="129">
        <v>55.0</v>
      </c>
      <c r="X297" s="134"/>
      <c r="Y297" s="129">
        <v>5.0</v>
      </c>
      <c r="Z297" s="129">
        <v>-10.0</v>
      </c>
      <c r="AA297" s="129">
        <v>2.0</v>
      </c>
      <c r="AB297" s="129">
        <v>140.0</v>
      </c>
      <c r="AC297" s="129">
        <v>2323.0</v>
      </c>
      <c r="AD297" s="129">
        <v>4.0</v>
      </c>
      <c r="AE297" s="129">
        <v>100.0</v>
      </c>
      <c r="AF297" s="134"/>
      <c r="AG297" s="129">
        <v>12.0</v>
      </c>
      <c r="AH297" s="129">
        <v>19.0</v>
      </c>
      <c r="AI297" s="652">
        <f t="shared" si="12"/>
        <v>15.5</v>
      </c>
      <c r="AJ297" s="134"/>
      <c r="AK297" s="134"/>
      <c r="AL297" s="134"/>
      <c r="AM297" s="134"/>
      <c r="AN297" s="134"/>
      <c r="AO297" s="134"/>
      <c r="AP297" s="134"/>
      <c r="AQ297" s="134"/>
      <c r="AR297" s="134"/>
      <c r="AS297" s="653"/>
      <c r="AT297" s="154">
        <f t="shared" si="13"/>
        <v>432</v>
      </c>
      <c r="AU297" s="154">
        <f t="shared" si="14"/>
        <v>551</v>
      </c>
      <c r="AV297" s="654">
        <f t="shared" si="15"/>
        <v>491.5</v>
      </c>
      <c r="AW297" s="655">
        <f t="shared" si="546"/>
        <v>878</v>
      </c>
      <c r="AX297" s="655">
        <f t="shared" si="484"/>
        <v>945</v>
      </c>
      <c r="AY297" s="655">
        <f t="shared" si="547"/>
        <v>878</v>
      </c>
      <c r="AZ297" s="655">
        <f t="shared" si="548"/>
        <v>945</v>
      </c>
      <c r="BA297" s="655">
        <f t="shared" si="549"/>
        <v>723</v>
      </c>
      <c r="BB297" s="655">
        <f t="shared" si="550"/>
        <v>683</v>
      </c>
      <c r="BC297" s="655">
        <f t="shared" si="551"/>
        <v>723</v>
      </c>
      <c r="BD297" s="655">
        <f t="shared" si="552"/>
        <v>559</v>
      </c>
      <c r="BE297" s="655">
        <f t="shared" si="553"/>
        <v>683</v>
      </c>
      <c r="BF297" s="655">
        <f t="shared" si="554"/>
        <v>683</v>
      </c>
      <c r="BG297" s="655">
        <f t="shared" si="555"/>
        <v>819</v>
      </c>
      <c r="BH297" s="655">
        <f t="shared" si="556"/>
        <v>819</v>
      </c>
      <c r="BI297" s="655">
        <f t="shared" si="494"/>
        <v>878</v>
      </c>
      <c r="BJ297" s="655">
        <f t="shared" si="557"/>
        <v>878</v>
      </c>
      <c r="BK297" s="655">
        <f t="shared" si="558"/>
        <v>683</v>
      </c>
      <c r="BL297" s="655">
        <f t="shared" si="559"/>
        <v>647</v>
      </c>
      <c r="BM297" s="134"/>
      <c r="BN297" s="134"/>
      <c r="BO297" s="134"/>
      <c r="BP297" s="653" t="str">
        <f t="shared" si="33"/>
        <v/>
      </c>
      <c r="BQ297" s="129">
        <v>10.0</v>
      </c>
      <c r="BR297" s="129">
        <v>17.0</v>
      </c>
      <c r="BS297" s="129">
        <v>-10.0</v>
      </c>
      <c r="BT297" s="129">
        <v>100.0</v>
      </c>
      <c r="BU297" s="134"/>
      <c r="BV297" s="135">
        <f t="shared" si="34"/>
        <v>13.5</v>
      </c>
      <c r="BW297" s="657">
        <f t="shared" si="35"/>
        <v>553</v>
      </c>
      <c r="BX297" s="655">
        <f t="shared" si="560"/>
        <v>987.5</v>
      </c>
      <c r="BY297" s="655">
        <f t="shared" si="498"/>
        <v>1063.5</v>
      </c>
      <c r="BZ297" s="655">
        <f t="shared" si="561"/>
        <v>987.5</v>
      </c>
      <c r="CA297" s="655">
        <f t="shared" si="562"/>
        <v>813.2</v>
      </c>
      <c r="CB297" s="655">
        <f t="shared" si="563"/>
        <v>813.2</v>
      </c>
      <c r="CC297" s="655">
        <f t="shared" si="564"/>
        <v>1063.5</v>
      </c>
      <c r="CD297" s="655">
        <f t="shared" si="565"/>
        <v>768.1</v>
      </c>
      <c r="CE297" s="659">
        <f t="shared" si="43"/>
        <v>14.8</v>
      </c>
      <c r="CF297" s="141">
        <f t="shared" si="248"/>
        <v>-11.1</v>
      </c>
      <c r="CG297" s="647">
        <f t="shared" si="566"/>
        <v>-11.1</v>
      </c>
      <c r="CH297" s="653" t="s">
        <v>1548</v>
      </c>
      <c r="CI297" s="655">
        <f t="shared" ref="CI297:DF297" si="568">FLOOR($AV297/(CI$3/25),1)</f>
        <v>491</v>
      </c>
      <c r="CJ297" s="655">
        <f t="shared" si="568"/>
        <v>511</v>
      </c>
      <c r="CK297" s="655">
        <f t="shared" si="568"/>
        <v>534</v>
      </c>
      <c r="CL297" s="655">
        <f t="shared" si="568"/>
        <v>558</v>
      </c>
      <c r="CM297" s="655">
        <f t="shared" si="568"/>
        <v>585</v>
      </c>
      <c r="CN297" s="655">
        <f t="shared" si="568"/>
        <v>614</v>
      </c>
      <c r="CO297" s="655">
        <f t="shared" si="568"/>
        <v>646</v>
      </c>
      <c r="CP297" s="655">
        <f t="shared" si="568"/>
        <v>682</v>
      </c>
      <c r="CQ297" s="655">
        <f t="shared" si="568"/>
        <v>722</v>
      </c>
      <c r="CR297" s="655">
        <f t="shared" si="568"/>
        <v>767</v>
      </c>
      <c r="CS297" s="655">
        <f t="shared" si="568"/>
        <v>819</v>
      </c>
      <c r="CT297" s="655">
        <f t="shared" si="568"/>
        <v>877</v>
      </c>
      <c r="CU297" s="655">
        <f t="shared" si="568"/>
        <v>945</v>
      </c>
      <c r="CV297" s="655">
        <f t="shared" si="568"/>
        <v>1023</v>
      </c>
      <c r="CW297" s="655">
        <f t="shared" si="568"/>
        <v>1117</v>
      </c>
      <c r="CX297" s="655">
        <f t="shared" si="568"/>
        <v>1228</v>
      </c>
      <c r="CY297" s="655">
        <f t="shared" si="568"/>
        <v>1365</v>
      </c>
      <c r="CZ297" s="655">
        <f t="shared" si="568"/>
        <v>1535</v>
      </c>
      <c r="DA297" s="655">
        <f t="shared" si="568"/>
        <v>1755</v>
      </c>
      <c r="DB297" s="655">
        <f t="shared" si="568"/>
        <v>2047</v>
      </c>
      <c r="DC297" s="655">
        <f t="shared" si="568"/>
        <v>2457</v>
      </c>
      <c r="DD297" s="655">
        <f t="shared" si="568"/>
        <v>3071</v>
      </c>
      <c r="DE297" s="655">
        <f t="shared" si="568"/>
        <v>4095</v>
      </c>
      <c r="DF297" s="656">
        <f t="shared" si="568"/>
        <v>6143</v>
      </c>
      <c r="DG297" s="653"/>
      <c r="DH297" s="653" t="str">
        <f t="shared" si="46"/>
        <v/>
      </c>
      <c r="DI297" s="134" t="str">
        <f t="shared" si="47"/>
        <v/>
      </c>
      <c r="DJ297" s="134" t="str">
        <f t="shared" si="48"/>
        <v/>
      </c>
      <c r="DK297" s="662" t="str">
        <f t="shared" si="49"/>
        <v/>
      </c>
      <c r="DL297" s="134"/>
      <c r="DM297" s="134"/>
      <c r="DN297" s="134"/>
      <c r="DO297" s="653"/>
      <c r="DP297" s="872" t="s">
        <v>1540</v>
      </c>
    </row>
    <row r="298">
      <c r="A298" s="552">
        <v>292.0</v>
      </c>
      <c r="B298" s="86">
        <v>124.0</v>
      </c>
      <c r="C298" s="54">
        <v>16.0</v>
      </c>
      <c r="D298" s="54">
        <v>30.0</v>
      </c>
      <c r="E298" s="74"/>
      <c r="F298" s="68" t="s">
        <v>1246</v>
      </c>
      <c r="G298" s="68">
        <f t="shared" si="540"/>
        <v>16</v>
      </c>
      <c r="H298" s="68">
        <f t="shared" si="478"/>
        <v>15</v>
      </c>
      <c r="I298" s="68">
        <f t="shared" si="541"/>
        <v>16</v>
      </c>
      <c r="J298" s="68">
        <f t="shared" si="542"/>
        <v>19</v>
      </c>
      <c r="K298" s="68">
        <f t="shared" si="543"/>
        <v>19</v>
      </c>
      <c r="L298" s="68">
        <f t="shared" si="544"/>
        <v>15</v>
      </c>
      <c r="M298" s="569">
        <f t="shared" si="545"/>
        <v>20</v>
      </c>
      <c r="N298" s="74" t="s">
        <v>1535</v>
      </c>
      <c r="O298" s="570" t="s">
        <v>2099</v>
      </c>
      <c r="P298" s="571"/>
      <c r="Q298" s="571" t="s">
        <v>1670</v>
      </c>
      <c r="R298" s="571" t="s">
        <v>1314</v>
      </c>
      <c r="S298" s="791" t="s">
        <v>1539</v>
      </c>
      <c r="T298" s="572" t="s">
        <v>1536</v>
      </c>
      <c r="U298" s="54">
        <v>31.0</v>
      </c>
      <c r="V298" s="54">
        <v>19.0</v>
      </c>
      <c r="W298" s="54">
        <v>58.0</v>
      </c>
      <c r="X298" s="74"/>
      <c r="Y298" s="54">
        <v>3.0</v>
      </c>
      <c r="Z298" s="54">
        <v>0.0</v>
      </c>
      <c r="AA298" s="54">
        <v>2.0</v>
      </c>
      <c r="AB298" s="54">
        <v>100.0</v>
      </c>
      <c r="AC298" s="54">
        <v>1350.0</v>
      </c>
      <c r="AD298" s="54">
        <v>2.0</v>
      </c>
      <c r="AE298" s="54">
        <v>100.0</v>
      </c>
      <c r="AF298" s="74"/>
      <c r="AG298" s="54">
        <v>18.0</v>
      </c>
      <c r="AH298" s="54">
        <v>35.0</v>
      </c>
      <c r="AI298" s="574">
        <f t="shared" si="12"/>
        <v>26.5</v>
      </c>
      <c r="AJ298" s="74"/>
      <c r="AK298" s="74"/>
      <c r="AL298" s="74"/>
      <c r="AM298" s="74"/>
      <c r="AN298" s="74"/>
      <c r="AO298" s="74"/>
      <c r="AP298" s="74"/>
      <c r="AQ298" s="74"/>
      <c r="AR298" s="74"/>
      <c r="AS298" s="575"/>
      <c r="AT298" s="68">
        <f t="shared" si="13"/>
        <v>536</v>
      </c>
      <c r="AU298" s="68">
        <f t="shared" si="14"/>
        <v>821</v>
      </c>
      <c r="AV298" s="581">
        <f t="shared" si="15"/>
        <v>678.5</v>
      </c>
      <c r="AW298" s="582">
        <f t="shared" si="546"/>
        <v>1131</v>
      </c>
      <c r="AX298" s="582">
        <f t="shared" si="484"/>
        <v>1212</v>
      </c>
      <c r="AY298" s="582">
        <f t="shared" si="547"/>
        <v>1131</v>
      </c>
      <c r="AZ298" s="582">
        <f t="shared" si="548"/>
        <v>1212</v>
      </c>
      <c r="BA298" s="582">
        <f t="shared" si="549"/>
        <v>942</v>
      </c>
      <c r="BB298" s="582">
        <f t="shared" si="550"/>
        <v>893</v>
      </c>
      <c r="BC298" s="582">
        <f t="shared" si="551"/>
        <v>942</v>
      </c>
      <c r="BD298" s="582">
        <f t="shared" si="552"/>
        <v>628</v>
      </c>
      <c r="BE298" s="582">
        <f t="shared" si="553"/>
        <v>771</v>
      </c>
      <c r="BF298" s="582">
        <f t="shared" si="554"/>
        <v>738</v>
      </c>
      <c r="BG298" s="582">
        <f t="shared" si="555"/>
        <v>893</v>
      </c>
      <c r="BH298" s="582">
        <f t="shared" si="556"/>
        <v>893</v>
      </c>
      <c r="BI298" s="582">
        <f t="shared" si="494"/>
        <v>942</v>
      </c>
      <c r="BJ298" s="582">
        <f t="shared" si="557"/>
        <v>942</v>
      </c>
      <c r="BK298" s="582">
        <f t="shared" si="558"/>
        <v>771</v>
      </c>
      <c r="BL298" s="582">
        <f t="shared" si="559"/>
        <v>738</v>
      </c>
      <c r="BM298" s="74"/>
      <c r="BN298" s="74"/>
      <c r="BO298" s="74"/>
      <c r="BP298" s="575" t="str">
        <f t="shared" si="33"/>
        <v/>
      </c>
      <c r="BQ298" s="54">
        <v>13.0</v>
      </c>
      <c r="BR298" s="54">
        <v>24.0</v>
      </c>
      <c r="BS298" s="74"/>
      <c r="BT298" s="54">
        <v>100.0</v>
      </c>
      <c r="BU298" s="74"/>
      <c r="BV298" s="83">
        <f t="shared" si="34"/>
        <v>18.5</v>
      </c>
      <c r="BW298" s="608">
        <f t="shared" si="35"/>
        <v>654.3</v>
      </c>
      <c r="BX298" s="582">
        <f t="shared" si="560"/>
        <v>1090.5</v>
      </c>
      <c r="BY298" s="582">
        <f t="shared" si="498"/>
        <v>1168.4</v>
      </c>
      <c r="BZ298" s="582">
        <f t="shared" si="561"/>
        <v>1090.5</v>
      </c>
      <c r="CA298" s="582">
        <f t="shared" si="562"/>
        <v>908.8</v>
      </c>
      <c r="CB298" s="582">
        <f t="shared" si="563"/>
        <v>908.8</v>
      </c>
      <c r="CC298" s="582">
        <f t="shared" si="564"/>
        <v>1168.4</v>
      </c>
      <c r="CD298" s="582">
        <f t="shared" si="565"/>
        <v>860.9</v>
      </c>
      <c r="CE298" s="664">
        <f t="shared" si="43"/>
        <v>43.2</v>
      </c>
      <c r="CF298" s="86">
        <f t="shared" si="248"/>
        <v>3.7</v>
      </c>
      <c r="CG298" s="552">
        <f t="shared" si="566"/>
        <v>3.7</v>
      </c>
      <c r="CH298" s="575" t="s">
        <v>1535</v>
      </c>
      <c r="CI298" s="582">
        <f t="shared" ref="CI298:DF298" si="569">FLOOR($AV298/(CI$3/25),1)</f>
        <v>678</v>
      </c>
      <c r="CJ298" s="582">
        <f t="shared" si="569"/>
        <v>706</v>
      </c>
      <c r="CK298" s="582">
        <f t="shared" si="569"/>
        <v>737</v>
      </c>
      <c r="CL298" s="582">
        <f t="shared" si="569"/>
        <v>771</v>
      </c>
      <c r="CM298" s="582">
        <f t="shared" si="569"/>
        <v>807</v>
      </c>
      <c r="CN298" s="582">
        <f t="shared" si="569"/>
        <v>848</v>
      </c>
      <c r="CO298" s="582">
        <f t="shared" si="569"/>
        <v>892</v>
      </c>
      <c r="CP298" s="582">
        <f t="shared" si="569"/>
        <v>942</v>
      </c>
      <c r="CQ298" s="582">
        <f t="shared" si="569"/>
        <v>997</v>
      </c>
      <c r="CR298" s="582">
        <f t="shared" si="569"/>
        <v>1060</v>
      </c>
      <c r="CS298" s="582">
        <f t="shared" si="569"/>
        <v>1130</v>
      </c>
      <c r="CT298" s="582">
        <f t="shared" si="569"/>
        <v>1211</v>
      </c>
      <c r="CU298" s="582">
        <f t="shared" si="569"/>
        <v>1304</v>
      </c>
      <c r="CV298" s="582">
        <f t="shared" si="569"/>
        <v>1413</v>
      </c>
      <c r="CW298" s="582">
        <f t="shared" si="569"/>
        <v>1542</v>
      </c>
      <c r="CX298" s="582">
        <f t="shared" si="569"/>
        <v>1696</v>
      </c>
      <c r="CY298" s="582">
        <f t="shared" si="569"/>
        <v>1884</v>
      </c>
      <c r="CZ298" s="582">
        <f t="shared" si="569"/>
        <v>2120</v>
      </c>
      <c r="DA298" s="582">
        <f t="shared" si="569"/>
        <v>2423</v>
      </c>
      <c r="DB298" s="582">
        <f t="shared" si="569"/>
        <v>2827</v>
      </c>
      <c r="DC298" s="582">
        <f t="shared" si="569"/>
        <v>3392</v>
      </c>
      <c r="DD298" s="582">
        <f t="shared" si="569"/>
        <v>4240</v>
      </c>
      <c r="DE298" s="582">
        <f t="shared" si="569"/>
        <v>5654</v>
      </c>
      <c r="DF298" s="602">
        <f t="shared" si="569"/>
        <v>8481</v>
      </c>
      <c r="DG298" s="575"/>
      <c r="DH298" s="575" t="str">
        <f t="shared" si="46"/>
        <v/>
      </c>
      <c r="DI298" s="74" t="str">
        <f t="shared" si="47"/>
        <v/>
      </c>
      <c r="DJ298" s="74" t="str">
        <f t="shared" si="48"/>
        <v/>
      </c>
      <c r="DK298" s="623" t="str">
        <f t="shared" si="49"/>
        <v/>
      </c>
      <c r="DL298" s="74"/>
      <c r="DM298" s="74"/>
      <c r="DN298" s="582">
        <f t="shared" ref="DN298:DN303" si="571">IF(ISBLANK(DL298),ROUND(AI298/IF(ISBLANK(DL295),AI295,DL295),1),ROUND(DL298/IF(ISBLANK(DL295),AI295,DL295),1))</f>
        <v>3.1</v>
      </c>
      <c r="DO298" s="575"/>
      <c r="DP298" s="61" t="s">
        <v>1540</v>
      </c>
    </row>
    <row r="299">
      <c r="A299" s="552">
        <v>293.0</v>
      </c>
      <c r="B299" s="86">
        <v>125.0</v>
      </c>
      <c r="C299" s="54">
        <v>17.0</v>
      </c>
      <c r="D299" s="54">
        <v>45.0</v>
      </c>
      <c r="E299" s="74"/>
      <c r="F299" s="68" t="s">
        <v>1246</v>
      </c>
      <c r="G299" s="68">
        <f t="shared" si="540"/>
        <v>16</v>
      </c>
      <c r="H299" s="68">
        <f t="shared" si="478"/>
        <v>15</v>
      </c>
      <c r="I299" s="68">
        <f t="shared" si="541"/>
        <v>16</v>
      </c>
      <c r="J299" s="68">
        <f t="shared" si="542"/>
        <v>19</v>
      </c>
      <c r="K299" s="68">
        <f t="shared" si="543"/>
        <v>19</v>
      </c>
      <c r="L299" s="68">
        <f t="shared" si="544"/>
        <v>15</v>
      </c>
      <c r="M299" s="569">
        <f t="shared" si="545"/>
        <v>20</v>
      </c>
      <c r="N299" s="74" t="s">
        <v>1544</v>
      </c>
      <c r="O299" s="570" t="s">
        <v>2100</v>
      </c>
      <c r="P299" s="571"/>
      <c r="Q299" s="571" t="s">
        <v>1670</v>
      </c>
      <c r="R299" s="571" t="s">
        <v>1314</v>
      </c>
      <c r="S299" s="791" t="s">
        <v>1539</v>
      </c>
      <c r="T299" s="572" t="s">
        <v>1545</v>
      </c>
      <c r="U299" s="54">
        <v>40.0</v>
      </c>
      <c r="V299" s="54">
        <v>25.0</v>
      </c>
      <c r="W299" s="54">
        <v>76.0</v>
      </c>
      <c r="X299" s="74"/>
      <c r="Y299" s="54">
        <v>3.0</v>
      </c>
      <c r="Z299" s="54">
        <v>10.0</v>
      </c>
      <c r="AA299" s="54">
        <v>2.0</v>
      </c>
      <c r="AB299" s="54">
        <v>120.0</v>
      </c>
      <c r="AC299" s="54">
        <v>3627.0</v>
      </c>
      <c r="AD299" s="54">
        <v>4.0</v>
      </c>
      <c r="AE299" s="54">
        <v>100.0</v>
      </c>
      <c r="AF299" s="74"/>
      <c r="AG299" s="54">
        <v>20.0</v>
      </c>
      <c r="AH299" s="54">
        <v>52.0</v>
      </c>
      <c r="AI299" s="574">
        <f t="shared" si="12"/>
        <v>36</v>
      </c>
      <c r="AJ299" s="74"/>
      <c r="AK299" s="74"/>
      <c r="AL299" s="74"/>
      <c r="AM299" s="74"/>
      <c r="AN299" s="74"/>
      <c r="AO299" s="74"/>
      <c r="AP299" s="74"/>
      <c r="AQ299" s="74"/>
      <c r="AR299" s="74"/>
      <c r="AS299" s="575"/>
      <c r="AT299" s="68">
        <f t="shared" si="13"/>
        <v>568</v>
      </c>
      <c r="AU299" s="68">
        <f t="shared" si="14"/>
        <v>1110</v>
      </c>
      <c r="AV299" s="581">
        <f t="shared" si="15"/>
        <v>839</v>
      </c>
      <c r="AW299" s="582">
        <f t="shared" si="546"/>
        <v>1234</v>
      </c>
      <c r="AX299" s="582">
        <f t="shared" si="484"/>
        <v>1311</v>
      </c>
      <c r="AY299" s="582">
        <f t="shared" si="547"/>
        <v>1234</v>
      </c>
      <c r="AZ299" s="582">
        <f t="shared" si="548"/>
        <v>1311</v>
      </c>
      <c r="BA299" s="582">
        <f t="shared" si="549"/>
        <v>999</v>
      </c>
      <c r="BB299" s="582">
        <f t="shared" si="550"/>
        <v>953</v>
      </c>
      <c r="BC299" s="582">
        <f t="shared" si="551"/>
        <v>999</v>
      </c>
      <c r="BD299" s="582">
        <f t="shared" si="552"/>
        <v>636</v>
      </c>
      <c r="BE299" s="582">
        <f t="shared" si="553"/>
        <v>749</v>
      </c>
      <c r="BF299" s="582">
        <f t="shared" si="554"/>
        <v>777</v>
      </c>
      <c r="BG299" s="582">
        <f t="shared" si="555"/>
        <v>953</v>
      </c>
      <c r="BH299" s="582">
        <f t="shared" si="556"/>
        <v>953</v>
      </c>
      <c r="BI299" s="582">
        <f t="shared" si="494"/>
        <v>999</v>
      </c>
      <c r="BJ299" s="582">
        <f t="shared" si="557"/>
        <v>999</v>
      </c>
      <c r="BK299" s="582">
        <f t="shared" si="558"/>
        <v>749</v>
      </c>
      <c r="BL299" s="582">
        <f t="shared" si="559"/>
        <v>723</v>
      </c>
      <c r="BM299" s="74"/>
      <c r="BN299" s="74"/>
      <c r="BO299" s="74"/>
      <c r="BP299" s="575" t="str">
        <f t="shared" si="33"/>
        <v/>
      </c>
      <c r="BQ299" s="54">
        <v>14.0</v>
      </c>
      <c r="BR299" s="54">
        <v>36.0</v>
      </c>
      <c r="BS299" s="54">
        <v>10.0</v>
      </c>
      <c r="BT299" s="54">
        <v>100.0</v>
      </c>
      <c r="BU299" s="74"/>
      <c r="BV299" s="83">
        <f t="shared" si="34"/>
        <v>25</v>
      </c>
      <c r="BW299" s="608">
        <f t="shared" si="35"/>
        <v>785.9</v>
      </c>
      <c r="BX299" s="582">
        <f t="shared" si="560"/>
        <v>1155.7</v>
      </c>
      <c r="BY299" s="582">
        <f t="shared" si="498"/>
        <v>1228</v>
      </c>
      <c r="BZ299" s="582">
        <f t="shared" si="561"/>
        <v>1155.7</v>
      </c>
      <c r="CA299" s="582">
        <f t="shared" si="562"/>
        <v>935.6</v>
      </c>
      <c r="CB299" s="582">
        <f t="shared" si="563"/>
        <v>935.6</v>
      </c>
      <c r="CC299" s="582">
        <f t="shared" si="564"/>
        <v>1228</v>
      </c>
      <c r="CD299" s="582">
        <f t="shared" si="565"/>
        <v>893.1</v>
      </c>
      <c r="CE299" s="664">
        <f t="shared" si="43"/>
        <v>44</v>
      </c>
      <c r="CF299" s="86">
        <f t="shared" si="248"/>
        <v>6.8</v>
      </c>
      <c r="CG299" s="552">
        <f t="shared" si="566"/>
        <v>6.8</v>
      </c>
      <c r="CH299" s="575" t="s">
        <v>1544</v>
      </c>
      <c r="CI299" s="582">
        <f t="shared" ref="CI299:DF299" si="570">FLOOR($AV299/(CI$3/25),1)</f>
        <v>839</v>
      </c>
      <c r="CJ299" s="582">
        <f t="shared" si="570"/>
        <v>873</v>
      </c>
      <c r="CK299" s="582">
        <f t="shared" si="570"/>
        <v>911</v>
      </c>
      <c r="CL299" s="582">
        <f t="shared" si="570"/>
        <v>953</v>
      </c>
      <c r="CM299" s="582">
        <f t="shared" si="570"/>
        <v>998</v>
      </c>
      <c r="CN299" s="582">
        <f t="shared" si="570"/>
        <v>1048</v>
      </c>
      <c r="CO299" s="582">
        <f t="shared" si="570"/>
        <v>1103</v>
      </c>
      <c r="CP299" s="582">
        <f t="shared" si="570"/>
        <v>1165</v>
      </c>
      <c r="CQ299" s="582">
        <f t="shared" si="570"/>
        <v>1233</v>
      </c>
      <c r="CR299" s="582">
        <f t="shared" si="570"/>
        <v>1310</v>
      </c>
      <c r="CS299" s="582">
        <f t="shared" si="570"/>
        <v>1398</v>
      </c>
      <c r="CT299" s="582">
        <f t="shared" si="570"/>
        <v>1498</v>
      </c>
      <c r="CU299" s="582">
        <f t="shared" si="570"/>
        <v>1613</v>
      </c>
      <c r="CV299" s="582">
        <f t="shared" si="570"/>
        <v>1747</v>
      </c>
      <c r="CW299" s="582">
        <f t="shared" si="570"/>
        <v>1906</v>
      </c>
      <c r="CX299" s="582">
        <f t="shared" si="570"/>
        <v>2097</v>
      </c>
      <c r="CY299" s="582">
        <f t="shared" si="570"/>
        <v>2330</v>
      </c>
      <c r="CZ299" s="582">
        <f t="shared" si="570"/>
        <v>2621</v>
      </c>
      <c r="DA299" s="582">
        <f t="shared" si="570"/>
        <v>2996</v>
      </c>
      <c r="DB299" s="582">
        <f t="shared" si="570"/>
        <v>3495</v>
      </c>
      <c r="DC299" s="582">
        <f t="shared" si="570"/>
        <v>4195</v>
      </c>
      <c r="DD299" s="582">
        <f t="shared" si="570"/>
        <v>5243</v>
      </c>
      <c r="DE299" s="582">
        <f t="shared" si="570"/>
        <v>6991</v>
      </c>
      <c r="DF299" s="602">
        <f t="shared" si="570"/>
        <v>10487</v>
      </c>
      <c r="DG299" s="575"/>
      <c r="DH299" s="575" t="str">
        <f t="shared" si="46"/>
        <v/>
      </c>
      <c r="DI299" s="74" t="str">
        <f t="shared" si="47"/>
        <v/>
      </c>
      <c r="DJ299" s="74" t="str">
        <f t="shared" si="48"/>
        <v/>
      </c>
      <c r="DK299" s="623" t="str">
        <f t="shared" si="49"/>
        <v/>
      </c>
      <c r="DL299" s="74"/>
      <c r="DM299" s="74"/>
      <c r="DN299" s="582">
        <f t="shared" si="571"/>
        <v>2.8</v>
      </c>
      <c r="DO299" s="575"/>
      <c r="DP299" s="61" t="s">
        <v>1540</v>
      </c>
    </row>
    <row r="300">
      <c r="A300" s="647">
        <v>294.0</v>
      </c>
      <c r="B300" s="141">
        <v>126.0</v>
      </c>
      <c r="C300" s="129">
        <v>20.0</v>
      </c>
      <c r="D300" s="129">
        <v>40.0</v>
      </c>
      <c r="E300" s="134"/>
      <c r="F300" s="154" t="s">
        <v>1246</v>
      </c>
      <c r="G300" s="154">
        <f t="shared" si="540"/>
        <v>16</v>
      </c>
      <c r="H300" s="154">
        <f t="shared" si="478"/>
        <v>15</v>
      </c>
      <c r="I300" s="154">
        <f t="shared" si="541"/>
        <v>16</v>
      </c>
      <c r="J300" s="154">
        <f t="shared" si="542"/>
        <v>19</v>
      </c>
      <c r="K300" s="154">
        <f t="shared" si="543"/>
        <v>19</v>
      </c>
      <c r="L300" s="154">
        <f t="shared" si="544"/>
        <v>15</v>
      </c>
      <c r="M300" s="648">
        <f t="shared" si="545"/>
        <v>20</v>
      </c>
      <c r="N300" s="134" t="s">
        <v>1551</v>
      </c>
      <c r="O300" s="649" t="s">
        <v>2101</v>
      </c>
      <c r="P300" s="650"/>
      <c r="Q300" s="650" t="s">
        <v>1670</v>
      </c>
      <c r="R300" s="650" t="s">
        <v>1314</v>
      </c>
      <c r="S300" s="796" t="s">
        <v>1539</v>
      </c>
      <c r="T300" s="651" t="s">
        <v>1552</v>
      </c>
      <c r="U300" s="129">
        <v>45.0</v>
      </c>
      <c r="V300" s="129">
        <v>25.0</v>
      </c>
      <c r="W300" s="129">
        <v>103.0</v>
      </c>
      <c r="X300" s="134"/>
      <c r="Y300" s="129">
        <v>5.0</v>
      </c>
      <c r="Z300" s="129">
        <v>-10.0</v>
      </c>
      <c r="AA300" s="129">
        <v>2.0</v>
      </c>
      <c r="AB300" s="129">
        <v>140.0</v>
      </c>
      <c r="AC300" s="129">
        <v>7269.0</v>
      </c>
      <c r="AD300" s="129">
        <v>4.0</v>
      </c>
      <c r="AE300" s="129">
        <v>100.0</v>
      </c>
      <c r="AF300" s="134"/>
      <c r="AG300" s="129">
        <v>24.0</v>
      </c>
      <c r="AH300" s="129">
        <v>46.0</v>
      </c>
      <c r="AI300" s="652">
        <f t="shared" si="12"/>
        <v>35</v>
      </c>
      <c r="AJ300" s="134"/>
      <c r="AK300" s="134"/>
      <c r="AL300" s="134"/>
      <c r="AM300" s="134"/>
      <c r="AN300" s="134"/>
      <c r="AO300" s="134"/>
      <c r="AP300" s="134"/>
      <c r="AQ300" s="134"/>
      <c r="AR300" s="134"/>
      <c r="AS300" s="653"/>
      <c r="AT300" s="154">
        <f t="shared" si="13"/>
        <v>636</v>
      </c>
      <c r="AU300" s="154">
        <f t="shared" si="14"/>
        <v>1006</v>
      </c>
      <c r="AV300" s="654">
        <f t="shared" si="15"/>
        <v>821</v>
      </c>
      <c r="AW300" s="655">
        <f t="shared" si="546"/>
        <v>1466</v>
      </c>
      <c r="AX300" s="655">
        <f t="shared" si="484"/>
        <v>1579</v>
      </c>
      <c r="AY300" s="655">
        <f t="shared" si="547"/>
        <v>1466</v>
      </c>
      <c r="AZ300" s="655">
        <f t="shared" si="548"/>
        <v>1579</v>
      </c>
      <c r="BA300" s="655">
        <f t="shared" si="549"/>
        <v>1207</v>
      </c>
      <c r="BB300" s="655">
        <f t="shared" si="550"/>
        <v>1140</v>
      </c>
      <c r="BC300" s="655">
        <f t="shared" si="551"/>
        <v>1207</v>
      </c>
      <c r="BD300" s="655">
        <f t="shared" si="552"/>
        <v>933</v>
      </c>
      <c r="BE300" s="655">
        <f t="shared" si="553"/>
        <v>1140</v>
      </c>
      <c r="BF300" s="655">
        <f t="shared" si="554"/>
        <v>1140</v>
      </c>
      <c r="BG300" s="655">
        <f t="shared" si="555"/>
        <v>1368</v>
      </c>
      <c r="BH300" s="655">
        <f t="shared" si="556"/>
        <v>1368</v>
      </c>
      <c r="BI300" s="655">
        <f t="shared" si="494"/>
        <v>1466</v>
      </c>
      <c r="BJ300" s="655">
        <f t="shared" si="557"/>
        <v>1466</v>
      </c>
      <c r="BK300" s="655">
        <f t="shared" si="558"/>
        <v>1140</v>
      </c>
      <c r="BL300" s="655">
        <f t="shared" si="559"/>
        <v>1080</v>
      </c>
      <c r="BM300" s="134"/>
      <c r="BN300" s="134"/>
      <c r="BO300" s="134"/>
      <c r="BP300" s="653" t="str">
        <f t="shared" si="33"/>
        <v/>
      </c>
      <c r="BQ300" s="129">
        <v>16.0</v>
      </c>
      <c r="BR300" s="129">
        <v>38.0</v>
      </c>
      <c r="BS300" s="129">
        <v>-10.0</v>
      </c>
      <c r="BT300" s="129">
        <v>100.0</v>
      </c>
      <c r="BU300" s="134"/>
      <c r="BV300" s="135">
        <f t="shared" si="34"/>
        <v>27</v>
      </c>
      <c r="BW300" s="657">
        <f t="shared" si="35"/>
        <v>826.4</v>
      </c>
      <c r="BX300" s="655">
        <f t="shared" si="560"/>
        <v>1475.7</v>
      </c>
      <c r="BY300" s="655">
        <f t="shared" si="498"/>
        <v>1589.2</v>
      </c>
      <c r="BZ300" s="655">
        <f t="shared" si="561"/>
        <v>1475.7</v>
      </c>
      <c r="CA300" s="655">
        <f t="shared" si="562"/>
        <v>1215.3</v>
      </c>
      <c r="CB300" s="655">
        <f t="shared" si="563"/>
        <v>1215.3</v>
      </c>
      <c r="CC300" s="655">
        <f t="shared" si="564"/>
        <v>1589.2</v>
      </c>
      <c r="CD300" s="655">
        <f t="shared" si="565"/>
        <v>1147.8</v>
      </c>
      <c r="CE300" s="659">
        <f t="shared" si="43"/>
        <v>29.6</v>
      </c>
      <c r="CF300" s="141">
        <f t="shared" si="248"/>
        <v>-0.7</v>
      </c>
      <c r="CG300" s="647">
        <f t="shared" si="566"/>
        <v>-0.7</v>
      </c>
      <c r="CH300" s="653" t="s">
        <v>1551</v>
      </c>
      <c r="CI300" s="655">
        <f t="shared" ref="CI300:DF300" si="572">FLOOR($AV300/(CI$3/25),1)</f>
        <v>821</v>
      </c>
      <c r="CJ300" s="655">
        <f t="shared" si="572"/>
        <v>855</v>
      </c>
      <c r="CK300" s="655">
        <f t="shared" si="572"/>
        <v>892</v>
      </c>
      <c r="CL300" s="655">
        <f t="shared" si="572"/>
        <v>932</v>
      </c>
      <c r="CM300" s="655">
        <f t="shared" si="572"/>
        <v>977</v>
      </c>
      <c r="CN300" s="655">
        <f t="shared" si="572"/>
        <v>1026</v>
      </c>
      <c r="CO300" s="655">
        <f t="shared" si="572"/>
        <v>1080</v>
      </c>
      <c r="CP300" s="655">
        <f t="shared" si="572"/>
        <v>1140</v>
      </c>
      <c r="CQ300" s="655">
        <f t="shared" si="572"/>
        <v>1207</v>
      </c>
      <c r="CR300" s="655">
        <f t="shared" si="572"/>
        <v>1282</v>
      </c>
      <c r="CS300" s="655">
        <f t="shared" si="572"/>
        <v>1368</v>
      </c>
      <c r="CT300" s="655">
        <f t="shared" si="572"/>
        <v>1466</v>
      </c>
      <c r="CU300" s="655">
        <f t="shared" si="572"/>
        <v>1578</v>
      </c>
      <c r="CV300" s="655">
        <f t="shared" si="572"/>
        <v>1710</v>
      </c>
      <c r="CW300" s="655">
        <f t="shared" si="572"/>
        <v>1865</v>
      </c>
      <c r="CX300" s="655">
        <f t="shared" si="572"/>
        <v>2052</v>
      </c>
      <c r="CY300" s="655">
        <f t="shared" si="572"/>
        <v>2280</v>
      </c>
      <c r="CZ300" s="655">
        <f t="shared" si="572"/>
        <v>2565</v>
      </c>
      <c r="DA300" s="655">
        <f t="shared" si="572"/>
        <v>2932</v>
      </c>
      <c r="DB300" s="655">
        <f t="shared" si="572"/>
        <v>3420</v>
      </c>
      <c r="DC300" s="655">
        <f t="shared" si="572"/>
        <v>4105</v>
      </c>
      <c r="DD300" s="655">
        <f t="shared" si="572"/>
        <v>5131</v>
      </c>
      <c r="DE300" s="655">
        <f t="shared" si="572"/>
        <v>6841</v>
      </c>
      <c r="DF300" s="656">
        <f t="shared" si="572"/>
        <v>10262</v>
      </c>
      <c r="DG300" s="653"/>
      <c r="DH300" s="653" t="str">
        <f t="shared" si="46"/>
        <v/>
      </c>
      <c r="DI300" s="134" t="str">
        <f t="shared" si="47"/>
        <v/>
      </c>
      <c r="DJ300" s="134" t="str">
        <f t="shared" si="48"/>
        <v/>
      </c>
      <c r="DK300" s="662" t="str">
        <f t="shared" si="49"/>
        <v/>
      </c>
      <c r="DL300" s="134"/>
      <c r="DM300" s="134"/>
      <c r="DN300" s="655">
        <f t="shared" si="571"/>
        <v>2.3</v>
      </c>
      <c r="DO300" s="653"/>
      <c r="DP300" s="872" t="s">
        <v>1540</v>
      </c>
    </row>
    <row r="301">
      <c r="A301" s="552">
        <v>295.0</v>
      </c>
      <c r="B301" s="86">
        <v>243.0</v>
      </c>
      <c r="C301" s="54">
        <v>40.0</v>
      </c>
      <c r="D301" s="54">
        <v>52.0</v>
      </c>
      <c r="E301" s="74"/>
      <c r="F301" s="68" t="s">
        <v>1246</v>
      </c>
      <c r="G301" s="68">
        <f t="shared" si="540"/>
        <v>16</v>
      </c>
      <c r="H301" s="68">
        <f t="shared" si="478"/>
        <v>15</v>
      </c>
      <c r="I301" s="68">
        <f t="shared" si="541"/>
        <v>16</v>
      </c>
      <c r="J301" s="68">
        <f t="shared" si="542"/>
        <v>19</v>
      </c>
      <c r="K301" s="68">
        <f t="shared" si="543"/>
        <v>19</v>
      </c>
      <c r="L301" s="68">
        <f t="shared" si="544"/>
        <v>15</v>
      </c>
      <c r="M301" s="569">
        <f t="shared" si="545"/>
        <v>20</v>
      </c>
      <c r="N301" s="74" t="s">
        <v>1537</v>
      </c>
      <c r="O301" s="570" t="s">
        <v>2374</v>
      </c>
      <c r="P301" s="570" t="s">
        <v>2375</v>
      </c>
      <c r="Q301" s="571" t="s">
        <v>1676</v>
      </c>
      <c r="R301" s="571" t="s">
        <v>1314</v>
      </c>
      <c r="S301" s="791" t="s">
        <v>1539</v>
      </c>
      <c r="T301" s="572" t="s">
        <v>1538</v>
      </c>
      <c r="U301" s="54">
        <v>62.0</v>
      </c>
      <c r="V301" s="54">
        <v>46.0</v>
      </c>
      <c r="W301" s="54">
        <v>125.0</v>
      </c>
      <c r="X301" s="54">
        <v>65.0</v>
      </c>
      <c r="Y301" s="54">
        <v>3.0</v>
      </c>
      <c r="Z301" s="54">
        <v>0.0</v>
      </c>
      <c r="AA301" s="54">
        <v>2.0</v>
      </c>
      <c r="AB301" s="54">
        <v>100.0</v>
      </c>
      <c r="AC301" s="54">
        <v>20199.0</v>
      </c>
      <c r="AD301" s="54">
        <v>2.0</v>
      </c>
      <c r="AE301" s="54">
        <v>100.0</v>
      </c>
      <c r="AF301" s="74"/>
      <c r="AG301" s="54">
        <v>50.0</v>
      </c>
      <c r="AH301" s="54">
        <v>65.0</v>
      </c>
      <c r="AI301" s="574">
        <f t="shared" si="12"/>
        <v>57.5</v>
      </c>
      <c r="AJ301" s="74"/>
      <c r="AK301" s="74"/>
      <c r="AL301" s="74"/>
      <c r="AM301" s="74"/>
      <c r="AN301" s="74"/>
      <c r="AO301" s="74"/>
      <c r="AP301" s="74"/>
      <c r="AQ301" s="74"/>
      <c r="AR301" s="74"/>
      <c r="AS301" s="575"/>
      <c r="AT301" s="68">
        <f t="shared" si="13"/>
        <v>1076</v>
      </c>
      <c r="AU301" s="68">
        <f t="shared" si="14"/>
        <v>1327</v>
      </c>
      <c r="AV301" s="581">
        <f t="shared" si="15"/>
        <v>1201.5</v>
      </c>
      <c r="AW301" s="582">
        <f t="shared" si="546"/>
        <v>2003</v>
      </c>
      <c r="AX301" s="582">
        <f t="shared" si="484"/>
        <v>2146</v>
      </c>
      <c r="AY301" s="582">
        <f t="shared" si="547"/>
        <v>2003</v>
      </c>
      <c r="AZ301" s="582">
        <f t="shared" si="548"/>
        <v>2146</v>
      </c>
      <c r="BA301" s="582">
        <f t="shared" si="549"/>
        <v>1669</v>
      </c>
      <c r="BB301" s="582">
        <f t="shared" si="550"/>
        <v>1581</v>
      </c>
      <c r="BC301" s="582">
        <f t="shared" si="551"/>
        <v>1669</v>
      </c>
      <c r="BD301" s="582">
        <f t="shared" si="552"/>
        <v>1113</v>
      </c>
      <c r="BE301" s="582">
        <f t="shared" si="553"/>
        <v>1365</v>
      </c>
      <c r="BF301" s="582">
        <f t="shared" si="554"/>
        <v>1306</v>
      </c>
      <c r="BG301" s="582">
        <f t="shared" si="555"/>
        <v>1581</v>
      </c>
      <c r="BH301" s="582">
        <f t="shared" si="556"/>
        <v>1581</v>
      </c>
      <c r="BI301" s="582">
        <f t="shared" si="494"/>
        <v>1669</v>
      </c>
      <c r="BJ301" s="582">
        <f t="shared" si="557"/>
        <v>1669</v>
      </c>
      <c r="BK301" s="582">
        <f t="shared" si="558"/>
        <v>1365</v>
      </c>
      <c r="BL301" s="582">
        <f t="shared" si="559"/>
        <v>1306</v>
      </c>
      <c r="BM301" s="74"/>
      <c r="BN301" s="74"/>
      <c r="BO301" s="74"/>
      <c r="BP301" s="575" t="str">
        <f t="shared" si="33"/>
        <v/>
      </c>
      <c r="BQ301" s="670">
        <v>40.0</v>
      </c>
      <c r="BR301" s="670">
        <v>52.0</v>
      </c>
      <c r="BS301" s="365"/>
      <c r="BT301" s="670">
        <v>100.0</v>
      </c>
      <c r="BU301" s="365"/>
      <c r="BV301" s="671">
        <f t="shared" si="34"/>
        <v>46</v>
      </c>
      <c r="BW301" s="672">
        <f t="shared" si="35"/>
        <v>1211.1</v>
      </c>
      <c r="BX301" s="673">
        <f t="shared" si="560"/>
        <v>2018.5</v>
      </c>
      <c r="BY301" s="673">
        <f t="shared" si="498"/>
        <v>2162.7</v>
      </c>
      <c r="BZ301" s="673">
        <f t="shared" si="561"/>
        <v>2018.5</v>
      </c>
      <c r="CA301" s="673">
        <f t="shared" si="562"/>
        <v>1682.1</v>
      </c>
      <c r="CB301" s="673">
        <f t="shared" si="563"/>
        <v>1682.1</v>
      </c>
      <c r="CC301" s="673">
        <f t="shared" si="564"/>
        <v>2162.7</v>
      </c>
      <c r="CD301" s="673">
        <f t="shared" si="565"/>
        <v>1593.6</v>
      </c>
      <c r="CE301" s="674">
        <f t="shared" si="43"/>
        <v>25</v>
      </c>
      <c r="CF301" s="675">
        <f t="shared" si="248"/>
        <v>-0.8</v>
      </c>
      <c r="CG301" s="676">
        <f t="shared" si="566"/>
        <v>-0.8</v>
      </c>
      <c r="CH301" s="575" t="s">
        <v>1537</v>
      </c>
      <c r="CI301" s="582">
        <f t="shared" ref="CI301:DF301" si="573">FLOOR($AV301/(CI$3/25),1)</f>
        <v>1201</v>
      </c>
      <c r="CJ301" s="582">
        <f t="shared" si="573"/>
        <v>1251</v>
      </c>
      <c r="CK301" s="582">
        <f t="shared" si="573"/>
        <v>1305</v>
      </c>
      <c r="CL301" s="582">
        <f t="shared" si="573"/>
        <v>1365</v>
      </c>
      <c r="CM301" s="582">
        <f t="shared" si="573"/>
        <v>1430</v>
      </c>
      <c r="CN301" s="582">
        <f t="shared" si="573"/>
        <v>1501</v>
      </c>
      <c r="CO301" s="582">
        <f t="shared" si="573"/>
        <v>1580</v>
      </c>
      <c r="CP301" s="582">
        <f t="shared" si="573"/>
        <v>1668</v>
      </c>
      <c r="CQ301" s="582">
        <f t="shared" si="573"/>
        <v>1766</v>
      </c>
      <c r="CR301" s="582">
        <f t="shared" si="573"/>
        <v>1877</v>
      </c>
      <c r="CS301" s="582">
        <f t="shared" si="573"/>
        <v>2002</v>
      </c>
      <c r="CT301" s="582">
        <f t="shared" si="573"/>
        <v>2145</v>
      </c>
      <c r="CU301" s="582">
        <f t="shared" si="573"/>
        <v>2310</v>
      </c>
      <c r="CV301" s="582">
        <f t="shared" si="573"/>
        <v>2503</v>
      </c>
      <c r="CW301" s="582">
        <f t="shared" si="573"/>
        <v>2730</v>
      </c>
      <c r="CX301" s="582">
        <f t="shared" si="573"/>
        <v>3003</v>
      </c>
      <c r="CY301" s="582">
        <f t="shared" si="573"/>
        <v>3337</v>
      </c>
      <c r="CZ301" s="582">
        <f t="shared" si="573"/>
        <v>3754</v>
      </c>
      <c r="DA301" s="582">
        <f t="shared" si="573"/>
        <v>4291</v>
      </c>
      <c r="DB301" s="582">
        <f t="shared" si="573"/>
        <v>5006</v>
      </c>
      <c r="DC301" s="582">
        <f t="shared" si="573"/>
        <v>6007</v>
      </c>
      <c r="DD301" s="582">
        <f t="shared" si="573"/>
        <v>7509</v>
      </c>
      <c r="DE301" s="582">
        <f t="shared" si="573"/>
        <v>10012</v>
      </c>
      <c r="DF301" s="602">
        <f t="shared" si="573"/>
        <v>15018</v>
      </c>
      <c r="DG301" s="575"/>
      <c r="DH301" s="575" t="str">
        <f t="shared" si="46"/>
        <v/>
      </c>
      <c r="DI301" s="74" t="str">
        <f t="shared" si="47"/>
        <v/>
      </c>
      <c r="DJ301" s="74" t="str">
        <f t="shared" si="48"/>
        <v/>
      </c>
      <c r="DK301" s="623" t="str">
        <f t="shared" si="49"/>
        <v/>
      </c>
      <c r="DL301" s="74"/>
      <c r="DM301" s="74"/>
      <c r="DN301" s="582">
        <f t="shared" si="571"/>
        <v>2.2</v>
      </c>
      <c r="DO301" s="575"/>
      <c r="DP301" s="61" t="s">
        <v>1540</v>
      </c>
    </row>
    <row r="302">
      <c r="A302" s="552">
        <v>296.0</v>
      </c>
      <c r="B302" s="86">
        <v>244.0</v>
      </c>
      <c r="C302" s="54">
        <v>45.0</v>
      </c>
      <c r="D302" s="54">
        <v>54.0</v>
      </c>
      <c r="E302" s="74"/>
      <c r="F302" s="68" t="s">
        <v>1246</v>
      </c>
      <c r="G302" s="68">
        <f t="shared" si="540"/>
        <v>16</v>
      </c>
      <c r="H302" s="68">
        <f t="shared" si="478"/>
        <v>15</v>
      </c>
      <c r="I302" s="68">
        <f t="shared" si="541"/>
        <v>16</v>
      </c>
      <c r="J302" s="68">
        <f t="shared" si="542"/>
        <v>19</v>
      </c>
      <c r="K302" s="68">
        <f t="shared" si="543"/>
        <v>19</v>
      </c>
      <c r="L302" s="68">
        <f t="shared" si="544"/>
        <v>15</v>
      </c>
      <c r="M302" s="569">
        <f t="shared" si="545"/>
        <v>20</v>
      </c>
      <c r="N302" s="74" t="s">
        <v>1546</v>
      </c>
      <c r="O302" s="570" t="s">
        <v>2376</v>
      </c>
      <c r="P302" s="571"/>
      <c r="Q302" s="571" t="s">
        <v>1676</v>
      </c>
      <c r="R302" s="571" t="s">
        <v>1314</v>
      </c>
      <c r="S302" s="791" t="s">
        <v>1539</v>
      </c>
      <c r="T302" s="572" t="s">
        <v>1547</v>
      </c>
      <c r="U302" s="54">
        <v>76.0</v>
      </c>
      <c r="V302" s="54">
        <v>57.0</v>
      </c>
      <c r="W302" s="54">
        <v>108.0</v>
      </c>
      <c r="X302" s="54">
        <v>69.0</v>
      </c>
      <c r="Y302" s="54">
        <v>3.0</v>
      </c>
      <c r="Z302" s="54">
        <v>10.0</v>
      </c>
      <c r="AA302" s="54">
        <v>2.0</v>
      </c>
      <c r="AB302" s="54">
        <v>120.0</v>
      </c>
      <c r="AC302" s="54">
        <v>23501.0</v>
      </c>
      <c r="AD302" s="54">
        <v>4.0</v>
      </c>
      <c r="AE302" s="54">
        <v>100.0</v>
      </c>
      <c r="AF302" s="74"/>
      <c r="AG302" s="54">
        <v>56.0</v>
      </c>
      <c r="AH302" s="54">
        <v>68.0</v>
      </c>
      <c r="AI302" s="574">
        <f t="shared" si="12"/>
        <v>62</v>
      </c>
      <c r="AJ302" s="74"/>
      <c r="AK302" s="74"/>
      <c r="AL302" s="74"/>
      <c r="AM302" s="74"/>
      <c r="AN302" s="74"/>
      <c r="AO302" s="74"/>
      <c r="AP302" s="74"/>
      <c r="AQ302" s="74"/>
      <c r="AR302" s="74"/>
      <c r="AS302" s="575"/>
      <c r="AT302" s="68">
        <f t="shared" si="13"/>
        <v>1176</v>
      </c>
      <c r="AU302" s="68">
        <f t="shared" si="14"/>
        <v>1380</v>
      </c>
      <c r="AV302" s="581">
        <f t="shared" si="15"/>
        <v>1278</v>
      </c>
      <c r="AW302" s="582">
        <f t="shared" si="546"/>
        <v>1879</v>
      </c>
      <c r="AX302" s="582">
        <f t="shared" si="484"/>
        <v>1997</v>
      </c>
      <c r="AY302" s="582">
        <f t="shared" si="547"/>
        <v>1879</v>
      </c>
      <c r="AZ302" s="582">
        <f t="shared" si="548"/>
        <v>1997</v>
      </c>
      <c r="BA302" s="582">
        <f t="shared" si="549"/>
        <v>1521</v>
      </c>
      <c r="BB302" s="582">
        <f t="shared" si="550"/>
        <v>1452</v>
      </c>
      <c r="BC302" s="582">
        <f t="shared" si="551"/>
        <v>1521</v>
      </c>
      <c r="BD302" s="582">
        <f t="shared" si="552"/>
        <v>968</v>
      </c>
      <c r="BE302" s="582">
        <f t="shared" si="553"/>
        <v>1141</v>
      </c>
      <c r="BF302" s="582">
        <f t="shared" si="554"/>
        <v>1183</v>
      </c>
      <c r="BG302" s="582">
        <f t="shared" si="555"/>
        <v>1452</v>
      </c>
      <c r="BH302" s="582">
        <f t="shared" si="556"/>
        <v>1452</v>
      </c>
      <c r="BI302" s="582">
        <f t="shared" si="494"/>
        <v>1521</v>
      </c>
      <c r="BJ302" s="582">
        <f t="shared" si="557"/>
        <v>1521</v>
      </c>
      <c r="BK302" s="582">
        <f t="shared" si="558"/>
        <v>1141</v>
      </c>
      <c r="BL302" s="582">
        <f t="shared" si="559"/>
        <v>1102</v>
      </c>
      <c r="BM302" s="74"/>
      <c r="BN302" s="74"/>
      <c r="BO302" s="74"/>
      <c r="BP302" s="575" t="str">
        <f t="shared" si="33"/>
        <v/>
      </c>
      <c r="BQ302" s="670">
        <v>45.0</v>
      </c>
      <c r="BR302" s="670">
        <v>54.0</v>
      </c>
      <c r="BS302" s="670">
        <v>10.0</v>
      </c>
      <c r="BT302" s="670">
        <v>100.0</v>
      </c>
      <c r="BU302" s="365"/>
      <c r="BV302" s="671">
        <f t="shared" si="34"/>
        <v>49.5</v>
      </c>
      <c r="BW302" s="672">
        <f t="shared" si="35"/>
        <v>1281.9</v>
      </c>
      <c r="BX302" s="673">
        <f t="shared" si="560"/>
        <v>1885.1</v>
      </c>
      <c r="BY302" s="673">
        <f t="shared" si="498"/>
        <v>2003</v>
      </c>
      <c r="BZ302" s="673">
        <f t="shared" si="561"/>
        <v>1885.1</v>
      </c>
      <c r="CA302" s="673">
        <f t="shared" si="562"/>
        <v>1526.1</v>
      </c>
      <c r="CB302" s="673">
        <f t="shared" si="563"/>
        <v>1526.1</v>
      </c>
      <c r="CC302" s="673">
        <f t="shared" si="564"/>
        <v>2003</v>
      </c>
      <c r="CD302" s="673">
        <f t="shared" si="565"/>
        <v>1456.7</v>
      </c>
      <c r="CE302" s="674">
        <f t="shared" si="43"/>
        <v>25.3</v>
      </c>
      <c r="CF302" s="675">
        <f t="shared" si="248"/>
        <v>-0.3</v>
      </c>
      <c r="CG302" s="676">
        <f t="shared" si="566"/>
        <v>-0.3</v>
      </c>
      <c r="CH302" s="575" t="s">
        <v>1546</v>
      </c>
      <c r="CI302" s="582">
        <f t="shared" ref="CI302:DF302" si="574">FLOOR($AV302/(CI$3/25),1)</f>
        <v>1278</v>
      </c>
      <c r="CJ302" s="582">
        <f t="shared" si="574"/>
        <v>1331</v>
      </c>
      <c r="CK302" s="582">
        <f t="shared" si="574"/>
        <v>1389</v>
      </c>
      <c r="CL302" s="582">
        <f t="shared" si="574"/>
        <v>1452</v>
      </c>
      <c r="CM302" s="582">
        <f t="shared" si="574"/>
        <v>1521</v>
      </c>
      <c r="CN302" s="582">
        <f t="shared" si="574"/>
        <v>1597</v>
      </c>
      <c r="CO302" s="582">
        <f t="shared" si="574"/>
        <v>1681</v>
      </c>
      <c r="CP302" s="582">
        <f t="shared" si="574"/>
        <v>1775</v>
      </c>
      <c r="CQ302" s="582">
        <f t="shared" si="574"/>
        <v>1879</v>
      </c>
      <c r="CR302" s="582">
        <f t="shared" si="574"/>
        <v>1996</v>
      </c>
      <c r="CS302" s="582">
        <f t="shared" si="574"/>
        <v>2130</v>
      </c>
      <c r="CT302" s="582">
        <f t="shared" si="574"/>
        <v>2282</v>
      </c>
      <c r="CU302" s="582">
        <f t="shared" si="574"/>
        <v>2457</v>
      </c>
      <c r="CV302" s="582">
        <f t="shared" si="574"/>
        <v>2662</v>
      </c>
      <c r="CW302" s="582">
        <f t="shared" si="574"/>
        <v>2904</v>
      </c>
      <c r="CX302" s="582">
        <f t="shared" si="574"/>
        <v>3195</v>
      </c>
      <c r="CY302" s="582">
        <f t="shared" si="574"/>
        <v>3550</v>
      </c>
      <c r="CZ302" s="582">
        <f t="shared" si="574"/>
        <v>3993</v>
      </c>
      <c r="DA302" s="582">
        <f t="shared" si="574"/>
        <v>4564</v>
      </c>
      <c r="DB302" s="582">
        <f t="shared" si="574"/>
        <v>5325</v>
      </c>
      <c r="DC302" s="582">
        <f t="shared" si="574"/>
        <v>6390</v>
      </c>
      <c r="DD302" s="582">
        <f t="shared" si="574"/>
        <v>7987</v>
      </c>
      <c r="DE302" s="582">
        <f t="shared" si="574"/>
        <v>10650</v>
      </c>
      <c r="DF302" s="602">
        <f t="shared" si="574"/>
        <v>15975</v>
      </c>
      <c r="DG302" s="575"/>
      <c r="DH302" s="575" t="str">
        <f t="shared" si="46"/>
        <v/>
      </c>
      <c r="DI302" s="74" t="str">
        <f t="shared" si="47"/>
        <v/>
      </c>
      <c r="DJ302" s="74" t="str">
        <f t="shared" si="48"/>
        <v/>
      </c>
      <c r="DK302" s="623" t="str">
        <f t="shared" si="49"/>
        <v/>
      </c>
      <c r="DL302" s="74"/>
      <c r="DM302" s="74"/>
      <c r="DN302" s="582">
        <f t="shared" si="571"/>
        <v>1.7</v>
      </c>
      <c r="DO302" s="575"/>
      <c r="DP302" s="61" t="s">
        <v>1540</v>
      </c>
    </row>
    <row r="303">
      <c r="A303" s="764">
        <v>297.0</v>
      </c>
      <c r="B303" s="765">
        <v>245.0</v>
      </c>
      <c r="C303" s="766">
        <v>37.0</v>
      </c>
      <c r="D303" s="766">
        <v>43.0</v>
      </c>
      <c r="E303" s="767"/>
      <c r="F303" s="768" t="s">
        <v>1246</v>
      </c>
      <c r="G303" s="768">
        <f t="shared" si="540"/>
        <v>16</v>
      </c>
      <c r="H303" s="768">
        <f t="shared" si="478"/>
        <v>15</v>
      </c>
      <c r="I303" s="768">
        <f t="shared" si="541"/>
        <v>16</v>
      </c>
      <c r="J303" s="768">
        <f t="shared" si="542"/>
        <v>19</v>
      </c>
      <c r="K303" s="768">
        <f t="shared" si="543"/>
        <v>19</v>
      </c>
      <c r="L303" s="768">
        <f t="shared" si="544"/>
        <v>15</v>
      </c>
      <c r="M303" s="769">
        <f t="shared" si="545"/>
        <v>20</v>
      </c>
      <c r="N303" s="767" t="s">
        <v>1553</v>
      </c>
      <c r="O303" s="770" t="s">
        <v>2104</v>
      </c>
      <c r="P303" s="919" t="s">
        <v>2228</v>
      </c>
      <c r="Q303" s="771" t="s">
        <v>1676</v>
      </c>
      <c r="R303" s="771" t="s">
        <v>1314</v>
      </c>
      <c r="S303" s="800" t="s">
        <v>1539</v>
      </c>
      <c r="T303" s="772" t="s">
        <v>1554</v>
      </c>
      <c r="U303" s="766">
        <v>85.0</v>
      </c>
      <c r="V303" s="766">
        <v>66.0</v>
      </c>
      <c r="W303" s="766">
        <v>97.0</v>
      </c>
      <c r="X303" s="766">
        <v>70.0</v>
      </c>
      <c r="Y303" s="766">
        <v>5.0</v>
      </c>
      <c r="Z303" s="766">
        <v>-10.0</v>
      </c>
      <c r="AA303" s="766">
        <v>2.0</v>
      </c>
      <c r="AB303" s="766">
        <v>140.0</v>
      </c>
      <c r="AC303" s="766">
        <v>22870.0</v>
      </c>
      <c r="AD303" s="766">
        <v>4.0</v>
      </c>
      <c r="AE303" s="766">
        <v>100.0</v>
      </c>
      <c r="AF303" s="767"/>
      <c r="AG303" s="766">
        <v>46.0</v>
      </c>
      <c r="AH303" s="766">
        <v>54.0</v>
      </c>
      <c r="AI303" s="775">
        <f t="shared" si="12"/>
        <v>50</v>
      </c>
      <c r="AJ303" s="767"/>
      <c r="AK303" s="767"/>
      <c r="AL303" s="767"/>
      <c r="AM303" s="767"/>
      <c r="AN303" s="767"/>
      <c r="AO303" s="767"/>
      <c r="AP303" s="767"/>
      <c r="AQ303" s="767"/>
      <c r="AR303" s="767"/>
      <c r="AS303" s="776"/>
      <c r="AT303" s="768">
        <f t="shared" si="13"/>
        <v>1006</v>
      </c>
      <c r="AU303" s="768">
        <f t="shared" si="14"/>
        <v>1142</v>
      </c>
      <c r="AV303" s="777">
        <f t="shared" si="15"/>
        <v>1074</v>
      </c>
      <c r="AW303" s="778">
        <f t="shared" si="546"/>
        <v>1918</v>
      </c>
      <c r="AX303" s="778">
        <f t="shared" si="484"/>
        <v>2065</v>
      </c>
      <c r="AY303" s="778">
        <f t="shared" si="547"/>
        <v>1918</v>
      </c>
      <c r="AZ303" s="778">
        <f t="shared" si="548"/>
        <v>2065</v>
      </c>
      <c r="BA303" s="778">
        <f t="shared" si="549"/>
        <v>1579</v>
      </c>
      <c r="BB303" s="778">
        <f t="shared" si="550"/>
        <v>1492</v>
      </c>
      <c r="BC303" s="778">
        <f t="shared" si="551"/>
        <v>1579</v>
      </c>
      <c r="BD303" s="778">
        <f t="shared" si="552"/>
        <v>1220</v>
      </c>
      <c r="BE303" s="778">
        <f t="shared" si="553"/>
        <v>1492</v>
      </c>
      <c r="BF303" s="778">
        <f t="shared" si="554"/>
        <v>1492</v>
      </c>
      <c r="BG303" s="778">
        <f t="shared" si="555"/>
        <v>1790</v>
      </c>
      <c r="BH303" s="778">
        <f t="shared" si="556"/>
        <v>1790</v>
      </c>
      <c r="BI303" s="778">
        <f t="shared" si="494"/>
        <v>1918</v>
      </c>
      <c r="BJ303" s="778">
        <f t="shared" si="557"/>
        <v>1918</v>
      </c>
      <c r="BK303" s="778">
        <f t="shared" si="558"/>
        <v>1492</v>
      </c>
      <c r="BL303" s="778">
        <f t="shared" si="559"/>
        <v>1413</v>
      </c>
      <c r="BM303" s="767"/>
      <c r="BN303" s="767"/>
      <c r="BO303" s="767"/>
      <c r="BP303" s="776" t="str">
        <f t="shared" si="33"/>
        <v/>
      </c>
      <c r="BQ303" s="780">
        <v>37.0</v>
      </c>
      <c r="BR303" s="780">
        <v>43.0</v>
      </c>
      <c r="BS303" s="780">
        <v>-10.0</v>
      </c>
      <c r="BT303" s="780">
        <v>100.0</v>
      </c>
      <c r="BU303" s="781"/>
      <c r="BV303" s="782">
        <f t="shared" si="34"/>
        <v>40</v>
      </c>
      <c r="BW303" s="783">
        <f t="shared" si="35"/>
        <v>1089.6</v>
      </c>
      <c r="BX303" s="784">
        <f t="shared" si="560"/>
        <v>1945.7</v>
      </c>
      <c r="BY303" s="784">
        <f t="shared" si="498"/>
        <v>2095.4</v>
      </c>
      <c r="BZ303" s="784">
        <f t="shared" si="561"/>
        <v>1945.7</v>
      </c>
      <c r="CA303" s="784">
        <f t="shared" si="562"/>
        <v>1602.4</v>
      </c>
      <c r="CB303" s="784">
        <f t="shared" si="563"/>
        <v>1602.4</v>
      </c>
      <c r="CC303" s="784">
        <f t="shared" si="564"/>
        <v>2095.4</v>
      </c>
      <c r="CD303" s="784">
        <f t="shared" si="565"/>
        <v>1513.3</v>
      </c>
      <c r="CE303" s="785">
        <f t="shared" si="43"/>
        <v>25</v>
      </c>
      <c r="CF303" s="802">
        <f t="shared" si="248"/>
        <v>-1.4</v>
      </c>
      <c r="CG303" s="787">
        <f t="shared" si="566"/>
        <v>-1.4</v>
      </c>
      <c r="CH303" s="776" t="s">
        <v>1553</v>
      </c>
      <c r="CI303" s="778">
        <f t="shared" ref="CI303:DF303" si="575">FLOOR($AV303/(CI$3/25),1)</f>
        <v>1074</v>
      </c>
      <c r="CJ303" s="778">
        <f t="shared" si="575"/>
        <v>1118</v>
      </c>
      <c r="CK303" s="778">
        <f t="shared" si="575"/>
        <v>1167</v>
      </c>
      <c r="CL303" s="778">
        <f t="shared" si="575"/>
        <v>1220</v>
      </c>
      <c r="CM303" s="778">
        <f t="shared" si="575"/>
        <v>1278</v>
      </c>
      <c r="CN303" s="778">
        <f t="shared" si="575"/>
        <v>1342</v>
      </c>
      <c r="CO303" s="778">
        <f t="shared" si="575"/>
        <v>1413</v>
      </c>
      <c r="CP303" s="778">
        <f t="shared" si="575"/>
        <v>1491</v>
      </c>
      <c r="CQ303" s="778">
        <f t="shared" si="575"/>
        <v>1579</v>
      </c>
      <c r="CR303" s="778">
        <f t="shared" si="575"/>
        <v>1678</v>
      </c>
      <c r="CS303" s="778">
        <f t="shared" si="575"/>
        <v>1790</v>
      </c>
      <c r="CT303" s="778">
        <f t="shared" si="575"/>
        <v>1917</v>
      </c>
      <c r="CU303" s="778">
        <f t="shared" si="575"/>
        <v>2065</v>
      </c>
      <c r="CV303" s="778">
        <f t="shared" si="575"/>
        <v>2237</v>
      </c>
      <c r="CW303" s="778">
        <f t="shared" si="575"/>
        <v>2440</v>
      </c>
      <c r="CX303" s="778">
        <f t="shared" si="575"/>
        <v>2685</v>
      </c>
      <c r="CY303" s="778">
        <f t="shared" si="575"/>
        <v>2983</v>
      </c>
      <c r="CZ303" s="778">
        <f t="shared" si="575"/>
        <v>3356</v>
      </c>
      <c r="DA303" s="778">
        <f t="shared" si="575"/>
        <v>3835</v>
      </c>
      <c r="DB303" s="778">
        <f t="shared" si="575"/>
        <v>4475</v>
      </c>
      <c r="DC303" s="778">
        <f t="shared" si="575"/>
        <v>5370</v>
      </c>
      <c r="DD303" s="778">
        <f t="shared" si="575"/>
        <v>6712</v>
      </c>
      <c r="DE303" s="778">
        <f t="shared" si="575"/>
        <v>8950</v>
      </c>
      <c r="DF303" s="779">
        <f t="shared" si="575"/>
        <v>13425</v>
      </c>
      <c r="DG303" s="776"/>
      <c r="DH303" s="776" t="str">
        <f t="shared" si="46"/>
        <v/>
      </c>
      <c r="DI303" s="767" t="str">
        <f t="shared" si="47"/>
        <v/>
      </c>
      <c r="DJ303" s="767" t="str">
        <f t="shared" si="48"/>
        <v/>
      </c>
      <c r="DK303" s="803" t="str">
        <f t="shared" si="49"/>
        <v/>
      </c>
      <c r="DL303" s="767"/>
      <c r="DM303" s="767"/>
      <c r="DN303" s="778">
        <f t="shared" si="571"/>
        <v>1.4</v>
      </c>
      <c r="DO303" s="776"/>
      <c r="DP303" s="874" t="s">
        <v>1540</v>
      </c>
    </row>
    <row r="304">
      <c r="A304" s="552">
        <v>298.0</v>
      </c>
      <c r="B304" s="86">
        <v>79.0</v>
      </c>
      <c r="C304" s="54">
        <v>1.0</v>
      </c>
      <c r="D304" s="54">
        <v>5.0</v>
      </c>
      <c r="E304" s="74"/>
      <c r="F304" s="68" t="s">
        <v>1683</v>
      </c>
      <c r="G304" s="68">
        <f t="shared" si="540"/>
        <v>20</v>
      </c>
      <c r="H304" s="68">
        <f t="shared" si="478"/>
        <v>19</v>
      </c>
      <c r="I304" s="68">
        <f t="shared" si="541"/>
        <v>19</v>
      </c>
      <c r="J304" s="68">
        <f t="shared" si="542"/>
        <v>17</v>
      </c>
      <c r="K304" s="68">
        <f t="shared" si="543"/>
        <v>20</v>
      </c>
      <c r="L304" s="68">
        <f t="shared" si="544"/>
        <v>18</v>
      </c>
      <c r="M304" s="569">
        <f t="shared" si="545"/>
        <v>18</v>
      </c>
      <c r="N304" s="74" t="s">
        <v>1555</v>
      </c>
      <c r="O304" s="570" t="s">
        <v>2072</v>
      </c>
      <c r="P304" s="571"/>
      <c r="Q304" s="571" t="s">
        <v>1313</v>
      </c>
      <c r="R304" s="571" t="s">
        <v>1685</v>
      </c>
      <c r="S304" s="791" t="s">
        <v>1564</v>
      </c>
      <c r="T304" s="572" t="s">
        <v>1556</v>
      </c>
      <c r="U304" s="54">
        <v>1.0</v>
      </c>
      <c r="V304" s="54">
        <v>0.0</v>
      </c>
      <c r="W304" s="74"/>
      <c r="X304" s="74"/>
      <c r="Y304" s="573">
        <v>2.0</v>
      </c>
      <c r="Z304" s="54">
        <v>-10.0</v>
      </c>
      <c r="AA304" s="54">
        <v>2.0</v>
      </c>
      <c r="AB304" s="54">
        <v>40.0</v>
      </c>
      <c r="AC304" s="54">
        <v>168.0</v>
      </c>
      <c r="AD304" s="54">
        <v>2.0</v>
      </c>
      <c r="AE304" s="54">
        <v>110.0</v>
      </c>
      <c r="AF304" s="74"/>
      <c r="AG304" s="54">
        <v>1.0</v>
      </c>
      <c r="AH304" s="54">
        <v>5.0</v>
      </c>
      <c r="AI304" s="574">
        <f t="shared" si="12"/>
        <v>3</v>
      </c>
      <c r="AJ304" s="74"/>
      <c r="AK304" s="74"/>
      <c r="AL304" s="74"/>
      <c r="AM304" s="74"/>
      <c r="AN304" s="74"/>
      <c r="AO304" s="74"/>
      <c r="AP304" s="74"/>
      <c r="AQ304" s="74"/>
      <c r="AR304" s="74"/>
      <c r="AS304" s="575"/>
      <c r="AT304" s="68">
        <f t="shared" si="13"/>
        <v>263</v>
      </c>
      <c r="AU304" s="68">
        <f t="shared" si="14"/>
        <v>335</v>
      </c>
      <c r="AV304" s="581">
        <f t="shared" si="15"/>
        <v>299</v>
      </c>
      <c r="AW304" s="582">
        <f t="shared" si="546"/>
        <v>415</v>
      </c>
      <c r="AX304" s="582">
        <f t="shared" si="484"/>
        <v>440</v>
      </c>
      <c r="AY304" s="582">
        <f t="shared" si="547"/>
        <v>440</v>
      </c>
      <c r="AZ304" s="582">
        <f t="shared" si="548"/>
        <v>467</v>
      </c>
      <c r="BA304" s="582">
        <f t="shared" si="549"/>
        <v>415</v>
      </c>
      <c r="BB304" s="582">
        <f t="shared" si="550"/>
        <v>467</v>
      </c>
      <c r="BC304" s="582">
        <f t="shared" si="551"/>
        <v>498</v>
      </c>
      <c r="BD304" s="582">
        <f t="shared" si="552"/>
        <v>393</v>
      </c>
      <c r="BE304" s="582">
        <f t="shared" si="553"/>
        <v>467</v>
      </c>
      <c r="BF304" s="582">
        <f t="shared" si="554"/>
        <v>340</v>
      </c>
      <c r="BG304" s="582">
        <f t="shared" si="555"/>
        <v>415</v>
      </c>
      <c r="BH304" s="582">
        <f t="shared" si="556"/>
        <v>393</v>
      </c>
      <c r="BI304" s="582">
        <f t="shared" si="494"/>
        <v>415</v>
      </c>
      <c r="BJ304" s="582">
        <f t="shared" si="557"/>
        <v>440</v>
      </c>
      <c r="BK304" s="582">
        <f t="shared" si="558"/>
        <v>393</v>
      </c>
      <c r="BL304" s="582">
        <f t="shared" si="559"/>
        <v>440</v>
      </c>
      <c r="BM304" s="74"/>
      <c r="BN304" s="74"/>
      <c r="BO304" s="74"/>
      <c r="BP304" s="575" t="str">
        <f t="shared" si="33"/>
        <v/>
      </c>
      <c r="BQ304" s="54">
        <v>1.0</v>
      </c>
      <c r="BR304" s="54">
        <v>5.0</v>
      </c>
      <c r="BS304" s="54">
        <v>-10.0</v>
      </c>
      <c r="BT304" s="54">
        <v>110.0</v>
      </c>
      <c r="BU304" s="74"/>
      <c r="BV304" s="83">
        <f t="shared" si="34"/>
        <v>3</v>
      </c>
      <c r="BW304" s="608">
        <f t="shared" si="35"/>
        <v>363</v>
      </c>
      <c r="BX304" s="582">
        <f t="shared" si="560"/>
        <v>504.2</v>
      </c>
      <c r="BY304" s="582">
        <f t="shared" si="498"/>
        <v>533.8</v>
      </c>
      <c r="BZ304" s="582">
        <f t="shared" si="561"/>
        <v>533.8</v>
      </c>
      <c r="CA304" s="582">
        <f t="shared" si="562"/>
        <v>605</v>
      </c>
      <c r="CB304" s="582">
        <f t="shared" si="563"/>
        <v>504.2</v>
      </c>
      <c r="CC304" s="582">
        <f t="shared" si="564"/>
        <v>567.2</v>
      </c>
      <c r="CD304" s="582">
        <f t="shared" si="565"/>
        <v>567.2</v>
      </c>
      <c r="CE304" s="623" t="str">
        <f t="shared" si="43"/>
        <v/>
      </c>
      <c r="CF304" s="74">
        <f t="shared" si="248"/>
        <v>-17.6</v>
      </c>
      <c r="CG304" s="602">
        <f t="shared" si="566"/>
        <v>-17.7</v>
      </c>
      <c r="CH304" s="575" t="s">
        <v>1555</v>
      </c>
      <c r="CI304" s="582">
        <f t="shared" ref="CI304:DF304" si="576">FLOOR($AV304/(CI$3/25),1)</f>
        <v>299</v>
      </c>
      <c r="CJ304" s="582">
        <f t="shared" si="576"/>
        <v>311</v>
      </c>
      <c r="CK304" s="582">
        <f t="shared" si="576"/>
        <v>325</v>
      </c>
      <c r="CL304" s="582">
        <f t="shared" si="576"/>
        <v>339</v>
      </c>
      <c r="CM304" s="582">
        <f t="shared" si="576"/>
        <v>355</v>
      </c>
      <c r="CN304" s="582">
        <f t="shared" si="576"/>
        <v>373</v>
      </c>
      <c r="CO304" s="582">
        <f t="shared" si="576"/>
        <v>393</v>
      </c>
      <c r="CP304" s="582">
        <f t="shared" si="576"/>
        <v>415</v>
      </c>
      <c r="CQ304" s="582">
        <f t="shared" si="576"/>
        <v>439</v>
      </c>
      <c r="CR304" s="582">
        <f t="shared" si="576"/>
        <v>467</v>
      </c>
      <c r="CS304" s="582">
        <f t="shared" si="576"/>
        <v>498</v>
      </c>
      <c r="CT304" s="582">
        <f t="shared" si="576"/>
        <v>533</v>
      </c>
      <c r="CU304" s="582">
        <f t="shared" si="576"/>
        <v>575</v>
      </c>
      <c r="CV304" s="582">
        <f t="shared" si="576"/>
        <v>622</v>
      </c>
      <c r="CW304" s="582">
        <f t="shared" si="576"/>
        <v>679</v>
      </c>
      <c r="CX304" s="582">
        <f t="shared" si="576"/>
        <v>747</v>
      </c>
      <c r="CY304" s="582">
        <f t="shared" si="576"/>
        <v>830</v>
      </c>
      <c r="CZ304" s="582">
        <f t="shared" si="576"/>
        <v>934</v>
      </c>
      <c r="DA304" s="582">
        <f t="shared" si="576"/>
        <v>1067</v>
      </c>
      <c r="DB304" s="582">
        <f t="shared" si="576"/>
        <v>1245</v>
      </c>
      <c r="DC304" s="582">
        <f t="shared" si="576"/>
        <v>1495</v>
      </c>
      <c r="DD304" s="582">
        <f t="shared" si="576"/>
        <v>1868</v>
      </c>
      <c r="DE304" s="582">
        <f t="shared" si="576"/>
        <v>2491</v>
      </c>
      <c r="DF304" s="602">
        <f t="shared" si="576"/>
        <v>3737</v>
      </c>
      <c r="DG304" s="575"/>
      <c r="DH304" s="575" t="str">
        <f t="shared" si="46"/>
        <v/>
      </c>
      <c r="DI304" s="74" t="str">
        <f t="shared" si="47"/>
        <v/>
      </c>
      <c r="DJ304" s="74" t="str">
        <f t="shared" si="48"/>
        <v/>
      </c>
      <c r="DK304" s="792" t="str">
        <f t="shared" si="49"/>
        <v/>
      </c>
      <c r="DL304" s="793"/>
      <c r="DM304" s="793"/>
      <c r="DN304" s="793"/>
      <c r="DO304" s="575"/>
      <c r="DP304" s="61" t="s">
        <v>1565</v>
      </c>
    </row>
    <row r="305">
      <c r="A305" s="552">
        <v>299.0</v>
      </c>
      <c r="B305" s="86">
        <v>80.0</v>
      </c>
      <c r="C305" s="54">
        <v>2.0</v>
      </c>
      <c r="D305" s="54">
        <v>8.0</v>
      </c>
      <c r="E305" s="74"/>
      <c r="F305" s="68" t="s">
        <v>1683</v>
      </c>
      <c r="G305" s="68">
        <f t="shared" si="540"/>
        <v>20</v>
      </c>
      <c r="H305" s="68">
        <f t="shared" si="478"/>
        <v>19</v>
      </c>
      <c r="I305" s="68">
        <f t="shared" si="541"/>
        <v>19</v>
      </c>
      <c r="J305" s="68">
        <f t="shared" si="542"/>
        <v>17</v>
      </c>
      <c r="K305" s="68">
        <f t="shared" si="543"/>
        <v>20</v>
      </c>
      <c r="L305" s="68">
        <f t="shared" si="544"/>
        <v>18</v>
      </c>
      <c r="M305" s="569">
        <f t="shared" si="545"/>
        <v>18</v>
      </c>
      <c r="N305" s="74" t="s">
        <v>1566</v>
      </c>
      <c r="O305" s="570" t="s">
        <v>2073</v>
      </c>
      <c r="P305" s="571"/>
      <c r="Q305" s="571" t="s">
        <v>1313</v>
      </c>
      <c r="R305" s="571" t="s">
        <v>1685</v>
      </c>
      <c r="S305" s="791" t="s">
        <v>1564</v>
      </c>
      <c r="T305" s="572" t="s">
        <v>1567</v>
      </c>
      <c r="U305" s="54">
        <v>8.0</v>
      </c>
      <c r="V305" s="54">
        <v>0.0</v>
      </c>
      <c r="W305" s="74"/>
      <c r="X305" s="74"/>
      <c r="Y305" s="54">
        <v>3.0</v>
      </c>
      <c r="Z305" s="54">
        <v>0.0</v>
      </c>
      <c r="AA305" s="54">
        <v>3.0</v>
      </c>
      <c r="AB305" s="54">
        <v>60.0</v>
      </c>
      <c r="AC305" s="54">
        <v>463.0</v>
      </c>
      <c r="AD305" s="54">
        <v>2.0</v>
      </c>
      <c r="AE305" s="54">
        <v>110.0</v>
      </c>
      <c r="AF305" s="74"/>
      <c r="AG305" s="54">
        <v>2.0</v>
      </c>
      <c r="AH305" s="54">
        <v>8.0</v>
      </c>
      <c r="AI305" s="574">
        <f t="shared" si="12"/>
        <v>5</v>
      </c>
      <c r="AJ305" s="74"/>
      <c r="AK305" s="74"/>
      <c r="AL305" s="74"/>
      <c r="AM305" s="74"/>
      <c r="AN305" s="74"/>
      <c r="AO305" s="74"/>
      <c r="AP305" s="74"/>
      <c r="AQ305" s="74"/>
      <c r="AR305" s="74"/>
      <c r="AS305" s="575"/>
      <c r="AT305" s="68">
        <f t="shared" si="13"/>
        <v>283</v>
      </c>
      <c r="AU305" s="68">
        <f t="shared" si="14"/>
        <v>390</v>
      </c>
      <c r="AV305" s="581">
        <f t="shared" si="15"/>
        <v>336.5</v>
      </c>
      <c r="AW305" s="582">
        <f t="shared" si="546"/>
        <v>443</v>
      </c>
      <c r="AX305" s="582">
        <f t="shared" si="484"/>
        <v>467</v>
      </c>
      <c r="AY305" s="582">
        <f t="shared" si="547"/>
        <v>467</v>
      </c>
      <c r="AZ305" s="582">
        <f t="shared" si="548"/>
        <v>495</v>
      </c>
      <c r="BA305" s="582">
        <f t="shared" si="549"/>
        <v>443</v>
      </c>
      <c r="BB305" s="582">
        <f t="shared" si="550"/>
        <v>495</v>
      </c>
      <c r="BC305" s="582">
        <f t="shared" si="551"/>
        <v>526</v>
      </c>
      <c r="BD305" s="582">
        <f t="shared" si="552"/>
        <v>351</v>
      </c>
      <c r="BE305" s="582">
        <f t="shared" si="553"/>
        <v>421</v>
      </c>
      <c r="BF305" s="582">
        <f t="shared" si="554"/>
        <v>312</v>
      </c>
      <c r="BG305" s="582">
        <f t="shared" si="555"/>
        <v>382</v>
      </c>
      <c r="BH305" s="582">
        <f t="shared" si="556"/>
        <v>366</v>
      </c>
      <c r="BI305" s="582">
        <f t="shared" si="494"/>
        <v>382</v>
      </c>
      <c r="BJ305" s="582">
        <f t="shared" si="557"/>
        <v>401</v>
      </c>
      <c r="BK305" s="582">
        <f t="shared" si="558"/>
        <v>366</v>
      </c>
      <c r="BL305" s="582">
        <f t="shared" si="559"/>
        <v>401</v>
      </c>
      <c r="BM305" s="74"/>
      <c r="BN305" s="74"/>
      <c r="BO305" s="74"/>
      <c r="BP305" s="575" t="str">
        <f t="shared" si="33"/>
        <v/>
      </c>
      <c r="BQ305" s="54">
        <v>2.0</v>
      </c>
      <c r="BR305" s="54">
        <v>8.0</v>
      </c>
      <c r="BS305" s="74"/>
      <c r="BT305" s="54">
        <v>110.0</v>
      </c>
      <c r="BU305" s="74"/>
      <c r="BV305" s="83">
        <f t="shared" si="34"/>
        <v>5</v>
      </c>
      <c r="BW305" s="608">
        <f t="shared" si="35"/>
        <v>406.2</v>
      </c>
      <c r="BX305" s="582">
        <f t="shared" si="560"/>
        <v>534.5</v>
      </c>
      <c r="BY305" s="582">
        <f t="shared" si="498"/>
        <v>564.2</v>
      </c>
      <c r="BZ305" s="582">
        <f t="shared" si="561"/>
        <v>564.2</v>
      </c>
      <c r="CA305" s="582">
        <f t="shared" si="562"/>
        <v>634.7</v>
      </c>
      <c r="CB305" s="582">
        <f t="shared" si="563"/>
        <v>534.5</v>
      </c>
      <c r="CC305" s="582">
        <f t="shared" si="564"/>
        <v>597.4</v>
      </c>
      <c r="CD305" s="582">
        <f t="shared" si="565"/>
        <v>597.4</v>
      </c>
      <c r="CE305" s="623" t="str">
        <f t="shared" si="43"/>
        <v/>
      </c>
      <c r="CF305" s="74">
        <f t="shared" si="248"/>
        <v>-17.2</v>
      </c>
      <c r="CG305" s="552">
        <f t="shared" si="566"/>
        <v>-17.1</v>
      </c>
      <c r="CH305" s="575" t="s">
        <v>1566</v>
      </c>
      <c r="CI305" s="582">
        <f t="shared" ref="CI305:DF305" si="577">FLOOR($AV305/(CI$3/25),1)</f>
        <v>336</v>
      </c>
      <c r="CJ305" s="582">
        <f t="shared" si="577"/>
        <v>350</v>
      </c>
      <c r="CK305" s="582">
        <f t="shared" si="577"/>
        <v>365</v>
      </c>
      <c r="CL305" s="582">
        <f t="shared" si="577"/>
        <v>382</v>
      </c>
      <c r="CM305" s="582">
        <f t="shared" si="577"/>
        <v>400</v>
      </c>
      <c r="CN305" s="582">
        <f t="shared" si="577"/>
        <v>420</v>
      </c>
      <c r="CO305" s="582">
        <f t="shared" si="577"/>
        <v>442</v>
      </c>
      <c r="CP305" s="582">
        <f t="shared" si="577"/>
        <v>467</v>
      </c>
      <c r="CQ305" s="582">
        <f t="shared" si="577"/>
        <v>494</v>
      </c>
      <c r="CR305" s="582">
        <f t="shared" si="577"/>
        <v>525</v>
      </c>
      <c r="CS305" s="582">
        <f t="shared" si="577"/>
        <v>560</v>
      </c>
      <c r="CT305" s="582">
        <f t="shared" si="577"/>
        <v>600</v>
      </c>
      <c r="CU305" s="582">
        <f t="shared" si="577"/>
        <v>647</v>
      </c>
      <c r="CV305" s="582">
        <f t="shared" si="577"/>
        <v>701</v>
      </c>
      <c r="CW305" s="582">
        <f t="shared" si="577"/>
        <v>764</v>
      </c>
      <c r="CX305" s="582">
        <f t="shared" si="577"/>
        <v>841</v>
      </c>
      <c r="CY305" s="582">
        <f t="shared" si="577"/>
        <v>934</v>
      </c>
      <c r="CZ305" s="582">
        <f t="shared" si="577"/>
        <v>1051</v>
      </c>
      <c r="DA305" s="582">
        <f t="shared" si="577"/>
        <v>1201</v>
      </c>
      <c r="DB305" s="582">
        <f t="shared" si="577"/>
        <v>1402</v>
      </c>
      <c r="DC305" s="582">
        <f t="shared" si="577"/>
        <v>1682</v>
      </c>
      <c r="DD305" s="582">
        <f t="shared" si="577"/>
        <v>2103</v>
      </c>
      <c r="DE305" s="582">
        <f t="shared" si="577"/>
        <v>2804</v>
      </c>
      <c r="DF305" s="602">
        <f t="shared" si="577"/>
        <v>4206</v>
      </c>
      <c r="DG305" s="575"/>
      <c r="DH305" s="575" t="str">
        <f t="shared" si="46"/>
        <v/>
      </c>
      <c r="DI305" s="74" t="str">
        <f t="shared" si="47"/>
        <v/>
      </c>
      <c r="DJ305" s="74" t="str">
        <f t="shared" si="48"/>
        <v/>
      </c>
      <c r="DK305" s="623" t="str">
        <f t="shared" si="49"/>
        <v/>
      </c>
      <c r="DL305" s="74"/>
      <c r="DM305" s="74"/>
      <c r="DN305" s="74"/>
      <c r="DO305" s="575"/>
      <c r="DP305" s="61" t="s">
        <v>1565</v>
      </c>
    </row>
    <row r="306">
      <c r="A306" s="552">
        <v>300.0</v>
      </c>
      <c r="B306" s="86">
        <v>81.0</v>
      </c>
      <c r="C306" s="54">
        <v>4.0</v>
      </c>
      <c r="D306" s="54">
        <v>12.0</v>
      </c>
      <c r="E306" s="74"/>
      <c r="F306" s="68" t="s">
        <v>1683</v>
      </c>
      <c r="G306" s="68">
        <f t="shared" si="540"/>
        <v>20</v>
      </c>
      <c r="H306" s="68">
        <f t="shared" si="478"/>
        <v>19</v>
      </c>
      <c r="I306" s="68">
        <f t="shared" si="541"/>
        <v>19</v>
      </c>
      <c r="J306" s="68">
        <f t="shared" si="542"/>
        <v>17</v>
      </c>
      <c r="K306" s="68">
        <f t="shared" si="543"/>
        <v>20</v>
      </c>
      <c r="L306" s="68">
        <f t="shared" si="544"/>
        <v>18</v>
      </c>
      <c r="M306" s="569">
        <f t="shared" si="545"/>
        <v>18</v>
      </c>
      <c r="N306" s="74" t="s">
        <v>1574</v>
      </c>
      <c r="O306" s="570" t="s">
        <v>2074</v>
      </c>
      <c r="P306" s="571"/>
      <c r="Q306" s="571" t="s">
        <v>1313</v>
      </c>
      <c r="R306" s="571" t="s">
        <v>1685</v>
      </c>
      <c r="S306" s="791" t="s">
        <v>1564</v>
      </c>
      <c r="T306" s="572" t="s">
        <v>1575</v>
      </c>
      <c r="U306" s="54">
        <v>12.0</v>
      </c>
      <c r="V306" s="54">
        <v>0.0</v>
      </c>
      <c r="W306" s="74"/>
      <c r="X306" s="74"/>
      <c r="Y306" s="54">
        <v>4.0</v>
      </c>
      <c r="Z306" s="54">
        <v>10.0</v>
      </c>
      <c r="AA306" s="54">
        <v>3.0</v>
      </c>
      <c r="AB306" s="54">
        <v>70.0</v>
      </c>
      <c r="AC306" s="54">
        <v>766.0</v>
      </c>
      <c r="AD306" s="54">
        <v>2.0</v>
      </c>
      <c r="AE306" s="54">
        <v>110.0</v>
      </c>
      <c r="AF306" s="74"/>
      <c r="AG306" s="54">
        <v>4.0</v>
      </c>
      <c r="AH306" s="54">
        <v>12.0</v>
      </c>
      <c r="AI306" s="574">
        <f t="shared" si="12"/>
        <v>8</v>
      </c>
      <c r="AJ306" s="74"/>
      <c r="AK306" s="74"/>
      <c r="AL306" s="74"/>
      <c r="AM306" s="74"/>
      <c r="AN306" s="74"/>
      <c r="AO306" s="74"/>
      <c r="AP306" s="74"/>
      <c r="AQ306" s="74"/>
      <c r="AR306" s="74"/>
      <c r="AS306" s="575"/>
      <c r="AT306" s="68">
        <f t="shared" si="13"/>
        <v>318</v>
      </c>
      <c r="AU306" s="68">
        <f t="shared" si="14"/>
        <v>461</v>
      </c>
      <c r="AV306" s="581">
        <f t="shared" si="15"/>
        <v>389.5</v>
      </c>
      <c r="AW306" s="582">
        <f t="shared" si="546"/>
        <v>443</v>
      </c>
      <c r="AX306" s="582">
        <f t="shared" si="484"/>
        <v>464</v>
      </c>
      <c r="AY306" s="582">
        <f t="shared" si="547"/>
        <v>464</v>
      </c>
      <c r="AZ306" s="582">
        <f t="shared" si="548"/>
        <v>487</v>
      </c>
      <c r="BA306" s="582">
        <f t="shared" si="549"/>
        <v>443</v>
      </c>
      <c r="BB306" s="582">
        <f t="shared" si="550"/>
        <v>487</v>
      </c>
      <c r="BC306" s="582">
        <f t="shared" si="551"/>
        <v>541</v>
      </c>
      <c r="BD306" s="582">
        <f t="shared" si="552"/>
        <v>348</v>
      </c>
      <c r="BE306" s="582">
        <f t="shared" si="553"/>
        <v>406</v>
      </c>
      <c r="BF306" s="582">
        <f t="shared" si="554"/>
        <v>295</v>
      </c>
      <c r="BG306" s="582">
        <f t="shared" si="555"/>
        <v>348</v>
      </c>
      <c r="BH306" s="582">
        <f t="shared" si="556"/>
        <v>336</v>
      </c>
      <c r="BI306" s="582">
        <f t="shared" si="494"/>
        <v>348</v>
      </c>
      <c r="BJ306" s="582">
        <f t="shared" si="557"/>
        <v>375</v>
      </c>
      <c r="BK306" s="582">
        <f t="shared" si="558"/>
        <v>336</v>
      </c>
      <c r="BL306" s="582">
        <f t="shared" si="559"/>
        <v>375</v>
      </c>
      <c r="BM306" s="74"/>
      <c r="BN306" s="74"/>
      <c r="BO306" s="74"/>
      <c r="BP306" s="575" t="str">
        <f t="shared" si="33"/>
        <v/>
      </c>
      <c r="BQ306" s="54">
        <v>4.0</v>
      </c>
      <c r="BR306" s="54">
        <v>12.0</v>
      </c>
      <c r="BS306" s="54">
        <v>10.0</v>
      </c>
      <c r="BT306" s="54">
        <v>110.0</v>
      </c>
      <c r="BU306" s="74"/>
      <c r="BV306" s="83">
        <f t="shared" si="34"/>
        <v>8</v>
      </c>
      <c r="BW306" s="608">
        <f t="shared" si="35"/>
        <v>470.9</v>
      </c>
      <c r="BX306" s="582">
        <f t="shared" si="560"/>
        <v>535.1</v>
      </c>
      <c r="BY306" s="582">
        <f t="shared" si="498"/>
        <v>560.6</v>
      </c>
      <c r="BZ306" s="582">
        <f t="shared" si="561"/>
        <v>560.6</v>
      </c>
      <c r="CA306" s="582">
        <f t="shared" si="562"/>
        <v>654</v>
      </c>
      <c r="CB306" s="582">
        <f t="shared" si="563"/>
        <v>535.1</v>
      </c>
      <c r="CC306" s="582">
        <f t="shared" si="564"/>
        <v>588.6</v>
      </c>
      <c r="CD306" s="582">
        <f t="shared" si="565"/>
        <v>588.6</v>
      </c>
      <c r="CE306" s="623" t="str">
        <f t="shared" si="43"/>
        <v/>
      </c>
      <c r="CF306" s="74">
        <f t="shared" si="248"/>
        <v>-17.3</v>
      </c>
      <c r="CG306" s="602">
        <f t="shared" si="566"/>
        <v>-17.2</v>
      </c>
      <c r="CH306" s="575" t="s">
        <v>1574</v>
      </c>
      <c r="CI306" s="582">
        <f t="shared" ref="CI306:DF306" si="578">FLOOR($AV306/(CI$3/25),1)</f>
        <v>389</v>
      </c>
      <c r="CJ306" s="582">
        <f t="shared" si="578"/>
        <v>405</v>
      </c>
      <c r="CK306" s="582">
        <f t="shared" si="578"/>
        <v>423</v>
      </c>
      <c r="CL306" s="582">
        <f t="shared" si="578"/>
        <v>442</v>
      </c>
      <c r="CM306" s="582">
        <f t="shared" si="578"/>
        <v>463</v>
      </c>
      <c r="CN306" s="582">
        <f t="shared" si="578"/>
        <v>486</v>
      </c>
      <c r="CO306" s="582">
        <f t="shared" si="578"/>
        <v>512</v>
      </c>
      <c r="CP306" s="582">
        <f t="shared" si="578"/>
        <v>540</v>
      </c>
      <c r="CQ306" s="582">
        <f t="shared" si="578"/>
        <v>572</v>
      </c>
      <c r="CR306" s="582">
        <f t="shared" si="578"/>
        <v>608</v>
      </c>
      <c r="CS306" s="582">
        <f t="shared" si="578"/>
        <v>649</v>
      </c>
      <c r="CT306" s="582">
        <f t="shared" si="578"/>
        <v>695</v>
      </c>
      <c r="CU306" s="582">
        <f t="shared" si="578"/>
        <v>749</v>
      </c>
      <c r="CV306" s="582">
        <f t="shared" si="578"/>
        <v>811</v>
      </c>
      <c r="CW306" s="582">
        <f t="shared" si="578"/>
        <v>885</v>
      </c>
      <c r="CX306" s="582">
        <f t="shared" si="578"/>
        <v>973</v>
      </c>
      <c r="CY306" s="582">
        <f t="shared" si="578"/>
        <v>1081</v>
      </c>
      <c r="CZ306" s="582">
        <f t="shared" si="578"/>
        <v>1217</v>
      </c>
      <c r="DA306" s="582">
        <f t="shared" si="578"/>
        <v>1391</v>
      </c>
      <c r="DB306" s="582">
        <f t="shared" si="578"/>
        <v>1622</v>
      </c>
      <c r="DC306" s="582">
        <f t="shared" si="578"/>
        <v>1947</v>
      </c>
      <c r="DD306" s="582">
        <f t="shared" si="578"/>
        <v>2434</v>
      </c>
      <c r="DE306" s="582">
        <f t="shared" si="578"/>
        <v>3245</v>
      </c>
      <c r="DF306" s="602">
        <f t="shared" si="578"/>
        <v>4868</v>
      </c>
      <c r="DG306" s="575"/>
      <c r="DH306" s="575" t="str">
        <f t="shared" si="46"/>
        <v/>
      </c>
      <c r="DI306" s="74" t="str">
        <f t="shared" si="47"/>
        <v/>
      </c>
      <c r="DJ306" s="74" t="str">
        <f t="shared" si="48"/>
        <v/>
      </c>
      <c r="DK306" s="623" t="str">
        <f t="shared" si="49"/>
        <v/>
      </c>
      <c r="DL306" s="74"/>
      <c r="DM306" s="74"/>
      <c r="DN306" s="74"/>
      <c r="DO306" s="575"/>
      <c r="DP306" s="61" t="s">
        <v>1565</v>
      </c>
    </row>
    <row r="307">
      <c r="A307" s="552">
        <v>301.0</v>
      </c>
      <c r="B307" s="86">
        <v>82.0</v>
      </c>
      <c r="C307" s="54">
        <v>6.0</v>
      </c>
      <c r="D307" s="54">
        <v>13.0</v>
      </c>
      <c r="E307" s="74"/>
      <c r="F307" s="68" t="s">
        <v>1683</v>
      </c>
      <c r="G307" s="68">
        <f t="shared" si="540"/>
        <v>20</v>
      </c>
      <c r="H307" s="68">
        <f t="shared" si="478"/>
        <v>19</v>
      </c>
      <c r="I307" s="68">
        <f t="shared" si="541"/>
        <v>19</v>
      </c>
      <c r="J307" s="68">
        <f t="shared" si="542"/>
        <v>17</v>
      </c>
      <c r="K307" s="68">
        <f t="shared" si="543"/>
        <v>20</v>
      </c>
      <c r="L307" s="68">
        <f t="shared" si="544"/>
        <v>18</v>
      </c>
      <c r="M307" s="569">
        <f t="shared" si="545"/>
        <v>18</v>
      </c>
      <c r="N307" s="74" t="s">
        <v>1582</v>
      </c>
      <c r="O307" s="570" t="s">
        <v>2075</v>
      </c>
      <c r="P307" s="639" t="s">
        <v>2160</v>
      </c>
      <c r="Q307" s="571" t="s">
        <v>1313</v>
      </c>
      <c r="R307" s="571" t="s">
        <v>1685</v>
      </c>
      <c r="S307" s="791" t="s">
        <v>1564</v>
      </c>
      <c r="T307" s="572" t="s">
        <v>1583</v>
      </c>
      <c r="U307" s="54">
        <v>17.0</v>
      </c>
      <c r="V307" s="54">
        <v>0.0</v>
      </c>
      <c r="W307" s="74"/>
      <c r="X307" s="74"/>
      <c r="Y307" s="54">
        <v>4.0</v>
      </c>
      <c r="Z307" s="54">
        <v>0.0</v>
      </c>
      <c r="AA307" s="54">
        <v>3.0</v>
      </c>
      <c r="AB307" s="54">
        <v>80.0</v>
      </c>
      <c r="AC307" s="54">
        <v>1223.0</v>
      </c>
      <c r="AD307" s="54">
        <v>2.0</v>
      </c>
      <c r="AE307" s="54">
        <v>110.0</v>
      </c>
      <c r="AF307" s="74"/>
      <c r="AG307" s="54">
        <v>6.0</v>
      </c>
      <c r="AH307" s="54">
        <v>13.0</v>
      </c>
      <c r="AI307" s="574">
        <f t="shared" si="12"/>
        <v>9.5</v>
      </c>
      <c r="AJ307" s="74"/>
      <c r="AK307" s="74"/>
      <c r="AL307" s="74"/>
      <c r="AM307" s="74"/>
      <c r="AN307" s="74"/>
      <c r="AO307" s="74"/>
      <c r="AP307" s="74"/>
      <c r="AQ307" s="74"/>
      <c r="AR307" s="74"/>
      <c r="AS307" s="575"/>
      <c r="AT307" s="68">
        <f t="shared" si="13"/>
        <v>355</v>
      </c>
      <c r="AU307" s="68">
        <f t="shared" si="14"/>
        <v>481</v>
      </c>
      <c r="AV307" s="581">
        <f t="shared" si="15"/>
        <v>418</v>
      </c>
      <c r="AW307" s="582">
        <f t="shared" si="546"/>
        <v>550</v>
      </c>
      <c r="AX307" s="582">
        <f t="shared" si="484"/>
        <v>581</v>
      </c>
      <c r="AY307" s="582">
        <f t="shared" si="547"/>
        <v>581</v>
      </c>
      <c r="AZ307" s="582">
        <f t="shared" si="548"/>
        <v>615</v>
      </c>
      <c r="BA307" s="582">
        <f t="shared" si="549"/>
        <v>550</v>
      </c>
      <c r="BB307" s="582">
        <f t="shared" si="550"/>
        <v>615</v>
      </c>
      <c r="BC307" s="582">
        <f t="shared" si="551"/>
        <v>653</v>
      </c>
      <c r="BD307" s="582">
        <f t="shared" si="552"/>
        <v>435</v>
      </c>
      <c r="BE307" s="582">
        <f t="shared" si="553"/>
        <v>523</v>
      </c>
      <c r="BF307" s="582">
        <f t="shared" si="554"/>
        <v>387</v>
      </c>
      <c r="BG307" s="582">
        <f t="shared" si="555"/>
        <v>475</v>
      </c>
      <c r="BH307" s="582">
        <f t="shared" si="556"/>
        <v>454</v>
      </c>
      <c r="BI307" s="582">
        <f t="shared" si="494"/>
        <v>475</v>
      </c>
      <c r="BJ307" s="582">
        <f t="shared" si="557"/>
        <v>498</v>
      </c>
      <c r="BK307" s="582">
        <f t="shared" si="558"/>
        <v>454</v>
      </c>
      <c r="BL307" s="582">
        <f t="shared" si="559"/>
        <v>498</v>
      </c>
      <c r="BM307" s="74"/>
      <c r="BN307" s="74"/>
      <c r="BO307" s="74"/>
      <c r="BP307" s="575" t="str">
        <f t="shared" si="33"/>
        <v/>
      </c>
      <c r="BQ307" s="54">
        <v>6.0</v>
      </c>
      <c r="BR307" s="54">
        <v>13.0</v>
      </c>
      <c r="BS307" s="74"/>
      <c r="BT307" s="54">
        <v>110.0</v>
      </c>
      <c r="BU307" s="74"/>
      <c r="BV307" s="83">
        <f t="shared" si="34"/>
        <v>9.5</v>
      </c>
      <c r="BW307" s="608">
        <f t="shared" si="35"/>
        <v>503.3</v>
      </c>
      <c r="BX307" s="582">
        <f t="shared" si="560"/>
        <v>662.2</v>
      </c>
      <c r="BY307" s="582">
        <f t="shared" si="498"/>
        <v>699</v>
      </c>
      <c r="BZ307" s="582">
        <f t="shared" si="561"/>
        <v>699</v>
      </c>
      <c r="CA307" s="582">
        <f t="shared" si="562"/>
        <v>786.4</v>
      </c>
      <c r="CB307" s="582">
        <f t="shared" si="563"/>
        <v>662.2</v>
      </c>
      <c r="CC307" s="582">
        <f t="shared" si="564"/>
        <v>740.1</v>
      </c>
      <c r="CD307" s="582">
        <f t="shared" si="565"/>
        <v>740.1</v>
      </c>
      <c r="CE307" s="623" t="str">
        <f t="shared" si="43"/>
        <v/>
      </c>
      <c r="CF307" s="74">
        <f t="shared" si="248"/>
        <v>-16.9</v>
      </c>
      <c r="CG307" s="602">
        <f t="shared" si="566"/>
        <v>-16.9</v>
      </c>
      <c r="CH307" s="575" t="s">
        <v>1582</v>
      </c>
      <c r="CI307" s="582">
        <f t="shared" ref="CI307:DF307" si="579">FLOOR($AV307/(CI$3/25),1)</f>
        <v>418</v>
      </c>
      <c r="CJ307" s="582">
        <f t="shared" si="579"/>
        <v>435</v>
      </c>
      <c r="CK307" s="582">
        <f t="shared" si="579"/>
        <v>454</v>
      </c>
      <c r="CL307" s="582">
        <f t="shared" si="579"/>
        <v>475</v>
      </c>
      <c r="CM307" s="582">
        <f t="shared" si="579"/>
        <v>497</v>
      </c>
      <c r="CN307" s="582">
        <f t="shared" si="579"/>
        <v>522</v>
      </c>
      <c r="CO307" s="582">
        <f t="shared" si="579"/>
        <v>550</v>
      </c>
      <c r="CP307" s="582">
        <f t="shared" si="579"/>
        <v>580</v>
      </c>
      <c r="CQ307" s="582">
        <f t="shared" si="579"/>
        <v>614</v>
      </c>
      <c r="CR307" s="582">
        <f t="shared" si="579"/>
        <v>653</v>
      </c>
      <c r="CS307" s="582">
        <f t="shared" si="579"/>
        <v>696</v>
      </c>
      <c r="CT307" s="582">
        <f t="shared" si="579"/>
        <v>746</v>
      </c>
      <c r="CU307" s="582">
        <f t="shared" si="579"/>
        <v>803</v>
      </c>
      <c r="CV307" s="582">
        <f t="shared" si="579"/>
        <v>870</v>
      </c>
      <c r="CW307" s="582">
        <f t="shared" si="579"/>
        <v>950</v>
      </c>
      <c r="CX307" s="582">
        <f t="shared" si="579"/>
        <v>1045</v>
      </c>
      <c r="CY307" s="582">
        <f t="shared" si="579"/>
        <v>1161</v>
      </c>
      <c r="CZ307" s="582">
        <f t="shared" si="579"/>
        <v>1306</v>
      </c>
      <c r="DA307" s="582">
        <f t="shared" si="579"/>
        <v>1492</v>
      </c>
      <c r="DB307" s="582">
        <f t="shared" si="579"/>
        <v>1741</v>
      </c>
      <c r="DC307" s="582">
        <f t="shared" si="579"/>
        <v>2090</v>
      </c>
      <c r="DD307" s="582">
        <f t="shared" si="579"/>
        <v>2612</v>
      </c>
      <c r="DE307" s="582">
        <f t="shared" si="579"/>
        <v>3483</v>
      </c>
      <c r="DF307" s="602">
        <f t="shared" si="579"/>
        <v>5225</v>
      </c>
      <c r="DG307" s="575"/>
      <c r="DH307" s="575" t="str">
        <f t="shared" si="46"/>
        <v/>
      </c>
      <c r="DI307" s="74" t="str">
        <f t="shared" si="47"/>
        <v/>
      </c>
      <c r="DJ307" s="74" t="str">
        <f t="shared" si="48"/>
        <v/>
      </c>
      <c r="DK307" s="623" t="str">
        <f t="shared" si="49"/>
        <v/>
      </c>
      <c r="DL307" s="74"/>
      <c r="DM307" s="74"/>
      <c r="DN307" s="74"/>
      <c r="DO307" s="575"/>
      <c r="DP307" s="61" t="s">
        <v>1565</v>
      </c>
    </row>
    <row r="308">
      <c r="A308" s="647">
        <v>302.0</v>
      </c>
      <c r="B308" s="141">
        <v>83.0</v>
      </c>
      <c r="C308" s="129">
        <v>12.0</v>
      </c>
      <c r="D308" s="129">
        <v>28.0</v>
      </c>
      <c r="E308" s="134"/>
      <c r="F308" s="154" t="s">
        <v>1683</v>
      </c>
      <c r="G308" s="154">
        <f t="shared" si="540"/>
        <v>20</v>
      </c>
      <c r="H308" s="154">
        <f t="shared" si="478"/>
        <v>19</v>
      </c>
      <c r="I308" s="154">
        <f t="shared" si="541"/>
        <v>19</v>
      </c>
      <c r="J308" s="154">
        <f t="shared" si="542"/>
        <v>17</v>
      </c>
      <c r="K308" s="154">
        <f t="shared" si="543"/>
        <v>20</v>
      </c>
      <c r="L308" s="154">
        <f t="shared" si="544"/>
        <v>18</v>
      </c>
      <c r="M308" s="648">
        <f t="shared" si="545"/>
        <v>18</v>
      </c>
      <c r="N308" s="134" t="s">
        <v>1590</v>
      </c>
      <c r="O308" s="649" t="s">
        <v>2076</v>
      </c>
      <c r="P308" s="804" t="s">
        <v>2152</v>
      </c>
      <c r="Q308" s="650" t="s">
        <v>1313</v>
      </c>
      <c r="R308" s="650" t="s">
        <v>1685</v>
      </c>
      <c r="S308" s="796" t="s">
        <v>1564</v>
      </c>
      <c r="T308" s="651" t="s">
        <v>1591</v>
      </c>
      <c r="U308" s="129">
        <v>24.0</v>
      </c>
      <c r="V308" s="129">
        <v>0.0</v>
      </c>
      <c r="W308" s="134"/>
      <c r="X308" s="134"/>
      <c r="Y308" s="129">
        <v>6.0</v>
      </c>
      <c r="Z308" s="129">
        <v>20.0</v>
      </c>
      <c r="AA308" s="129">
        <v>3.0</v>
      </c>
      <c r="AB308" s="129">
        <v>100.0</v>
      </c>
      <c r="AC308" s="129">
        <v>1985.0</v>
      </c>
      <c r="AD308" s="129">
        <v>2.0</v>
      </c>
      <c r="AE308" s="129">
        <v>110.0</v>
      </c>
      <c r="AF308" s="134"/>
      <c r="AG308" s="129">
        <v>12.0</v>
      </c>
      <c r="AH308" s="129">
        <v>28.0</v>
      </c>
      <c r="AI308" s="652">
        <f t="shared" si="12"/>
        <v>20</v>
      </c>
      <c r="AJ308" s="134"/>
      <c r="AK308" s="134"/>
      <c r="AL308" s="134"/>
      <c r="AM308" s="134"/>
      <c r="AN308" s="134"/>
      <c r="AO308" s="134"/>
      <c r="AP308" s="134"/>
      <c r="AQ308" s="134"/>
      <c r="AR308" s="134"/>
      <c r="AS308" s="653"/>
      <c r="AT308" s="154">
        <f t="shared" si="13"/>
        <v>461</v>
      </c>
      <c r="AU308" s="154">
        <f t="shared" si="14"/>
        <v>748</v>
      </c>
      <c r="AV308" s="654">
        <f t="shared" si="15"/>
        <v>604.5</v>
      </c>
      <c r="AW308" s="655">
        <f t="shared" si="546"/>
        <v>605</v>
      </c>
      <c r="AX308" s="655">
        <f t="shared" si="484"/>
        <v>657</v>
      </c>
      <c r="AY308" s="655">
        <f t="shared" si="547"/>
        <v>657</v>
      </c>
      <c r="AZ308" s="655">
        <f t="shared" si="548"/>
        <v>687</v>
      </c>
      <c r="BA308" s="655">
        <f t="shared" si="549"/>
        <v>605</v>
      </c>
      <c r="BB308" s="655">
        <f t="shared" si="550"/>
        <v>687</v>
      </c>
      <c r="BC308" s="655">
        <f t="shared" si="551"/>
        <v>720</v>
      </c>
      <c r="BD308" s="655">
        <f t="shared" si="552"/>
        <v>398</v>
      </c>
      <c r="BE308" s="655">
        <f t="shared" si="553"/>
        <v>488</v>
      </c>
      <c r="BF308" s="655">
        <f t="shared" si="554"/>
        <v>369</v>
      </c>
      <c r="BG308" s="655">
        <f t="shared" si="555"/>
        <v>444</v>
      </c>
      <c r="BH308" s="655">
        <f t="shared" si="556"/>
        <v>408</v>
      </c>
      <c r="BI308" s="655">
        <f t="shared" si="494"/>
        <v>444</v>
      </c>
      <c r="BJ308" s="655">
        <f t="shared" si="557"/>
        <v>458</v>
      </c>
      <c r="BK308" s="655">
        <f t="shared" si="558"/>
        <v>408</v>
      </c>
      <c r="BL308" s="655">
        <f t="shared" si="559"/>
        <v>458</v>
      </c>
      <c r="BM308" s="134"/>
      <c r="BN308" s="134"/>
      <c r="BO308" s="134"/>
      <c r="BP308" s="653" t="str">
        <f t="shared" si="33"/>
        <v/>
      </c>
      <c r="BQ308" s="129">
        <v>12.0</v>
      </c>
      <c r="BR308" s="129">
        <v>28.0</v>
      </c>
      <c r="BS308" s="129">
        <v>20.0</v>
      </c>
      <c r="BT308" s="129">
        <v>110.0</v>
      </c>
      <c r="BU308" s="134"/>
      <c r="BV308" s="135">
        <f t="shared" si="34"/>
        <v>20</v>
      </c>
      <c r="BW308" s="657">
        <f t="shared" si="35"/>
        <v>730</v>
      </c>
      <c r="BX308" s="655">
        <f t="shared" si="560"/>
        <v>730</v>
      </c>
      <c r="BY308" s="655">
        <f t="shared" si="498"/>
        <v>793.5</v>
      </c>
      <c r="BZ308" s="655">
        <f t="shared" si="561"/>
        <v>793.5</v>
      </c>
      <c r="CA308" s="655">
        <f t="shared" si="562"/>
        <v>869</v>
      </c>
      <c r="CB308" s="655">
        <f t="shared" si="563"/>
        <v>730</v>
      </c>
      <c r="CC308" s="655">
        <f t="shared" si="564"/>
        <v>829.5</v>
      </c>
      <c r="CD308" s="655">
        <f t="shared" si="565"/>
        <v>829.5</v>
      </c>
      <c r="CE308" s="662" t="str">
        <f t="shared" si="43"/>
        <v/>
      </c>
      <c r="CF308" s="134">
        <f t="shared" si="248"/>
        <v>-17.2</v>
      </c>
      <c r="CG308" s="647">
        <f t="shared" si="566"/>
        <v>-17.1</v>
      </c>
      <c r="CH308" s="653" t="s">
        <v>1590</v>
      </c>
      <c r="CI308" s="655">
        <f t="shared" ref="CI308:DF308" si="580">FLOOR($AV308/(CI$3/25),1)</f>
        <v>604</v>
      </c>
      <c r="CJ308" s="655">
        <f t="shared" si="580"/>
        <v>629</v>
      </c>
      <c r="CK308" s="655">
        <f t="shared" si="580"/>
        <v>657</v>
      </c>
      <c r="CL308" s="655">
        <f t="shared" si="580"/>
        <v>686</v>
      </c>
      <c r="CM308" s="655">
        <f t="shared" si="580"/>
        <v>719</v>
      </c>
      <c r="CN308" s="655">
        <f t="shared" si="580"/>
        <v>755</v>
      </c>
      <c r="CO308" s="655">
        <f t="shared" si="580"/>
        <v>795</v>
      </c>
      <c r="CP308" s="655">
        <f t="shared" si="580"/>
        <v>839</v>
      </c>
      <c r="CQ308" s="655">
        <f t="shared" si="580"/>
        <v>888</v>
      </c>
      <c r="CR308" s="655">
        <f t="shared" si="580"/>
        <v>944</v>
      </c>
      <c r="CS308" s="655">
        <f t="shared" si="580"/>
        <v>1007</v>
      </c>
      <c r="CT308" s="655">
        <f t="shared" si="580"/>
        <v>1079</v>
      </c>
      <c r="CU308" s="655">
        <f t="shared" si="580"/>
        <v>1162</v>
      </c>
      <c r="CV308" s="655">
        <f t="shared" si="580"/>
        <v>1259</v>
      </c>
      <c r="CW308" s="655">
        <f t="shared" si="580"/>
        <v>1373</v>
      </c>
      <c r="CX308" s="655">
        <f t="shared" si="580"/>
        <v>1511</v>
      </c>
      <c r="CY308" s="655">
        <f t="shared" si="580"/>
        <v>1679</v>
      </c>
      <c r="CZ308" s="655">
        <f t="shared" si="580"/>
        <v>1889</v>
      </c>
      <c r="DA308" s="655">
        <f t="shared" si="580"/>
        <v>2158</v>
      </c>
      <c r="DB308" s="655">
        <f t="shared" si="580"/>
        <v>2518</v>
      </c>
      <c r="DC308" s="655">
        <f t="shared" si="580"/>
        <v>3022</v>
      </c>
      <c r="DD308" s="655">
        <f t="shared" si="580"/>
        <v>3778</v>
      </c>
      <c r="DE308" s="655">
        <f t="shared" si="580"/>
        <v>5037</v>
      </c>
      <c r="DF308" s="656">
        <f t="shared" si="580"/>
        <v>7556</v>
      </c>
      <c r="DG308" s="653"/>
      <c r="DH308" s="653" t="str">
        <f t="shared" si="46"/>
        <v/>
      </c>
      <c r="DI308" s="134" t="str">
        <f t="shared" si="47"/>
        <v/>
      </c>
      <c r="DJ308" s="134" t="str">
        <f t="shared" si="48"/>
        <v/>
      </c>
      <c r="DK308" s="662" t="str">
        <f t="shared" si="49"/>
        <v/>
      </c>
      <c r="DL308" s="134"/>
      <c r="DM308" s="134"/>
      <c r="DN308" s="134"/>
      <c r="DO308" s="653"/>
      <c r="DP308" s="872" t="s">
        <v>1565</v>
      </c>
    </row>
    <row r="309">
      <c r="A309" s="552">
        <v>303.0</v>
      </c>
      <c r="B309" s="86">
        <v>187.0</v>
      </c>
      <c r="C309" s="54">
        <v>8.0</v>
      </c>
      <c r="D309" s="54">
        <v>26.0</v>
      </c>
      <c r="E309" s="74"/>
      <c r="F309" s="68" t="s">
        <v>1683</v>
      </c>
      <c r="G309" s="68">
        <f t="shared" si="540"/>
        <v>20</v>
      </c>
      <c r="H309" s="68">
        <f t="shared" si="478"/>
        <v>19</v>
      </c>
      <c r="I309" s="68">
        <f t="shared" si="541"/>
        <v>19</v>
      </c>
      <c r="J309" s="68">
        <f t="shared" si="542"/>
        <v>17</v>
      </c>
      <c r="K309" s="68">
        <f t="shared" si="543"/>
        <v>20</v>
      </c>
      <c r="L309" s="68">
        <f t="shared" si="544"/>
        <v>18</v>
      </c>
      <c r="M309" s="569">
        <f t="shared" si="545"/>
        <v>18</v>
      </c>
      <c r="N309" s="74" t="s">
        <v>1557</v>
      </c>
      <c r="O309" s="570" t="s">
        <v>2077</v>
      </c>
      <c r="P309" s="571"/>
      <c r="Q309" s="571" t="s">
        <v>1670</v>
      </c>
      <c r="R309" s="571" t="s">
        <v>1685</v>
      </c>
      <c r="S309" s="791" t="s">
        <v>1564</v>
      </c>
      <c r="T309" s="572" t="s">
        <v>1558</v>
      </c>
      <c r="U309" s="54">
        <v>30.0</v>
      </c>
      <c r="V309" s="54">
        <v>18.0</v>
      </c>
      <c r="W309" s="54">
        <v>25.0</v>
      </c>
      <c r="X309" s="74"/>
      <c r="Y309" s="54">
        <v>3.0</v>
      </c>
      <c r="Z309" s="54">
        <v>-10.0</v>
      </c>
      <c r="AA309" s="54">
        <v>2.0</v>
      </c>
      <c r="AB309" s="54">
        <v>40.0</v>
      </c>
      <c r="AC309" s="54">
        <v>804.0</v>
      </c>
      <c r="AD309" s="54">
        <v>2.0</v>
      </c>
      <c r="AE309" s="54">
        <v>110.0</v>
      </c>
      <c r="AF309" s="74"/>
      <c r="AG309" s="54">
        <v>9.0</v>
      </c>
      <c r="AH309" s="54">
        <v>30.0</v>
      </c>
      <c r="AI309" s="574">
        <f t="shared" si="12"/>
        <v>19.5</v>
      </c>
      <c r="AJ309" s="74"/>
      <c r="AK309" s="74"/>
      <c r="AL309" s="74"/>
      <c r="AM309" s="74"/>
      <c r="AN309" s="74"/>
      <c r="AO309" s="74"/>
      <c r="AP309" s="74"/>
      <c r="AQ309" s="74"/>
      <c r="AR309" s="74"/>
      <c r="AS309" s="575"/>
      <c r="AT309" s="68">
        <f t="shared" si="13"/>
        <v>410</v>
      </c>
      <c r="AU309" s="68">
        <f t="shared" si="14"/>
        <v>785</v>
      </c>
      <c r="AV309" s="581">
        <f t="shared" si="15"/>
        <v>597.5</v>
      </c>
      <c r="AW309" s="582">
        <f t="shared" si="546"/>
        <v>830</v>
      </c>
      <c r="AX309" s="582">
        <f t="shared" si="484"/>
        <v>879</v>
      </c>
      <c r="AY309" s="582">
        <f t="shared" si="547"/>
        <v>879</v>
      </c>
      <c r="AZ309" s="582">
        <f t="shared" si="548"/>
        <v>934</v>
      </c>
      <c r="BA309" s="582">
        <f t="shared" si="549"/>
        <v>830</v>
      </c>
      <c r="BB309" s="582">
        <f t="shared" si="550"/>
        <v>934</v>
      </c>
      <c r="BC309" s="582">
        <f t="shared" si="551"/>
        <v>996</v>
      </c>
      <c r="BD309" s="582">
        <f t="shared" si="552"/>
        <v>786</v>
      </c>
      <c r="BE309" s="582">
        <f t="shared" si="553"/>
        <v>934</v>
      </c>
      <c r="BF309" s="582">
        <f t="shared" si="554"/>
        <v>679</v>
      </c>
      <c r="BG309" s="582">
        <f t="shared" si="555"/>
        <v>830</v>
      </c>
      <c r="BH309" s="582">
        <f t="shared" si="556"/>
        <v>786</v>
      </c>
      <c r="BI309" s="582">
        <f t="shared" si="494"/>
        <v>830</v>
      </c>
      <c r="BJ309" s="582">
        <f t="shared" si="557"/>
        <v>879</v>
      </c>
      <c r="BK309" s="582">
        <f t="shared" si="558"/>
        <v>786</v>
      </c>
      <c r="BL309" s="582">
        <f t="shared" si="559"/>
        <v>879</v>
      </c>
      <c r="BM309" s="74"/>
      <c r="BN309" s="74"/>
      <c r="BO309" s="74"/>
      <c r="BP309" s="575" t="str">
        <f t="shared" si="33"/>
        <v/>
      </c>
      <c r="BQ309" s="54">
        <v>6.0</v>
      </c>
      <c r="BR309" s="54">
        <v>21.0</v>
      </c>
      <c r="BS309" s="54">
        <v>-10.0</v>
      </c>
      <c r="BT309" s="54">
        <v>110.0</v>
      </c>
      <c r="BU309" s="74"/>
      <c r="BV309" s="83">
        <f t="shared" si="34"/>
        <v>13.5</v>
      </c>
      <c r="BW309" s="608">
        <f t="shared" si="35"/>
        <v>589.7</v>
      </c>
      <c r="BX309" s="582">
        <f t="shared" si="560"/>
        <v>819</v>
      </c>
      <c r="BY309" s="582">
        <f t="shared" si="498"/>
        <v>867.2</v>
      </c>
      <c r="BZ309" s="582">
        <f t="shared" si="561"/>
        <v>867.2</v>
      </c>
      <c r="CA309" s="582">
        <f t="shared" si="562"/>
        <v>982.8</v>
      </c>
      <c r="CB309" s="582">
        <f t="shared" si="563"/>
        <v>819</v>
      </c>
      <c r="CC309" s="582">
        <f t="shared" si="564"/>
        <v>921.4</v>
      </c>
      <c r="CD309" s="582">
        <f t="shared" si="565"/>
        <v>921.4</v>
      </c>
      <c r="CE309" s="664">
        <f t="shared" si="43"/>
        <v>44.4</v>
      </c>
      <c r="CF309" s="86">
        <f t="shared" si="248"/>
        <v>1.3</v>
      </c>
      <c r="CG309" s="552">
        <f t="shared" si="566"/>
        <v>1.3</v>
      </c>
      <c r="CH309" s="575" t="s">
        <v>1557</v>
      </c>
      <c r="CI309" s="582">
        <f t="shared" ref="CI309:DF309" si="581">FLOOR($AV309/(CI$3/25),1)</f>
        <v>597</v>
      </c>
      <c r="CJ309" s="582">
        <f t="shared" si="581"/>
        <v>622</v>
      </c>
      <c r="CK309" s="582">
        <f t="shared" si="581"/>
        <v>649</v>
      </c>
      <c r="CL309" s="582">
        <f t="shared" si="581"/>
        <v>678</v>
      </c>
      <c r="CM309" s="582">
        <f t="shared" si="581"/>
        <v>711</v>
      </c>
      <c r="CN309" s="582">
        <f t="shared" si="581"/>
        <v>746</v>
      </c>
      <c r="CO309" s="582">
        <f t="shared" si="581"/>
        <v>786</v>
      </c>
      <c r="CP309" s="582">
        <f t="shared" si="581"/>
        <v>829</v>
      </c>
      <c r="CQ309" s="582">
        <f t="shared" si="581"/>
        <v>878</v>
      </c>
      <c r="CR309" s="582">
        <f t="shared" si="581"/>
        <v>933</v>
      </c>
      <c r="CS309" s="582">
        <f t="shared" si="581"/>
        <v>995</v>
      </c>
      <c r="CT309" s="582">
        <f t="shared" si="581"/>
        <v>1066</v>
      </c>
      <c r="CU309" s="582">
        <f t="shared" si="581"/>
        <v>1149</v>
      </c>
      <c r="CV309" s="582">
        <f t="shared" si="581"/>
        <v>1244</v>
      </c>
      <c r="CW309" s="582">
        <f t="shared" si="581"/>
        <v>1357</v>
      </c>
      <c r="CX309" s="582">
        <f t="shared" si="581"/>
        <v>1493</v>
      </c>
      <c r="CY309" s="582">
        <f t="shared" si="581"/>
        <v>1659</v>
      </c>
      <c r="CZ309" s="582">
        <f t="shared" si="581"/>
        <v>1867</v>
      </c>
      <c r="DA309" s="582">
        <f t="shared" si="581"/>
        <v>2133</v>
      </c>
      <c r="DB309" s="582">
        <f t="shared" si="581"/>
        <v>2489</v>
      </c>
      <c r="DC309" s="582">
        <f t="shared" si="581"/>
        <v>2987</v>
      </c>
      <c r="DD309" s="582">
        <f t="shared" si="581"/>
        <v>3734</v>
      </c>
      <c r="DE309" s="582">
        <f t="shared" si="581"/>
        <v>4979</v>
      </c>
      <c r="DF309" s="602">
        <f t="shared" si="581"/>
        <v>7468</v>
      </c>
      <c r="DG309" s="575"/>
      <c r="DH309" s="575" t="str">
        <f t="shared" si="46"/>
        <v/>
      </c>
      <c r="DI309" s="74" t="str">
        <f t="shared" si="47"/>
        <v/>
      </c>
      <c r="DJ309" s="74" t="str">
        <f t="shared" si="48"/>
        <v/>
      </c>
      <c r="DK309" s="623" t="str">
        <f t="shared" si="49"/>
        <v/>
      </c>
      <c r="DL309" s="74"/>
      <c r="DM309" s="74"/>
      <c r="DN309" s="582">
        <f t="shared" ref="DN309:DN318" si="583">IF(ISBLANK(DL309),ROUND(AI309/IF(ISBLANK(DL304),AI304,DL304),1),ROUND(DL309/IF(ISBLANK(DL304),AI304,DL304),1))</f>
        <v>6.5</v>
      </c>
      <c r="DO309" s="575"/>
      <c r="DP309" s="61" t="s">
        <v>1565</v>
      </c>
    </row>
    <row r="310">
      <c r="A310" s="552">
        <v>304.0</v>
      </c>
      <c r="B310" s="86">
        <v>188.0</v>
      </c>
      <c r="C310" s="54">
        <v>10.0</v>
      </c>
      <c r="D310" s="54">
        <v>33.0</v>
      </c>
      <c r="E310" s="74"/>
      <c r="F310" s="68" t="s">
        <v>1683</v>
      </c>
      <c r="G310" s="68">
        <f t="shared" si="540"/>
        <v>20</v>
      </c>
      <c r="H310" s="68">
        <f t="shared" si="478"/>
        <v>19</v>
      </c>
      <c r="I310" s="68">
        <f t="shared" si="541"/>
        <v>19</v>
      </c>
      <c r="J310" s="68">
        <f t="shared" si="542"/>
        <v>17</v>
      </c>
      <c r="K310" s="68">
        <f t="shared" si="543"/>
        <v>20</v>
      </c>
      <c r="L310" s="68">
        <f t="shared" si="544"/>
        <v>18</v>
      </c>
      <c r="M310" s="569">
        <f t="shared" si="545"/>
        <v>18</v>
      </c>
      <c r="N310" s="74" t="s">
        <v>1568</v>
      </c>
      <c r="O310" s="570" t="s">
        <v>2078</v>
      </c>
      <c r="P310" s="571"/>
      <c r="Q310" s="571" t="s">
        <v>1670</v>
      </c>
      <c r="R310" s="571" t="s">
        <v>1685</v>
      </c>
      <c r="S310" s="791" t="s">
        <v>1564</v>
      </c>
      <c r="T310" s="572" t="s">
        <v>1569</v>
      </c>
      <c r="U310" s="54">
        <v>35.0</v>
      </c>
      <c r="V310" s="54">
        <v>23.0</v>
      </c>
      <c r="W310" s="54">
        <v>25.0</v>
      </c>
      <c r="X310" s="74"/>
      <c r="Y310" s="54">
        <v>3.0</v>
      </c>
      <c r="Z310" s="54">
        <v>0.0</v>
      </c>
      <c r="AA310" s="54">
        <v>3.0</v>
      </c>
      <c r="AB310" s="54">
        <v>60.0</v>
      </c>
      <c r="AC310" s="54">
        <v>1689.0</v>
      </c>
      <c r="AD310" s="54">
        <v>2.0</v>
      </c>
      <c r="AE310" s="54">
        <v>110.0</v>
      </c>
      <c r="AF310" s="74"/>
      <c r="AG310" s="54">
        <v>12.0</v>
      </c>
      <c r="AH310" s="54">
        <v>38.0</v>
      </c>
      <c r="AI310" s="574">
        <f t="shared" si="12"/>
        <v>25</v>
      </c>
      <c r="AJ310" s="74"/>
      <c r="AK310" s="74"/>
      <c r="AL310" s="74"/>
      <c r="AM310" s="74"/>
      <c r="AN310" s="74"/>
      <c r="AO310" s="74"/>
      <c r="AP310" s="74"/>
      <c r="AQ310" s="74"/>
      <c r="AR310" s="74"/>
      <c r="AS310" s="575"/>
      <c r="AT310" s="68">
        <f t="shared" si="13"/>
        <v>461</v>
      </c>
      <c r="AU310" s="68">
        <f t="shared" si="14"/>
        <v>930</v>
      </c>
      <c r="AV310" s="581">
        <f t="shared" si="15"/>
        <v>695.5</v>
      </c>
      <c r="AW310" s="582">
        <f t="shared" si="546"/>
        <v>915</v>
      </c>
      <c r="AX310" s="582">
        <f t="shared" si="484"/>
        <v>966</v>
      </c>
      <c r="AY310" s="582">
        <f t="shared" si="547"/>
        <v>966</v>
      </c>
      <c r="AZ310" s="582">
        <f t="shared" si="548"/>
        <v>1023</v>
      </c>
      <c r="BA310" s="582">
        <f t="shared" si="549"/>
        <v>915</v>
      </c>
      <c r="BB310" s="582">
        <f t="shared" si="550"/>
        <v>1023</v>
      </c>
      <c r="BC310" s="582">
        <f t="shared" si="551"/>
        <v>1087</v>
      </c>
      <c r="BD310" s="582">
        <f t="shared" si="552"/>
        <v>724</v>
      </c>
      <c r="BE310" s="582">
        <f t="shared" si="553"/>
        <v>869</v>
      </c>
      <c r="BF310" s="582">
        <f t="shared" si="554"/>
        <v>644</v>
      </c>
      <c r="BG310" s="582">
        <f t="shared" si="555"/>
        <v>790</v>
      </c>
      <c r="BH310" s="582">
        <f t="shared" si="556"/>
        <v>756</v>
      </c>
      <c r="BI310" s="582">
        <f t="shared" si="494"/>
        <v>790</v>
      </c>
      <c r="BJ310" s="582">
        <f t="shared" si="557"/>
        <v>828</v>
      </c>
      <c r="BK310" s="582">
        <f t="shared" si="558"/>
        <v>756</v>
      </c>
      <c r="BL310" s="582">
        <f t="shared" si="559"/>
        <v>828</v>
      </c>
      <c r="BM310" s="74"/>
      <c r="BN310" s="74"/>
      <c r="BO310" s="74"/>
      <c r="BP310" s="575" t="str">
        <f t="shared" si="33"/>
        <v/>
      </c>
      <c r="BQ310" s="54">
        <v>8.0</v>
      </c>
      <c r="BR310" s="54">
        <v>26.0</v>
      </c>
      <c r="BS310" s="74"/>
      <c r="BT310" s="54">
        <v>110.0</v>
      </c>
      <c r="BU310" s="74"/>
      <c r="BV310" s="83">
        <f t="shared" si="34"/>
        <v>17</v>
      </c>
      <c r="BW310" s="608">
        <f t="shared" si="35"/>
        <v>665.2</v>
      </c>
      <c r="BX310" s="582">
        <f t="shared" si="560"/>
        <v>875.3</v>
      </c>
      <c r="BY310" s="582">
        <f t="shared" si="498"/>
        <v>923.9</v>
      </c>
      <c r="BZ310" s="582">
        <f t="shared" si="561"/>
        <v>923.9</v>
      </c>
      <c r="CA310" s="582">
        <f t="shared" si="562"/>
        <v>1039.4</v>
      </c>
      <c r="CB310" s="582">
        <f t="shared" si="563"/>
        <v>875.3</v>
      </c>
      <c r="CC310" s="582">
        <f t="shared" si="564"/>
        <v>978.2</v>
      </c>
      <c r="CD310" s="582">
        <f t="shared" si="565"/>
        <v>978.2</v>
      </c>
      <c r="CE310" s="664">
        <f t="shared" si="43"/>
        <v>47.1</v>
      </c>
      <c r="CF310" s="86">
        <f t="shared" si="248"/>
        <v>4.6</v>
      </c>
      <c r="CG310" s="552">
        <f t="shared" si="566"/>
        <v>4.5</v>
      </c>
      <c r="CH310" s="575" t="s">
        <v>1568</v>
      </c>
      <c r="CI310" s="582">
        <f t="shared" ref="CI310:DF310" si="582">FLOOR($AV310/(CI$3/25),1)</f>
        <v>695</v>
      </c>
      <c r="CJ310" s="582">
        <f t="shared" si="582"/>
        <v>724</v>
      </c>
      <c r="CK310" s="582">
        <f t="shared" si="582"/>
        <v>755</v>
      </c>
      <c r="CL310" s="582">
        <f t="shared" si="582"/>
        <v>790</v>
      </c>
      <c r="CM310" s="582">
        <f t="shared" si="582"/>
        <v>827</v>
      </c>
      <c r="CN310" s="582">
        <f t="shared" si="582"/>
        <v>869</v>
      </c>
      <c r="CO310" s="582">
        <f t="shared" si="582"/>
        <v>915</v>
      </c>
      <c r="CP310" s="582">
        <f t="shared" si="582"/>
        <v>965</v>
      </c>
      <c r="CQ310" s="582">
        <f t="shared" si="582"/>
        <v>1022</v>
      </c>
      <c r="CR310" s="582">
        <f t="shared" si="582"/>
        <v>1086</v>
      </c>
      <c r="CS310" s="582">
        <f t="shared" si="582"/>
        <v>1159</v>
      </c>
      <c r="CT310" s="582">
        <f t="shared" si="582"/>
        <v>1241</v>
      </c>
      <c r="CU310" s="582">
        <f t="shared" si="582"/>
        <v>1337</v>
      </c>
      <c r="CV310" s="582">
        <f t="shared" si="582"/>
        <v>1448</v>
      </c>
      <c r="CW310" s="582">
        <f t="shared" si="582"/>
        <v>1580</v>
      </c>
      <c r="CX310" s="582">
        <f t="shared" si="582"/>
        <v>1738</v>
      </c>
      <c r="CY310" s="582">
        <f t="shared" si="582"/>
        <v>1931</v>
      </c>
      <c r="CZ310" s="582">
        <f t="shared" si="582"/>
        <v>2173</v>
      </c>
      <c r="DA310" s="582">
        <f t="shared" si="582"/>
        <v>2483</v>
      </c>
      <c r="DB310" s="582">
        <f t="shared" si="582"/>
        <v>2897</v>
      </c>
      <c r="DC310" s="582">
        <f t="shared" si="582"/>
        <v>3477</v>
      </c>
      <c r="DD310" s="582">
        <f t="shared" si="582"/>
        <v>4346</v>
      </c>
      <c r="DE310" s="582">
        <f t="shared" si="582"/>
        <v>5795</v>
      </c>
      <c r="DF310" s="602">
        <f t="shared" si="582"/>
        <v>8693</v>
      </c>
      <c r="DG310" s="575"/>
      <c r="DH310" s="575" t="str">
        <f t="shared" si="46"/>
        <v/>
      </c>
      <c r="DI310" s="74" t="str">
        <f t="shared" si="47"/>
        <v/>
      </c>
      <c r="DJ310" s="74" t="str">
        <f t="shared" si="48"/>
        <v/>
      </c>
      <c r="DK310" s="623" t="str">
        <f t="shared" si="49"/>
        <v/>
      </c>
      <c r="DL310" s="74"/>
      <c r="DM310" s="74"/>
      <c r="DN310" s="582">
        <f t="shared" si="583"/>
        <v>5</v>
      </c>
      <c r="DO310" s="575"/>
      <c r="DP310" s="61" t="s">
        <v>1565</v>
      </c>
    </row>
    <row r="311">
      <c r="A311" s="552">
        <v>305.0</v>
      </c>
      <c r="B311" s="86">
        <v>189.0</v>
      </c>
      <c r="C311" s="54">
        <v>13.0</v>
      </c>
      <c r="D311" s="54">
        <v>40.0</v>
      </c>
      <c r="E311" s="74"/>
      <c r="F311" s="68" t="s">
        <v>1683</v>
      </c>
      <c r="G311" s="68">
        <f t="shared" si="540"/>
        <v>20</v>
      </c>
      <c r="H311" s="68">
        <f t="shared" si="478"/>
        <v>19</v>
      </c>
      <c r="I311" s="68">
        <f t="shared" si="541"/>
        <v>19</v>
      </c>
      <c r="J311" s="68">
        <f t="shared" si="542"/>
        <v>17</v>
      </c>
      <c r="K311" s="68">
        <f t="shared" si="543"/>
        <v>20</v>
      </c>
      <c r="L311" s="68">
        <f t="shared" si="544"/>
        <v>18</v>
      </c>
      <c r="M311" s="569">
        <f t="shared" si="545"/>
        <v>18</v>
      </c>
      <c r="N311" s="74" t="s">
        <v>1576</v>
      </c>
      <c r="O311" s="570" t="s">
        <v>2079</v>
      </c>
      <c r="P311" s="571"/>
      <c r="Q311" s="571" t="s">
        <v>1670</v>
      </c>
      <c r="R311" s="571" t="s">
        <v>1685</v>
      </c>
      <c r="S311" s="791" t="s">
        <v>1564</v>
      </c>
      <c r="T311" s="572" t="s">
        <v>1578</v>
      </c>
      <c r="U311" s="54">
        <v>38.0</v>
      </c>
      <c r="V311" s="54">
        <v>25.0</v>
      </c>
      <c r="W311" s="54">
        <v>25.0</v>
      </c>
      <c r="X311" s="74"/>
      <c r="Y311" s="54">
        <v>4.0</v>
      </c>
      <c r="Z311" s="54">
        <v>10.0</v>
      </c>
      <c r="AA311" s="54">
        <v>3.0</v>
      </c>
      <c r="AB311" s="54">
        <v>70.0</v>
      </c>
      <c r="AC311" s="54">
        <v>2598.0</v>
      </c>
      <c r="AD311" s="54">
        <v>2.0</v>
      </c>
      <c r="AE311" s="54">
        <v>110.0</v>
      </c>
      <c r="AF311" s="74"/>
      <c r="AG311" s="54">
        <v>15.0</v>
      </c>
      <c r="AH311" s="54">
        <v>46.0</v>
      </c>
      <c r="AI311" s="574">
        <f t="shared" si="12"/>
        <v>30.5</v>
      </c>
      <c r="AJ311" s="74"/>
      <c r="AK311" s="74"/>
      <c r="AL311" s="74"/>
      <c r="AM311" s="74"/>
      <c r="AN311" s="74"/>
      <c r="AO311" s="74"/>
      <c r="AP311" s="74"/>
      <c r="AQ311" s="74"/>
      <c r="AR311" s="74"/>
      <c r="AS311" s="575"/>
      <c r="AT311" s="68">
        <f t="shared" si="13"/>
        <v>516</v>
      </c>
      <c r="AU311" s="68">
        <f t="shared" si="14"/>
        <v>1072</v>
      </c>
      <c r="AV311" s="581">
        <f t="shared" si="15"/>
        <v>794</v>
      </c>
      <c r="AW311" s="582">
        <f t="shared" si="546"/>
        <v>902</v>
      </c>
      <c r="AX311" s="582">
        <f t="shared" si="484"/>
        <v>945</v>
      </c>
      <c r="AY311" s="582">
        <f t="shared" si="547"/>
        <v>945</v>
      </c>
      <c r="AZ311" s="582">
        <f t="shared" si="548"/>
        <v>993</v>
      </c>
      <c r="BA311" s="582">
        <f t="shared" si="549"/>
        <v>902</v>
      </c>
      <c r="BB311" s="582">
        <f t="shared" si="550"/>
        <v>993</v>
      </c>
      <c r="BC311" s="582">
        <f t="shared" si="551"/>
        <v>1103</v>
      </c>
      <c r="BD311" s="582">
        <f t="shared" si="552"/>
        <v>709</v>
      </c>
      <c r="BE311" s="582">
        <f t="shared" si="553"/>
        <v>827</v>
      </c>
      <c r="BF311" s="582">
        <f t="shared" si="554"/>
        <v>602</v>
      </c>
      <c r="BG311" s="582">
        <f t="shared" si="555"/>
        <v>709</v>
      </c>
      <c r="BH311" s="582">
        <f t="shared" si="556"/>
        <v>684</v>
      </c>
      <c r="BI311" s="582">
        <f t="shared" si="494"/>
        <v>709</v>
      </c>
      <c r="BJ311" s="582">
        <f t="shared" si="557"/>
        <v>763</v>
      </c>
      <c r="BK311" s="582">
        <f t="shared" si="558"/>
        <v>684</v>
      </c>
      <c r="BL311" s="582">
        <f t="shared" si="559"/>
        <v>763</v>
      </c>
      <c r="BM311" s="74"/>
      <c r="BN311" s="74"/>
      <c r="BO311" s="74"/>
      <c r="BP311" s="575" t="str">
        <f t="shared" si="33"/>
        <v/>
      </c>
      <c r="BQ311" s="54">
        <v>11.0</v>
      </c>
      <c r="BR311" s="54">
        <v>32.0</v>
      </c>
      <c r="BS311" s="54">
        <v>10.0</v>
      </c>
      <c r="BT311" s="54">
        <v>110.0</v>
      </c>
      <c r="BU311" s="74"/>
      <c r="BV311" s="83">
        <f t="shared" si="34"/>
        <v>21.5</v>
      </c>
      <c r="BW311" s="608">
        <f t="shared" si="35"/>
        <v>762.4</v>
      </c>
      <c r="BX311" s="582">
        <f t="shared" si="560"/>
        <v>866.4</v>
      </c>
      <c r="BY311" s="582">
        <f t="shared" si="498"/>
        <v>907.6</v>
      </c>
      <c r="BZ311" s="582">
        <f t="shared" si="561"/>
        <v>907.6</v>
      </c>
      <c r="CA311" s="582">
        <f t="shared" si="562"/>
        <v>1058.9</v>
      </c>
      <c r="CB311" s="582">
        <f t="shared" si="563"/>
        <v>866.4</v>
      </c>
      <c r="CC311" s="582">
        <f t="shared" si="564"/>
        <v>953</v>
      </c>
      <c r="CD311" s="582">
        <f t="shared" si="565"/>
        <v>953</v>
      </c>
      <c r="CE311" s="664">
        <f t="shared" si="43"/>
        <v>41.9</v>
      </c>
      <c r="CF311" s="86">
        <f t="shared" si="248"/>
        <v>4.1</v>
      </c>
      <c r="CG311" s="552">
        <f t="shared" si="566"/>
        <v>4.1</v>
      </c>
      <c r="CH311" s="575" t="s">
        <v>1576</v>
      </c>
      <c r="CI311" s="582">
        <f t="shared" ref="CI311:DF311" si="584">FLOOR($AV311/(CI$3/25),1)</f>
        <v>794</v>
      </c>
      <c r="CJ311" s="582">
        <f t="shared" si="584"/>
        <v>827</v>
      </c>
      <c r="CK311" s="582">
        <f t="shared" si="584"/>
        <v>863</v>
      </c>
      <c r="CL311" s="582">
        <f t="shared" si="584"/>
        <v>902</v>
      </c>
      <c r="CM311" s="582">
        <f t="shared" si="584"/>
        <v>945</v>
      </c>
      <c r="CN311" s="582">
        <f t="shared" si="584"/>
        <v>992</v>
      </c>
      <c r="CO311" s="582">
        <f t="shared" si="584"/>
        <v>1044</v>
      </c>
      <c r="CP311" s="582">
        <f t="shared" si="584"/>
        <v>1102</v>
      </c>
      <c r="CQ311" s="582">
        <f t="shared" si="584"/>
        <v>1167</v>
      </c>
      <c r="CR311" s="582">
        <f t="shared" si="584"/>
        <v>1240</v>
      </c>
      <c r="CS311" s="582">
        <f t="shared" si="584"/>
        <v>1323</v>
      </c>
      <c r="CT311" s="582">
        <f t="shared" si="584"/>
        <v>1417</v>
      </c>
      <c r="CU311" s="582">
        <f t="shared" si="584"/>
        <v>1526</v>
      </c>
      <c r="CV311" s="582">
        <f t="shared" si="584"/>
        <v>1654</v>
      </c>
      <c r="CW311" s="582">
        <f t="shared" si="584"/>
        <v>1804</v>
      </c>
      <c r="CX311" s="582">
        <f t="shared" si="584"/>
        <v>1985</v>
      </c>
      <c r="CY311" s="582">
        <f t="shared" si="584"/>
        <v>2205</v>
      </c>
      <c r="CZ311" s="582">
        <f t="shared" si="584"/>
        <v>2481</v>
      </c>
      <c r="DA311" s="582">
        <f t="shared" si="584"/>
        <v>2835</v>
      </c>
      <c r="DB311" s="582">
        <f t="shared" si="584"/>
        <v>3308</v>
      </c>
      <c r="DC311" s="582">
        <f t="shared" si="584"/>
        <v>3970</v>
      </c>
      <c r="DD311" s="582">
        <f t="shared" si="584"/>
        <v>4962</v>
      </c>
      <c r="DE311" s="582">
        <f t="shared" si="584"/>
        <v>6616</v>
      </c>
      <c r="DF311" s="602">
        <f t="shared" si="584"/>
        <v>9925</v>
      </c>
      <c r="DG311" s="575"/>
      <c r="DH311" s="575" t="str">
        <f t="shared" si="46"/>
        <v/>
      </c>
      <c r="DI311" s="74" t="str">
        <f t="shared" si="47"/>
        <v/>
      </c>
      <c r="DJ311" s="74" t="str">
        <f t="shared" si="48"/>
        <v/>
      </c>
      <c r="DK311" s="623" t="str">
        <f t="shared" si="49"/>
        <v/>
      </c>
      <c r="DL311" s="74"/>
      <c r="DM311" s="74"/>
      <c r="DN311" s="582">
        <f t="shared" si="583"/>
        <v>3.8</v>
      </c>
      <c r="DO311" s="575"/>
      <c r="DP311" s="61" t="s">
        <v>1565</v>
      </c>
    </row>
    <row r="312">
      <c r="A312" s="552">
        <v>306.0</v>
      </c>
      <c r="B312" s="86">
        <v>190.0</v>
      </c>
      <c r="C312" s="54">
        <v>18.0</v>
      </c>
      <c r="D312" s="54">
        <v>42.0</v>
      </c>
      <c r="E312" s="74"/>
      <c r="F312" s="68" t="s">
        <v>1683</v>
      </c>
      <c r="G312" s="68">
        <f t="shared" si="540"/>
        <v>20</v>
      </c>
      <c r="H312" s="68">
        <f t="shared" si="478"/>
        <v>19</v>
      </c>
      <c r="I312" s="68">
        <f t="shared" si="541"/>
        <v>19</v>
      </c>
      <c r="J312" s="68">
        <f t="shared" si="542"/>
        <v>17</v>
      </c>
      <c r="K312" s="68">
        <f t="shared" si="543"/>
        <v>20</v>
      </c>
      <c r="L312" s="68">
        <f t="shared" si="544"/>
        <v>18</v>
      </c>
      <c r="M312" s="569">
        <f t="shared" si="545"/>
        <v>18</v>
      </c>
      <c r="N312" s="74" t="s">
        <v>1585</v>
      </c>
      <c r="O312" s="570" t="s">
        <v>2080</v>
      </c>
      <c r="P312" s="571"/>
      <c r="Q312" s="571" t="s">
        <v>1670</v>
      </c>
      <c r="R312" s="571" t="s">
        <v>1685</v>
      </c>
      <c r="S312" s="791" t="s">
        <v>1564</v>
      </c>
      <c r="T312" s="572" t="s">
        <v>1586</v>
      </c>
      <c r="U312" s="54">
        <v>42.0</v>
      </c>
      <c r="V312" s="54">
        <v>25.0</v>
      </c>
      <c r="W312" s="54">
        <v>25.0</v>
      </c>
      <c r="X312" s="74"/>
      <c r="Y312" s="54">
        <v>4.0</v>
      </c>
      <c r="Z312" s="54">
        <v>0.0</v>
      </c>
      <c r="AA312" s="54">
        <v>3.0</v>
      </c>
      <c r="AB312" s="54">
        <v>80.0</v>
      </c>
      <c r="AC312" s="54">
        <v>3969.0</v>
      </c>
      <c r="AD312" s="54">
        <v>2.0</v>
      </c>
      <c r="AE312" s="54">
        <v>110.0</v>
      </c>
      <c r="AF312" s="74"/>
      <c r="AG312" s="54">
        <v>21.0</v>
      </c>
      <c r="AH312" s="54">
        <v>48.0</v>
      </c>
      <c r="AI312" s="574">
        <f t="shared" si="12"/>
        <v>34.5</v>
      </c>
      <c r="AJ312" s="74"/>
      <c r="AK312" s="74"/>
      <c r="AL312" s="74"/>
      <c r="AM312" s="74"/>
      <c r="AN312" s="74"/>
      <c r="AO312" s="74"/>
      <c r="AP312" s="74"/>
      <c r="AQ312" s="74"/>
      <c r="AR312" s="74"/>
      <c r="AS312" s="575"/>
      <c r="AT312" s="68">
        <f t="shared" si="13"/>
        <v>622</v>
      </c>
      <c r="AU312" s="68">
        <f t="shared" si="14"/>
        <v>1107</v>
      </c>
      <c r="AV312" s="581">
        <f t="shared" si="15"/>
        <v>864.5</v>
      </c>
      <c r="AW312" s="582">
        <f t="shared" si="546"/>
        <v>1138</v>
      </c>
      <c r="AX312" s="582">
        <f t="shared" si="484"/>
        <v>1201</v>
      </c>
      <c r="AY312" s="582">
        <f t="shared" si="547"/>
        <v>1201</v>
      </c>
      <c r="AZ312" s="582">
        <f t="shared" si="548"/>
        <v>1271</v>
      </c>
      <c r="BA312" s="582">
        <f t="shared" si="549"/>
        <v>1138</v>
      </c>
      <c r="BB312" s="582">
        <f t="shared" si="550"/>
        <v>1271</v>
      </c>
      <c r="BC312" s="582">
        <f t="shared" si="551"/>
        <v>1351</v>
      </c>
      <c r="BD312" s="582">
        <f t="shared" si="552"/>
        <v>901</v>
      </c>
      <c r="BE312" s="582">
        <f t="shared" si="553"/>
        <v>1081</v>
      </c>
      <c r="BF312" s="582">
        <f t="shared" si="554"/>
        <v>800</v>
      </c>
      <c r="BG312" s="582">
        <f t="shared" si="555"/>
        <v>982</v>
      </c>
      <c r="BH312" s="582">
        <f t="shared" si="556"/>
        <v>940</v>
      </c>
      <c r="BI312" s="582">
        <f t="shared" si="494"/>
        <v>982</v>
      </c>
      <c r="BJ312" s="582">
        <f t="shared" si="557"/>
        <v>1029</v>
      </c>
      <c r="BK312" s="582">
        <f t="shared" si="558"/>
        <v>940</v>
      </c>
      <c r="BL312" s="582">
        <f t="shared" si="559"/>
        <v>1029</v>
      </c>
      <c r="BM312" s="74"/>
      <c r="BN312" s="74"/>
      <c r="BO312" s="74"/>
      <c r="BP312" s="575" t="str">
        <f t="shared" si="33"/>
        <v/>
      </c>
      <c r="BQ312" s="54">
        <v>14.0</v>
      </c>
      <c r="BR312" s="54">
        <v>34.0</v>
      </c>
      <c r="BS312" s="74"/>
      <c r="BT312" s="54">
        <v>110.0</v>
      </c>
      <c r="BU312" s="74"/>
      <c r="BV312" s="83">
        <f t="shared" si="34"/>
        <v>24</v>
      </c>
      <c r="BW312" s="608">
        <f t="shared" si="35"/>
        <v>816.3</v>
      </c>
      <c r="BX312" s="582">
        <f t="shared" si="560"/>
        <v>1074.1</v>
      </c>
      <c r="BY312" s="582">
        <f t="shared" si="498"/>
        <v>1133.8</v>
      </c>
      <c r="BZ312" s="582">
        <f t="shared" si="561"/>
        <v>1133.8</v>
      </c>
      <c r="CA312" s="582">
        <f t="shared" si="562"/>
        <v>1275.5</v>
      </c>
      <c r="CB312" s="582">
        <f t="shared" si="563"/>
        <v>1074.1</v>
      </c>
      <c r="CC312" s="582">
        <f t="shared" si="564"/>
        <v>1200.4</v>
      </c>
      <c r="CD312" s="582">
        <f t="shared" si="565"/>
        <v>1200.4</v>
      </c>
      <c r="CE312" s="664">
        <f t="shared" si="43"/>
        <v>43.8</v>
      </c>
      <c r="CF312" s="86">
        <f t="shared" si="248"/>
        <v>5.9</v>
      </c>
      <c r="CG312" s="552">
        <f t="shared" si="566"/>
        <v>5.9</v>
      </c>
      <c r="CH312" s="575" t="s">
        <v>1585</v>
      </c>
      <c r="CI312" s="582">
        <f t="shared" ref="CI312:DF312" si="585">FLOOR($AV312/(CI$3/25),1)</f>
        <v>864</v>
      </c>
      <c r="CJ312" s="582">
        <f t="shared" si="585"/>
        <v>900</v>
      </c>
      <c r="CK312" s="582">
        <f t="shared" si="585"/>
        <v>939</v>
      </c>
      <c r="CL312" s="582">
        <f t="shared" si="585"/>
        <v>982</v>
      </c>
      <c r="CM312" s="582">
        <f t="shared" si="585"/>
        <v>1029</v>
      </c>
      <c r="CN312" s="582">
        <f t="shared" si="585"/>
        <v>1080</v>
      </c>
      <c r="CO312" s="582">
        <f t="shared" si="585"/>
        <v>1137</v>
      </c>
      <c r="CP312" s="582">
        <f t="shared" si="585"/>
        <v>1200</v>
      </c>
      <c r="CQ312" s="582">
        <f t="shared" si="585"/>
        <v>1271</v>
      </c>
      <c r="CR312" s="582">
        <f t="shared" si="585"/>
        <v>1350</v>
      </c>
      <c r="CS312" s="582">
        <f t="shared" si="585"/>
        <v>1440</v>
      </c>
      <c r="CT312" s="582">
        <f t="shared" si="585"/>
        <v>1543</v>
      </c>
      <c r="CU312" s="582">
        <f t="shared" si="585"/>
        <v>1662</v>
      </c>
      <c r="CV312" s="582">
        <f t="shared" si="585"/>
        <v>1801</v>
      </c>
      <c r="CW312" s="582">
        <f t="shared" si="585"/>
        <v>1964</v>
      </c>
      <c r="CX312" s="582">
        <f t="shared" si="585"/>
        <v>2161</v>
      </c>
      <c r="CY312" s="582">
        <f t="shared" si="585"/>
        <v>2401</v>
      </c>
      <c r="CZ312" s="582">
        <f t="shared" si="585"/>
        <v>2701</v>
      </c>
      <c r="DA312" s="582">
        <f t="shared" si="585"/>
        <v>3087</v>
      </c>
      <c r="DB312" s="582">
        <f t="shared" si="585"/>
        <v>3602</v>
      </c>
      <c r="DC312" s="582">
        <f t="shared" si="585"/>
        <v>4322</v>
      </c>
      <c r="DD312" s="582">
        <f t="shared" si="585"/>
        <v>5403</v>
      </c>
      <c r="DE312" s="582">
        <f t="shared" si="585"/>
        <v>7204</v>
      </c>
      <c r="DF312" s="602">
        <f t="shared" si="585"/>
        <v>10806</v>
      </c>
      <c r="DG312" s="575"/>
      <c r="DH312" s="575" t="str">
        <f t="shared" si="46"/>
        <v/>
      </c>
      <c r="DI312" s="74" t="str">
        <f t="shared" si="47"/>
        <v/>
      </c>
      <c r="DJ312" s="74" t="str">
        <f t="shared" si="48"/>
        <v/>
      </c>
      <c r="DK312" s="623" t="str">
        <f t="shared" si="49"/>
        <v/>
      </c>
      <c r="DL312" s="74"/>
      <c r="DM312" s="74"/>
      <c r="DN312" s="582">
        <f t="shared" si="583"/>
        <v>3.6</v>
      </c>
      <c r="DO312" s="575"/>
      <c r="DP312" s="61" t="s">
        <v>1565</v>
      </c>
    </row>
    <row r="313">
      <c r="A313" s="647">
        <v>307.0</v>
      </c>
      <c r="B313" s="141">
        <v>191.0</v>
      </c>
      <c r="C313" s="129">
        <v>30.0</v>
      </c>
      <c r="D313" s="129">
        <v>73.0</v>
      </c>
      <c r="E313" s="134"/>
      <c r="F313" s="154" t="s">
        <v>1683</v>
      </c>
      <c r="G313" s="154">
        <f t="shared" si="540"/>
        <v>20</v>
      </c>
      <c r="H313" s="154">
        <f t="shared" si="478"/>
        <v>19</v>
      </c>
      <c r="I313" s="154">
        <f t="shared" si="541"/>
        <v>19</v>
      </c>
      <c r="J313" s="154">
        <f t="shared" si="542"/>
        <v>17</v>
      </c>
      <c r="K313" s="154">
        <f t="shared" si="543"/>
        <v>20</v>
      </c>
      <c r="L313" s="154">
        <f t="shared" si="544"/>
        <v>18</v>
      </c>
      <c r="M313" s="648">
        <f t="shared" si="545"/>
        <v>18</v>
      </c>
      <c r="N313" s="134" t="s">
        <v>1592</v>
      </c>
      <c r="O313" s="649" t="s">
        <v>2081</v>
      </c>
      <c r="P313" s="650"/>
      <c r="Q313" s="650" t="s">
        <v>1670</v>
      </c>
      <c r="R313" s="650" t="s">
        <v>1685</v>
      </c>
      <c r="S313" s="796" t="s">
        <v>1564</v>
      </c>
      <c r="T313" s="651" t="s">
        <v>1593</v>
      </c>
      <c r="U313" s="129">
        <v>47.0</v>
      </c>
      <c r="V313" s="129">
        <v>25.0</v>
      </c>
      <c r="W313" s="129">
        <v>25.0</v>
      </c>
      <c r="X313" s="134"/>
      <c r="Y313" s="129">
        <v>6.0</v>
      </c>
      <c r="Z313" s="129">
        <v>20.0</v>
      </c>
      <c r="AA313" s="129">
        <v>3.0</v>
      </c>
      <c r="AB313" s="129">
        <v>100.0</v>
      </c>
      <c r="AC313" s="129">
        <v>6255.0</v>
      </c>
      <c r="AD313" s="129">
        <v>2.0</v>
      </c>
      <c r="AE313" s="129">
        <v>110.0</v>
      </c>
      <c r="AF313" s="134"/>
      <c r="AG313" s="129">
        <v>35.0</v>
      </c>
      <c r="AH313" s="129">
        <v>84.0</v>
      </c>
      <c r="AI313" s="652">
        <f t="shared" si="12"/>
        <v>59.5</v>
      </c>
      <c r="AJ313" s="134"/>
      <c r="AK313" s="134"/>
      <c r="AL313" s="134"/>
      <c r="AM313" s="134"/>
      <c r="AN313" s="134"/>
      <c r="AO313" s="134"/>
      <c r="AP313" s="134"/>
      <c r="AQ313" s="134"/>
      <c r="AR313" s="134"/>
      <c r="AS313" s="653"/>
      <c r="AT313" s="154">
        <f t="shared" si="13"/>
        <v>875</v>
      </c>
      <c r="AU313" s="154">
        <f t="shared" si="14"/>
        <v>1758</v>
      </c>
      <c r="AV313" s="654">
        <f t="shared" si="15"/>
        <v>1316.5</v>
      </c>
      <c r="AW313" s="655">
        <f t="shared" si="546"/>
        <v>1317</v>
      </c>
      <c r="AX313" s="655">
        <f t="shared" si="484"/>
        <v>1431</v>
      </c>
      <c r="AY313" s="655">
        <f t="shared" si="547"/>
        <v>1431</v>
      </c>
      <c r="AZ313" s="655">
        <f t="shared" si="548"/>
        <v>1496</v>
      </c>
      <c r="BA313" s="655">
        <f t="shared" si="549"/>
        <v>1317</v>
      </c>
      <c r="BB313" s="655">
        <f t="shared" si="550"/>
        <v>1496</v>
      </c>
      <c r="BC313" s="655">
        <f t="shared" si="551"/>
        <v>1567</v>
      </c>
      <c r="BD313" s="655">
        <f t="shared" si="552"/>
        <v>866</v>
      </c>
      <c r="BE313" s="655">
        <f t="shared" si="553"/>
        <v>1062</v>
      </c>
      <c r="BF313" s="655">
        <f t="shared" si="554"/>
        <v>803</v>
      </c>
      <c r="BG313" s="655">
        <f t="shared" si="555"/>
        <v>968</v>
      </c>
      <c r="BH313" s="655">
        <f t="shared" si="556"/>
        <v>890</v>
      </c>
      <c r="BI313" s="655">
        <f t="shared" si="494"/>
        <v>968</v>
      </c>
      <c r="BJ313" s="655">
        <f t="shared" si="557"/>
        <v>997</v>
      </c>
      <c r="BK313" s="655">
        <f t="shared" si="558"/>
        <v>890</v>
      </c>
      <c r="BL313" s="655">
        <f t="shared" si="559"/>
        <v>997</v>
      </c>
      <c r="BM313" s="134"/>
      <c r="BN313" s="134"/>
      <c r="BO313" s="134"/>
      <c r="BP313" s="653" t="str">
        <f t="shared" si="33"/>
        <v/>
      </c>
      <c r="BQ313" s="129">
        <v>24.0</v>
      </c>
      <c r="BR313" s="129">
        <v>58.0</v>
      </c>
      <c r="BS313" s="129">
        <v>20.0</v>
      </c>
      <c r="BT313" s="129">
        <v>110.0</v>
      </c>
      <c r="BU313" s="134"/>
      <c r="BV313" s="135">
        <f t="shared" si="34"/>
        <v>41</v>
      </c>
      <c r="BW313" s="657">
        <f t="shared" si="35"/>
        <v>1183.3</v>
      </c>
      <c r="BX313" s="655">
        <f t="shared" si="560"/>
        <v>1183.3</v>
      </c>
      <c r="BY313" s="655">
        <f t="shared" si="498"/>
        <v>1286.2</v>
      </c>
      <c r="BZ313" s="655">
        <f t="shared" si="561"/>
        <v>1286.2</v>
      </c>
      <c r="CA313" s="655">
        <f t="shared" si="562"/>
        <v>1408.7</v>
      </c>
      <c r="CB313" s="655">
        <f t="shared" si="563"/>
        <v>1183.3</v>
      </c>
      <c r="CC313" s="655">
        <f t="shared" si="564"/>
        <v>1344.7</v>
      </c>
      <c r="CD313" s="655">
        <f t="shared" si="565"/>
        <v>1344.7</v>
      </c>
      <c r="CE313" s="659">
        <f t="shared" si="43"/>
        <v>45.1</v>
      </c>
      <c r="CF313" s="141">
        <f t="shared" si="248"/>
        <v>11.3</v>
      </c>
      <c r="CG313" s="647">
        <f t="shared" si="566"/>
        <v>11.3</v>
      </c>
      <c r="CH313" s="653" t="s">
        <v>1592</v>
      </c>
      <c r="CI313" s="655">
        <f t="shared" ref="CI313:DF313" si="586">FLOOR($AV313/(CI$3/25),1)</f>
        <v>1316</v>
      </c>
      <c r="CJ313" s="655">
        <f t="shared" si="586"/>
        <v>1371</v>
      </c>
      <c r="CK313" s="655">
        <f t="shared" si="586"/>
        <v>1430</v>
      </c>
      <c r="CL313" s="655">
        <f t="shared" si="586"/>
        <v>1496</v>
      </c>
      <c r="CM313" s="655">
        <f t="shared" si="586"/>
        <v>1567</v>
      </c>
      <c r="CN313" s="655">
        <f t="shared" si="586"/>
        <v>1645</v>
      </c>
      <c r="CO313" s="655">
        <f t="shared" si="586"/>
        <v>1732</v>
      </c>
      <c r="CP313" s="655">
        <f t="shared" si="586"/>
        <v>1828</v>
      </c>
      <c r="CQ313" s="655">
        <f t="shared" si="586"/>
        <v>1936</v>
      </c>
      <c r="CR313" s="655">
        <f t="shared" si="586"/>
        <v>2057</v>
      </c>
      <c r="CS313" s="655">
        <f t="shared" si="586"/>
        <v>2194</v>
      </c>
      <c r="CT313" s="655">
        <f t="shared" si="586"/>
        <v>2350</v>
      </c>
      <c r="CU313" s="655">
        <f t="shared" si="586"/>
        <v>2531</v>
      </c>
      <c r="CV313" s="655">
        <f t="shared" si="586"/>
        <v>2742</v>
      </c>
      <c r="CW313" s="655">
        <f t="shared" si="586"/>
        <v>2992</v>
      </c>
      <c r="CX313" s="655">
        <f t="shared" si="586"/>
        <v>3291</v>
      </c>
      <c r="CY313" s="655">
        <f t="shared" si="586"/>
        <v>3656</v>
      </c>
      <c r="CZ313" s="655">
        <f t="shared" si="586"/>
        <v>4114</v>
      </c>
      <c r="DA313" s="655">
        <f t="shared" si="586"/>
        <v>4701</v>
      </c>
      <c r="DB313" s="655">
        <f t="shared" si="586"/>
        <v>5485</v>
      </c>
      <c r="DC313" s="655">
        <f t="shared" si="586"/>
        <v>6582</v>
      </c>
      <c r="DD313" s="655">
        <f t="shared" si="586"/>
        <v>8228</v>
      </c>
      <c r="DE313" s="655">
        <f t="shared" si="586"/>
        <v>10970</v>
      </c>
      <c r="DF313" s="656">
        <f t="shared" si="586"/>
        <v>16456</v>
      </c>
      <c r="DG313" s="653"/>
      <c r="DH313" s="653" t="str">
        <f t="shared" si="46"/>
        <v/>
      </c>
      <c r="DI313" s="134" t="str">
        <f t="shared" si="47"/>
        <v/>
      </c>
      <c r="DJ313" s="134" t="str">
        <f t="shared" si="48"/>
        <v/>
      </c>
      <c r="DK313" s="662" t="str">
        <f t="shared" si="49"/>
        <v/>
      </c>
      <c r="DL313" s="134"/>
      <c r="DM313" s="134"/>
      <c r="DN313" s="655">
        <f t="shared" si="583"/>
        <v>3</v>
      </c>
      <c r="DO313" s="653"/>
      <c r="DP313" s="872" t="s">
        <v>1565</v>
      </c>
    </row>
    <row r="314">
      <c r="A314" s="552">
        <v>308.0</v>
      </c>
      <c r="B314" s="86">
        <v>306.0</v>
      </c>
      <c r="C314" s="54">
        <v>69.0</v>
      </c>
      <c r="D314" s="54">
        <v>85.0</v>
      </c>
      <c r="E314" s="74"/>
      <c r="F314" s="68" t="s">
        <v>1683</v>
      </c>
      <c r="G314" s="68">
        <f t="shared" si="540"/>
        <v>20</v>
      </c>
      <c r="H314" s="68">
        <f t="shared" si="478"/>
        <v>19</v>
      </c>
      <c r="I314" s="68">
        <f t="shared" si="541"/>
        <v>19</v>
      </c>
      <c r="J314" s="68">
        <f t="shared" si="542"/>
        <v>17</v>
      </c>
      <c r="K314" s="68">
        <f t="shared" si="543"/>
        <v>20</v>
      </c>
      <c r="L314" s="68">
        <f t="shared" si="544"/>
        <v>18</v>
      </c>
      <c r="M314" s="569">
        <f t="shared" si="545"/>
        <v>18</v>
      </c>
      <c r="N314" s="74" t="s">
        <v>1561</v>
      </c>
      <c r="O314" s="678"/>
      <c r="P314" s="571"/>
      <c r="Q314" s="571" t="s">
        <v>1676</v>
      </c>
      <c r="R314" s="571" t="s">
        <v>1685</v>
      </c>
      <c r="S314" s="791" t="s">
        <v>1564</v>
      </c>
      <c r="T314" s="572" t="s">
        <v>1562</v>
      </c>
      <c r="U314" s="54">
        <v>58.0</v>
      </c>
      <c r="V314" s="54">
        <v>43.0</v>
      </c>
      <c r="W314" s="54">
        <v>25.0</v>
      </c>
      <c r="X314" s="74"/>
      <c r="Y314" s="54">
        <v>3.0</v>
      </c>
      <c r="Z314" s="54">
        <v>-10.0</v>
      </c>
      <c r="AA314" s="54">
        <v>2.0</v>
      </c>
      <c r="AB314" s="669">
        <v>80.0</v>
      </c>
      <c r="AC314" s="54">
        <v>8154.0</v>
      </c>
      <c r="AD314" s="54">
        <v>2.0</v>
      </c>
      <c r="AE314" s="54">
        <v>110.0</v>
      </c>
      <c r="AF314" s="74"/>
      <c r="AG314" s="54">
        <v>86.0</v>
      </c>
      <c r="AH314" s="54">
        <v>106.0</v>
      </c>
      <c r="AI314" s="574">
        <f t="shared" si="12"/>
        <v>96</v>
      </c>
      <c r="AJ314" s="74"/>
      <c r="AK314" s="37"/>
      <c r="AL314" s="74"/>
      <c r="AM314" s="37"/>
      <c r="AN314" s="74"/>
      <c r="AO314" s="74"/>
      <c r="AP314" s="74"/>
      <c r="AQ314" s="37"/>
      <c r="AR314" s="74"/>
      <c r="AS314" s="575"/>
      <c r="AT314" s="68">
        <f t="shared" si="13"/>
        <v>1793</v>
      </c>
      <c r="AU314" s="68">
        <f t="shared" si="14"/>
        <v>2153</v>
      </c>
      <c r="AV314" s="581">
        <f t="shared" si="15"/>
        <v>1973</v>
      </c>
      <c r="AW314" s="582">
        <f t="shared" si="546"/>
        <v>2740</v>
      </c>
      <c r="AX314" s="582">
        <f t="shared" si="484"/>
        <v>2901</v>
      </c>
      <c r="AY314" s="582">
        <f t="shared" si="547"/>
        <v>2901</v>
      </c>
      <c r="AZ314" s="582">
        <f t="shared" si="548"/>
        <v>3083</v>
      </c>
      <c r="BA314" s="582">
        <f t="shared" si="549"/>
        <v>2740</v>
      </c>
      <c r="BB314" s="582">
        <f t="shared" si="550"/>
        <v>3083</v>
      </c>
      <c r="BC314" s="582">
        <f t="shared" si="551"/>
        <v>3288</v>
      </c>
      <c r="BD314" s="582">
        <f t="shared" si="552"/>
        <v>2596</v>
      </c>
      <c r="BE314" s="582">
        <f t="shared" si="553"/>
        <v>3083</v>
      </c>
      <c r="BF314" s="582">
        <f t="shared" si="554"/>
        <v>2242</v>
      </c>
      <c r="BG314" s="582">
        <f t="shared" si="555"/>
        <v>2740</v>
      </c>
      <c r="BH314" s="582">
        <f t="shared" si="556"/>
        <v>2596</v>
      </c>
      <c r="BI314" s="582">
        <f t="shared" si="494"/>
        <v>2740</v>
      </c>
      <c r="BJ314" s="582">
        <f t="shared" si="557"/>
        <v>2901</v>
      </c>
      <c r="BK314" s="582">
        <f t="shared" si="558"/>
        <v>2596</v>
      </c>
      <c r="BL314" s="582">
        <f t="shared" si="559"/>
        <v>2901</v>
      </c>
      <c r="BM314" s="74"/>
      <c r="BN314" s="74"/>
      <c r="BO314" s="74"/>
      <c r="BP314" s="575" t="str">
        <f t="shared" si="33"/>
        <v/>
      </c>
      <c r="BQ314" s="670">
        <v>69.0</v>
      </c>
      <c r="BR314" s="670">
        <v>85.0</v>
      </c>
      <c r="BS314" s="670">
        <v>-10.0</v>
      </c>
      <c r="BT314" s="670">
        <v>110.0</v>
      </c>
      <c r="BU314" s="365"/>
      <c r="BV314" s="671">
        <f t="shared" si="34"/>
        <v>77</v>
      </c>
      <c r="BW314" s="672">
        <f t="shared" si="35"/>
        <v>1960.4</v>
      </c>
      <c r="BX314" s="673">
        <f t="shared" si="560"/>
        <v>2722.8</v>
      </c>
      <c r="BY314" s="673">
        <f t="shared" si="498"/>
        <v>2882.9</v>
      </c>
      <c r="BZ314" s="673">
        <f t="shared" si="561"/>
        <v>2882.9</v>
      </c>
      <c r="CA314" s="673">
        <f t="shared" si="562"/>
        <v>3267.3</v>
      </c>
      <c r="CB314" s="673">
        <f t="shared" si="563"/>
        <v>2722.8</v>
      </c>
      <c r="CC314" s="673">
        <f t="shared" si="564"/>
        <v>3063.1</v>
      </c>
      <c r="CD314" s="673">
        <f t="shared" si="565"/>
        <v>3063.1</v>
      </c>
      <c r="CE314" s="674">
        <f t="shared" si="43"/>
        <v>24.7</v>
      </c>
      <c r="CF314" s="675">
        <f t="shared" si="248"/>
        <v>0.6</v>
      </c>
      <c r="CG314" s="676">
        <f t="shared" si="566"/>
        <v>0.6</v>
      </c>
      <c r="CH314" s="575" t="s">
        <v>1561</v>
      </c>
      <c r="CI314" s="582">
        <f t="shared" ref="CI314:DF314" si="587">FLOOR($AV314/(CI$3/25),1)</f>
        <v>1973</v>
      </c>
      <c r="CJ314" s="582">
        <f t="shared" si="587"/>
        <v>2055</v>
      </c>
      <c r="CK314" s="582">
        <f t="shared" si="587"/>
        <v>2144</v>
      </c>
      <c r="CL314" s="582">
        <f t="shared" si="587"/>
        <v>2242</v>
      </c>
      <c r="CM314" s="582">
        <f t="shared" si="587"/>
        <v>2348</v>
      </c>
      <c r="CN314" s="582">
        <f t="shared" si="587"/>
        <v>2466</v>
      </c>
      <c r="CO314" s="582">
        <f t="shared" si="587"/>
        <v>2596</v>
      </c>
      <c r="CP314" s="582">
        <f t="shared" si="587"/>
        <v>2740</v>
      </c>
      <c r="CQ314" s="582">
        <f t="shared" si="587"/>
        <v>2901</v>
      </c>
      <c r="CR314" s="582">
        <f t="shared" si="587"/>
        <v>3082</v>
      </c>
      <c r="CS314" s="582">
        <f t="shared" si="587"/>
        <v>3288</v>
      </c>
      <c r="CT314" s="582">
        <f t="shared" si="587"/>
        <v>3523</v>
      </c>
      <c r="CU314" s="582">
        <f t="shared" si="587"/>
        <v>3794</v>
      </c>
      <c r="CV314" s="582">
        <f t="shared" si="587"/>
        <v>4110</v>
      </c>
      <c r="CW314" s="582">
        <f t="shared" si="587"/>
        <v>4484</v>
      </c>
      <c r="CX314" s="582">
        <f t="shared" si="587"/>
        <v>4932</v>
      </c>
      <c r="CY314" s="582">
        <f t="shared" si="587"/>
        <v>5480</v>
      </c>
      <c r="CZ314" s="582">
        <f t="shared" si="587"/>
        <v>6165</v>
      </c>
      <c r="DA314" s="582">
        <f t="shared" si="587"/>
        <v>7046</v>
      </c>
      <c r="DB314" s="582">
        <f t="shared" si="587"/>
        <v>8220</v>
      </c>
      <c r="DC314" s="582">
        <f t="shared" si="587"/>
        <v>9865</v>
      </c>
      <c r="DD314" s="582">
        <f t="shared" si="587"/>
        <v>12331</v>
      </c>
      <c r="DE314" s="582">
        <f t="shared" si="587"/>
        <v>16441</v>
      </c>
      <c r="DF314" s="602">
        <f t="shared" si="587"/>
        <v>24662</v>
      </c>
      <c r="DG314" s="575"/>
      <c r="DH314" s="575" t="str">
        <f t="shared" si="46"/>
        <v/>
      </c>
      <c r="DI314" s="74" t="str">
        <f t="shared" si="47"/>
        <v/>
      </c>
      <c r="DJ314" s="74" t="str">
        <f t="shared" si="48"/>
        <v/>
      </c>
      <c r="DK314" s="623" t="str">
        <f t="shared" si="49"/>
        <v/>
      </c>
      <c r="DL314" s="74"/>
      <c r="DM314" s="74"/>
      <c r="DN314" s="582">
        <f t="shared" si="583"/>
        <v>4.9</v>
      </c>
      <c r="DO314" s="575"/>
      <c r="DP314" s="61" t="s">
        <v>1565</v>
      </c>
    </row>
    <row r="315">
      <c r="A315" s="552">
        <v>309.0</v>
      </c>
      <c r="B315" s="86">
        <v>307.0</v>
      </c>
      <c r="C315" s="54">
        <v>75.0</v>
      </c>
      <c r="D315" s="54">
        <v>107.0</v>
      </c>
      <c r="E315" s="74"/>
      <c r="F315" s="68" t="s">
        <v>1683</v>
      </c>
      <c r="G315" s="68">
        <f t="shared" si="540"/>
        <v>20</v>
      </c>
      <c r="H315" s="68">
        <f t="shared" si="478"/>
        <v>19</v>
      </c>
      <c r="I315" s="68">
        <f t="shared" si="541"/>
        <v>19</v>
      </c>
      <c r="J315" s="68">
        <f t="shared" si="542"/>
        <v>17</v>
      </c>
      <c r="K315" s="68">
        <f t="shared" si="543"/>
        <v>20</v>
      </c>
      <c r="L315" s="68">
        <f t="shared" si="544"/>
        <v>18</v>
      </c>
      <c r="M315" s="569">
        <f t="shared" si="545"/>
        <v>18</v>
      </c>
      <c r="N315" s="74" t="s">
        <v>1571</v>
      </c>
      <c r="O315" s="678"/>
      <c r="P315" s="571"/>
      <c r="Q315" s="571" t="s">
        <v>1676</v>
      </c>
      <c r="R315" s="571" t="s">
        <v>1685</v>
      </c>
      <c r="S315" s="791" t="s">
        <v>1564</v>
      </c>
      <c r="T315" s="572" t="s">
        <v>1572</v>
      </c>
      <c r="U315" s="54">
        <v>66.0</v>
      </c>
      <c r="V315" s="54">
        <v>49.0</v>
      </c>
      <c r="W315" s="54">
        <v>63.0</v>
      </c>
      <c r="X315" s="54">
        <v>35.0</v>
      </c>
      <c r="Y315" s="54">
        <v>3.0</v>
      </c>
      <c r="Z315" s="573">
        <v>10.0</v>
      </c>
      <c r="AA315" s="54">
        <v>3.0</v>
      </c>
      <c r="AB315" s="669">
        <v>90.0</v>
      </c>
      <c r="AC315" s="54">
        <v>5367.0</v>
      </c>
      <c r="AD315" s="54">
        <v>2.0</v>
      </c>
      <c r="AE315" s="54">
        <v>110.0</v>
      </c>
      <c r="AF315" s="74"/>
      <c r="AG315" s="54">
        <v>94.0</v>
      </c>
      <c r="AH315" s="54">
        <v>134.0</v>
      </c>
      <c r="AI315" s="574">
        <f t="shared" si="12"/>
        <v>114</v>
      </c>
      <c r="AJ315" s="74"/>
      <c r="AK315" s="37"/>
      <c r="AL315" s="74"/>
      <c r="AM315" s="37"/>
      <c r="AN315" s="74"/>
      <c r="AO315" s="74"/>
      <c r="AP315" s="74"/>
      <c r="AQ315" s="37"/>
      <c r="AR315" s="74"/>
      <c r="AS315" s="575"/>
      <c r="AT315" s="68">
        <f t="shared" si="13"/>
        <v>1936</v>
      </c>
      <c r="AU315" s="68">
        <f t="shared" si="14"/>
        <v>2658</v>
      </c>
      <c r="AV315" s="581">
        <f t="shared" si="15"/>
        <v>2297</v>
      </c>
      <c r="AW315" s="582">
        <f t="shared" si="546"/>
        <v>2610</v>
      </c>
      <c r="AX315" s="582">
        <f t="shared" si="484"/>
        <v>2735</v>
      </c>
      <c r="AY315" s="582">
        <f t="shared" si="547"/>
        <v>2735</v>
      </c>
      <c r="AZ315" s="582">
        <f t="shared" si="548"/>
        <v>2871</v>
      </c>
      <c r="BA315" s="582">
        <f t="shared" si="549"/>
        <v>2610</v>
      </c>
      <c r="BB315" s="582">
        <f t="shared" si="550"/>
        <v>2871</v>
      </c>
      <c r="BC315" s="582">
        <f t="shared" si="551"/>
        <v>3190</v>
      </c>
      <c r="BD315" s="582">
        <f t="shared" si="552"/>
        <v>2051</v>
      </c>
      <c r="BE315" s="582">
        <f t="shared" si="553"/>
        <v>2393</v>
      </c>
      <c r="BF315" s="582">
        <f t="shared" si="554"/>
        <v>1740</v>
      </c>
      <c r="BG315" s="582">
        <f t="shared" si="555"/>
        <v>2051</v>
      </c>
      <c r="BH315" s="582">
        <f t="shared" si="556"/>
        <v>1980</v>
      </c>
      <c r="BI315" s="582">
        <f t="shared" si="494"/>
        <v>2051</v>
      </c>
      <c r="BJ315" s="582">
        <f t="shared" si="557"/>
        <v>2209</v>
      </c>
      <c r="BK315" s="582">
        <f t="shared" si="558"/>
        <v>1980</v>
      </c>
      <c r="BL315" s="582">
        <f t="shared" si="559"/>
        <v>2209</v>
      </c>
      <c r="BM315" s="74"/>
      <c r="BN315" s="74"/>
      <c r="BO315" s="74"/>
      <c r="BP315" s="575" t="str">
        <f t="shared" si="33"/>
        <v/>
      </c>
      <c r="BQ315" s="670">
        <v>75.0</v>
      </c>
      <c r="BR315" s="670">
        <v>107.0</v>
      </c>
      <c r="BS315" s="670">
        <v>10.0</v>
      </c>
      <c r="BT315" s="670">
        <v>110.0</v>
      </c>
      <c r="BU315" s="365"/>
      <c r="BV315" s="671">
        <f t="shared" si="34"/>
        <v>91</v>
      </c>
      <c r="BW315" s="672">
        <f t="shared" si="35"/>
        <v>2262.7</v>
      </c>
      <c r="BX315" s="673">
        <f t="shared" si="560"/>
        <v>2571.3</v>
      </c>
      <c r="BY315" s="673">
        <f t="shared" si="498"/>
        <v>2693.7</v>
      </c>
      <c r="BZ315" s="673">
        <f t="shared" si="561"/>
        <v>2693.7</v>
      </c>
      <c r="CA315" s="673">
        <f t="shared" si="562"/>
        <v>3142.6</v>
      </c>
      <c r="CB315" s="673">
        <f t="shared" si="563"/>
        <v>2571.3</v>
      </c>
      <c r="CC315" s="673">
        <f t="shared" si="564"/>
        <v>2828.4</v>
      </c>
      <c r="CD315" s="673">
        <f t="shared" si="565"/>
        <v>2828.4</v>
      </c>
      <c r="CE315" s="674">
        <f t="shared" si="43"/>
        <v>25.3</v>
      </c>
      <c r="CF315" s="675">
        <f t="shared" si="248"/>
        <v>1.5</v>
      </c>
      <c r="CG315" s="676">
        <f t="shared" si="566"/>
        <v>1.5</v>
      </c>
      <c r="CH315" s="575" t="s">
        <v>1571</v>
      </c>
      <c r="CI315" s="582">
        <f t="shared" ref="CI315:DF315" si="588">FLOOR($AV315/(CI$3/25),1)</f>
        <v>2297</v>
      </c>
      <c r="CJ315" s="582">
        <f t="shared" si="588"/>
        <v>2392</v>
      </c>
      <c r="CK315" s="582">
        <f t="shared" si="588"/>
        <v>2496</v>
      </c>
      <c r="CL315" s="582">
        <f t="shared" si="588"/>
        <v>2610</v>
      </c>
      <c r="CM315" s="582">
        <f t="shared" si="588"/>
        <v>2734</v>
      </c>
      <c r="CN315" s="582">
        <f t="shared" si="588"/>
        <v>2871</v>
      </c>
      <c r="CO315" s="582">
        <f t="shared" si="588"/>
        <v>3022</v>
      </c>
      <c r="CP315" s="582">
        <f t="shared" si="588"/>
        <v>3190</v>
      </c>
      <c r="CQ315" s="582">
        <f t="shared" si="588"/>
        <v>3377</v>
      </c>
      <c r="CR315" s="582">
        <f t="shared" si="588"/>
        <v>3589</v>
      </c>
      <c r="CS315" s="582">
        <f t="shared" si="588"/>
        <v>3828</v>
      </c>
      <c r="CT315" s="582">
        <f t="shared" si="588"/>
        <v>4101</v>
      </c>
      <c r="CU315" s="582">
        <f t="shared" si="588"/>
        <v>4417</v>
      </c>
      <c r="CV315" s="582">
        <f t="shared" si="588"/>
        <v>4785</v>
      </c>
      <c r="CW315" s="582">
        <f t="shared" si="588"/>
        <v>5220</v>
      </c>
      <c r="CX315" s="582">
        <f t="shared" si="588"/>
        <v>5742</v>
      </c>
      <c r="CY315" s="582">
        <f t="shared" si="588"/>
        <v>6380</v>
      </c>
      <c r="CZ315" s="582">
        <f t="shared" si="588"/>
        <v>7178</v>
      </c>
      <c r="DA315" s="582">
        <f t="shared" si="588"/>
        <v>8203</v>
      </c>
      <c r="DB315" s="582">
        <f t="shared" si="588"/>
        <v>9570</v>
      </c>
      <c r="DC315" s="582">
        <f t="shared" si="588"/>
        <v>11485</v>
      </c>
      <c r="DD315" s="582">
        <f t="shared" si="588"/>
        <v>14356</v>
      </c>
      <c r="DE315" s="582">
        <f t="shared" si="588"/>
        <v>19141</v>
      </c>
      <c r="DF315" s="602">
        <f t="shared" si="588"/>
        <v>28712</v>
      </c>
      <c r="DG315" s="575"/>
      <c r="DH315" s="575" t="str">
        <f t="shared" si="46"/>
        <v/>
      </c>
      <c r="DI315" s="74" t="str">
        <f t="shared" si="47"/>
        <v/>
      </c>
      <c r="DJ315" s="74" t="str">
        <f t="shared" si="48"/>
        <v/>
      </c>
      <c r="DK315" s="623" t="str">
        <f t="shared" si="49"/>
        <v/>
      </c>
      <c r="DL315" s="74"/>
      <c r="DM315" s="74"/>
      <c r="DN315" s="582">
        <f t="shared" si="583"/>
        <v>4.6</v>
      </c>
      <c r="DO315" s="575"/>
      <c r="DP315" s="61" t="s">
        <v>1565</v>
      </c>
    </row>
    <row r="316">
      <c r="A316" s="552">
        <v>310.0</v>
      </c>
      <c r="B316" s="86">
        <v>308.0</v>
      </c>
      <c r="C316" s="54">
        <v>80.0</v>
      </c>
      <c r="D316" s="54">
        <v>93.0</v>
      </c>
      <c r="E316" s="74"/>
      <c r="F316" s="68" t="s">
        <v>1683</v>
      </c>
      <c r="G316" s="68">
        <f t="shared" si="540"/>
        <v>20</v>
      </c>
      <c r="H316" s="68">
        <f t="shared" si="478"/>
        <v>19</v>
      </c>
      <c r="I316" s="68">
        <f t="shared" si="541"/>
        <v>19</v>
      </c>
      <c r="J316" s="68">
        <f t="shared" si="542"/>
        <v>17</v>
      </c>
      <c r="K316" s="68">
        <f t="shared" si="543"/>
        <v>20</v>
      </c>
      <c r="L316" s="68">
        <f t="shared" si="544"/>
        <v>18</v>
      </c>
      <c r="M316" s="569">
        <f t="shared" si="545"/>
        <v>18</v>
      </c>
      <c r="N316" s="74" t="s">
        <v>1580</v>
      </c>
      <c r="O316" s="570" t="s">
        <v>2082</v>
      </c>
      <c r="P316" s="639" t="s">
        <v>2206</v>
      </c>
      <c r="Q316" s="571" t="s">
        <v>1676</v>
      </c>
      <c r="R316" s="571" t="s">
        <v>1685</v>
      </c>
      <c r="S316" s="791" t="s">
        <v>1564</v>
      </c>
      <c r="T316" s="572" t="s">
        <v>1581</v>
      </c>
      <c r="U316" s="54">
        <v>74.0</v>
      </c>
      <c r="V316" s="54">
        <v>55.0</v>
      </c>
      <c r="W316" s="54">
        <v>44.0</v>
      </c>
      <c r="X316" s="54">
        <v>37.0</v>
      </c>
      <c r="Y316" s="54">
        <v>4.0</v>
      </c>
      <c r="Z316" s="669">
        <v>0.0</v>
      </c>
      <c r="AA316" s="54">
        <v>3.0</v>
      </c>
      <c r="AB316" s="669">
        <v>105.0</v>
      </c>
      <c r="AC316" s="54">
        <v>9048.0</v>
      </c>
      <c r="AD316" s="54">
        <v>2.0</v>
      </c>
      <c r="AE316" s="54">
        <v>110.0</v>
      </c>
      <c r="AF316" s="74"/>
      <c r="AG316" s="54">
        <v>100.0</v>
      </c>
      <c r="AH316" s="54">
        <v>116.0</v>
      </c>
      <c r="AI316" s="574">
        <f t="shared" si="12"/>
        <v>108</v>
      </c>
      <c r="AJ316" s="74"/>
      <c r="AK316" s="37"/>
      <c r="AL316" s="74"/>
      <c r="AM316" s="37"/>
      <c r="AN316" s="74"/>
      <c r="AO316" s="74"/>
      <c r="AP316" s="74"/>
      <c r="AQ316" s="37"/>
      <c r="AR316" s="74"/>
      <c r="AS316" s="575"/>
      <c r="AT316" s="68">
        <f t="shared" si="13"/>
        <v>2046</v>
      </c>
      <c r="AU316" s="68">
        <f t="shared" si="14"/>
        <v>2331</v>
      </c>
      <c r="AV316" s="581">
        <f t="shared" si="15"/>
        <v>2188.5</v>
      </c>
      <c r="AW316" s="582">
        <f t="shared" si="546"/>
        <v>2880</v>
      </c>
      <c r="AX316" s="582">
        <f t="shared" si="484"/>
        <v>3040</v>
      </c>
      <c r="AY316" s="582">
        <f t="shared" si="547"/>
        <v>3040</v>
      </c>
      <c r="AZ316" s="582">
        <f t="shared" si="548"/>
        <v>3218</v>
      </c>
      <c r="BA316" s="582">
        <f t="shared" si="549"/>
        <v>2880</v>
      </c>
      <c r="BB316" s="582">
        <f t="shared" si="550"/>
        <v>3218</v>
      </c>
      <c r="BC316" s="582">
        <f t="shared" si="551"/>
        <v>3420</v>
      </c>
      <c r="BD316" s="582">
        <f t="shared" si="552"/>
        <v>2280</v>
      </c>
      <c r="BE316" s="582">
        <f t="shared" si="553"/>
        <v>2736</v>
      </c>
      <c r="BF316" s="582">
        <f t="shared" si="554"/>
        <v>2026</v>
      </c>
      <c r="BG316" s="582">
        <f t="shared" si="555"/>
        <v>2487</v>
      </c>
      <c r="BH316" s="582">
        <f t="shared" si="556"/>
        <v>2379</v>
      </c>
      <c r="BI316" s="582">
        <f t="shared" si="494"/>
        <v>2487</v>
      </c>
      <c r="BJ316" s="582">
        <f t="shared" si="557"/>
        <v>2605</v>
      </c>
      <c r="BK316" s="582">
        <f t="shared" si="558"/>
        <v>2379</v>
      </c>
      <c r="BL316" s="582">
        <f t="shared" si="559"/>
        <v>2605</v>
      </c>
      <c r="BM316" s="74"/>
      <c r="BN316" s="74"/>
      <c r="BO316" s="74"/>
      <c r="BP316" s="575" t="str">
        <f t="shared" si="33"/>
        <v/>
      </c>
      <c r="BQ316" s="670">
        <v>80.0</v>
      </c>
      <c r="BR316" s="670">
        <v>93.0</v>
      </c>
      <c r="BS316" s="365"/>
      <c r="BT316" s="670">
        <v>110.0</v>
      </c>
      <c r="BU316" s="365"/>
      <c r="BV316" s="671">
        <f t="shared" si="34"/>
        <v>86.5</v>
      </c>
      <c r="BW316" s="672">
        <f t="shared" si="35"/>
        <v>2165.5</v>
      </c>
      <c r="BX316" s="673">
        <f t="shared" si="560"/>
        <v>2849.3</v>
      </c>
      <c r="BY316" s="673">
        <f t="shared" si="498"/>
        <v>3007.6</v>
      </c>
      <c r="BZ316" s="673">
        <f t="shared" si="561"/>
        <v>3007.6</v>
      </c>
      <c r="CA316" s="673">
        <f t="shared" si="562"/>
        <v>3383.6</v>
      </c>
      <c r="CB316" s="673">
        <f t="shared" si="563"/>
        <v>2849.3</v>
      </c>
      <c r="CC316" s="673">
        <f t="shared" si="564"/>
        <v>3184.6</v>
      </c>
      <c r="CD316" s="673">
        <f t="shared" si="565"/>
        <v>3184.6</v>
      </c>
      <c r="CE316" s="674">
        <f t="shared" si="43"/>
        <v>24.9</v>
      </c>
      <c r="CF316" s="675">
        <f t="shared" si="248"/>
        <v>1.1</v>
      </c>
      <c r="CG316" s="676">
        <f t="shared" si="566"/>
        <v>1.1</v>
      </c>
      <c r="CH316" s="575" t="s">
        <v>1580</v>
      </c>
      <c r="CI316" s="582">
        <f t="shared" ref="CI316:DF316" si="589">FLOOR($AV316/(CI$3/25),1)</f>
        <v>2188</v>
      </c>
      <c r="CJ316" s="582">
        <f t="shared" si="589"/>
        <v>2279</v>
      </c>
      <c r="CK316" s="582">
        <f t="shared" si="589"/>
        <v>2378</v>
      </c>
      <c r="CL316" s="582">
        <f t="shared" si="589"/>
        <v>2486</v>
      </c>
      <c r="CM316" s="582">
        <f t="shared" si="589"/>
        <v>2605</v>
      </c>
      <c r="CN316" s="582">
        <f t="shared" si="589"/>
        <v>2735</v>
      </c>
      <c r="CO316" s="582">
        <f t="shared" si="589"/>
        <v>2879</v>
      </c>
      <c r="CP316" s="582">
        <f t="shared" si="589"/>
        <v>3039</v>
      </c>
      <c r="CQ316" s="582">
        <f t="shared" si="589"/>
        <v>3218</v>
      </c>
      <c r="CR316" s="582">
        <f t="shared" si="589"/>
        <v>3419</v>
      </c>
      <c r="CS316" s="582">
        <f t="shared" si="589"/>
        <v>3647</v>
      </c>
      <c r="CT316" s="582">
        <f t="shared" si="589"/>
        <v>3908</v>
      </c>
      <c r="CU316" s="582">
        <f t="shared" si="589"/>
        <v>4208</v>
      </c>
      <c r="CV316" s="582">
        <f t="shared" si="589"/>
        <v>4559</v>
      </c>
      <c r="CW316" s="582">
        <f t="shared" si="589"/>
        <v>4973</v>
      </c>
      <c r="CX316" s="582">
        <f t="shared" si="589"/>
        <v>5471</v>
      </c>
      <c r="CY316" s="582">
        <f t="shared" si="589"/>
        <v>6079</v>
      </c>
      <c r="CZ316" s="582">
        <f t="shared" si="589"/>
        <v>6839</v>
      </c>
      <c r="DA316" s="582">
        <f t="shared" si="589"/>
        <v>7816</v>
      </c>
      <c r="DB316" s="582">
        <f t="shared" si="589"/>
        <v>9118</v>
      </c>
      <c r="DC316" s="582">
        <f t="shared" si="589"/>
        <v>10942</v>
      </c>
      <c r="DD316" s="582">
        <f t="shared" si="589"/>
        <v>13678</v>
      </c>
      <c r="DE316" s="582">
        <f t="shared" si="589"/>
        <v>18237</v>
      </c>
      <c r="DF316" s="602">
        <f t="shared" si="589"/>
        <v>27356</v>
      </c>
      <c r="DG316" s="575"/>
      <c r="DH316" s="575" t="str">
        <f t="shared" si="46"/>
        <v/>
      </c>
      <c r="DI316" s="74" t="str">
        <f t="shared" si="47"/>
        <v/>
      </c>
      <c r="DJ316" s="74" t="str">
        <f t="shared" si="48"/>
        <v/>
      </c>
      <c r="DK316" s="623" t="str">
        <f t="shared" si="49"/>
        <v/>
      </c>
      <c r="DL316" s="74"/>
      <c r="DM316" s="74"/>
      <c r="DN316" s="582">
        <f t="shared" si="583"/>
        <v>3.5</v>
      </c>
      <c r="DO316" s="575"/>
      <c r="DP316" s="61" t="s">
        <v>1565</v>
      </c>
    </row>
    <row r="317">
      <c r="A317" s="552">
        <v>311.0</v>
      </c>
      <c r="B317" s="86">
        <v>309.0</v>
      </c>
      <c r="C317" s="54">
        <v>65.0</v>
      </c>
      <c r="D317" s="54">
        <v>108.0</v>
      </c>
      <c r="E317" s="74"/>
      <c r="F317" s="68" t="s">
        <v>1683</v>
      </c>
      <c r="G317" s="68">
        <f t="shared" si="540"/>
        <v>20</v>
      </c>
      <c r="H317" s="68">
        <f t="shared" si="478"/>
        <v>19</v>
      </c>
      <c r="I317" s="68">
        <f t="shared" si="541"/>
        <v>19</v>
      </c>
      <c r="J317" s="68">
        <f t="shared" si="542"/>
        <v>17</v>
      </c>
      <c r="K317" s="68">
        <f t="shared" si="543"/>
        <v>20</v>
      </c>
      <c r="L317" s="68">
        <f t="shared" si="544"/>
        <v>18</v>
      </c>
      <c r="M317" s="569">
        <f t="shared" si="545"/>
        <v>18</v>
      </c>
      <c r="N317" s="74" t="s">
        <v>1587</v>
      </c>
      <c r="O317" s="570" t="s">
        <v>2377</v>
      </c>
      <c r="P317" s="571"/>
      <c r="Q317" s="571" t="s">
        <v>1676</v>
      </c>
      <c r="R317" s="571" t="s">
        <v>1685</v>
      </c>
      <c r="S317" s="791" t="s">
        <v>1564</v>
      </c>
      <c r="T317" s="572" t="s">
        <v>1588</v>
      </c>
      <c r="U317" s="54">
        <v>83.0</v>
      </c>
      <c r="V317" s="54">
        <v>62.0</v>
      </c>
      <c r="W317" s="54">
        <v>52.0</v>
      </c>
      <c r="X317" s="54">
        <v>27.0</v>
      </c>
      <c r="Y317" s="54">
        <v>4.0</v>
      </c>
      <c r="Z317" s="54">
        <v>0.0</v>
      </c>
      <c r="AA317" s="54">
        <v>3.0</v>
      </c>
      <c r="AB317" s="669">
        <v>120.0</v>
      </c>
      <c r="AC317" s="54">
        <v>7986.0</v>
      </c>
      <c r="AD317" s="54">
        <v>2.0</v>
      </c>
      <c r="AE317" s="54">
        <v>110.0</v>
      </c>
      <c r="AF317" s="74"/>
      <c r="AG317" s="54">
        <v>81.0</v>
      </c>
      <c r="AH317" s="54">
        <v>135.0</v>
      </c>
      <c r="AI317" s="574">
        <f t="shared" si="12"/>
        <v>108</v>
      </c>
      <c r="AJ317" s="74"/>
      <c r="AK317" s="37"/>
      <c r="AL317" s="74"/>
      <c r="AM317" s="37"/>
      <c r="AN317" s="74"/>
      <c r="AO317" s="74"/>
      <c r="AP317" s="74"/>
      <c r="AQ317" s="37"/>
      <c r="AR317" s="74"/>
      <c r="AS317" s="575"/>
      <c r="AT317" s="68">
        <f t="shared" si="13"/>
        <v>1703</v>
      </c>
      <c r="AU317" s="68">
        <f t="shared" si="14"/>
        <v>2673</v>
      </c>
      <c r="AV317" s="581">
        <f t="shared" si="15"/>
        <v>2188</v>
      </c>
      <c r="AW317" s="582">
        <f t="shared" si="546"/>
        <v>2879</v>
      </c>
      <c r="AX317" s="582">
        <f t="shared" si="484"/>
        <v>3039</v>
      </c>
      <c r="AY317" s="582">
        <f t="shared" si="547"/>
        <v>3039</v>
      </c>
      <c r="AZ317" s="582">
        <f t="shared" si="548"/>
        <v>3218</v>
      </c>
      <c r="BA317" s="582">
        <f t="shared" si="549"/>
        <v>2879</v>
      </c>
      <c r="BB317" s="582">
        <f t="shared" si="550"/>
        <v>3218</v>
      </c>
      <c r="BC317" s="582">
        <f t="shared" si="551"/>
        <v>3419</v>
      </c>
      <c r="BD317" s="582">
        <f t="shared" si="552"/>
        <v>2279</v>
      </c>
      <c r="BE317" s="582">
        <f t="shared" si="553"/>
        <v>2735</v>
      </c>
      <c r="BF317" s="582">
        <f t="shared" si="554"/>
        <v>2026</v>
      </c>
      <c r="BG317" s="582">
        <f t="shared" si="555"/>
        <v>2486</v>
      </c>
      <c r="BH317" s="582">
        <f t="shared" si="556"/>
        <v>2378</v>
      </c>
      <c r="BI317" s="582">
        <f t="shared" si="494"/>
        <v>2486</v>
      </c>
      <c r="BJ317" s="582">
        <f t="shared" si="557"/>
        <v>2605</v>
      </c>
      <c r="BK317" s="582">
        <f t="shared" si="558"/>
        <v>2378</v>
      </c>
      <c r="BL317" s="582">
        <f t="shared" si="559"/>
        <v>2605</v>
      </c>
      <c r="BM317" s="74"/>
      <c r="BN317" s="74"/>
      <c r="BO317" s="74"/>
      <c r="BP317" s="575" t="str">
        <f t="shared" si="33"/>
        <v/>
      </c>
      <c r="BQ317" s="670">
        <v>65.0</v>
      </c>
      <c r="BR317" s="670">
        <v>108.0</v>
      </c>
      <c r="BS317" s="365"/>
      <c r="BT317" s="670">
        <v>110.0</v>
      </c>
      <c r="BU317" s="365"/>
      <c r="BV317" s="671">
        <f t="shared" si="34"/>
        <v>86.5</v>
      </c>
      <c r="BW317" s="672">
        <f t="shared" si="35"/>
        <v>2165.5</v>
      </c>
      <c r="BX317" s="673">
        <f t="shared" si="560"/>
        <v>2849.3</v>
      </c>
      <c r="BY317" s="673">
        <f t="shared" si="498"/>
        <v>3007.6</v>
      </c>
      <c r="BZ317" s="673">
        <f t="shared" si="561"/>
        <v>3007.6</v>
      </c>
      <c r="CA317" s="673">
        <f t="shared" si="562"/>
        <v>3383.6</v>
      </c>
      <c r="CB317" s="673">
        <f t="shared" si="563"/>
        <v>2849.3</v>
      </c>
      <c r="CC317" s="673">
        <f t="shared" si="564"/>
        <v>3184.6</v>
      </c>
      <c r="CD317" s="673">
        <f t="shared" si="565"/>
        <v>3184.6</v>
      </c>
      <c r="CE317" s="674">
        <f t="shared" si="43"/>
        <v>24.9</v>
      </c>
      <c r="CF317" s="675">
        <f t="shared" si="248"/>
        <v>1</v>
      </c>
      <c r="CG317" s="676">
        <f t="shared" si="566"/>
        <v>1</v>
      </c>
      <c r="CH317" s="575" t="s">
        <v>1587</v>
      </c>
      <c r="CI317" s="582">
        <f t="shared" ref="CI317:DF317" si="590">FLOOR($AV317/(CI$3/25),1)</f>
        <v>2188</v>
      </c>
      <c r="CJ317" s="582">
        <f t="shared" si="590"/>
        <v>2279</v>
      </c>
      <c r="CK317" s="582">
        <f t="shared" si="590"/>
        <v>2378</v>
      </c>
      <c r="CL317" s="582">
        <f t="shared" si="590"/>
        <v>2486</v>
      </c>
      <c r="CM317" s="582">
        <f t="shared" si="590"/>
        <v>2604</v>
      </c>
      <c r="CN317" s="582">
        <f t="shared" si="590"/>
        <v>2735</v>
      </c>
      <c r="CO317" s="582">
        <f t="shared" si="590"/>
        <v>2878</v>
      </c>
      <c r="CP317" s="582">
        <f t="shared" si="590"/>
        <v>3038</v>
      </c>
      <c r="CQ317" s="582">
        <f t="shared" si="590"/>
        <v>3217</v>
      </c>
      <c r="CR317" s="582">
        <f t="shared" si="590"/>
        <v>3418</v>
      </c>
      <c r="CS317" s="582">
        <f t="shared" si="590"/>
        <v>3646</v>
      </c>
      <c r="CT317" s="582">
        <f t="shared" si="590"/>
        <v>3907</v>
      </c>
      <c r="CU317" s="582">
        <f t="shared" si="590"/>
        <v>4207</v>
      </c>
      <c r="CV317" s="582">
        <f t="shared" si="590"/>
        <v>4558</v>
      </c>
      <c r="CW317" s="582">
        <f t="shared" si="590"/>
        <v>4972</v>
      </c>
      <c r="CX317" s="582">
        <f t="shared" si="590"/>
        <v>5470</v>
      </c>
      <c r="CY317" s="582">
        <f t="shared" si="590"/>
        <v>6077</v>
      </c>
      <c r="CZ317" s="582">
        <f t="shared" si="590"/>
        <v>6837</v>
      </c>
      <c r="DA317" s="582">
        <f t="shared" si="590"/>
        <v>7814</v>
      </c>
      <c r="DB317" s="582">
        <f t="shared" si="590"/>
        <v>9116</v>
      </c>
      <c r="DC317" s="582">
        <f t="shared" si="590"/>
        <v>10940</v>
      </c>
      <c r="DD317" s="582">
        <f t="shared" si="590"/>
        <v>13675</v>
      </c>
      <c r="DE317" s="582">
        <f t="shared" si="590"/>
        <v>18233</v>
      </c>
      <c r="DF317" s="602">
        <f t="shared" si="590"/>
        <v>27350</v>
      </c>
      <c r="DG317" s="575"/>
      <c r="DH317" s="575" t="str">
        <f t="shared" si="46"/>
        <v/>
      </c>
      <c r="DI317" s="74" t="str">
        <f t="shared" si="47"/>
        <v/>
      </c>
      <c r="DJ317" s="74" t="str">
        <f t="shared" si="48"/>
        <v/>
      </c>
      <c r="DK317" s="623" t="str">
        <f t="shared" si="49"/>
        <v/>
      </c>
      <c r="DL317" s="74"/>
      <c r="DM317" s="74"/>
      <c r="DN317" s="582">
        <f t="shared" si="583"/>
        <v>3.1</v>
      </c>
      <c r="DO317" s="575"/>
      <c r="DP317" s="61" t="s">
        <v>1565</v>
      </c>
    </row>
    <row r="318">
      <c r="A318" s="764">
        <v>312.0</v>
      </c>
      <c r="B318" s="765">
        <v>310.0</v>
      </c>
      <c r="C318" s="766">
        <v>83.0</v>
      </c>
      <c r="D318" s="766">
        <v>99.0</v>
      </c>
      <c r="E318" s="767"/>
      <c r="F318" s="768" t="s">
        <v>1683</v>
      </c>
      <c r="G318" s="768">
        <f t="shared" si="540"/>
        <v>20</v>
      </c>
      <c r="H318" s="768">
        <f t="shared" si="478"/>
        <v>19</v>
      </c>
      <c r="I318" s="768">
        <f t="shared" si="541"/>
        <v>19</v>
      </c>
      <c r="J318" s="768">
        <f t="shared" si="542"/>
        <v>17</v>
      </c>
      <c r="K318" s="768">
        <f t="shared" si="543"/>
        <v>20</v>
      </c>
      <c r="L318" s="768">
        <f t="shared" si="544"/>
        <v>18</v>
      </c>
      <c r="M318" s="769">
        <f t="shared" si="545"/>
        <v>18</v>
      </c>
      <c r="N318" s="767" t="s">
        <v>1594</v>
      </c>
      <c r="O318" s="770" t="s">
        <v>2083</v>
      </c>
      <c r="P318" s="771"/>
      <c r="Q318" s="771" t="s">
        <v>1676</v>
      </c>
      <c r="R318" s="771" t="s">
        <v>1685</v>
      </c>
      <c r="S318" s="800" t="s">
        <v>1564</v>
      </c>
      <c r="T318" s="772" t="s">
        <v>1595</v>
      </c>
      <c r="U318" s="766">
        <v>85.0</v>
      </c>
      <c r="V318" s="766">
        <v>66.0</v>
      </c>
      <c r="W318" s="766">
        <v>34.0</v>
      </c>
      <c r="X318" s="767"/>
      <c r="Y318" s="766">
        <v>6.0</v>
      </c>
      <c r="Z318" s="774">
        <v>10.0</v>
      </c>
      <c r="AA318" s="766">
        <v>3.0</v>
      </c>
      <c r="AB318" s="920">
        <v>78.0</v>
      </c>
      <c r="AC318" s="766">
        <v>10001.0</v>
      </c>
      <c r="AD318" s="766">
        <v>2.0</v>
      </c>
      <c r="AE318" s="766">
        <v>110.0</v>
      </c>
      <c r="AF318" s="767"/>
      <c r="AG318" s="766">
        <v>104.0</v>
      </c>
      <c r="AH318" s="766">
        <v>124.0</v>
      </c>
      <c r="AI318" s="775">
        <f t="shared" si="12"/>
        <v>114</v>
      </c>
      <c r="AJ318" s="767"/>
      <c r="AK318" s="767"/>
      <c r="AL318" s="767"/>
      <c r="AM318" s="767"/>
      <c r="AN318" s="767"/>
      <c r="AO318" s="767"/>
      <c r="AP318" s="767"/>
      <c r="AQ318" s="767"/>
      <c r="AR318" s="767"/>
      <c r="AS318" s="776"/>
      <c r="AT318" s="768">
        <f t="shared" si="13"/>
        <v>2117</v>
      </c>
      <c r="AU318" s="768">
        <f t="shared" si="14"/>
        <v>2476</v>
      </c>
      <c r="AV318" s="777">
        <f t="shared" si="15"/>
        <v>2296.5</v>
      </c>
      <c r="AW318" s="778">
        <f t="shared" si="546"/>
        <v>2610</v>
      </c>
      <c r="AX318" s="778">
        <f t="shared" si="484"/>
        <v>2734</v>
      </c>
      <c r="AY318" s="778">
        <f t="shared" si="547"/>
        <v>2734</v>
      </c>
      <c r="AZ318" s="778">
        <f t="shared" si="548"/>
        <v>2871</v>
      </c>
      <c r="BA318" s="778">
        <f t="shared" si="549"/>
        <v>2610</v>
      </c>
      <c r="BB318" s="778">
        <f t="shared" si="550"/>
        <v>2871</v>
      </c>
      <c r="BC318" s="778">
        <f t="shared" si="551"/>
        <v>3190</v>
      </c>
      <c r="BD318" s="778">
        <f t="shared" si="552"/>
        <v>2050</v>
      </c>
      <c r="BE318" s="778">
        <f t="shared" si="553"/>
        <v>2392</v>
      </c>
      <c r="BF318" s="778">
        <f t="shared" si="554"/>
        <v>1740</v>
      </c>
      <c r="BG318" s="778">
        <f t="shared" si="555"/>
        <v>2050</v>
      </c>
      <c r="BH318" s="778">
        <f t="shared" si="556"/>
        <v>1980</v>
      </c>
      <c r="BI318" s="778">
        <f t="shared" si="494"/>
        <v>2050</v>
      </c>
      <c r="BJ318" s="778">
        <f t="shared" si="557"/>
        <v>2208</v>
      </c>
      <c r="BK318" s="778">
        <f t="shared" si="558"/>
        <v>1980</v>
      </c>
      <c r="BL318" s="778">
        <f t="shared" si="559"/>
        <v>2208</v>
      </c>
      <c r="BM318" s="767"/>
      <c r="BN318" s="767"/>
      <c r="BO318" s="767"/>
      <c r="BP318" s="776" t="str">
        <f t="shared" si="33"/>
        <v/>
      </c>
      <c r="BQ318" s="780">
        <v>83.0</v>
      </c>
      <c r="BR318" s="780">
        <v>99.0</v>
      </c>
      <c r="BS318" s="780">
        <v>10.0</v>
      </c>
      <c r="BT318" s="780">
        <v>110.0</v>
      </c>
      <c r="BU318" s="781"/>
      <c r="BV318" s="782">
        <f t="shared" si="34"/>
        <v>91</v>
      </c>
      <c r="BW318" s="783">
        <f t="shared" si="35"/>
        <v>2262.7</v>
      </c>
      <c r="BX318" s="784">
        <f t="shared" si="560"/>
        <v>2571.3</v>
      </c>
      <c r="BY318" s="784">
        <f t="shared" si="498"/>
        <v>2693.7</v>
      </c>
      <c r="BZ318" s="784">
        <f t="shared" si="561"/>
        <v>2693.7</v>
      </c>
      <c r="CA318" s="784">
        <f t="shared" si="562"/>
        <v>3142.6</v>
      </c>
      <c r="CB318" s="784">
        <f t="shared" si="563"/>
        <v>2571.3</v>
      </c>
      <c r="CC318" s="784">
        <f t="shared" si="564"/>
        <v>2828.4</v>
      </c>
      <c r="CD318" s="784">
        <f t="shared" si="565"/>
        <v>2828.4</v>
      </c>
      <c r="CE318" s="785">
        <f t="shared" si="43"/>
        <v>25.3</v>
      </c>
      <c r="CF318" s="802">
        <f t="shared" si="248"/>
        <v>1.5</v>
      </c>
      <c r="CG318" s="787">
        <f t="shared" si="566"/>
        <v>1.5</v>
      </c>
      <c r="CH318" s="776" t="s">
        <v>1594</v>
      </c>
      <c r="CI318" s="778">
        <f t="shared" ref="CI318:DF318" si="591">FLOOR($AV318/(CI$3/25),1)</f>
        <v>2296</v>
      </c>
      <c r="CJ318" s="778">
        <f t="shared" si="591"/>
        <v>2392</v>
      </c>
      <c r="CK318" s="778">
        <f t="shared" si="591"/>
        <v>2496</v>
      </c>
      <c r="CL318" s="778">
        <f t="shared" si="591"/>
        <v>2609</v>
      </c>
      <c r="CM318" s="778">
        <f t="shared" si="591"/>
        <v>2733</v>
      </c>
      <c r="CN318" s="778">
        <f t="shared" si="591"/>
        <v>2870</v>
      </c>
      <c r="CO318" s="778">
        <f t="shared" si="591"/>
        <v>3021</v>
      </c>
      <c r="CP318" s="778">
        <f t="shared" si="591"/>
        <v>3189</v>
      </c>
      <c r="CQ318" s="778">
        <f t="shared" si="591"/>
        <v>3377</v>
      </c>
      <c r="CR318" s="778">
        <f t="shared" si="591"/>
        <v>3588</v>
      </c>
      <c r="CS318" s="778">
        <f t="shared" si="591"/>
        <v>3827</v>
      </c>
      <c r="CT318" s="778">
        <f t="shared" si="591"/>
        <v>4100</v>
      </c>
      <c r="CU318" s="778">
        <f t="shared" si="591"/>
        <v>4416</v>
      </c>
      <c r="CV318" s="778">
        <f t="shared" si="591"/>
        <v>4784</v>
      </c>
      <c r="CW318" s="778">
        <f t="shared" si="591"/>
        <v>5219</v>
      </c>
      <c r="CX318" s="778">
        <f t="shared" si="591"/>
        <v>5741</v>
      </c>
      <c r="CY318" s="778">
        <f t="shared" si="591"/>
        <v>6379</v>
      </c>
      <c r="CZ318" s="778">
        <f t="shared" si="591"/>
        <v>7176</v>
      </c>
      <c r="DA318" s="778">
        <f t="shared" si="591"/>
        <v>8201</v>
      </c>
      <c r="DB318" s="778">
        <f t="shared" si="591"/>
        <v>9568</v>
      </c>
      <c r="DC318" s="778">
        <f t="shared" si="591"/>
        <v>11482</v>
      </c>
      <c r="DD318" s="778">
        <f t="shared" si="591"/>
        <v>14353</v>
      </c>
      <c r="DE318" s="778">
        <f t="shared" si="591"/>
        <v>19137</v>
      </c>
      <c r="DF318" s="779">
        <f t="shared" si="591"/>
        <v>28706</v>
      </c>
      <c r="DG318" s="776"/>
      <c r="DH318" s="776" t="str">
        <f t="shared" si="46"/>
        <v/>
      </c>
      <c r="DI318" s="767" t="str">
        <f t="shared" si="47"/>
        <v/>
      </c>
      <c r="DJ318" s="767" t="str">
        <f t="shared" si="48"/>
        <v/>
      </c>
      <c r="DK318" s="788">
        <f t="shared" si="49"/>
        <v>-7</v>
      </c>
      <c r="DL318" s="789">
        <v>106.0</v>
      </c>
      <c r="DM318" s="921">
        <v>20.0</v>
      </c>
      <c r="DN318" s="778">
        <f t="shared" si="583"/>
        <v>1.8</v>
      </c>
      <c r="DO318" s="776" t="s">
        <v>2378</v>
      </c>
      <c r="DP318" s="874" t="s">
        <v>1565</v>
      </c>
    </row>
    <row r="319" hidden="1">
      <c r="A319" s="922">
        <v>313.0</v>
      </c>
      <c r="B319" s="923">
        <v>11.0</v>
      </c>
      <c r="C319" s="924">
        <v>2.0</v>
      </c>
      <c r="D319" s="924">
        <v>4.0</v>
      </c>
      <c r="E319" s="925"/>
      <c r="F319" s="926" t="s">
        <v>1246</v>
      </c>
      <c r="G319" s="926">
        <f t="shared" si="540"/>
        <v>16</v>
      </c>
      <c r="H319" s="926">
        <f t="shared" si="478"/>
        <v>15</v>
      </c>
      <c r="I319" s="926">
        <f t="shared" si="541"/>
        <v>16</v>
      </c>
      <c r="J319" s="926">
        <f t="shared" si="542"/>
        <v>19</v>
      </c>
      <c r="K319" s="926">
        <f t="shared" si="543"/>
        <v>19</v>
      </c>
      <c r="L319" s="926">
        <f t="shared" si="544"/>
        <v>15</v>
      </c>
      <c r="M319" s="927">
        <f t="shared" si="545"/>
        <v>20</v>
      </c>
      <c r="N319" s="925" t="s">
        <v>720</v>
      </c>
      <c r="O319" s="928" t="s">
        <v>2085</v>
      </c>
      <c r="P319" s="929"/>
      <c r="Q319" s="929" t="s">
        <v>1313</v>
      </c>
      <c r="R319" s="929" t="s">
        <v>43</v>
      </c>
      <c r="S319" s="930" t="s">
        <v>1608</v>
      </c>
      <c r="T319" s="931" t="s">
        <v>1601</v>
      </c>
      <c r="U319" s="924">
        <v>2.0</v>
      </c>
      <c r="V319" s="924">
        <v>0.0</v>
      </c>
      <c r="W319" s="925"/>
      <c r="X319" s="925"/>
      <c r="Y319" s="573">
        <v>1.0</v>
      </c>
      <c r="Z319" s="924">
        <v>0.0</v>
      </c>
      <c r="AA319" s="923">
        <v>0.0</v>
      </c>
      <c r="AB319" s="924">
        <v>30.0</v>
      </c>
      <c r="AC319" s="924">
        <v>205.0</v>
      </c>
      <c r="AD319" s="924">
        <v>1.0</v>
      </c>
      <c r="AE319" s="924">
        <v>100.0</v>
      </c>
      <c r="AF319" s="925"/>
      <c r="AG319" s="924">
        <v>2.0</v>
      </c>
      <c r="AH319" s="924">
        <v>4.0</v>
      </c>
      <c r="AI319" s="932">
        <f t="shared" si="12"/>
        <v>3</v>
      </c>
      <c r="AJ319" s="925"/>
      <c r="AK319" s="925"/>
      <c r="AL319" s="925"/>
      <c r="AM319" s="925"/>
      <c r="AN319" s="925"/>
      <c r="AO319" s="925"/>
      <c r="AP319" s="925"/>
      <c r="AQ319" s="925"/>
      <c r="AR319" s="925"/>
      <c r="AS319" s="933"/>
      <c r="AT319" s="926">
        <f t="shared" si="13"/>
        <v>266</v>
      </c>
      <c r="AU319" s="926">
        <f t="shared" si="14"/>
        <v>298</v>
      </c>
      <c r="AV319" s="934">
        <f t="shared" si="15"/>
        <v>282</v>
      </c>
      <c r="AW319" s="935">
        <f t="shared" si="546"/>
        <v>470</v>
      </c>
      <c r="AX319" s="935">
        <f t="shared" si="484"/>
        <v>504</v>
      </c>
      <c r="AY319" s="935">
        <f t="shared" si="547"/>
        <v>470</v>
      </c>
      <c r="AZ319" s="935">
        <f t="shared" si="548"/>
        <v>504</v>
      </c>
      <c r="BA319" s="935">
        <f t="shared" si="549"/>
        <v>392</v>
      </c>
      <c r="BB319" s="935">
        <f t="shared" si="550"/>
        <v>371</v>
      </c>
      <c r="BC319" s="935">
        <f t="shared" si="551"/>
        <v>392</v>
      </c>
      <c r="BD319" s="935">
        <f t="shared" si="552"/>
        <v>261</v>
      </c>
      <c r="BE319" s="935">
        <f t="shared" si="553"/>
        <v>320</v>
      </c>
      <c r="BF319" s="935">
        <f t="shared" si="554"/>
        <v>307</v>
      </c>
      <c r="BG319" s="935">
        <f t="shared" si="555"/>
        <v>371</v>
      </c>
      <c r="BH319" s="935">
        <f t="shared" si="556"/>
        <v>371</v>
      </c>
      <c r="BI319" s="935">
        <f t="shared" si="494"/>
        <v>392</v>
      </c>
      <c r="BJ319" s="935">
        <f t="shared" si="557"/>
        <v>392</v>
      </c>
      <c r="BK319" s="935">
        <f t="shared" si="558"/>
        <v>320</v>
      </c>
      <c r="BL319" s="935">
        <f t="shared" si="559"/>
        <v>307</v>
      </c>
      <c r="BM319" s="925"/>
      <c r="BN319" s="925"/>
      <c r="BO319" s="925"/>
      <c r="BP319" s="933"/>
      <c r="BQ319" s="924">
        <v>2.0</v>
      </c>
      <c r="BR319" s="924">
        <v>4.0</v>
      </c>
      <c r="BS319" s="925"/>
      <c r="BT319" s="924">
        <v>100.0</v>
      </c>
      <c r="BU319" s="925"/>
      <c r="BV319" s="936">
        <f t="shared" si="34"/>
        <v>3</v>
      </c>
      <c r="BW319" s="937">
        <f t="shared" si="35"/>
        <v>340.5</v>
      </c>
      <c r="BX319" s="935">
        <f t="shared" si="560"/>
        <v>567.5</v>
      </c>
      <c r="BY319" s="935">
        <f t="shared" si="498"/>
        <v>608</v>
      </c>
      <c r="BZ319" s="935">
        <f t="shared" si="561"/>
        <v>567.5</v>
      </c>
      <c r="CA319" s="935">
        <f t="shared" si="562"/>
        <v>472.9</v>
      </c>
      <c r="CB319" s="935">
        <f t="shared" si="563"/>
        <v>472.9</v>
      </c>
      <c r="CC319" s="935">
        <f t="shared" si="564"/>
        <v>608</v>
      </c>
      <c r="CD319" s="935">
        <f t="shared" si="565"/>
        <v>448</v>
      </c>
      <c r="CE319" s="938" t="str">
        <f t="shared" si="43"/>
        <v/>
      </c>
      <c r="CF319" s="925">
        <f t="shared" si="248"/>
        <v>-17.2</v>
      </c>
      <c r="CG319" s="939">
        <f t="shared" si="566"/>
        <v>-17.2</v>
      </c>
      <c r="CH319" s="933" t="s">
        <v>720</v>
      </c>
      <c r="CI319" s="935">
        <f t="shared" ref="CI319:DF319" si="592">FLOOR($AV319/(CI$3/25),1)</f>
        <v>282</v>
      </c>
      <c r="CJ319" s="935">
        <f t="shared" si="592"/>
        <v>293</v>
      </c>
      <c r="CK319" s="935">
        <f t="shared" si="592"/>
        <v>306</v>
      </c>
      <c r="CL319" s="935">
        <f t="shared" si="592"/>
        <v>320</v>
      </c>
      <c r="CM319" s="935">
        <f t="shared" si="592"/>
        <v>335</v>
      </c>
      <c r="CN319" s="935">
        <f t="shared" si="592"/>
        <v>352</v>
      </c>
      <c r="CO319" s="935">
        <f t="shared" si="592"/>
        <v>371</v>
      </c>
      <c r="CP319" s="935">
        <f t="shared" si="592"/>
        <v>391</v>
      </c>
      <c r="CQ319" s="935">
        <f t="shared" si="592"/>
        <v>414</v>
      </c>
      <c r="CR319" s="935">
        <f t="shared" si="592"/>
        <v>440</v>
      </c>
      <c r="CS319" s="935">
        <f t="shared" si="592"/>
        <v>470</v>
      </c>
      <c r="CT319" s="935">
        <f t="shared" si="592"/>
        <v>503</v>
      </c>
      <c r="CU319" s="935">
        <f t="shared" si="592"/>
        <v>542</v>
      </c>
      <c r="CV319" s="935">
        <f t="shared" si="592"/>
        <v>587</v>
      </c>
      <c r="CW319" s="935">
        <f t="shared" si="592"/>
        <v>640</v>
      </c>
      <c r="CX319" s="935">
        <f t="shared" si="592"/>
        <v>705</v>
      </c>
      <c r="CY319" s="935">
        <f t="shared" si="592"/>
        <v>783</v>
      </c>
      <c r="CZ319" s="935">
        <f t="shared" si="592"/>
        <v>881</v>
      </c>
      <c r="DA319" s="935">
        <f t="shared" si="592"/>
        <v>1007</v>
      </c>
      <c r="DB319" s="935">
        <f t="shared" si="592"/>
        <v>1175</v>
      </c>
      <c r="DC319" s="935">
        <f t="shared" si="592"/>
        <v>1410</v>
      </c>
      <c r="DD319" s="935">
        <f t="shared" si="592"/>
        <v>1762</v>
      </c>
      <c r="DE319" s="935">
        <f t="shared" si="592"/>
        <v>2350</v>
      </c>
      <c r="DF319" s="939">
        <f t="shared" si="592"/>
        <v>3525</v>
      </c>
      <c r="DG319" s="933"/>
      <c r="DH319" s="933" t="str">
        <f t="shared" si="46"/>
        <v/>
      </c>
      <c r="DI319" s="925" t="str">
        <f t="shared" si="47"/>
        <v/>
      </c>
      <c r="DJ319" s="925" t="str">
        <f t="shared" si="48"/>
        <v/>
      </c>
      <c r="DK319" s="940"/>
      <c r="DL319" s="941"/>
      <c r="DM319" s="941"/>
      <c r="DN319" s="941"/>
      <c r="DO319" s="933"/>
      <c r="DP319" s="942" t="s">
        <v>500</v>
      </c>
    </row>
    <row r="320" hidden="1">
      <c r="A320" s="922">
        <v>314.0</v>
      </c>
      <c r="B320" s="923">
        <v>12.0</v>
      </c>
      <c r="C320" s="924">
        <v>2.0</v>
      </c>
      <c r="D320" s="924">
        <v>8.0</v>
      </c>
      <c r="E320" s="925"/>
      <c r="F320" s="926" t="s">
        <v>1246</v>
      </c>
      <c r="G320" s="926">
        <f t="shared" si="540"/>
        <v>16</v>
      </c>
      <c r="H320" s="926">
        <f t="shared" si="478"/>
        <v>15</v>
      </c>
      <c r="I320" s="926">
        <f t="shared" si="541"/>
        <v>16</v>
      </c>
      <c r="J320" s="926">
        <f t="shared" si="542"/>
        <v>19</v>
      </c>
      <c r="K320" s="926">
        <f t="shared" si="543"/>
        <v>19</v>
      </c>
      <c r="L320" s="926">
        <f t="shared" si="544"/>
        <v>15</v>
      </c>
      <c r="M320" s="927">
        <f t="shared" si="545"/>
        <v>20</v>
      </c>
      <c r="N320" s="925" t="s">
        <v>1609</v>
      </c>
      <c r="O320" s="928" t="s">
        <v>2086</v>
      </c>
      <c r="P320" s="929"/>
      <c r="Q320" s="929" t="s">
        <v>1313</v>
      </c>
      <c r="R320" s="929" t="s">
        <v>43</v>
      </c>
      <c r="S320" s="930" t="s">
        <v>1608</v>
      </c>
      <c r="T320" s="931" t="s">
        <v>1610</v>
      </c>
      <c r="U320" s="924">
        <v>12.0</v>
      </c>
      <c r="V320" s="924">
        <v>0.0</v>
      </c>
      <c r="W320" s="925"/>
      <c r="X320" s="925"/>
      <c r="Y320" s="573">
        <v>1.0</v>
      </c>
      <c r="Z320" s="924">
        <v>10.0</v>
      </c>
      <c r="AA320" s="923">
        <v>0.0</v>
      </c>
      <c r="AB320" s="924">
        <v>30.0</v>
      </c>
      <c r="AC320" s="924">
        <v>745.0</v>
      </c>
      <c r="AD320" s="924">
        <v>1.0</v>
      </c>
      <c r="AE320" s="924">
        <v>100.0</v>
      </c>
      <c r="AF320" s="925"/>
      <c r="AG320" s="924">
        <v>2.0</v>
      </c>
      <c r="AH320" s="924">
        <v>8.0</v>
      </c>
      <c r="AI320" s="932">
        <f t="shared" si="12"/>
        <v>5</v>
      </c>
      <c r="AJ320" s="925"/>
      <c r="AK320" s="925"/>
      <c r="AL320" s="925"/>
      <c r="AM320" s="925"/>
      <c r="AN320" s="925"/>
      <c r="AO320" s="925"/>
      <c r="AP320" s="925"/>
      <c r="AQ320" s="925"/>
      <c r="AR320" s="925"/>
      <c r="AS320" s="933"/>
      <c r="AT320" s="926">
        <f t="shared" si="13"/>
        <v>266</v>
      </c>
      <c r="AU320" s="926">
        <f t="shared" si="14"/>
        <v>366</v>
      </c>
      <c r="AV320" s="934">
        <f t="shared" si="15"/>
        <v>316</v>
      </c>
      <c r="AW320" s="935">
        <f t="shared" si="546"/>
        <v>465</v>
      </c>
      <c r="AX320" s="935">
        <f t="shared" si="484"/>
        <v>494</v>
      </c>
      <c r="AY320" s="935">
        <f t="shared" si="547"/>
        <v>465</v>
      </c>
      <c r="AZ320" s="935">
        <f t="shared" si="548"/>
        <v>494</v>
      </c>
      <c r="BA320" s="935">
        <f t="shared" si="549"/>
        <v>376</v>
      </c>
      <c r="BB320" s="935">
        <f t="shared" si="550"/>
        <v>359</v>
      </c>
      <c r="BC320" s="935">
        <f t="shared" si="551"/>
        <v>376</v>
      </c>
      <c r="BD320" s="935">
        <f t="shared" si="552"/>
        <v>239</v>
      </c>
      <c r="BE320" s="935">
        <f t="shared" si="553"/>
        <v>282</v>
      </c>
      <c r="BF320" s="935">
        <f t="shared" si="554"/>
        <v>293</v>
      </c>
      <c r="BG320" s="935">
        <f t="shared" si="555"/>
        <v>359</v>
      </c>
      <c r="BH320" s="935">
        <f t="shared" si="556"/>
        <v>359</v>
      </c>
      <c r="BI320" s="935">
        <f t="shared" si="494"/>
        <v>376</v>
      </c>
      <c r="BJ320" s="935">
        <f t="shared" si="557"/>
        <v>376</v>
      </c>
      <c r="BK320" s="935">
        <f t="shared" si="558"/>
        <v>282</v>
      </c>
      <c r="BL320" s="935">
        <f t="shared" si="559"/>
        <v>272</v>
      </c>
      <c r="BM320" s="925"/>
      <c r="BN320" s="925"/>
      <c r="BO320" s="925"/>
      <c r="BP320" s="933"/>
      <c r="BQ320" s="924">
        <v>2.0</v>
      </c>
      <c r="BR320" s="924">
        <v>8.0</v>
      </c>
      <c r="BS320" s="924">
        <v>10.0</v>
      </c>
      <c r="BT320" s="924">
        <v>100.0</v>
      </c>
      <c r="BU320" s="925"/>
      <c r="BV320" s="936">
        <f t="shared" si="34"/>
        <v>5</v>
      </c>
      <c r="BW320" s="937">
        <f t="shared" si="35"/>
        <v>381</v>
      </c>
      <c r="BX320" s="935">
        <f t="shared" si="560"/>
        <v>560.3</v>
      </c>
      <c r="BY320" s="935">
        <f t="shared" si="498"/>
        <v>595.3</v>
      </c>
      <c r="BZ320" s="935">
        <f t="shared" si="561"/>
        <v>560.3</v>
      </c>
      <c r="CA320" s="935">
        <f t="shared" si="562"/>
        <v>453.6</v>
      </c>
      <c r="CB320" s="935">
        <f t="shared" si="563"/>
        <v>453.6</v>
      </c>
      <c r="CC320" s="935">
        <f t="shared" si="564"/>
        <v>595.3</v>
      </c>
      <c r="CD320" s="935">
        <f t="shared" si="565"/>
        <v>433</v>
      </c>
      <c r="CE320" s="938" t="str">
        <f t="shared" si="43"/>
        <v/>
      </c>
      <c r="CF320" s="925">
        <f t="shared" si="248"/>
        <v>-17.1</v>
      </c>
      <c r="CG320" s="933">
        <f t="shared" si="566"/>
        <v>-17</v>
      </c>
      <c r="CH320" s="933" t="s">
        <v>1609</v>
      </c>
      <c r="CI320" s="935">
        <f t="shared" ref="CI320:DF320" si="593">FLOOR($AV320/(CI$3/25),1)</f>
        <v>316</v>
      </c>
      <c r="CJ320" s="935">
        <f t="shared" si="593"/>
        <v>329</v>
      </c>
      <c r="CK320" s="935">
        <f t="shared" si="593"/>
        <v>343</v>
      </c>
      <c r="CL320" s="935">
        <f t="shared" si="593"/>
        <v>359</v>
      </c>
      <c r="CM320" s="935">
        <f t="shared" si="593"/>
        <v>376</v>
      </c>
      <c r="CN320" s="935">
        <f t="shared" si="593"/>
        <v>395</v>
      </c>
      <c r="CO320" s="935">
        <f t="shared" si="593"/>
        <v>415</v>
      </c>
      <c r="CP320" s="935">
        <f t="shared" si="593"/>
        <v>438</v>
      </c>
      <c r="CQ320" s="935">
        <f t="shared" si="593"/>
        <v>464</v>
      </c>
      <c r="CR320" s="935">
        <f t="shared" si="593"/>
        <v>493</v>
      </c>
      <c r="CS320" s="935">
        <f t="shared" si="593"/>
        <v>526</v>
      </c>
      <c r="CT320" s="935">
        <f t="shared" si="593"/>
        <v>564</v>
      </c>
      <c r="CU320" s="935">
        <f t="shared" si="593"/>
        <v>607</v>
      </c>
      <c r="CV320" s="935">
        <f t="shared" si="593"/>
        <v>658</v>
      </c>
      <c r="CW320" s="935">
        <f t="shared" si="593"/>
        <v>718</v>
      </c>
      <c r="CX320" s="935">
        <f t="shared" si="593"/>
        <v>790</v>
      </c>
      <c r="CY320" s="935">
        <f t="shared" si="593"/>
        <v>877</v>
      </c>
      <c r="CZ320" s="935">
        <f t="shared" si="593"/>
        <v>987</v>
      </c>
      <c r="DA320" s="935">
        <f t="shared" si="593"/>
        <v>1128</v>
      </c>
      <c r="DB320" s="935">
        <f t="shared" si="593"/>
        <v>1316</v>
      </c>
      <c r="DC320" s="935">
        <f t="shared" si="593"/>
        <v>1580</v>
      </c>
      <c r="DD320" s="935">
        <f t="shared" si="593"/>
        <v>1975</v>
      </c>
      <c r="DE320" s="935">
        <f t="shared" si="593"/>
        <v>2633</v>
      </c>
      <c r="DF320" s="939">
        <f t="shared" si="593"/>
        <v>3950</v>
      </c>
      <c r="DG320" s="933"/>
      <c r="DH320" s="933" t="str">
        <f t="shared" si="46"/>
        <v/>
      </c>
      <c r="DI320" s="925" t="str">
        <f t="shared" si="47"/>
        <v/>
      </c>
      <c r="DJ320" s="925" t="str">
        <f t="shared" si="48"/>
        <v/>
      </c>
      <c r="DK320" s="938"/>
      <c r="DL320" s="925"/>
      <c r="DM320" s="925"/>
      <c r="DN320" s="925"/>
      <c r="DO320" s="933"/>
      <c r="DP320" s="942" t="s">
        <v>500</v>
      </c>
    </row>
    <row r="321" hidden="1">
      <c r="A321" s="922">
        <v>315.0</v>
      </c>
      <c r="B321" s="923">
        <v>13.0</v>
      </c>
      <c r="C321" s="924">
        <v>3.0</v>
      </c>
      <c r="D321" s="924">
        <v>7.0</v>
      </c>
      <c r="E321" s="925"/>
      <c r="F321" s="926" t="s">
        <v>1246</v>
      </c>
      <c r="G321" s="926">
        <f t="shared" si="540"/>
        <v>16</v>
      </c>
      <c r="H321" s="926">
        <f t="shared" si="478"/>
        <v>15</v>
      </c>
      <c r="I321" s="926">
        <f t="shared" si="541"/>
        <v>16</v>
      </c>
      <c r="J321" s="926">
        <f t="shared" si="542"/>
        <v>19</v>
      </c>
      <c r="K321" s="926">
        <f t="shared" si="543"/>
        <v>19</v>
      </c>
      <c r="L321" s="926">
        <f t="shared" si="544"/>
        <v>15</v>
      </c>
      <c r="M321" s="927">
        <f t="shared" si="545"/>
        <v>20</v>
      </c>
      <c r="N321" s="925" t="s">
        <v>1615</v>
      </c>
      <c r="O321" s="928" t="s">
        <v>2087</v>
      </c>
      <c r="P321" s="943" t="s">
        <v>2192</v>
      </c>
      <c r="Q321" s="929" t="s">
        <v>1313</v>
      </c>
      <c r="R321" s="929" t="s">
        <v>43</v>
      </c>
      <c r="S321" s="930" t="s">
        <v>1608</v>
      </c>
      <c r="T321" s="931" t="s">
        <v>1616</v>
      </c>
      <c r="U321" s="924">
        <v>18.0</v>
      </c>
      <c r="V321" s="924">
        <v>0.0</v>
      </c>
      <c r="W321" s="925"/>
      <c r="X321" s="925"/>
      <c r="Y321" s="924">
        <v>2.0</v>
      </c>
      <c r="Z321" s="924">
        <v>-20.0</v>
      </c>
      <c r="AA321" s="923">
        <v>0.0</v>
      </c>
      <c r="AB321" s="924">
        <v>30.0</v>
      </c>
      <c r="AC321" s="924">
        <v>1296.0</v>
      </c>
      <c r="AD321" s="924">
        <v>1.0</v>
      </c>
      <c r="AE321" s="924">
        <v>100.0</v>
      </c>
      <c r="AF321" s="925"/>
      <c r="AG321" s="924">
        <v>3.0</v>
      </c>
      <c r="AH321" s="924">
        <v>7.0</v>
      </c>
      <c r="AI321" s="932">
        <f t="shared" si="12"/>
        <v>5</v>
      </c>
      <c r="AJ321" s="925"/>
      <c r="AK321" s="925"/>
      <c r="AL321" s="925"/>
      <c r="AM321" s="925"/>
      <c r="AN321" s="925"/>
      <c r="AO321" s="925"/>
      <c r="AP321" s="925"/>
      <c r="AQ321" s="925"/>
      <c r="AR321" s="925"/>
      <c r="AS321" s="933"/>
      <c r="AT321" s="926">
        <f t="shared" si="13"/>
        <v>280</v>
      </c>
      <c r="AU321" s="926">
        <f t="shared" si="14"/>
        <v>347</v>
      </c>
      <c r="AV321" s="934">
        <f t="shared" si="15"/>
        <v>313.5</v>
      </c>
      <c r="AW321" s="935">
        <f t="shared" si="546"/>
        <v>603</v>
      </c>
      <c r="AX321" s="935">
        <f t="shared" si="484"/>
        <v>653</v>
      </c>
      <c r="AY321" s="935">
        <f t="shared" si="547"/>
        <v>603</v>
      </c>
      <c r="AZ321" s="935">
        <f t="shared" si="548"/>
        <v>653</v>
      </c>
      <c r="BA321" s="935">
        <f t="shared" si="549"/>
        <v>523</v>
      </c>
      <c r="BB321" s="935">
        <f t="shared" si="550"/>
        <v>490</v>
      </c>
      <c r="BC321" s="935">
        <f t="shared" si="551"/>
        <v>523</v>
      </c>
      <c r="BD321" s="935">
        <f t="shared" si="552"/>
        <v>435</v>
      </c>
      <c r="BE321" s="935">
        <f t="shared" si="553"/>
        <v>523</v>
      </c>
      <c r="BF321" s="935">
        <f t="shared" si="554"/>
        <v>523</v>
      </c>
      <c r="BG321" s="935">
        <f t="shared" si="555"/>
        <v>603</v>
      </c>
      <c r="BH321" s="935">
        <f t="shared" si="556"/>
        <v>603</v>
      </c>
      <c r="BI321" s="935">
        <f t="shared" si="494"/>
        <v>653</v>
      </c>
      <c r="BJ321" s="935">
        <f t="shared" si="557"/>
        <v>653</v>
      </c>
      <c r="BK321" s="935">
        <f t="shared" si="558"/>
        <v>523</v>
      </c>
      <c r="BL321" s="935">
        <f t="shared" si="559"/>
        <v>523</v>
      </c>
      <c r="BM321" s="925"/>
      <c r="BN321" s="925"/>
      <c r="BO321" s="925"/>
      <c r="BP321" s="933"/>
      <c r="BQ321" s="924">
        <v>3.0</v>
      </c>
      <c r="BR321" s="924">
        <v>7.0</v>
      </c>
      <c r="BS321" s="924">
        <v>-20.0</v>
      </c>
      <c r="BT321" s="924">
        <v>100.0</v>
      </c>
      <c r="BU321" s="925"/>
      <c r="BV321" s="936">
        <f t="shared" si="34"/>
        <v>5</v>
      </c>
      <c r="BW321" s="937">
        <f t="shared" si="35"/>
        <v>381</v>
      </c>
      <c r="BX321" s="935">
        <f t="shared" si="560"/>
        <v>732.7</v>
      </c>
      <c r="BY321" s="935">
        <f t="shared" si="498"/>
        <v>793.8</v>
      </c>
      <c r="BZ321" s="935">
        <f t="shared" si="561"/>
        <v>732.7</v>
      </c>
      <c r="CA321" s="935">
        <f t="shared" si="562"/>
        <v>635</v>
      </c>
      <c r="CB321" s="935">
        <f t="shared" si="563"/>
        <v>635</v>
      </c>
      <c r="CC321" s="935">
        <f t="shared" si="564"/>
        <v>793.8</v>
      </c>
      <c r="CD321" s="935">
        <f t="shared" si="565"/>
        <v>595.3</v>
      </c>
      <c r="CE321" s="938" t="str">
        <f t="shared" si="43"/>
        <v/>
      </c>
      <c r="CF321" s="925">
        <f t="shared" si="248"/>
        <v>-17.7</v>
      </c>
      <c r="CG321" s="933">
        <f t="shared" si="566"/>
        <v>-17.7</v>
      </c>
      <c r="CH321" s="933" t="s">
        <v>1615</v>
      </c>
      <c r="CI321" s="935">
        <f t="shared" ref="CI321:DF321" si="594">FLOOR($AV321/(CI$3/25),1)</f>
        <v>313</v>
      </c>
      <c r="CJ321" s="935">
        <f t="shared" si="594"/>
        <v>326</v>
      </c>
      <c r="CK321" s="935">
        <f t="shared" si="594"/>
        <v>340</v>
      </c>
      <c r="CL321" s="935">
        <f t="shared" si="594"/>
        <v>356</v>
      </c>
      <c r="CM321" s="935">
        <f t="shared" si="594"/>
        <v>373</v>
      </c>
      <c r="CN321" s="935">
        <f t="shared" si="594"/>
        <v>391</v>
      </c>
      <c r="CO321" s="935">
        <f t="shared" si="594"/>
        <v>412</v>
      </c>
      <c r="CP321" s="935">
        <f t="shared" si="594"/>
        <v>435</v>
      </c>
      <c r="CQ321" s="935">
        <f t="shared" si="594"/>
        <v>461</v>
      </c>
      <c r="CR321" s="935">
        <f t="shared" si="594"/>
        <v>489</v>
      </c>
      <c r="CS321" s="935">
        <f t="shared" si="594"/>
        <v>522</v>
      </c>
      <c r="CT321" s="935">
        <f t="shared" si="594"/>
        <v>559</v>
      </c>
      <c r="CU321" s="935">
        <f t="shared" si="594"/>
        <v>602</v>
      </c>
      <c r="CV321" s="935">
        <f t="shared" si="594"/>
        <v>653</v>
      </c>
      <c r="CW321" s="935">
        <f t="shared" si="594"/>
        <v>712</v>
      </c>
      <c r="CX321" s="935">
        <f t="shared" si="594"/>
        <v>783</v>
      </c>
      <c r="CY321" s="935">
        <f t="shared" si="594"/>
        <v>870</v>
      </c>
      <c r="CZ321" s="935">
        <f t="shared" si="594"/>
        <v>979</v>
      </c>
      <c r="DA321" s="935">
        <f t="shared" si="594"/>
        <v>1119</v>
      </c>
      <c r="DB321" s="935">
        <f t="shared" si="594"/>
        <v>1306</v>
      </c>
      <c r="DC321" s="935">
        <f t="shared" si="594"/>
        <v>1567</v>
      </c>
      <c r="DD321" s="935">
        <f t="shared" si="594"/>
        <v>1959</v>
      </c>
      <c r="DE321" s="935">
        <f t="shared" si="594"/>
        <v>2612</v>
      </c>
      <c r="DF321" s="939">
        <f t="shared" si="594"/>
        <v>3918</v>
      </c>
      <c r="DG321" s="933"/>
      <c r="DH321" s="933" t="str">
        <f t="shared" si="46"/>
        <v/>
      </c>
      <c r="DI321" s="925" t="str">
        <f t="shared" si="47"/>
        <v/>
      </c>
      <c r="DJ321" s="925" t="str">
        <f t="shared" si="48"/>
        <v/>
      </c>
      <c r="DK321" s="938"/>
      <c r="DL321" s="925"/>
      <c r="DM321" s="925"/>
      <c r="DN321" s="925"/>
      <c r="DO321" s="933"/>
      <c r="DP321" s="942" t="s">
        <v>500</v>
      </c>
    </row>
    <row r="322" hidden="1">
      <c r="A322" s="944">
        <v>316.0</v>
      </c>
      <c r="B322" s="945">
        <v>14.0</v>
      </c>
      <c r="C322" s="946">
        <v>5.0</v>
      </c>
      <c r="D322" s="946">
        <v>11.0</v>
      </c>
      <c r="E322" s="947"/>
      <c r="F322" s="948" t="s">
        <v>1246</v>
      </c>
      <c r="G322" s="948">
        <f t="shared" si="540"/>
        <v>16</v>
      </c>
      <c r="H322" s="948">
        <f t="shared" si="478"/>
        <v>15</v>
      </c>
      <c r="I322" s="948">
        <f t="shared" si="541"/>
        <v>16</v>
      </c>
      <c r="J322" s="948">
        <f t="shared" si="542"/>
        <v>19</v>
      </c>
      <c r="K322" s="948">
        <f t="shared" si="543"/>
        <v>19</v>
      </c>
      <c r="L322" s="948">
        <f t="shared" si="544"/>
        <v>15</v>
      </c>
      <c r="M322" s="949">
        <f t="shared" si="545"/>
        <v>20</v>
      </c>
      <c r="N322" s="947" t="s">
        <v>1621</v>
      </c>
      <c r="O322" s="950" t="s">
        <v>2088</v>
      </c>
      <c r="P322" s="951"/>
      <c r="Q322" s="951" t="s">
        <v>1313</v>
      </c>
      <c r="R322" s="951" t="s">
        <v>43</v>
      </c>
      <c r="S322" s="952" t="s">
        <v>1608</v>
      </c>
      <c r="T322" s="953" t="s">
        <v>1622</v>
      </c>
      <c r="U322" s="946">
        <v>26.0</v>
      </c>
      <c r="V322" s="946">
        <v>0.0</v>
      </c>
      <c r="W322" s="947"/>
      <c r="X322" s="947"/>
      <c r="Y322" s="946">
        <v>2.0</v>
      </c>
      <c r="Z322" s="946">
        <v>0.0</v>
      </c>
      <c r="AA322" s="945">
        <v>0.0</v>
      </c>
      <c r="AB322" s="946">
        <v>30.0</v>
      </c>
      <c r="AC322" s="946">
        <v>2098.0</v>
      </c>
      <c r="AD322" s="946">
        <v>1.0</v>
      </c>
      <c r="AE322" s="946">
        <v>100.0</v>
      </c>
      <c r="AF322" s="947"/>
      <c r="AG322" s="946">
        <v>5.0</v>
      </c>
      <c r="AH322" s="946">
        <v>11.0</v>
      </c>
      <c r="AI322" s="954">
        <f t="shared" si="12"/>
        <v>8</v>
      </c>
      <c r="AJ322" s="947"/>
      <c r="AK322" s="947"/>
      <c r="AL322" s="947"/>
      <c r="AM322" s="947"/>
      <c r="AN322" s="947"/>
      <c r="AO322" s="947"/>
      <c r="AP322" s="947"/>
      <c r="AQ322" s="947"/>
      <c r="AR322" s="947"/>
      <c r="AS322" s="955"/>
      <c r="AT322" s="948">
        <f t="shared" si="13"/>
        <v>313</v>
      </c>
      <c r="AU322" s="948">
        <f t="shared" si="14"/>
        <v>417</v>
      </c>
      <c r="AV322" s="956">
        <f t="shared" si="15"/>
        <v>365</v>
      </c>
      <c r="AW322" s="957">
        <f t="shared" si="546"/>
        <v>608</v>
      </c>
      <c r="AX322" s="957">
        <f t="shared" si="484"/>
        <v>652</v>
      </c>
      <c r="AY322" s="957">
        <f t="shared" si="547"/>
        <v>608</v>
      </c>
      <c r="AZ322" s="957">
        <f t="shared" si="548"/>
        <v>652</v>
      </c>
      <c r="BA322" s="957">
        <f t="shared" si="549"/>
        <v>507</v>
      </c>
      <c r="BB322" s="957">
        <f t="shared" si="550"/>
        <v>480</v>
      </c>
      <c r="BC322" s="957">
        <f t="shared" si="551"/>
        <v>507</v>
      </c>
      <c r="BD322" s="957">
        <f t="shared" si="552"/>
        <v>338</v>
      </c>
      <c r="BE322" s="957">
        <f t="shared" si="553"/>
        <v>415</v>
      </c>
      <c r="BF322" s="957">
        <f t="shared" si="554"/>
        <v>397</v>
      </c>
      <c r="BG322" s="957">
        <f t="shared" si="555"/>
        <v>480</v>
      </c>
      <c r="BH322" s="957">
        <f t="shared" si="556"/>
        <v>480</v>
      </c>
      <c r="BI322" s="957">
        <f t="shared" si="494"/>
        <v>507</v>
      </c>
      <c r="BJ322" s="957">
        <f t="shared" si="557"/>
        <v>507</v>
      </c>
      <c r="BK322" s="957">
        <f t="shared" si="558"/>
        <v>415</v>
      </c>
      <c r="BL322" s="957">
        <f t="shared" si="559"/>
        <v>397</v>
      </c>
      <c r="BM322" s="947"/>
      <c r="BN322" s="947"/>
      <c r="BO322" s="947"/>
      <c r="BP322" s="955"/>
      <c r="BQ322" s="946">
        <v>5.0</v>
      </c>
      <c r="BR322" s="946">
        <v>11.0</v>
      </c>
      <c r="BS322" s="947"/>
      <c r="BT322" s="946">
        <v>100.0</v>
      </c>
      <c r="BU322" s="947"/>
      <c r="BV322" s="958">
        <f t="shared" si="34"/>
        <v>8</v>
      </c>
      <c r="BW322" s="959">
        <f t="shared" si="35"/>
        <v>441.7</v>
      </c>
      <c r="BX322" s="957">
        <f t="shared" si="560"/>
        <v>736.2</v>
      </c>
      <c r="BY322" s="957">
        <f t="shared" si="498"/>
        <v>788.8</v>
      </c>
      <c r="BZ322" s="957">
        <f t="shared" si="561"/>
        <v>736.2</v>
      </c>
      <c r="CA322" s="957">
        <f t="shared" si="562"/>
        <v>613.5</v>
      </c>
      <c r="CB322" s="957">
        <f t="shared" si="563"/>
        <v>613.5</v>
      </c>
      <c r="CC322" s="957">
        <f t="shared" si="564"/>
        <v>788.8</v>
      </c>
      <c r="CD322" s="957">
        <f t="shared" si="565"/>
        <v>581.2</v>
      </c>
      <c r="CE322" s="960" t="str">
        <f t="shared" si="43"/>
        <v/>
      </c>
      <c r="CF322" s="947">
        <f t="shared" si="248"/>
        <v>-17.4</v>
      </c>
      <c r="CG322" s="955">
        <f t="shared" si="566"/>
        <v>-17.4</v>
      </c>
      <c r="CH322" s="955" t="s">
        <v>1621</v>
      </c>
      <c r="CI322" s="957">
        <f t="shared" ref="CI322:DF322" si="595">FLOOR($AV322/(CI$3/25),1)</f>
        <v>365</v>
      </c>
      <c r="CJ322" s="957">
        <f t="shared" si="595"/>
        <v>380</v>
      </c>
      <c r="CK322" s="957">
        <f t="shared" si="595"/>
        <v>396</v>
      </c>
      <c r="CL322" s="957">
        <f t="shared" si="595"/>
        <v>414</v>
      </c>
      <c r="CM322" s="957">
        <f t="shared" si="595"/>
        <v>434</v>
      </c>
      <c r="CN322" s="957">
        <f t="shared" si="595"/>
        <v>456</v>
      </c>
      <c r="CO322" s="957">
        <f t="shared" si="595"/>
        <v>480</v>
      </c>
      <c r="CP322" s="957">
        <f t="shared" si="595"/>
        <v>506</v>
      </c>
      <c r="CQ322" s="957">
        <f t="shared" si="595"/>
        <v>536</v>
      </c>
      <c r="CR322" s="957">
        <f t="shared" si="595"/>
        <v>570</v>
      </c>
      <c r="CS322" s="957">
        <f t="shared" si="595"/>
        <v>608</v>
      </c>
      <c r="CT322" s="957">
        <f t="shared" si="595"/>
        <v>651</v>
      </c>
      <c r="CU322" s="957">
        <f t="shared" si="595"/>
        <v>701</v>
      </c>
      <c r="CV322" s="957">
        <f t="shared" si="595"/>
        <v>760</v>
      </c>
      <c r="CW322" s="957">
        <f t="shared" si="595"/>
        <v>829</v>
      </c>
      <c r="CX322" s="957">
        <f t="shared" si="595"/>
        <v>912</v>
      </c>
      <c r="CY322" s="957">
        <f t="shared" si="595"/>
        <v>1013</v>
      </c>
      <c r="CZ322" s="957">
        <f t="shared" si="595"/>
        <v>1140</v>
      </c>
      <c r="DA322" s="957">
        <f t="shared" si="595"/>
        <v>1303</v>
      </c>
      <c r="DB322" s="957">
        <f t="shared" si="595"/>
        <v>1520</v>
      </c>
      <c r="DC322" s="957">
        <f t="shared" si="595"/>
        <v>1825</v>
      </c>
      <c r="DD322" s="957">
        <f t="shared" si="595"/>
        <v>2281</v>
      </c>
      <c r="DE322" s="957">
        <f t="shared" si="595"/>
        <v>3041</v>
      </c>
      <c r="DF322" s="961">
        <f t="shared" si="595"/>
        <v>4562</v>
      </c>
      <c r="DG322" s="955"/>
      <c r="DH322" s="955" t="str">
        <f t="shared" si="46"/>
        <v/>
      </c>
      <c r="DI322" s="947" t="str">
        <f t="shared" si="47"/>
        <v/>
      </c>
      <c r="DJ322" s="947" t="str">
        <f t="shared" si="48"/>
        <v/>
      </c>
      <c r="DK322" s="960"/>
      <c r="DL322" s="947"/>
      <c r="DM322" s="947"/>
      <c r="DN322" s="947"/>
      <c r="DO322" s="955"/>
      <c r="DP322" s="962" t="s">
        <v>500</v>
      </c>
    </row>
    <row r="323" hidden="1">
      <c r="A323" s="922">
        <v>317.0</v>
      </c>
      <c r="B323" s="923">
        <v>119.0</v>
      </c>
      <c r="C323" s="924">
        <v>8.0</v>
      </c>
      <c r="D323" s="924">
        <v>18.0</v>
      </c>
      <c r="E323" s="925"/>
      <c r="F323" s="926" t="s">
        <v>1246</v>
      </c>
      <c r="G323" s="926">
        <f t="shared" si="540"/>
        <v>16</v>
      </c>
      <c r="H323" s="926">
        <f t="shared" si="478"/>
        <v>15</v>
      </c>
      <c r="I323" s="926">
        <f t="shared" si="541"/>
        <v>16</v>
      </c>
      <c r="J323" s="926">
        <f t="shared" si="542"/>
        <v>19</v>
      </c>
      <c r="K323" s="926">
        <f t="shared" si="543"/>
        <v>19</v>
      </c>
      <c r="L323" s="926">
        <f t="shared" si="544"/>
        <v>15</v>
      </c>
      <c r="M323" s="927">
        <f t="shared" si="545"/>
        <v>20</v>
      </c>
      <c r="N323" s="925" t="s">
        <v>1604</v>
      </c>
      <c r="O323" s="928" t="s">
        <v>2089</v>
      </c>
      <c r="P323" s="929"/>
      <c r="Q323" s="929" t="s">
        <v>1670</v>
      </c>
      <c r="R323" s="929" t="s">
        <v>43</v>
      </c>
      <c r="S323" s="930" t="s">
        <v>1608</v>
      </c>
      <c r="T323" s="931" t="s">
        <v>1605</v>
      </c>
      <c r="U323" s="924">
        <v>31.0</v>
      </c>
      <c r="V323" s="924">
        <v>19.0</v>
      </c>
      <c r="W323" s="924">
        <v>25.0</v>
      </c>
      <c r="X323" s="925"/>
      <c r="Y323" s="573">
        <v>1.0</v>
      </c>
      <c r="Z323" s="924">
        <v>0.0</v>
      </c>
      <c r="AA323" s="923">
        <v>0.0</v>
      </c>
      <c r="AB323" s="924">
        <v>30.0</v>
      </c>
      <c r="AC323" s="924">
        <v>915.0</v>
      </c>
      <c r="AD323" s="924">
        <v>1.0</v>
      </c>
      <c r="AE323" s="924">
        <v>100.0</v>
      </c>
      <c r="AF323" s="925"/>
      <c r="AG323" s="924">
        <v>8.0</v>
      </c>
      <c r="AH323" s="924">
        <v>18.0</v>
      </c>
      <c r="AI323" s="932">
        <f t="shared" si="12"/>
        <v>13</v>
      </c>
      <c r="AJ323" s="925"/>
      <c r="AK323" s="925"/>
      <c r="AL323" s="925"/>
      <c r="AM323" s="925"/>
      <c r="AN323" s="925"/>
      <c r="AO323" s="925"/>
      <c r="AP323" s="925"/>
      <c r="AQ323" s="925"/>
      <c r="AR323" s="925"/>
      <c r="AS323" s="933"/>
      <c r="AT323" s="926">
        <f t="shared" si="13"/>
        <v>366</v>
      </c>
      <c r="AU323" s="926">
        <f t="shared" si="14"/>
        <v>536</v>
      </c>
      <c r="AV323" s="934">
        <f t="shared" si="15"/>
        <v>451</v>
      </c>
      <c r="AW323" s="935">
        <f t="shared" si="546"/>
        <v>752</v>
      </c>
      <c r="AX323" s="935">
        <f t="shared" si="484"/>
        <v>805</v>
      </c>
      <c r="AY323" s="935">
        <f t="shared" si="547"/>
        <v>752</v>
      </c>
      <c r="AZ323" s="935">
        <f t="shared" si="548"/>
        <v>805</v>
      </c>
      <c r="BA323" s="935">
        <f t="shared" si="549"/>
        <v>626</v>
      </c>
      <c r="BB323" s="935">
        <f t="shared" si="550"/>
        <v>593</v>
      </c>
      <c r="BC323" s="935">
        <f t="shared" si="551"/>
        <v>626</v>
      </c>
      <c r="BD323" s="935">
        <f t="shared" si="552"/>
        <v>418</v>
      </c>
      <c r="BE323" s="935">
        <f t="shared" si="553"/>
        <v>513</v>
      </c>
      <c r="BF323" s="935">
        <f t="shared" si="554"/>
        <v>490</v>
      </c>
      <c r="BG323" s="935">
        <f t="shared" si="555"/>
        <v>593</v>
      </c>
      <c r="BH323" s="935">
        <f t="shared" si="556"/>
        <v>593</v>
      </c>
      <c r="BI323" s="935">
        <f t="shared" si="494"/>
        <v>626</v>
      </c>
      <c r="BJ323" s="935">
        <f t="shared" si="557"/>
        <v>626</v>
      </c>
      <c r="BK323" s="935">
        <f t="shared" si="558"/>
        <v>513</v>
      </c>
      <c r="BL323" s="935">
        <f t="shared" si="559"/>
        <v>490</v>
      </c>
      <c r="BM323" s="925"/>
      <c r="BN323" s="925"/>
      <c r="BO323" s="925"/>
      <c r="BP323" s="933"/>
      <c r="BQ323" s="924">
        <v>8.0</v>
      </c>
      <c r="BR323" s="924">
        <v>18.0</v>
      </c>
      <c r="BS323" s="925"/>
      <c r="BT323" s="924">
        <v>100.0</v>
      </c>
      <c r="BU323" s="925"/>
      <c r="BV323" s="936">
        <f t="shared" si="34"/>
        <v>13</v>
      </c>
      <c r="BW323" s="937">
        <f t="shared" si="35"/>
        <v>542.9</v>
      </c>
      <c r="BX323" s="935">
        <f t="shared" si="560"/>
        <v>904.8</v>
      </c>
      <c r="BY323" s="935">
        <f t="shared" si="498"/>
        <v>969.5</v>
      </c>
      <c r="BZ323" s="935">
        <f t="shared" si="561"/>
        <v>904.8</v>
      </c>
      <c r="CA323" s="935">
        <f t="shared" si="562"/>
        <v>754</v>
      </c>
      <c r="CB323" s="935">
        <f t="shared" si="563"/>
        <v>754</v>
      </c>
      <c r="CC323" s="935">
        <f t="shared" si="564"/>
        <v>969.5</v>
      </c>
      <c r="CD323" s="935">
        <f t="shared" si="565"/>
        <v>714.3</v>
      </c>
      <c r="CE323" s="938" t="str">
        <f t="shared" si="43"/>
        <v/>
      </c>
      <c r="CF323" s="925">
        <f t="shared" si="248"/>
        <v>-16.9</v>
      </c>
      <c r="CG323" s="933">
        <f t="shared" si="566"/>
        <v>-16.9</v>
      </c>
      <c r="CH323" s="933" t="s">
        <v>1604</v>
      </c>
      <c r="CI323" s="935">
        <f t="shared" ref="CI323:DF323" si="596">FLOOR($AV323/(CI$3/25),1)</f>
        <v>451</v>
      </c>
      <c r="CJ323" s="935">
        <f t="shared" si="596"/>
        <v>469</v>
      </c>
      <c r="CK323" s="935">
        <f t="shared" si="596"/>
        <v>490</v>
      </c>
      <c r="CL323" s="935">
        <f t="shared" si="596"/>
        <v>512</v>
      </c>
      <c r="CM323" s="935">
        <f t="shared" si="596"/>
        <v>536</v>
      </c>
      <c r="CN323" s="935">
        <f t="shared" si="596"/>
        <v>563</v>
      </c>
      <c r="CO323" s="935">
        <f t="shared" si="596"/>
        <v>593</v>
      </c>
      <c r="CP323" s="935">
        <f t="shared" si="596"/>
        <v>626</v>
      </c>
      <c r="CQ323" s="935">
        <f t="shared" si="596"/>
        <v>663</v>
      </c>
      <c r="CR323" s="935">
        <f t="shared" si="596"/>
        <v>704</v>
      </c>
      <c r="CS323" s="935">
        <f t="shared" si="596"/>
        <v>751</v>
      </c>
      <c r="CT323" s="935">
        <f t="shared" si="596"/>
        <v>805</v>
      </c>
      <c r="CU323" s="935">
        <f t="shared" si="596"/>
        <v>867</v>
      </c>
      <c r="CV323" s="935">
        <f t="shared" si="596"/>
        <v>939</v>
      </c>
      <c r="CW323" s="935">
        <f t="shared" si="596"/>
        <v>1025</v>
      </c>
      <c r="CX323" s="935">
        <f t="shared" si="596"/>
        <v>1127</v>
      </c>
      <c r="CY323" s="935">
        <f t="shared" si="596"/>
        <v>1252</v>
      </c>
      <c r="CZ323" s="935">
        <f t="shared" si="596"/>
        <v>1409</v>
      </c>
      <c r="DA323" s="935">
        <f t="shared" si="596"/>
        <v>1610</v>
      </c>
      <c r="DB323" s="935">
        <f t="shared" si="596"/>
        <v>1879</v>
      </c>
      <c r="DC323" s="935">
        <f t="shared" si="596"/>
        <v>2255</v>
      </c>
      <c r="DD323" s="935">
        <f t="shared" si="596"/>
        <v>2818</v>
      </c>
      <c r="DE323" s="935">
        <f t="shared" si="596"/>
        <v>3758</v>
      </c>
      <c r="DF323" s="939">
        <f t="shared" si="596"/>
        <v>5637</v>
      </c>
      <c r="DG323" s="933"/>
      <c r="DH323" s="933" t="str">
        <f t="shared" si="46"/>
        <v/>
      </c>
      <c r="DI323" s="925" t="str">
        <f t="shared" si="47"/>
        <v/>
      </c>
      <c r="DJ323" s="925" t="str">
        <f t="shared" si="48"/>
        <v/>
      </c>
      <c r="DK323" s="938"/>
      <c r="DL323" s="925"/>
      <c r="DM323" s="925"/>
      <c r="DN323" s="935">
        <f t="shared" ref="DN323:DN330" si="598">IF(ISBLANK(DL323),ROUND(AI323/IF(ISBLANK(DL319),AI319,DL319),1),ROUND(DL323/IF(ISBLANK(DL319),AI319,DL319),1))</f>
        <v>4.3</v>
      </c>
      <c r="DO323" s="933"/>
      <c r="DP323" s="942" t="s">
        <v>500</v>
      </c>
    </row>
    <row r="324" hidden="1">
      <c r="A324" s="922">
        <v>318.0</v>
      </c>
      <c r="B324" s="923">
        <v>120.0</v>
      </c>
      <c r="C324" s="924">
        <v>8.0</v>
      </c>
      <c r="D324" s="924">
        <v>24.0</v>
      </c>
      <c r="E324" s="925"/>
      <c r="F324" s="926" t="s">
        <v>1246</v>
      </c>
      <c r="G324" s="926">
        <f t="shared" si="540"/>
        <v>16</v>
      </c>
      <c r="H324" s="926">
        <f t="shared" si="478"/>
        <v>15</v>
      </c>
      <c r="I324" s="926">
        <f t="shared" si="541"/>
        <v>16</v>
      </c>
      <c r="J324" s="926">
        <f t="shared" si="542"/>
        <v>19</v>
      </c>
      <c r="K324" s="926">
        <f t="shared" si="543"/>
        <v>19</v>
      </c>
      <c r="L324" s="926">
        <f t="shared" si="544"/>
        <v>15</v>
      </c>
      <c r="M324" s="927">
        <f t="shared" si="545"/>
        <v>20</v>
      </c>
      <c r="N324" s="925" t="s">
        <v>1611</v>
      </c>
      <c r="O324" s="928" t="s">
        <v>2090</v>
      </c>
      <c r="P324" s="929"/>
      <c r="Q324" s="929" t="s">
        <v>1670</v>
      </c>
      <c r="R324" s="929" t="s">
        <v>43</v>
      </c>
      <c r="S324" s="930" t="s">
        <v>1608</v>
      </c>
      <c r="T324" s="931" t="s">
        <v>1612</v>
      </c>
      <c r="U324" s="924">
        <v>38.0</v>
      </c>
      <c r="V324" s="924">
        <v>25.0</v>
      </c>
      <c r="W324" s="924">
        <v>25.0</v>
      </c>
      <c r="X324" s="925"/>
      <c r="Y324" s="924">
        <v>2.0</v>
      </c>
      <c r="Z324" s="924">
        <v>10.0</v>
      </c>
      <c r="AA324" s="923">
        <v>0.0</v>
      </c>
      <c r="AB324" s="924">
        <v>30.0</v>
      </c>
      <c r="AC324" s="924">
        <v>2535.0</v>
      </c>
      <c r="AD324" s="924">
        <v>1.0</v>
      </c>
      <c r="AE324" s="924">
        <v>100.0</v>
      </c>
      <c r="AF324" s="925"/>
      <c r="AG324" s="924">
        <v>8.0</v>
      </c>
      <c r="AH324" s="924">
        <v>24.0</v>
      </c>
      <c r="AI324" s="932">
        <f t="shared" si="12"/>
        <v>16</v>
      </c>
      <c r="AJ324" s="925"/>
      <c r="AK324" s="925"/>
      <c r="AL324" s="925"/>
      <c r="AM324" s="925"/>
      <c r="AN324" s="925"/>
      <c r="AO324" s="925"/>
      <c r="AP324" s="925"/>
      <c r="AQ324" s="925"/>
      <c r="AR324" s="925"/>
      <c r="AS324" s="933"/>
      <c r="AT324" s="926">
        <f t="shared" si="13"/>
        <v>366</v>
      </c>
      <c r="AU324" s="926">
        <f t="shared" si="14"/>
        <v>636</v>
      </c>
      <c r="AV324" s="934">
        <f t="shared" si="15"/>
        <v>501</v>
      </c>
      <c r="AW324" s="935">
        <f t="shared" si="546"/>
        <v>737</v>
      </c>
      <c r="AX324" s="935">
        <f t="shared" si="484"/>
        <v>783</v>
      </c>
      <c r="AY324" s="935">
        <f t="shared" si="547"/>
        <v>737</v>
      </c>
      <c r="AZ324" s="935">
        <f t="shared" si="548"/>
        <v>783</v>
      </c>
      <c r="BA324" s="935">
        <f t="shared" si="549"/>
        <v>596</v>
      </c>
      <c r="BB324" s="935">
        <f t="shared" si="550"/>
        <v>569</v>
      </c>
      <c r="BC324" s="935">
        <f t="shared" si="551"/>
        <v>596</v>
      </c>
      <c r="BD324" s="935">
        <f t="shared" si="552"/>
        <v>380</v>
      </c>
      <c r="BE324" s="935">
        <f t="shared" si="553"/>
        <v>447</v>
      </c>
      <c r="BF324" s="935">
        <f t="shared" si="554"/>
        <v>464</v>
      </c>
      <c r="BG324" s="935">
        <f t="shared" si="555"/>
        <v>569</v>
      </c>
      <c r="BH324" s="935">
        <f t="shared" si="556"/>
        <v>569</v>
      </c>
      <c r="BI324" s="935">
        <f t="shared" si="494"/>
        <v>596</v>
      </c>
      <c r="BJ324" s="935">
        <f t="shared" si="557"/>
        <v>596</v>
      </c>
      <c r="BK324" s="935">
        <f t="shared" si="558"/>
        <v>447</v>
      </c>
      <c r="BL324" s="935">
        <f t="shared" si="559"/>
        <v>432</v>
      </c>
      <c r="BM324" s="925"/>
      <c r="BN324" s="925"/>
      <c r="BO324" s="925"/>
      <c r="BP324" s="933"/>
      <c r="BQ324" s="924">
        <v>8.0</v>
      </c>
      <c r="BR324" s="924">
        <v>24.0</v>
      </c>
      <c r="BS324" s="924">
        <v>10.0</v>
      </c>
      <c r="BT324" s="924">
        <v>100.0</v>
      </c>
      <c r="BU324" s="925"/>
      <c r="BV324" s="936">
        <f t="shared" si="34"/>
        <v>16</v>
      </c>
      <c r="BW324" s="937">
        <f t="shared" si="35"/>
        <v>603.7</v>
      </c>
      <c r="BX324" s="935">
        <f t="shared" si="560"/>
        <v>887.8</v>
      </c>
      <c r="BY324" s="935">
        <f t="shared" si="498"/>
        <v>943.3</v>
      </c>
      <c r="BZ324" s="935">
        <f t="shared" si="561"/>
        <v>887.8</v>
      </c>
      <c r="CA324" s="935">
        <f t="shared" si="562"/>
        <v>718.7</v>
      </c>
      <c r="CB324" s="935">
        <f t="shared" si="563"/>
        <v>718.7</v>
      </c>
      <c r="CC324" s="935">
        <f t="shared" si="564"/>
        <v>943.3</v>
      </c>
      <c r="CD324" s="935">
        <f t="shared" si="565"/>
        <v>686</v>
      </c>
      <c r="CE324" s="938" t="str">
        <f t="shared" si="43"/>
        <v/>
      </c>
      <c r="CF324" s="925">
        <f t="shared" si="248"/>
        <v>-17</v>
      </c>
      <c r="CG324" s="933">
        <f t="shared" si="566"/>
        <v>-17</v>
      </c>
      <c r="CH324" s="933" t="s">
        <v>1611</v>
      </c>
      <c r="CI324" s="935">
        <f t="shared" ref="CI324:DF324" si="597">FLOOR($AV324/(CI$3/25),1)</f>
        <v>501</v>
      </c>
      <c r="CJ324" s="935">
        <f t="shared" si="597"/>
        <v>521</v>
      </c>
      <c r="CK324" s="935">
        <f t="shared" si="597"/>
        <v>544</v>
      </c>
      <c r="CL324" s="935">
        <f t="shared" si="597"/>
        <v>569</v>
      </c>
      <c r="CM324" s="935">
        <f t="shared" si="597"/>
        <v>596</v>
      </c>
      <c r="CN324" s="935">
        <f t="shared" si="597"/>
        <v>626</v>
      </c>
      <c r="CO324" s="935">
        <f t="shared" si="597"/>
        <v>659</v>
      </c>
      <c r="CP324" s="935">
        <f t="shared" si="597"/>
        <v>695</v>
      </c>
      <c r="CQ324" s="935">
        <f t="shared" si="597"/>
        <v>736</v>
      </c>
      <c r="CR324" s="935">
        <f t="shared" si="597"/>
        <v>782</v>
      </c>
      <c r="CS324" s="935">
        <f t="shared" si="597"/>
        <v>835</v>
      </c>
      <c r="CT324" s="935">
        <f t="shared" si="597"/>
        <v>894</v>
      </c>
      <c r="CU324" s="935">
        <f t="shared" si="597"/>
        <v>963</v>
      </c>
      <c r="CV324" s="935">
        <f t="shared" si="597"/>
        <v>1043</v>
      </c>
      <c r="CW324" s="935">
        <f t="shared" si="597"/>
        <v>1138</v>
      </c>
      <c r="CX324" s="935">
        <f t="shared" si="597"/>
        <v>1252</v>
      </c>
      <c r="CY324" s="935">
        <f t="shared" si="597"/>
        <v>1391</v>
      </c>
      <c r="CZ324" s="935">
        <f t="shared" si="597"/>
        <v>1565</v>
      </c>
      <c r="DA324" s="935">
        <f t="shared" si="597"/>
        <v>1789</v>
      </c>
      <c r="DB324" s="935">
        <f t="shared" si="597"/>
        <v>2087</v>
      </c>
      <c r="DC324" s="935">
        <f t="shared" si="597"/>
        <v>2505</v>
      </c>
      <c r="DD324" s="935">
        <f t="shared" si="597"/>
        <v>3131</v>
      </c>
      <c r="DE324" s="935">
        <f t="shared" si="597"/>
        <v>4175</v>
      </c>
      <c r="DF324" s="939">
        <f t="shared" si="597"/>
        <v>6262</v>
      </c>
      <c r="DG324" s="933"/>
      <c r="DH324" s="933" t="str">
        <f t="shared" si="46"/>
        <v/>
      </c>
      <c r="DI324" s="925" t="str">
        <f t="shared" si="47"/>
        <v/>
      </c>
      <c r="DJ324" s="925" t="str">
        <f t="shared" si="48"/>
        <v/>
      </c>
      <c r="DK324" s="938"/>
      <c r="DL324" s="925"/>
      <c r="DM324" s="925"/>
      <c r="DN324" s="935">
        <f t="shared" si="598"/>
        <v>3.2</v>
      </c>
      <c r="DO324" s="933"/>
      <c r="DP324" s="942" t="s">
        <v>500</v>
      </c>
    </row>
    <row r="325" hidden="1">
      <c r="A325" s="922">
        <v>319.0</v>
      </c>
      <c r="B325" s="923">
        <v>121.0</v>
      </c>
      <c r="C325" s="924">
        <v>10.0</v>
      </c>
      <c r="D325" s="924">
        <v>22.0</v>
      </c>
      <c r="E325" s="925"/>
      <c r="F325" s="926" t="s">
        <v>1246</v>
      </c>
      <c r="G325" s="926">
        <f t="shared" si="540"/>
        <v>16</v>
      </c>
      <c r="H325" s="926">
        <f t="shared" si="478"/>
        <v>15</v>
      </c>
      <c r="I325" s="926">
        <f t="shared" si="541"/>
        <v>16</v>
      </c>
      <c r="J325" s="926">
        <f t="shared" si="542"/>
        <v>19</v>
      </c>
      <c r="K325" s="926">
        <f t="shared" si="543"/>
        <v>19</v>
      </c>
      <c r="L325" s="926">
        <f t="shared" si="544"/>
        <v>15</v>
      </c>
      <c r="M325" s="927">
        <f t="shared" si="545"/>
        <v>20</v>
      </c>
      <c r="N325" s="925" t="s">
        <v>1617</v>
      </c>
      <c r="O325" s="928" t="s">
        <v>2091</v>
      </c>
      <c r="P325" s="929"/>
      <c r="Q325" s="929" t="s">
        <v>1670</v>
      </c>
      <c r="R325" s="929" t="s">
        <v>43</v>
      </c>
      <c r="S325" s="930" t="s">
        <v>1608</v>
      </c>
      <c r="T325" s="931" t="s">
        <v>1618</v>
      </c>
      <c r="U325" s="924">
        <v>43.0</v>
      </c>
      <c r="V325" s="924">
        <v>25.0</v>
      </c>
      <c r="W325" s="924">
        <v>25.0</v>
      </c>
      <c r="X325" s="925"/>
      <c r="Y325" s="924">
        <v>2.0</v>
      </c>
      <c r="Z325" s="924">
        <v>-20.0</v>
      </c>
      <c r="AA325" s="923">
        <v>0.0</v>
      </c>
      <c r="AB325" s="924">
        <v>30.0</v>
      </c>
      <c r="AC325" s="924">
        <v>4188.0</v>
      </c>
      <c r="AD325" s="924">
        <v>1.0</v>
      </c>
      <c r="AE325" s="924">
        <v>100.0</v>
      </c>
      <c r="AF325" s="925"/>
      <c r="AG325" s="924">
        <v>10.0</v>
      </c>
      <c r="AH325" s="924">
        <v>22.0</v>
      </c>
      <c r="AI325" s="932">
        <f t="shared" si="12"/>
        <v>16</v>
      </c>
      <c r="AJ325" s="925"/>
      <c r="AK325" s="925"/>
      <c r="AL325" s="925"/>
      <c r="AM325" s="925"/>
      <c r="AN325" s="925"/>
      <c r="AO325" s="925"/>
      <c r="AP325" s="925"/>
      <c r="AQ325" s="925"/>
      <c r="AR325" s="925"/>
      <c r="AS325" s="933"/>
      <c r="AT325" s="926">
        <f t="shared" si="13"/>
        <v>398</v>
      </c>
      <c r="AU325" s="926">
        <f t="shared" si="14"/>
        <v>602</v>
      </c>
      <c r="AV325" s="934">
        <f t="shared" si="15"/>
        <v>500</v>
      </c>
      <c r="AW325" s="935">
        <f t="shared" si="546"/>
        <v>962</v>
      </c>
      <c r="AX325" s="935">
        <f t="shared" si="484"/>
        <v>1042</v>
      </c>
      <c r="AY325" s="935">
        <f t="shared" si="547"/>
        <v>962</v>
      </c>
      <c r="AZ325" s="935">
        <f t="shared" si="548"/>
        <v>1042</v>
      </c>
      <c r="BA325" s="935">
        <f t="shared" si="549"/>
        <v>833</v>
      </c>
      <c r="BB325" s="935">
        <f t="shared" si="550"/>
        <v>781</v>
      </c>
      <c r="BC325" s="935">
        <f t="shared" si="551"/>
        <v>833</v>
      </c>
      <c r="BD325" s="935">
        <f t="shared" si="552"/>
        <v>694</v>
      </c>
      <c r="BE325" s="935">
        <f t="shared" si="553"/>
        <v>833</v>
      </c>
      <c r="BF325" s="935">
        <f t="shared" si="554"/>
        <v>833</v>
      </c>
      <c r="BG325" s="935">
        <f t="shared" si="555"/>
        <v>962</v>
      </c>
      <c r="BH325" s="935">
        <f t="shared" si="556"/>
        <v>962</v>
      </c>
      <c r="BI325" s="935">
        <f t="shared" si="494"/>
        <v>1042</v>
      </c>
      <c r="BJ325" s="935">
        <f t="shared" si="557"/>
        <v>1042</v>
      </c>
      <c r="BK325" s="935">
        <f t="shared" si="558"/>
        <v>833</v>
      </c>
      <c r="BL325" s="935">
        <f t="shared" si="559"/>
        <v>833</v>
      </c>
      <c r="BM325" s="925"/>
      <c r="BN325" s="925"/>
      <c r="BO325" s="925"/>
      <c r="BP325" s="933"/>
      <c r="BQ325" s="924">
        <v>10.0</v>
      </c>
      <c r="BR325" s="924">
        <v>22.0</v>
      </c>
      <c r="BS325" s="924">
        <v>-20.0</v>
      </c>
      <c r="BT325" s="924">
        <v>100.0</v>
      </c>
      <c r="BU325" s="925"/>
      <c r="BV325" s="936">
        <f t="shared" si="34"/>
        <v>16</v>
      </c>
      <c r="BW325" s="937">
        <f t="shared" si="35"/>
        <v>603.7</v>
      </c>
      <c r="BX325" s="935">
        <f t="shared" si="560"/>
        <v>1161</v>
      </c>
      <c r="BY325" s="935">
        <f t="shared" si="498"/>
        <v>1257.7</v>
      </c>
      <c r="BZ325" s="935">
        <f t="shared" si="561"/>
        <v>1161</v>
      </c>
      <c r="CA325" s="935">
        <f t="shared" si="562"/>
        <v>1006.2</v>
      </c>
      <c r="CB325" s="935">
        <f t="shared" si="563"/>
        <v>1006.2</v>
      </c>
      <c r="CC325" s="935">
        <f t="shared" si="564"/>
        <v>1257.7</v>
      </c>
      <c r="CD325" s="935">
        <f t="shared" si="565"/>
        <v>943.3</v>
      </c>
      <c r="CE325" s="938" t="str">
        <f t="shared" si="43"/>
        <v/>
      </c>
      <c r="CF325" s="925">
        <f t="shared" si="248"/>
        <v>-17.2</v>
      </c>
      <c r="CG325" s="933">
        <f t="shared" si="566"/>
        <v>-17.1</v>
      </c>
      <c r="CH325" s="933" t="s">
        <v>1617</v>
      </c>
      <c r="CI325" s="935">
        <f t="shared" ref="CI325:DF325" si="599">FLOOR($AV325/(CI$3/25),1)</f>
        <v>500</v>
      </c>
      <c r="CJ325" s="935">
        <f t="shared" si="599"/>
        <v>520</v>
      </c>
      <c r="CK325" s="935">
        <f t="shared" si="599"/>
        <v>543</v>
      </c>
      <c r="CL325" s="935">
        <f t="shared" si="599"/>
        <v>568</v>
      </c>
      <c r="CM325" s="935">
        <f t="shared" si="599"/>
        <v>595</v>
      </c>
      <c r="CN325" s="935">
        <f t="shared" si="599"/>
        <v>625</v>
      </c>
      <c r="CO325" s="935">
        <f t="shared" si="599"/>
        <v>657</v>
      </c>
      <c r="CP325" s="935">
        <f t="shared" si="599"/>
        <v>694</v>
      </c>
      <c r="CQ325" s="935">
        <f t="shared" si="599"/>
        <v>735</v>
      </c>
      <c r="CR325" s="935">
        <f t="shared" si="599"/>
        <v>781</v>
      </c>
      <c r="CS325" s="935">
        <f t="shared" si="599"/>
        <v>833</v>
      </c>
      <c r="CT325" s="935">
        <f t="shared" si="599"/>
        <v>892</v>
      </c>
      <c r="CU325" s="935">
        <f t="shared" si="599"/>
        <v>961</v>
      </c>
      <c r="CV325" s="935">
        <f t="shared" si="599"/>
        <v>1041</v>
      </c>
      <c r="CW325" s="935">
        <f t="shared" si="599"/>
        <v>1136</v>
      </c>
      <c r="CX325" s="935">
        <f t="shared" si="599"/>
        <v>1250</v>
      </c>
      <c r="CY325" s="935">
        <f t="shared" si="599"/>
        <v>1388</v>
      </c>
      <c r="CZ325" s="935">
        <f t="shared" si="599"/>
        <v>1562</v>
      </c>
      <c r="DA325" s="935">
        <f t="shared" si="599"/>
        <v>1785</v>
      </c>
      <c r="DB325" s="935">
        <f t="shared" si="599"/>
        <v>2083</v>
      </c>
      <c r="DC325" s="935">
        <f t="shared" si="599"/>
        <v>2500</v>
      </c>
      <c r="DD325" s="935">
        <f t="shared" si="599"/>
        <v>3125</v>
      </c>
      <c r="DE325" s="935">
        <f t="shared" si="599"/>
        <v>4166</v>
      </c>
      <c r="DF325" s="939">
        <f t="shared" si="599"/>
        <v>6250</v>
      </c>
      <c r="DG325" s="933"/>
      <c r="DH325" s="933" t="str">
        <f t="shared" si="46"/>
        <v/>
      </c>
      <c r="DI325" s="925" t="str">
        <f t="shared" si="47"/>
        <v/>
      </c>
      <c r="DJ325" s="925" t="str">
        <f t="shared" si="48"/>
        <v/>
      </c>
      <c r="DK325" s="938"/>
      <c r="DL325" s="925"/>
      <c r="DM325" s="925"/>
      <c r="DN325" s="935">
        <f t="shared" si="598"/>
        <v>3.2</v>
      </c>
      <c r="DO325" s="933"/>
      <c r="DP325" s="942" t="s">
        <v>500</v>
      </c>
    </row>
    <row r="326" hidden="1">
      <c r="A326" s="944">
        <v>320.0</v>
      </c>
      <c r="B326" s="945">
        <v>122.0</v>
      </c>
      <c r="C326" s="946">
        <v>13.0</v>
      </c>
      <c r="D326" s="946">
        <v>29.0</v>
      </c>
      <c r="E326" s="947"/>
      <c r="F326" s="948" t="s">
        <v>1246</v>
      </c>
      <c r="G326" s="948">
        <f t="shared" si="540"/>
        <v>16</v>
      </c>
      <c r="H326" s="948">
        <f t="shared" si="478"/>
        <v>15</v>
      </c>
      <c r="I326" s="948">
        <f t="shared" si="541"/>
        <v>16</v>
      </c>
      <c r="J326" s="948">
        <f t="shared" si="542"/>
        <v>19</v>
      </c>
      <c r="K326" s="948">
        <f t="shared" si="543"/>
        <v>19</v>
      </c>
      <c r="L326" s="948">
        <f t="shared" si="544"/>
        <v>15</v>
      </c>
      <c r="M326" s="949">
        <f t="shared" si="545"/>
        <v>20</v>
      </c>
      <c r="N326" s="947" t="s">
        <v>1623</v>
      </c>
      <c r="O326" s="950" t="s">
        <v>2092</v>
      </c>
      <c r="P326" s="951"/>
      <c r="Q326" s="951" t="s">
        <v>1670</v>
      </c>
      <c r="R326" s="951" t="s">
        <v>43</v>
      </c>
      <c r="S326" s="952" t="s">
        <v>1608</v>
      </c>
      <c r="T326" s="953" t="s">
        <v>1624</v>
      </c>
      <c r="U326" s="946">
        <v>49.0</v>
      </c>
      <c r="V326" s="946">
        <v>25.0</v>
      </c>
      <c r="W326" s="946">
        <v>25.0</v>
      </c>
      <c r="X326" s="947"/>
      <c r="Y326" s="946">
        <v>2.0</v>
      </c>
      <c r="Z326" s="946">
        <v>0.0</v>
      </c>
      <c r="AA326" s="945">
        <v>0.0</v>
      </c>
      <c r="AB326" s="946">
        <v>30.0</v>
      </c>
      <c r="AC326" s="946">
        <v>6594.0</v>
      </c>
      <c r="AD326" s="946">
        <v>1.0</v>
      </c>
      <c r="AE326" s="946">
        <v>100.0</v>
      </c>
      <c r="AF326" s="947"/>
      <c r="AG326" s="946">
        <v>13.0</v>
      </c>
      <c r="AH326" s="946">
        <v>29.0</v>
      </c>
      <c r="AI326" s="954">
        <f t="shared" si="12"/>
        <v>21</v>
      </c>
      <c r="AJ326" s="947"/>
      <c r="AK326" s="947"/>
      <c r="AL326" s="947"/>
      <c r="AM326" s="947"/>
      <c r="AN326" s="947"/>
      <c r="AO326" s="947"/>
      <c r="AP326" s="947"/>
      <c r="AQ326" s="947"/>
      <c r="AR326" s="947"/>
      <c r="AS326" s="955"/>
      <c r="AT326" s="948">
        <f t="shared" si="13"/>
        <v>451</v>
      </c>
      <c r="AU326" s="948">
        <f t="shared" si="14"/>
        <v>721</v>
      </c>
      <c r="AV326" s="956">
        <f t="shared" si="15"/>
        <v>586</v>
      </c>
      <c r="AW326" s="957">
        <f t="shared" si="546"/>
        <v>977</v>
      </c>
      <c r="AX326" s="957">
        <f t="shared" si="484"/>
        <v>1046</v>
      </c>
      <c r="AY326" s="957">
        <f t="shared" si="547"/>
        <v>977</v>
      </c>
      <c r="AZ326" s="957">
        <f t="shared" si="548"/>
        <v>1046</v>
      </c>
      <c r="BA326" s="957">
        <f t="shared" si="549"/>
        <v>814</v>
      </c>
      <c r="BB326" s="957">
        <f t="shared" si="550"/>
        <v>771</v>
      </c>
      <c r="BC326" s="957">
        <f t="shared" si="551"/>
        <v>814</v>
      </c>
      <c r="BD326" s="957">
        <f t="shared" si="552"/>
        <v>543</v>
      </c>
      <c r="BE326" s="957">
        <f t="shared" si="553"/>
        <v>666</v>
      </c>
      <c r="BF326" s="957">
        <f t="shared" si="554"/>
        <v>637</v>
      </c>
      <c r="BG326" s="957">
        <f t="shared" si="555"/>
        <v>771</v>
      </c>
      <c r="BH326" s="957">
        <f t="shared" si="556"/>
        <v>771</v>
      </c>
      <c r="BI326" s="957">
        <f t="shared" si="494"/>
        <v>814</v>
      </c>
      <c r="BJ326" s="957">
        <f t="shared" si="557"/>
        <v>814</v>
      </c>
      <c r="BK326" s="957">
        <f t="shared" si="558"/>
        <v>666</v>
      </c>
      <c r="BL326" s="957">
        <f t="shared" si="559"/>
        <v>637</v>
      </c>
      <c r="BM326" s="947"/>
      <c r="BN326" s="947"/>
      <c r="BO326" s="947"/>
      <c r="BP326" s="955"/>
      <c r="BQ326" s="946">
        <v>13.0</v>
      </c>
      <c r="BR326" s="946">
        <v>29.0</v>
      </c>
      <c r="BS326" s="947"/>
      <c r="BT326" s="946">
        <v>100.0</v>
      </c>
      <c r="BU326" s="947"/>
      <c r="BV326" s="958">
        <f t="shared" si="34"/>
        <v>21</v>
      </c>
      <c r="BW326" s="959">
        <f t="shared" si="35"/>
        <v>704.9</v>
      </c>
      <c r="BX326" s="957">
        <f t="shared" si="560"/>
        <v>1174.8</v>
      </c>
      <c r="BY326" s="957">
        <f t="shared" si="498"/>
        <v>1258.8</v>
      </c>
      <c r="BZ326" s="957">
        <f t="shared" si="561"/>
        <v>1174.8</v>
      </c>
      <c r="CA326" s="957">
        <f t="shared" si="562"/>
        <v>979</v>
      </c>
      <c r="CB326" s="957">
        <f t="shared" si="563"/>
        <v>979</v>
      </c>
      <c r="CC326" s="957">
        <f t="shared" si="564"/>
        <v>1258.8</v>
      </c>
      <c r="CD326" s="957">
        <f t="shared" si="565"/>
        <v>927.5</v>
      </c>
      <c r="CE326" s="960" t="str">
        <f t="shared" si="43"/>
        <v/>
      </c>
      <c r="CF326" s="947">
        <f t="shared" si="248"/>
        <v>-16.9</v>
      </c>
      <c r="CG326" s="955">
        <f t="shared" si="566"/>
        <v>-16.8</v>
      </c>
      <c r="CH326" s="955" t="s">
        <v>1623</v>
      </c>
      <c r="CI326" s="957">
        <f t="shared" ref="CI326:DF326" si="600">FLOOR($AV326/(CI$3/25),1)</f>
        <v>586</v>
      </c>
      <c r="CJ326" s="957">
        <f t="shared" si="600"/>
        <v>610</v>
      </c>
      <c r="CK326" s="957">
        <f t="shared" si="600"/>
        <v>636</v>
      </c>
      <c r="CL326" s="957">
        <f t="shared" si="600"/>
        <v>665</v>
      </c>
      <c r="CM326" s="957">
        <f t="shared" si="600"/>
        <v>697</v>
      </c>
      <c r="CN326" s="957">
        <f t="shared" si="600"/>
        <v>732</v>
      </c>
      <c r="CO326" s="957">
        <f t="shared" si="600"/>
        <v>771</v>
      </c>
      <c r="CP326" s="957">
        <f t="shared" si="600"/>
        <v>813</v>
      </c>
      <c r="CQ326" s="957">
        <f t="shared" si="600"/>
        <v>861</v>
      </c>
      <c r="CR326" s="957">
        <f t="shared" si="600"/>
        <v>915</v>
      </c>
      <c r="CS326" s="957">
        <f t="shared" si="600"/>
        <v>976</v>
      </c>
      <c r="CT326" s="957">
        <f t="shared" si="600"/>
        <v>1046</v>
      </c>
      <c r="CU326" s="957">
        <f t="shared" si="600"/>
        <v>1126</v>
      </c>
      <c r="CV326" s="957">
        <f t="shared" si="600"/>
        <v>1220</v>
      </c>
      <c r="CW326" s="957">
        <f t="shared" si="600"/>
        <v>1331</v>
      </c>
      <c r="CX326" s="957">
        <f t="shared" si="600"/>
        <v>1465</v>
      </c>
      <c r="CY326" s="957">
        <f t="shared" si="600"/>
        <v>1627</v>
      </c>
      <c r="CZ326" s="957">
        <f t="shared" si="600"/>
        <v>1831</v>
      </c>
      <c r="DA326" s="957">
        <f t="shared" si="600"/>
        <v>2092</v>
      </c>
      <c r="DB326" s="957">
        <f t="shared" si="600"/>
        <v>2441</v>
      </c>
      <c r="DC326" s="957">
        <f t="shared" si="600"/>
        <v>2930</v>
      </c>
      <c r="DD326" s="957">
        <f t="shared" si="600"/>
        <v>3662</v>
      </c>
      <c r="DE326" s="957">
        <f t="shared" si="600"/>
        <v>4883</v>
      </c>
      <c r="DF326" s="961">
        <f t="shared" si="600"/>
        <v>7325</v>
      </c>
      <c r="DG326" s="955"/>
      <c r="DH326" s="955" t="str">
        <f t="shared" si="46"/>
        <v/>
      </c>
      <c r="DI326" s="947" t="str">
        <f t="shared" si="47"/>
        <v/>
      </c>
      <c r="DJ326" s="947" t="str">
        <f t="shared" si="48"/>
        <v/>
      </c>
      <c r="DK326" s="960"/>
      <c r="DL326" s="947"/>
      <c r="DM326" s="947"/>
      <c r="DN326" s="957">
        <f t="shared" si="598"/>
        <v>2.6</v>
      </c>
      <c r="DO326" s="955"/>
      <c r="DP326" s="962" t="s">
        <v>500</v>
      </c>
    </row>
    <row r="327" hidden="1">
      <c r="A327" s="922">
        <v>321.0</v>
      </c>
      <c r="B327" s="923">
        <v>238.0</v>
      </c>
      <c r="C327" s="924">
        <v>18.0</v>
      </c>
      <c r="D327" s="924">
        <v>33.0</v>
      </c>
      <c r="E327" s="925"/>
      <c r="F327" s="926" t="s">
        <v>1246</v>
      </c>
      <c r="G327" s="926">
        <f t="shared" si="540"/>
        <v>16</v>
      </c>
      <c r="H327" s="926">
        <f t="shared" si="478"/>
        <v>15</v>
      </c>
      <c r="I327" s="926">
        <f t="shared" si="541"/>
        <v>16</v>
      </c>
      <c r="J327" s="926">
        <f t="shared" si="542"/>
        <v>19</v>
      </c>
      <c r="K327" s="926">
        <f t="shared" si="543"/>
        <v>19</v>
      </c>
      <c r="L327" s="926">
        <f t="shared" si="544"/>
        <v>15</v>
      </c>
      <c r="M327" s="927">
        <f t="shared" si="545"/>
        <v>20</v>
      </c>
      <c r="N327" s="925" t="s">
        <v>1606</v>
      </c>
      <c r="O327" s="963"/>
      <c r="P327" s="929"/>
      <c r="Q327" s="929" t="s">
        <v>1676</v>
      </c>
      <c r="R327" s="929" t="s">
        <v>43</v>
      </c>
      <c r="S327" s="930" t="s">
        <v>1608</v>
      </c>
      <c r="T327" s="931" t="s">
        <v>1607</v>
      </c>
      <c r="U327" s="924">
        <v>55.0</v>
      </c>
      <c r="V327" s="924">
        <v>41.0</v>
      </c>
      <c r="W327" s="924">
        <v>25.0</v>
      </c>
      <c r="X327" s="925"/>
      <c r="Y327" s="924">
        <v>2.0</v>
      </c>
      <c r="Z327" s="924">
        <v>0.0</v>
      </c>
      <c r="AA327" s="923">
        <v>0.0</v>
      </c>
      <c r="AB327" s="924">
        <v>44.0</v>
      </c>
      <c r="AC327" s="924">
        <v>9412.0</v>
      </c>
      <c r="AD327" s="924">
        <v>1.0</v>
      </c>
      <c r="AE327" s="924">
        <v>100.0</v>
      </c>
      <c r="AF327" s="925"/>
      <c r="AG327" s="924">
        <v>18.0</v>
      </c>
      <c r="AH327" s="924">
        <v>33.0</v>
      </c>
      <c r="AI327" s="932">
        <f t="shared" si="12"/>
        <v>25.5</v>
      </c>
      <c r="AJ327" s="925"/>
      <c r="AK327" s="925"/>
      <c r="AL327" s="925"/>
      <c r="AM327" s="925"/>
      <c r="AN327" s="925"/>
      <c r="AO327" s="925"/>
      <c r="AP327" s="925"/>
      <c r="AQ327" s="925"/>
      <c r="AR327" s="925"/>
      <c r="AS327" s="933"/>
      <c r="AT327" s="926">
        <f t="shared" si="13"/>
        <v>536</v>
      </c>
      <c r="AU327" s="926">
        <f t="shared" si="14"/>
        <v>787</v>
      </c>
      <c r="AV327" s="934">
        <f t="shared" si="15"/>
        <v>661.5</v>
      </c>
      <c r="AW327" s="935">
        <f t="shared" si="546"/>
        <v>1103</v>
      </c>
      <c r="AX327" s="935">
        <f t="shared" si="484"/>
        <v>1181</v>
      </c>
      <c r="AY327" s="935">
        <f t="shared" si="547"/>
        <v>1103</v>
      </c>
      <c r="AZ327" s="935">
        <f t="shared" si="548"/>
        <v>1181</v>
      </c>
      <c r="BA327" s="935">
        <f t="shared" si="549"/>
        <v>919</v>
      </c>
      <c r="BB327" s="935">
        <f t="shared" si="550"/>
        <v>870</v>
      </c>
      <c r="BC327" s="935">
        <f t="shared" si="551"/>
        <v>919</v>
      </c>
      <c r="BD327" s="935">
        <f t="shared" si="552"/>
        <v>613</v>
      </c>
      <c r="BE327" s="935">
        <f t="shared" si="553"/>
        <v>752</v>
      </c>
      <c r="BF327" s="935">
        <f t="shared" si="554"/>
        <v>719</v>
      </c>
      <c r="BG327" s="935">
        <f t="shared" si="555"/>
        <v>870</v>
      </c>
      <c r="BH327" s="935">
        <f t="shared" si="556"/>
        <v>870</v>
      </c>
      <c r="BI327" s="935">
        <f t="shared" si="494"/>
        <v>919</v>
      </c>
      <c r="BJ327" s="935">
        <f t="shared" si="557"/>
        <v>919</v>
      </c>
      <c r="BK327" s="935">
        <f t="shared" si="558"/>
        <v>752</v>
      </c>
      <c r="BL327" s="935">
        <f t="shared" si="559"/>
        <v>719</v>
      </c>
      <c r="BM327" s="925"/>
      <c r="BN327" s="925"/>
      <c r="BO327" s="925"/>
      <c r="BP327" s="933"/>
      <c r="BQ327" s="924">
        <v>18.0</v>
      </c>
      <c r="BR327" s="924">
        <v>33.0</v>
      </c>
      <c r="BS327" s="925"/>
      <c r="BT327" s="924">
        <v>100.0</v>
      </c>
      <c r="BU327" s="925"/>
      <c r="BV327" s="936">
        <f t="shared" si="34"/>
        <v>25.5</v>
      </c>
      <c r="BW327" s="937">
        <f t="shared" si="35"/>
        <v>796</v>
      </c>
      <c r="BX327" s="935">
        <f t="shared" si="560"/>
        <v>1326.7</v>
      </c>
      <c r="BY327" s="935">
        <f t="shared" si="498"/>
        <v>1421.4</v>
      </c>
      <c r="BZ327" s="935">
        <f t="shared" si="561"/>
        <v>1326.7</v>
      </c>
      <c r="CA327" s="935">
        <f t="shared" si="562"/>
        <v>1105.6</v>
      </c>
      <c r="CB327" s="935">
        <f t="shared" si="563"/>
        <v>1105.6</v>
      </c>
      <c r="CC327" s="935">
        <f t="shared" si="564"/>
        <v>1421.4</v>
      </c>
      <c r="CD327" s="935">
        <f t="shared" si="565"/>
        <v>1047.4</v>
      </c>
      <c r="CE327" s="938" t="str">
        <f t="shared" si="43"/>
        <v/>
      </c>
      <c r="CF327" s="925">
        <f t="shared" si="248"/>
        <v>-16.9</v>
      </c>
      <c r="CG327" s="933">
        <f t="shared" si="566"/>
        <v>-16.9</v>
      </c>
      <c r="CH327" s="933" t="s">
        <v>1606</v>
      </c>
      <c r="CI327" s="935">
        <f t="shared" ref="CI327:DF327" si="601">FLOOR($AV327/(CI$3/25),1)</f>
        <v>661</v>
      </c>
      <c r="CJ327" s="935">
        <f t="shared" si="601"/>
        <v>689</v>
      </c>
      <c r="CK327" s="935">
        <f t="shared" si="601"/>
        <v>719</v>
      </c>
      <c r="CL327" s="935">
        <f t="shared" si="601"/>
        <v>751</v>
      </c>
      <c r="CM327" s="935">
        <f t="shared" si="601"/>
        <v>787</v>
      </c>
      <c r="CN327" s="935">
        <f t="shared" si="601"/>
        <v>826</v>
      </c>
      <c r="CO327" s="935">
        <f t="shared" si="601"/>
        <v>870</v>
      </c>
      <c r="CP327" s="935">
        <f t="shared" si="601"/>
        <v>918</v>
      </c>
      <c r="CQ327" s="935">
        <f t="shared" si="601"/>
        <v>972</v>
      </c>
      <c r="CR327" s="935">
        <f t="shared" si="601"/>
        <v>1033</v>
      </c>
      <c r="CS327" s="935">
        <f t="shared" si="601"/>
        <v>1102</v>
      </c>
      <c r="CT327" s="935">
        <f t="shared" si="601"/>
        <v>1181</v>
      </c>
      <c r="CU327" s="935">
        <f t="shared" si="601"/>
        <v>1272</v>
      </c>
      <c r="CV327" s="935">
        <f t="shared" si="601"/>
        <v>1378</v>
      </c>
      <c r="CW327" s="935">
        <f t="shared" si="601"/>
        <v>1503</v>
      </c>
      <c r="CX327" s="935">
        <f t="shared" si="601"/>
        <v>1653</v>
      </c>
      <c r="CY327" s="935">
        <f t="shared" si="601"/>
        <v>1837</v>
      </c>
      <c r="CZ327" s="935">
        <f t="shared" si="601"/>
        <v>2067</v>
      </c>
      <c r="DA327" s="935">
        <f t="shared" si="601"/>
        <v>2362</v>
      </c>
      <c r="DB327" s="935">
        <f t="shared" si="601"/>
        <v>2756</v>
      </c>
      <c r="DC327" s="935">
        <f t="shared" si="601"/>
        <v>3307</v>
      </c>
      <c r="DD327" s="935">
        <f t="shared" si="601"/>
        <v>4134</v>
      </c>
      <c r="DE327" s="935">
        <f t="shared" si="601"/>
        <v>5512</v>
      </c>
      <c r="DF327" s="939">
        <f t="shared" si="601"/>
        <v>8268</v>
      </c>
      <c r="DG327" s="933"/>
      <c r="DH327" s="933" t="str">
        <f t="shared" si="46"/>
        <v/>
      </c>
      <c r="DI327" s="925" t="str">
        <f t="shared" si="47"/>
        <v/>
      </c>
      <c r="DJ327" s="925" t="str">
        <f t="shared" si="48"/>
        <v/>
      </c>
      <c r="DK327" s="938"/>
      <c r="DL327" s="925"/>
      <c r="DM327" s="925"/>
      <c r="DN327" s="935">
        <f t="shared" si="598"/>
        <v>2</v>
      </c>
      <c r="DO327" s="933"/>
      <c r="DP327" s="942" t="s">
        <v>500</v>
      </c>
    </row>
    <row r="328" hidden="1">
      <c r="A328" s="922">
        <v>322.0</v>
      </c>
      <c r="B328" s="923">
        <v>239.0</v>
      </c>
      <c r="C328" s="924">
        <v>20.0</v>
      </c>
      <c r="D328" s="924">
        <v>40.0</v>
      </c>
      <c r="E328" s="925"/>
      <c r="F328" s="926" t="s">
        <v>1246</v>
      </c>
      <c r="G328" s="926">
        <f t="shared" si="540"/>
        <v>16</v>
      </c>
      <c r="H328" s="926">
        <f t="shared" si="478"/>
        <v>15</v>
      </c>
      <c r="I328" s="926">
        <f t="shared" si="541"/>
        <v>16</v>
      </c>
      <c r="J328" s="926">
        <f t="shared" si="542"/>
        <v>19</v>
      </c>
      <c r="K328" s="926">
        <f t="shared" si="543"/>
        <v>19</v>
      </c>
      <c r="L328" s="926">
        <f t="shared" si="544"/>
        <v>15</v>
      </c>
      <c r="M328" s="927">
        <f t="shared" si="545"/>
        <v>20</v>
      </c>
      <c r="N328" s="925" t="s">
        <v>1613</v>
      </c>
      <c r="O328" s="963"/>
      <c r="P328" s="929"/>
      <c r="Q328" s="929" t="s">
        <v>1676</v>
      </c>
      <c r="R328" s="929" t="s">
        <v>43</v>
      </c>
      <c r="S328" s="930" t="s">
        <v>1608</v>
      </c>
      <c r="T328" s="931" t="s">
        <v>1614</v>
      </c>
      <c r="U328" s="924">
        <v>65.0</v>
      </c>
      <c r="V328" s="924">
        <v>48.0</v>
      </c>
      <c r="W328" s="924">
        <v>25.0</v>
      </c>
      <c r="X328" s="925"/>
      <c r="Y328" s="924">
        <v>2.0</v>
      </c>
      <c r="Z328" s="924">
        <v>10.0</v>
      </c>
      <c r="AA328" s="923">
        <v>0.0</v>
      </c>
      <c r="AB328" s="924">
        <v>28.0</v>
      </c>
      <c r="AC328" s="924">
        <v>8786.0</v>
      </c>
      <c r="AD328" s="924">
        <v>1.0</v>
      </c>
      <c r="AE328" s="924">
        <v>100.0</v>
      </c>
      <c r="AF328" s="925"/>
      <c r="AG328" s="924">
        <v>20.0</v>
      </c>
      <c r="AH328" s="924">
        <v>40.0</v>
      </c>
      <c r="AI328" s="932">
        <f t="shared" si="12"/>
        <v>30</v>
      </c>
      <c r="AJ328" s="925"/>
      <c r="AK328" s="925"/>
      <c r="AL328" s="925"/>
      <c r="AM328" s="925"/>
      <c r="AN328" s="925"/>
      <c r="AO328" s="925"/>
      <c r="AP328" s="925"/>
      <c r="AQ328" s="925"/>
      <c r="AR328" s="925"/>
      <c r="AS328" s="933"/>
      <c r="AT328" s="926">
        <f t="shared" si="13"/>
        <v>568</v>
      </c>
      <c r="AU328" s="926">
        <f t="shared" si="14"/>
        <v>906</v>
      </c>
      <c r="AV328" s="934">
        <f t="shared" si="15"/>
        <v>737</v>
      </c>
      <c r="AW328" s="935">
        <f t="shared" si="546"/>
        <v>1084</v>
      </c>
      <c r="AX328" s="935">
        <f t="shared" si="484"/>
        <v>1152</v>
      </c>
      <c r="AY328" s="935">
        <f t="shared" si="547"/>
        <v>1084</v>
      </c>
      <c r="AZ328" s="935">
        <f t="shared" si="548"/>
        <v>1152</v>
      </c>
      <c r="BA328" s="935">
        <f t="shared" si="549"/>
        <v>877</v>
      </c>
      <c r="BB328" s="935">
        <f t="shared" si="550"/>
        <v>838</v>
      </c>
      <c r="BC328" s="935">
        <f t="shared" si="551"/>
        <v>877</v>
      </c>
      <c r="BD328" s="935">
        <f t="shared" si="552"/>
        <v>558</v>
      </c>
      <c r="BE328" s="935">
        <f t="shared" si="553"/>
        <v>658</v>
      </c>
      <c r="BF328" s="935">
        <f t="shared" si="554"/>
        <v>682</v>
      </c>
      <c r="BG328" s="935">
        <f t="shared" si="555"/>
        <v>838</v>
      </c>
      <c r="BH328" s="935">
        <f t="shared" si="556"/>
        <v>838</v>
      </c>
      <c r="BI328" s="935">
        <f t="shared" si="494"/>
        <v>877</v>
      </c>
      <c r="BJ328" s="935">
        <f t="shared" si="557"/>
        <v>877</v>
      </c>
      <c r="BK328" s="935">
        <f t="shared" si="558"/>
        <v>658</v>
      </c>
      <c r="BL328" s="935">
        <f t="shared" si="559"/>
        <v>635</v>
      </c>
      <c r="BM328" s="925"/>
      <c r="BN328" s="925"/>
      <c r="BO328" s="925"/>
      <c r="BP328" s="933"/>
      <c r="BQ328" s="924">
        <v>20.0</v>
      </c>
      <c r="BR328" s="924">
        <v>40.0</v>
      </c>
      <c r="BS328" s="924">
        <v>10.0</v>
      </c>
      <c r="BT328" s="924">
        <v>100.0</v>
      </c>
      <c r="BU328" s="925"/>
      <c r="BV328" s="936">
        <f t="shared" si="34"/>
        <v>30</v>
      </c>
      <c r="BW328" s="937">
        <f t="shared" si="35"/>
        <v>887.1</v>
      </c>
      <c r="BX328" s="935">
        <f t="shared" si="560"/>
        <v>1304.6</v>
      </c>
      <c r="BY328" s="935">
        <f t="shared" si="498"/>
        <v>1386.1</v>
      </c>
      <c r="BZ328" s="935">
        <f t="shared" si="561"/>
        <v>1304.6</v>
      </c>
      <c r="CA328" s="935">
        <f t="shared" si="562"/>
        <v>1056.1</v>
      </c>
      <c r="CB328" s="935">
        <f t="shared" si="563"/>
        <v>1056.1</v>
      </c>
      <c r="CC328" s="935">
        <f t="shared" si="564"/>
        <v>1386.1</v>
      </c>
      <c r="CD328" s="935">
        <f t="shared" si="565"/>
        <v>1008.1</v>
      </c>
      <c r="CE328" s="938" t="str">
        <f t="shared" si="43"/>
        <v/>
      </c>
      <c r="CF328" s="925">
        <f t="shared" si="248"/>
        <v>-16.9</v>
      </c>
      <c r="CG328" s="933">
        <f t="shared" si="566"/>
        <v>-16.9</v>
      </c>
      <c r="CH328" s="933" t="s">
        <v>1613</v>
      </c>
      <c r="CI328" s="935">
        <f t="shared" ref="CI328:DF328" si="602">FLOOR($AV328/(CI$3/25),1)</f>
        <v>737</v>
      </c>
      <c r="CJ328" s="935">
        <f t="shared" si="602"/>
        <v>767</v>
      </c>
      <c r="CK328" s="935">
        <f t="shared" si="602"/>
        <v>801</v>
      </c>
      <c r="CL328" s="935">
        <f t="shared" si="602"/>
        <v>837</v>
      </c>
      <c r="CM328" s="935">
        <f t="shared" si="602"/>
        <v>877</v>
      </c>
      <c r="CN328" s="935">
        <f t="shared" si="602"/>
        <v>921</v>
      </c>
      <c r="CO328" s="935">
        <f t="shared" si="602"/>
        <v>969</v>
      </c>
      <c r="CP328" s="935">
        <f t="shared" si="602"/>
        <v>1023</v>
      </c>
      <c r="CQ328" s="935">
        <f t="shared" si="602"/>
        <v>1083</v>
      </c>
      <c r="CR328" s="935">
        <f t="shared" si="602"/>
        <v>1151</v>
      </c>
      <c r="CS328" s="935">
        <f t="shared" si="602"/>
        <v>1228</v>
      </c>
      <c r="CT328" s="935">
        <f t="shared" si="602"/>
        <v>1316</v>
      </c>
      <c r="CU328" s="935">
        <f t="shared" si="602"/>
        <v>1417</v>
      </c>
      <c r="CV328" s="935">
        <f t="shared" si="602"/>
        <v>1535</v>
      </c>
      <c r="CW328" s="935">
        <f t="shared" si="602"/>
        <v>1675</v>
      </c>
      <c r="CX328" s="935">
        <f t="shared" si="602"/>
        <v>1842</v>
      </c>
      <c r="CY328" s="935">
        <f t="shared" si="602"/>
        <v>2047</v>
      </c>
      <c r="CZ328" s="935">
        <f t="shared" si="602"/>
        <v>2303</v>
      </c>
      <c r="DA328" s="935">
        <f t="shared" si="602"/>
        <v>2632</v>
      </c>
      <c r="DB328" s="935">
        <f t="shared" si="602"/>
        <v>3070</v>
      </c>
      <c r="DC328" s="935">
        <f t="shared" si="602"/>
        <v>3685</v>
      </c>
      <c r="DD328" s="935">
        <f t="shared" si="602"/>
        <v>4606</v>
      </c>
      <c r="DE328" s="935">
        <f t="shared" si="602"/>
        <v>6141</v>
      </c>
      <c r="DF328" s="939">
        <f t="shared" si="602"/>
        <v>9212</v>
      </c>
      <c r="DG328" s="933"/>
      <c r="DH328" s="933" t="str">
        <f t="shared" si="46"/>
        <v/>
      </c>
      <c r="DI328" s="925" t="str">
        <f t="shared" si="47"/>
        <v/>
      </c>
      <c r="DJ328" s="925" t="str">
        <f t="shared" si="48"/>
        <v/>
      </c>
      <c r="DK328" s="938"/>
      <c r="DL328" s="925"/>
      <c r="DM328" s="925"/>
      <c r="DN328" s="935">
        <f t="shared" si="598"/>
        <v>1.9</v>
      </c>
      <c r="DO328" s="933"/>
      <c r="DP328" s="942" t="s">
        <v>500</v>
      </c>
    </row>
    <row r="329" hidden="1">
      <c r="A329" s="922">
        <v>323.0</v>
      </c>
      <c r="B329" s="923">
        <v>240.0</v>
      </c>
      <c r="C329" s="924">
        <v>10.0</v>
      </c>
      <c r="D329" s="924">
        <v>31.0</v>
      </c>
      <c r="E329" s="925"/>
      <c r="F329" s="926" t="s">
        <v>1246</v>
      </c>
      <c r="G329" s="926">
        <f t="shared" si="540"/>
        <v>16</v>
      </c>
      <c r="H329" s="926">
        <f t="shared" si="478"/>
        <v>15</v>
      </c>
      <c r="I329" s="926">
        <f t="shared" si="541"/>
        <v>16</v>
      </c>
      <c r="J329" s="926">
        <f t="shared" si="542"/>
        <v>19</v>
      </c>
      <c r="K329" s="926">
        <f t="shared" si="543"/>
        <v>19</v>
      </c>
      <c r="L329" s="926">
        <f t="shared" si="544"/>
        <v>15</v>
      </c>
      <c r="M329" s="927">
        <f t="shared" si="545"/>
        <v>20</v>
      </c>
      <c r="N329" s="925" t="s">
        <v>1619</v>
      </c>
      <c r="O329" s="928" t="s">
        <v>2093</v>
      </c>
      <c r="P329" s="929"/>
      <c r="Q329" s="929" t="s">
        <v>1676</v>
      </c>
      <c r="R329" s="929" t="s">
        <v>43</v>
      </c>
      <c r="S329" s="930" t="s">
        <v>1608</v>
      </c>
      <c r="T329" s="931" t="s">
        <v>1620</v>
      </c>
      <c r="U329" s="924">
        <v>75.0</v>
      </c>
      <c r="V329" s="924">
        <v>56.0</v>
      </c>
      <c r="W329" s="924">
        <v>25.0</v>
      </c>
      <c r="X329" s="925"/>
      <c r="Y329" s="924">
        <v>2.0</v>
      </c>
      <c r="Z329" s="924">
        <v>-20.0</v>
      </c>
      <c r="AA329" s="923">
        <v>0.0</v>
      </c>
      <c r="AB329" s="924">
        <v>34.0</v>
      </c>
      <c r="AC329" s="924">
        <v>9208.0</v>
      </c>
      <c r="AD329" s="924">
        <v>1.0</v>
      </c>
      <c r="AE329" s="924">
        <v>100.0</v>
      </c>
      <c r="AF329" s="925"/>
      <c r="AG329" s="924">
        <v>10.0</v>
      </c>
      <c r="AH329" s="924">
        <v>31.0</v>
      </c>
      <c r="AI329" s="932">
        <f t="shared" si="12"/>
        <v>20.5</v>
      </c>
      <c r="AJ329" s="925"/>
      <c r="AK329" s="925"/>
      <c r="AL329" s="925"/>
      <c r="AM329" s="925"/>
      <c r="AN329" s="925"/>
      <c r="AO329" s="925"/>
      <c r="AP329" s="925"/>
      <c r="AQ329" s="925"/>
      <c r="AR329" s="925"/>
      <c r="AS329" s="933"/>
      <c r="AT329" s="926">
        <f t="shared" si="13"/>
        <v>398</v>
      </c>
      <c r="AU329" s="926">
        <f t="shared" si="14"/>
        <v>753</v>
      </c>
      <c r="AV329" s="934">
        <f t="shared" si="15"/>
        <v>575.5</v>
      </c>
      <c r="AW329" s="935">
        <f t="shared" si="546"/>
        <v>1107</v>
      </c>
      <c r="AX329" s="935">
        <f t="shared" si="484"/>
        <v>1199</v>
      </c>
      <c r="AY329" s="935">
        <f t="shared" si="547"/>
        <v>1107</v>
      </c>
      <c r="AZ329" s="935">
        <f t="shared" si="548"/>
        <v>1199</v>
      </c>
      <c r="BA329" s="935">
        <f t="shared" si="549"/>
        <v>959</v>
      </c>
      <c r="BB329" s="935">
        <f t="shared" si="550"/>
        <v>899</v>
      </c>
      <c r="BC329" s="935">
        <f t="shared" si="551"/>
        <v>959</v>
      </c>
      <c r="BD329" s="935">
        <f t="shared" si="552"/>
        <v>799</v>
      </c>
      <c r="BE329" s="935">
        <f t="shared" si="553"/>
        <v>959</v>
      </c>
      <c r="BF329" s="935">
        <f t="shared" si="554"/>
        <v>959</v>
      </c>
      <c r="BG329" s="935">
        <f t="shared" si="555"/>
        <v>1107</v>
      </c>
      <c r="BH329" s="935">
        <f t="shared" si="556"/>
        <v>1107</v>
      </c>
      <c r="BI329" s="935">
        <f t="shared" si="494"/>
        <v>1199</v>
      </c>
      <c r="BJ329" s="935">
        <f t="shared" si="557"/>
        <v>1199</v>
      </c>
      <c r="BK329" s="935">
        <f t="shared" si="558"/>
        <v>959</v>
      </c>
      <c r="BL329" s="935">
        <f t="shared" si="559"/>
        <v>959</v>
      </c>
      <c r="BM329" s="925"/>
      <c r="BN329" s="925"/>
      <c r="BO329" s="925"/>
      <c r="BP329" s="933"/>
      <c r="BQ329" s="924">
        <v>10.0</v>
      </c>
      <c r="BR329" s="924">
        <v>31.0</v>
      </c>
      <c r="BS329" s="924">
        <v>-20.0</v>
      </c>
      <c r="BT329" s="924">
        <v>100.0</v>
      </c>
      <c r="BU329" s="925"/>
      <c r="BV329" s="936">
        <f t="shared" si="34"/>
        <v>20.5</v>
      </c>
      <c r="BW329" s="937">
        <f t="shared" si="35"/>
        <v>694.8</v>
      </c>
      <c r="BX329" s="935">
        <f t="shared" si="560"/>
        <v>1336.2</v>
      </c>
      <c r="BY329" s="935">
        <f t="shared" si="498"/>
        <v>1447.5</v>
      </c>
      <c r="BZ329" s="935">
        <f t="shared" si="561"/>
        <v>1336.2</v>
      </c>
      <c r="CA329" s="935">
        <f t="shared" si="562"/>
        <v>1158</v>
      </c>
      <c r="CB329" s="935">
        <f t="shared" si="563"/>
        <v>1158</v>
      </c>
      <c r="CC329" s="935">
        <f t="shared" si="564"/>
        <v>1447.5</v>
      </c>
      <c r="CD329" s="935">
        <f t="shared" si="565"/>
        <v>1085.6</v>
      </c>
      <c r="CE329" s="938" t="str">
        <f t="shared" si="43"/>
        <v/>
      </c>
      <c r="CF329" s="925">
        <f t="shared" si="248"/>
        <v>-17.2</v>
      </c>
      <c r="CG329" s="933">
        <f t="shared" si="566"/>
        <v>-17.2</v>
      </c>
      <c r="CH329" s="933" t="s">
        <v>1619</v>
      </c>
      <c r="CI329" s="935">
        <f t="shared" ref="CI329:DF329" si="603">FLOOR($AV329/(CI$3/25),1)</f>
        <v>575</v>
      </c>
      <c r="CJ329" s="935">
        <f t="shared" si="603"/>
        <v>599</v>
      </c>
      <c r="CK329" s="935">
        <f t="shared" si="603"/>
        <v>625</v>
      </c>
      <c r="CL329" s="935">
        <f t="shared" si="603"/>
        <v>653</v>
      </c>
      <c r="CM329" s="935">
        <f t="shared" si="603"/>
        <v>685</v>
      </c>
      <c r="CN329" s="935">
        <f t="shared" si="603"/>
        <v>719</v>
      </c>
      <c r="CO329" s="935">
        <f t="shared" si="603"/>
        <v>757</v>
      </c>
      <c r="CP329" s="935">
        <f t="shared" si="603"/>
        <v>799</v>
      </c>
      <c r="CQ329" s="935">
        <f t="shared" si="603"/>
        <v>846</v>
      </c>
      <c r="CR329" s="935">
        <f t="shared" si="603"/>
        <v>899</v>
      </c>
      <c r="CS329" s="935">
        <f t="shared" si="603"/>
        <v>959</v>
      </c>
      <c r="CT329" s="935">
        <f t="shared" si="603"/>
        <v>1027</v>
      </c>
      <c r="CU329" s="935">
        <f t="shared" si="603"/>
        <v>1106</v>
      </c>
      <c r="CV329" s="935">
        <f t="shared" si="603"/>
        <v>1198</v>
      </c>
      <c r="CW329" s="935">
        <f t="shared" si="603"/>
        <v>1307</v>
      </c>
      <c r="CX329" s="935">
        <f t="shared" si="603"/>
        <v>1438</v>
      </c>
      <c r="CY329" s="935">
        <f t="shared" si="603"/>
        <v>1598</v>
      </c>
      <c r="CZ329" s="935">
        <f t="shared" si="603"/>
        <v>1798</v>
      </c>
      <c r="DA329" s="935">
        <f t="shared" si="603"/>
        <v>2055</v>
      </c>
      <c r="DB329" s="935">
        <f t="shared" si="603"/>
        <v>2397</v>
      </c>
      <c r="DC329" s="935">
        <f t="shared" si="603"/>
        <v>2877</v>
      </c>
      <c r="DD329" s="935">
        <f t="shared" si="603"/>
        <v>3596</v>
      </c>
      <c r="DE329" s="935">
        <f t="shared" si="603"/>
        <v>4795</v>
      </c>
      <c r="DF329" s="939">
        <f t="shared" si="603"/>
        <v>7193</v>
      </c>
      <c r="DG329" s="933"/>
      <c r="DH329" s="933" t="str">
        <f t="shared" si="46"/>
        <v/>
      </c>
      <c r="DI329" s="925" t="str">
        <f t="shared" si="47"/>
        <v/>
      </c>
      <c r="DJ329" s="925" t="str">
        <f t="shared" si="48"/>
        <v/>
      </c>
      <c r="DK329" s="938"/>
      <c r="DL329" s="925"/>
      <c r="DM329" s="925"/>
      <c r="DN329" s="935">
        <f t="shared" si="598"/>
        <v>1.3</v>
      </c>
      <c r="DO329" s="933"/>
      <c r="DP329" s="942" t="s">
        <v>500</v>
      </c>
    </row>
    <row r="330" hidden="1">
      <c r="A330" s="964">
        <v>324.0</v>
      </c>
      <c r="B330" s="965">
        <v>241.0</v>
      </c>
      <c r="C330" s="966">
        <v>22.0</v>
      </c>
      <c r="D330" s="966">
        <v>28.0</v>
      </c>
      <c r="E330" s="967"/>
      <c r="F330" s="968" t="s">
        <v>1246</v>
      </c>
      <c r="G330" s="968">
        <f t="shared" si="540"/>
        <v>16</v>
      </c>
      <c r="H330" s="968">
        <f t="shared" si="478"/>
        <v>15</v>
      </c>
      <c r="I330" s="968">
        <f t="shared" si="541"/>
        <v>16</v>
      </c>
      <c r="J330" s="968">
        <f t="shared" si="542"/>
        <v>19</v>
      </c>
      <c r="K330" s="968">
        <f t="shared" si="543"/>
        <v>19</v>
      </c>
      <c r="L330" s="968">
        <f t="shared" si="544"/>
        <v>15</v>
      </c>
      <c r="M330" s="969">
        <f t="shared" si="545"/>
        <v>20</v>
      </c>
      <c r="N330" s="967" t="s">
        <v>1625</v>
      </c>
      <c r="O330" s="970" t="s">
        <v>2094</v>
      </c>
      <c r="P330" s="971"/>
      <c r="Q330" s="971" t="s">
        <v>1676</v>
      </c>
      <c r="R330" s="971" t="s">
        <v>43</v>
      </c>
      <c r="S330" s="972" t="s">
        <v>1608</v>
      </c>
      <c r="T330" s="973" t="s">
        <v>1626</v>
      </c>
      <c r="U330" s="966">
        <v>86.0</v>
      </c>
      <c r="V330" s="966">
        <v>64.0</v>
      </c>
      <c r="W330" s="966">
        <v>25.0</v>
      </c>
      <c r="X330" s="967"/>
      <c r="Y330" s="966">
        <v>2.0</v>
      </c>
      <c r="Z330" s="966">
        <v>0.0</v>
      </c>
      <c r="AA330" s="965">
        <v>0.0</v>
      </c>
      <c r="AB330" s="966">
        <v>36.0</v>
      </c>
      <c r="AC330" s="966">
        <v>7687.0</v>
      </c>
      <c r="AD330" s="966">
        <v>1.0</v>
      </c>
      <c r="AE330" s="966">
        <v>100.0</v>
      </c>
      <c r="AF330" s="967"/>
      <c r="AG330" s="966">
        <v>22.0</v>
      </c>
      <c r="AH330" s="966">
        <v>28.0</v>
      </c>
      <c r="AI330" s="974">
        <f t="shared" si="12"/>
        <v>25</v>
      </c>
      <c r="AJ330" s="967"/>
      <c r="AK330" s="967"/>
      <c r="AL330" s="967"/>
      <c r="AM330" s="967"/>
      <c r="AN330" s="967"/>
      <c r="AO330" s="967"/>
      <c r="AP330" s="967"/>
      <c r="AQ330" s="967"/>
      <c r="AR330" s="967"/>
      <c r="AS330" s="975"/>
      <c r="AT330" s="968">
        <f t="shared" si="13"/>
        <v>602</v>
      </c>
      <c r="AU330" s="968">
        <f t="shared" si="14"/>
        <v>702</v>
      </c>
      <c r="AV330" s="976">
        <f t="shared" si="15"/>
        <v>652</v>
      </c>
      <c r="AW330" s="977">
        <f t="shared" si="546"/>
        <v>1087</v>
      </c>
      <c r="AX330" s="977">
        <f t="shared" si="484"/>
        <v>1164</v>
      </c>
      <c r="AY330" s="977">
        <f t="shared" si="547"/>
        <v>1087</v>
      </c>
      <c r="AZ330" s="977">
        <f t="shared" si="548"/>
        <v>1164</v>
      </c>
      <c r="BA330" s="977">
        <f t="shared" si="549"/>
        <v>906</v>
      </c>
      <c r="BB330" s="977">
        <f t="shared" si="550"/>
        <v>858</v>
      </c>
      <c r="BC330" s="977">
        <f t="shared" si="551"/>
        <v>906</v>
      </c>
      <c r="BD330" s="977">
        <f t="shared" si="552"/>
        <v>604</v>
      </c>
      <c r="BE330" s="977">
        <f t="shared" si="553"/>
        <v>741</v>
      </c>
      <c r="BF330" s="977">
        <f t="shared" si="554"/>
        <v>709</v>
      </c>
      <c r="BG330" s="977">
        <f t="shared" si="555"/>
        <v>858</v>
      </c>
      <c r="BH330" s="977">
        <f t="shared" si="556"/>
        <v>858</v>
      </c>
      <c r="BI330" s="977">
        <f t="shared" si="494"/>
        <v>906</v>
      </c>
      <c r="BJ330" s="977">
        <f t="shared" si="557"/>
        <v>906</v>
      </c>
      <c r="BK330" s="977">
        <f t="shared" si="558"/>
        <v>741</v>
      </c>
      <c r="BL330" s="977">
        <f t="shared" si="559"/>
        <v>709</v>
      </c>
      <c r="BM330" s="967"/>
      <c r="BN330" s="967"/>
      <c r="BO330" s="967"/>
      <c r="BP330" s="975"/>
      <c r="BQ330" s="966">
        <v>22.0</v>
      </c>
      <c r="BR330" s="966">
        <v>28.0</v>
      </c>
      <c r="BS330" s="967"/>
      <c r="BT330" s="966">
        <v>100.0</v>
      </c>
      <c r="BU330" s="967"/>
      <c r="BV330" s="978">
        <f t="shared" si="34"/>
        <v>25</v>
      </c>
      <c r="BW330" s="979">
        <f t="shared" si="35"/>
        <v>785.9</v>
      </c>
      <c r="BX330" s="977">
        <f t="shared" si="560"/>
        <v>1309.8</v>
      </c>
      <c r="BY330" s="977">
        <f t="shared" si="498"/>
        <v>1403.4</v>
      </c>
      <c r="BZ330" s="977">
        <f t="shared" si="561"/>
        <v>1309.8</v>
      </c>
      <c r="CA330" s="977">
        <f t="shared" si="562"/>
        <v>1091.5</v>
      </c>
      <c r="CB330" s="977">
        <f t="shared" si="563"/>
        <v>1091.5</v>
      </c>
      <c r="CC330" s="977">
        <f t="shared" si="564"/>
        <v>1403.4</v>
      </c>
      <c r="CD330" s="977">
        <f t="shared" si="565"/>
        <v>1034.1</v>
      </c>
      <c r="CE330" s="980" t="str">
        <f t="shared" si="43"/>
        <v/>
      </c>
      <c r="CF330" s="967">
        <f t="shared" si="248"/>
        <v>-17</v>
      </c>
      <c r="CG330" s="964">
        <f t="shared" si="566"/>
        <v>-17</v>
      </c>
      <c r="CH330" s="975" t="s">
        <v>1625</v>
      </c>
      <c r="CI330" s="977">
        <f t="shared" ref="CI330:DF330" si="604">FLOOR($AV330/(CI$3/25),1)</f>
        <v>652</v>
      </c>
      <c r="CJ330" s="977">
        <f t="shared" si="604"/>
        <v>679</v>
      </c>
      <c r="CK330" s="977">
        <f t="shared" si="604"/>
        <v>708</v>
      </c>
      <c r="CL330" s="977">
        <f t="shared" si="604"/>
        <v>740</v>
      </c>
      <c r="CM330" s="977">
        <f t="shared" si="604"/>
        <v>776</v>
      </c>
      <c r="CN330" s="977">
        <f t="shared" si="604"/>
        <v>815</v>
      </c>
      <c r="CO330" s="977">
        <f t="shared" si="604"/>
        <v>857</v>
      </c>
      <c r="CP330" s="977">
        <f t="shared" si="604"/>
        <v>905</v>
      </c>
      <c r="CQ330" s="977">
        <f t="shared" si="604"/>
        <v>958</v>
      </c>
      <c r="CR330" s="977">
        <f t="shared" si="604"/>
        <v>1018</v>
      </c>
      <c r="CS330" s="977">
        <f t="shared" si="604"/>
        <v>1086</v>
      </c>
      <c r="CT330" s="977">
        <f t="shared" si="604"/>
        <v>1164</v>
      </c>
      <c r="CU330" s="977">
        <f t="shared" si="604"/>
        <v>1253</v>
      </c>
      <c r="CV330" s="977">
        <f t="shared" si="604"/>
        <v>1358</v>
      </c>
      <c r="CW330" s="977">
        <f t="shared" si="604"/>
        <v>1481</v>
      </c>
      <c r="CX330" s="977">
        <f t="shared" si="604"/>
        <v>1630</v>
      </c>
      <c r="CY330" s="977">
        <f t="shared" si="604"/>
        <v>1811</v>
      </c>
      <c r="CZ330" s="977">
        <f t="shared" si="604"/>
        <v>2037</v>
      </c>
      <c r="DA330" s="977">
        <f t="shared" si="604"/>
        <v>2328</v>
      </c>
      <c r="DB330" s="977">
        <f t="shared" si="604"/>
        <v>2716</v>
      </c>
      <c r="DC330" s="977">
        <f t="shared" si="604"/>
        <v>3260</v>
      </c>
      <c r="DD330" s="977">
        <f t="shared" si="604"/>
        <v>4075</v>
      </c>
      <c r="DE330" s="977">
        <f t="shared" si="604"/>
        <v>5433</v>
      </c>
      <c r="DF330" s="981">
        <f t="shared" si="604"/>
        <v>8150</v>
      </c>
      <c r="DG330" s="975"/>
      <c r="DH330" s="975" t="str">
        <f t="shared" si="46"/>
        <v/>
      </c>
      <c r="DI330" s="967" t="str">
        <f t="shared" si="47"/>
        <v/>
      </c>
      <c r="DJ330" s="967" t="str">
        <f t="shared" si="48"/>
        <v/>
      </c>
      <c r="DK330" s="980"/>
      <c r="DL330" s="967"/>
      <c r="DM330" s="967"/>
      <c r="DN330" s="977">
        <f t="shared" si="598"/>
        <v>1.2</v>
      </c>
      <c r="DO330" s="975"/>
      <c r="DP330" s="982" t="s">
        <v>500</v>
      </c>
    </row>
    <row r="331" hidden="1">
      <c r="A331" s="922">
        <v>325.0</v>
      </c>
      <c r="B331" s="923">
        <v>323.0</v>
      </c>
      <c r="C331" s="924">
        <v>2.0</v>
      </c>
      <c r="D331" s="924">
        <v>5.0</v>
      </c>
      <c r="E331" s="925"/>
      <c r="F331" s="926" t="s">
        <v>1246</v>
      </c>
      <c r="G331" s="925"/>
      <c r="H331" s="925"/>
      <c r="I331" s="925"/>
      <c r="J331" s="925"/>
      <c r="K331" s="925"/>
      <c r="L331" s="925"/>
      <c r="M331" s="927">
        <f t="shared" si="545"/>
        <v>20</v>
      </c>
      <c r="N331" s="925" t="s">
        <v>1627</v>
      </c>
      <c r="O331" s="963"/>
      <c r="P331" s="929"/>
      <c r="Q331" s="929" t="s">
        <v>1313</v>
      </c>
      <c r="R331" s="929" t="s">
        <v>43</v>
      </c>
      <c r="S331" s="929" t="s">
        <v>1633</v>
      </c>
      <c r="T331" s="931" t="s">
        <v>1628</v>
      </c>
      <c r="U331" s="924">
        <v>1.0</v>
      </c>
      <c r="V331" s="924">
        <v>0.0</v>
      </c>
      <c r="W331" s="925"/>
      <c r="X331" s="925"/>
      <c r="Y331" s="924">
        <v>2.0</v>
      </c>
      <c r="Z331" s="924">
        <v>-10.0</v>
      </c>
      <c r="AA331" s="923">
        <v>0.0</v>
      </c>
      <c r="AB331" s="924">
        <v>40.0</v>
      </c>
      <c r="AC331" s="924">
        <v>168.0</v>
      </c>
      <c r="AD331" s="924">
        <v>2.0</v>
      </c>
      <c r="AE331" s="924">
        <v>100.0</v>
      </c>
      <c r="AF331" s="925"/>
      <c r="AG331" s="924">
        <v>2.0</v>
      </c>
      <c r="AH331" s="924">
        <v>5.0</v>
      </c>
      <c r="AI331" s="932">
        <f t="shared" si="12"/>
        <v>3.5</v>
      </c>
      <c r="AJ331" s="925"/>
      <c r="AK331" s="925"/>
      <c r="AL331" s="925"/>
      <c r="AM331" s="925"/>
      <c r="AN331" s="925"/>
      <c r="AO331" s="925"/>
      <c r="AP331" s="925"/>
      <c r="AQ331" s="925"/>
      <c r="AR331" s="925"/>
      <c r="AS331" s="933"/>
      <c r="AT331" s="926">
        <f t="shared" si="13"/>
        <v>266</v>
      </c>
      <c r="AU331" s="926">
        <f t="shared" si="14"/>
        <v>313</v>
      </c>
      <c r="AV331" s="934">
        <f t="shared" si="15"/>
        <v>289.5</v>
      </c>
      <c r="AW331" s="925"/>
      <c r="AX331" s="925"/>
      <c r="AY331" s="925"/>
      <c r="AZ331" s="925"/>
      <c r="BA331" s="925"/>
      <c r="BB331" s="935">
        <f t="shared" si="550"/>
        <v>402</v>
      </c>
      <c r="BC331" s="925"/>
      <c r="BD331" s="925"/>
      <c r="BE331" s="925"/>
      <c r="BF331" s="925"/>
      <c r="BG331" s="925"/>
      <c r="BH331" s="925"/>
      <c r="BI331" s="925"/>
      <c r="BJ331" s="925"/>
      <c r="BK331" s="925"/>
      <c r="BL331" s="935">
        <f t="shared" si="559"/>
        <v>381</v>
      </c>
      <c r="BM331" s="925"/>
      <c r="BN331" s="925"/>
      <c r="BO331" s="925"/>
      <c r="BP331" s="933"/>
      <c r="BQ331" s="924">
        <v>2.0</v>
      </c>
      <c r="BR331" s="924">
        <v>5.0</v>
      </c>
      <c r="BS331" s="924">
        <v>-10.0</v>
      </c>
      <c r="BT331" s="924">
        <v>100.0</v>
      </c>
      <c r="BU331" s="925"/>
      <c r="BV331" s="936">
        <f t="shared" si="34"/>
        <v>3.5</v>
      </c>
      <c r="BW331" s="937">
        <f t="shared" si="35"/>
        <v>350.6</v>
      </c>
      <c r="BX331" s="925"/>
      <c r="BY331" s="925"/>
      <c r="BZ331" s="925"/>
      <c r="CA331" s="925"/>
      <c r="CB331" s="925"/>
      <c r="CC331" s="925"/>
      <c r="CD331" s="935">
        <f t="shared" si="565"/>
        <v>486.9</v>
      </c>
      <c r="CE331" s="938" t="str">
        <f t="shared" si="43"/>
        <v/>
      </c>
      <c r="CF331" s="925">
        <f t="shared" si="248"/>
        <v>-17.4</v>
      </c>
      <c r="CG331" s="933">
        <f t="shared" ref="CG331:CG345" si="606">IF(ROUND(100*(BB331/CD331)-100,1)=0,"",ROUND(100*(BB331/CD331)-100,1))</f>
        <v>-17.4</v>
      </c>
      <c r="CH331" s="933" t="s">
        <v>1627</v>
      </c>
      <c r="CI331" s="935">
        <f t="shared" ref="CI331:DF331" si="605">FLOOR($AV331/(CI$3/25),1)</f>
        <v>289</v>
      </c>
      <c r="CJ331" s="935">
        <f t="shared" si="605"/>
        <v>301</v>
      </c>
      <c r="CK331" s="935">
        <f t="shared" si="605"/>
        <v>314</v>
      </c>
      <c r="CL331" s="935">
        <f t="shared" si="605"/>
        <v>328</v>
      </c>
      <c r="CM331" s="935">
        <f t="shared" si="605"/>
        <v>344</v>
      </c>
      <c r="CN331" s="935">
        <f t="shared" si="605"/>
        <v>361</v>
      </c>
      <c r="CO331" s="935">
        <f t="shared" si="605"/>
        <v>380</v>
      </c>
      <c r="CP331" s="935">
        <f t="shared" si="605"/>
        <v>402</v>
      </c>
      <c r="CQ331" s="935">
        <f t="shared" si="605"/>
        <v>425</v>
      </c>
      <c r="CR331" s="935">
        <f t="shared" si="605"/>
        <v>452</v>
      </c>
      <c r="CS331" s="935">
        <f t="shared" si="605"/>
        <v>482</v>
      </c>
      <c r="CT331" s="935">
        <f t="shared" si="605"/>
        <v>516</v>
      </c>
      <c r="CU331" s="935">
        <f t="shared" si="605"/>
        <v>556</v>
      </c>
      <c r="CV331" s="935">
        <f t="shared" si="605"/>
        <v>603</v>
      </c>
      <c r="CW331" s="935">
        <f t="shared" si="605"/>
        <v>657</v>
      </c>
      <c r="CX331" s="935">
        <f t="shared" si="605"/>
        <v>723</v>
      </c>
      <c r="CY331" s="935">
        <f t="shared" si="605"/>
        <v>804</v>
      </c>
      <c r="CZ331" s="935">
        <f t="shared" si="605"/>
        <v>904</v>
      </c>
      <c r="DA331" s="935">
        <f t="shared" si="605"/>
        <v>1033</v>
      </c>
      <c r="DB331" s="935">
        <f t="shared" si="605"/>
        <v>1206</v>
      </c>
      <c r="DC331" s="935">
        <f t="shared" si="605"/>
        <v>1447</v>
      </c>
      <c r="DD331" s="935">
        <f t="shared" si="605"/>
        <v>1809</v>
      </c>
      <c r="DE331" s="935">
        <f t="shared" si="605"/>
        <v>2412</v>
      </c>
      <c r="DF331" s="939">
        <f t="shared" si="605"/>
        <v>3618</v>
      </c>
      <c r="DG331" s="933"/>
      <c r="DH331" s="933" t="str">
        <f t="shared" si="46"/>
        <v/>
      </c>
      <c r="DI331" s="925" t="str">
        <f t="shared" si="47"/>
        <v/>
      </c>
      <c r="DJ331" s="925" t="str">
        <f t="shared" si="48"/>
        <v/>
      </c>
      <c r="DK331" s="940"/>
      <c r="DL331" s="941"/>
      <c r="DM331" s="941"/>
      <c r="DN331" s="941"/>
      <c r="DO331" s="933"/>
      <c r="DP331" s="942" t="s">
        <v>1634</v>
      </c>
    </row>
    <row r="332" hidden="1">
      <c r="A332" s="922">
        <v>326.0</v>
      </c>
      <c r="B332" s="923">
        <v>324.0</v>
      </c>
      <c r="C332" s="924">
        <v>3.0</v>
      </c>
      <c r="D332" s="924">
        <v>8.0</v>
      </c>
      <c r="E332" s="925"/>
      <c r="F332" s="926" t="s">
        <v>1246</v>
      </c>
      <c r="G332" s="925"/>
      <c r="H332" s="925"/>
      <c r="I332" s="925"/>
      <c r="J332" s="925"/>
      <c r="K332" s="925"/>
      <c r="L332" s="925"/>
      <c r="M332" s="927">
        <f t="shared" si="545"/>
        <v>20</v>
      </c>
      <c r="N332" s="925" t="s">
        <v>1635</v>
      </c>
      <c r="O332" s="963"/>
      <c r="P332" s="929"/>
      <c r="Q332" s="929" t="s">
        <v>1313</v>
      </c>
      <c r="R332" s="929" t="s">
        <v>43</v>
      </c>
      <c r="S332" s="929" t="s">
        <v>1633</v>
      </c>
      <c r="T332" s="931" t="s">
        <v>1636</v>
      </c>
      <c r="U332" s="924">
        <v>8.0</v>
      </c>
      <c r="V332" s="924">
        <v>0.0</v>
      </c>
      <c r="W332" s="925"/>
      <c r="X332" s="925"/>
      <c r="Y332" s="924">
        <v>2.0</v>
      </c>
      <c r="Z332" s="924">
        <v>-10.0</v>
      </c>
      <c r="AA332" s="923">
        <v>0.0</v>
      </c>
      <c r="AB332" s="924">
        <v>60.0</v>
      </c>
      <c r="AC332" s="924">
        <v>463.0</v>
      </c>
      <c r="AD332" s="924">
        <v>3.0</v>
      </c>
      <c r="AE332" s="924">
        <v>100.0</v>
      </c>
      <c r="AF332" s="925"/>
      <c r="AG332" s="924">
        <v>3.0</v>
      </c>
      <c r="AH332" s="924">
        <v>8.0</v>
      </c>
      <c r="AI332" s="932">
        <f t="shared" si="12"/>
        <v>5.5</v>
      </c>
      <c r="AJ332" s="925"/>
      <c r="AK332" s="925"/>
      <c r="AL332" s="925"/>
      <c r="AM332" s="925"/>
      <c r="AN332" s="925"/>
      <c r="AO332" s="925"/>
      <c r="AP332" s="925"/>
      <c r="AQ332" s="925"/>
      <c r="AR332" s="925"/>
      <c r="AS332" s="933"/>
      <c r="AT332" s="926">
        <f t="shared" si="13"/>
        <v>280</v>
      </c>
      <c r="AU332" s="926">
        <f t="shared" si="14"/>
        <v>366</v>
      </c>
      <c r="AV332" s="934">
        <f t="shared" si="15"/>
        <v>323</v>
      </c>
      <c r="AW332" s="925"/>
      <c r="AX332" s="925"/>
      <c r="AY332" s="925"/>
      <c r="AZ332" s="925"/>
      <c r="BA332" s="925"/>
      <c r="BB332" s="935">
        <f t="shared" si="550"/>
        <v>449</v>
      </c>
      <c r="BC332" s="925"/>
      <c r="BD332" s="925"/>
      <c r="BE332" s="925"/>
      <c r="BF332" s="925"/>
      <c r="BG332" s="925"/>
      <c r="BH332" s="925"/>
      <c r="BI332" s="925"/>
      <c r="BJ332" s="925"/>
      <c r="BK332" s="925"/>
      <c r="BL332" s="935">
        <f t="shared" si="559"/>
        <v>425</v>
      </c>
      <c r="BM332" s="925"/>
      <c r="BN332" s="925"/>
      <c r="BO332" s="925"/>
      <c r="BP332" s="933"/>
      <c r="BQ332" s="924">
        <v>3.0</v>
      </c>
      <c r="BR332" s="924">
        <v>8.0</v>
      </c>
      <c r="BS332" s="924">
        <v>-10.0</v>
      </c>
      <c r="BT332" s="924">
        <v>100.0</v>
      </c>
      <c r="BU332" s="925"/>
      <c r="BV332" s="936">
        <f t="shared" si="34"/>
        <v>5.5</v>
      </c>
      <c r="BW332" s="937">
        <f t="shared" si="35"/>
        <v>391.1</v>
      </c>
      <c r="BX332" s="925"/>
      <c r="BY332" s="925"/>
      <c r="BZ332" s="925"/>
      <c r="CA332" s="925"/>
      <c r="CB332" s="925"/>
      <c r="CC332" s="925"/>
      <c r="CD332" s="935">
        <f t="shared" si="565"/>
        <v>543.2</v>
      </c>
      <c r="CE332" s="938" t="str">
        <f t="shared" si="43"/>
        <v/>
      </c>
      <c r="CF332" s="925">
        <f t="shared" si="248"/>
        <v>-17.4</v>
      </c>
      <c r="CG332" s="933">
        <f t="shared" si="606"/>
        <v>-17.3</v>
      </c>
      <c r="CH332" s="933" t="s">
        <v>1635</v>
      </c>
      <c r="CI332" s="935">
        <f t="shared" ref="CI332:DF332" si="607">FLOOR($AV332/(CI$3/25),1)</f>
        <v>323</v>
      </c>
      <c r="CJ332" s="935">
        <f t="shared" si="607"/>
        <v>336</v>
      </c>
      <c r="CK332" s="935">
        <f t="shared" si="607"/>
        <v>351</v>
      </c>
      <c r="CL332" s="935">
        <f t="shared" si="607"/>
        <v>367</v>
      </c>
      <c r="CM332" s="935">
        <f t="shared" si="607"/>
        <v>384</v>
      </c>
      <c r="CN332" s="935">
        <f t="shared" si="607"/>
        <v>403</v>
      </c>
      <c r="CO332" s="935">
        <f t="shared" si="607"/>
        <v>425</v>
      </c>
      <c r="CP332" s="935">
        <f t="shared" si="607"/>
        <v>448</v>
      </c>
      <c r="CQ332" s="935">
        <f t="shared" si="607"/>
        <v>475</v>
      </c>
      <c r="CR332" s="935">
        <f t="shared" si="607"/>
        <v>504</v>
      </c>
      <c r="CS332" s="935">
        <f t="shared" si="607"/>
        <v>538</v>
      </c>
      <c r="CT332" s="935">
        <f t="shared" si="607"/>
        <v>576</v>
      </c>
      <c r="CU332" s="935">
        <f t="shared" si="607"/>
        <v>621</v>
      </c>
      <c r="CV332" s="935">
        <f t="shared" si="607"/>
        <v>672</v>
      </c>
      <c r="CW332" s="935">
        <f t="shared" si="607"/>
        <v>734</v>
      </c>
      <c r="CX332" s="935">
        <f t="shared" si="607"/>
        <v>807</v>
      </c>
      <c r="CY332" s="935">
        <f t="shared" si="607"/>
        <v>897</v>
      </c>
      <c r="CZ332" s="935">
        <f t="shared" si="607"/>
        <v>1009</v>
      </c>
      <c r="DA332" s="935">
        <f t="shared" si="607"/>
        <v>1153</v>
      </c>
      <c r="DB332" s="935">
        <f t="shared" si="607"/>
        <v>1345</v>
      </c>
      <c r="DC332" s="935">
        <f t="shared" si="607"/>
        <v>1615</v>
      </c>
      <c r="DD332" s="935">
        <f t="shared" si="607"/>
        <v>2018</v>
      </c>
      <c r="DE332" s="935">
        <f t="shared" si="607"/>
        <v>2691</v>
      </c>
      <c r="DF332" s="939">
        <f t="shared" si="607"/>
        <v>4037</v>
      </c>
      <c r="DG332" s="933"/>
      <c r="DH332" s="933" t="str">
        <f t="shared" si="46"/>
        <v/>
      </c>
      <c r="DI332" s="925" t="str">
        <f t="shared" si="47"/>
        <v/>
      </c>
      <c r="DJ332" s="925" t="str">
        <f t="shared" si="48"/>
        <v/>
      </c>
      <c r="DK332" s="938"/>
      <c r="DL332" s="925"/>
      <c r="DM332" s="925"/>
      <c r="DN332" s="925"/>
      <c r="DO332" s="933"/>
      <c r="DP332" s="942" t="s">
        <v>1634</v>
      </c>
    </row>
    <row r="333" hidden="1">
      <c r="A333" s="922">
        <v>327.0</v>
      </c>
      <c r="B333" s="923">
        <v>325.0</v>
      </c>
      <c r="C333" s="924">
        <v>4.0</v>
      </c>
      <c r="D333" s="924">
        <v>10.0</v>
      </c>
      <c r="E333" s="925"/>
      <c r="F333" s="926" t="s">
        <v>1246</v>
      </c>
      <c r="G333" s="925"/>
      <c r="H333" s="925"/>
      <c r="I333" s="925"/>
      <c r="J333" s="925"/>
      <c r="K333" s="925"/>
      <c r="L333" s="925"/>
      <c r="M333" s="927">
        <f t="shared" si="545"/>
        <v>20</v>
      </c>
      <c r="N333" s="925" t="s">
        <v>1641</v>
      </c>
      <c r="O333" s="963"/>
      <c r="P333" s="929"/>
      <c r="Q333" s="929" t="s">
        <v>1313</v>
      </c>
      <c r="R333" s="929" t="s">
        <v>43</v>
      </c>
      <c r="S333" s="929" t="s">
        <v>1633</v>
      </c>
      <c r="T333" s="931" t="s">
        <v>1642</v>
      </c>
      <c r="U333" s="924">
        <v>12.0</v>
      </c>
      <c r="V333" s="924">
        <v>8.0</v>
      </c>
      <c r="W333" s="925"/>
      <c r="X333" s="925"/>
      <c r="Y333" s="924">
        <v>2.0</v>
      </c>
      <c r="Z333" s="924">
        <v>0.0</v>
      </c>
      <c r="AA333" s="923">
        <v>0.0</v>
      </c>
      <c r="AB333" s="924">
        <v>70.0</v>
      </c>
      <c r="AC333" s="924">
        <v>766.0</v>
      </c>
      <c r="AD333" s="924">
        <v>3.0</v>
      </c>
      <c r="AE333" s="924">
        <v>100.0</v>
      </c>
      <c r="AF333" s="925"/>
      <c r="AG333" s="924">
        <v>4.0</v>
      </c>
      <c r="AH333" s="924">
        <v>10.0</v>
      </c>
      <c r="AI333" s="932">
        <f t="shared" si="12"/>
        <v>7</v>
      </c>
      <c r="AJ333" s="925"/>
      <c r="AK333" s="925"/>
      <c r="AL333" s="925"/>
      <c r="AM333" s="925"/>
      <c r="AN333" s="925"/>
      <c r="AO333" s="925"/>
      <c r="AP333" s="925"/>
      <c r="AQ333" s="925"/>
      <c r="AR333" s="925"/>
      <c r="AS333" s="933"/>
      <c r="AT333" s="926">
        <f t="shared" si="13"/>
        <v>298</v>
      </c>
      <c r="AU333" s="926">
        <f t="shared" si="14"/>
        <v>398</v>
      </c>
      <c r="AV333" s="934">
        <f t="shared" si="15"/>
        <v>348</v>
      </c>
      <c r="AW333" s="925"/>
      <c r="AX333" s="925"/>
      <c r="AY333" s="925"/>
      <c r="AZ333" s="925"/>
      <c r="BA333" s="925"/>
      <c r="BB333" s="935">
        <f t="shared" si="550"/>
        <v>458</v>
      </c>
      <c r="BC333" s="925"/>
      <c r="BD333" s="925"/>
      <c r="BE333" s="925"/>
      <c r="BF333" s="925"/>
      <c r="BG333" s="925"/>
      <c r="BH333" s="925"/>
      <c r="BI333" s="925"/>
      <c r="BJ333" s="925"/>
      <c r="BK333" s="925"/>
      <c r="BL333" s="935">
        <f t="shared" si="559"/>
        <v>378</v>
      </c>
      <c r="BM333" s="925"/>
      <c r="BN333" s="925"/>
      <c r="BO333" s="925"/>
      <c r="BP333" s="933"/>
      <c r="BQ333" s="924">
        <v>4.0</v>
      </c>
      <c r="BR333" s="924">
        <v>10.0</v>
      </c>
      <c r="BS333" s="925"/>
      <c r="BT333" s="924">
        <v>100.0</v>
      </c>
      <c r="BU333" s="925"/>
      <c r="BV333" s="936">
        <f t="shared" si="34"/>
        <v>7</v>
      </c>
      <c r="BW333" s="937">
        <f t="shared" si="35"/>
        <v>421.4</v>
      </c>
      <c r="BX333" s="925"/>
      <c r="BY333" s="925"/>
      <c r="BZ333" s="925"/>
      <c r="CA333" s="925"/>
      <c r="CB333" s="925"/>
      <c r="CC333" s="925"/>
      <c r="CD333" s="935">
        <f t="shared" si="565"/>
        <v>554.5</v>
      </c>
      <c r="CE333" s="938" t="str">
        <f t="shared" si="43"/>
        <v/>
      </c>
      <c r="CF333" s="925">
        <f t="shared" si="248"/>
        <v>-17.4</v>
      </c>
      <c r="CG333" s="922">
        <f t="shared" si="606"/>
        <v>-17.4</v>
      </c>
      <c r="CH333" s="933" t="s">
        <v>1641</v>
      </c>
      <c r="CI333" s="935">
        <f t="shared" ref="CI333:DF333" si="608">FLOOR($AV333/(CI$3/25),1)</f>
        <v>348</v>
      </c>
      <c r="CJ333" s="935">
        <f t="shared" si="608"/>
        <v>362</v>
      </c>
      <c r="CK333" s="935">
        <f t="shared" si="608"/>
        <v>378</v>
      </c>
      <c r="CL333" s="935">
        <f t="shared" si="608"/>
        <v>395</v>
      </c>
      <c r="CM333" s="935">
        <f t="shared" si="608"/>
        <v>414</v>
      </c>
      <c r="CN333" s="935">
        <f t="shared" si="608"/>
        <v>435</v>
      </c>
      <c r="CO333" s="935">
        <f t="shared" si="608"/>
        <v>457</v>
      </c>
      <c r="CP333" s="935">
        <f t="shared" si="608"/>
        <v>483</v>
      </c>
      <c r="CQ333" s="935">
        <f t="shared" si="608"/>
        <v>511</v>
      </c>
      <c r="CR333" s="935">
        <f t="shared" si="608"/>
        <v>543</v>
      </c>
      <c r="CS333" s="935">
        <f t="shared" si="608"/>
        <v>580</v>
      </c>
      <c r="CT333" s="935">
        <f t="shared" si="608"/>
        <v>621</v>
      </c>
      <c r="CU333" s="935">
        <f t="shared" si="608"/>
        <v>669</v>
      </c>
      <c r="CV333" s="935">
        <f t="shared" si="608"/>
        <v>725</v>
      </c>
      <c r="CW333" s="935">
        <f t="shared" si="608"/>
        <v>790</v>
      </c>
      <c r="CX333" s="935">
        <f t="shared" si="608"/>
        <v>870</v>
      </c>
      <c r="CY333" s="935">
        <f t="shared" si="608"/>
        <v>966</v>
      </c>
      <c r="CZ333" s="935">
        <f t="shared" si="608"/>
        <v>1087</v>
      </c>
      <c r="DA333" s="935">
        <f t="shared" si="608"/>
        <v>1242</v>
      </c>
      <c r="DB333" s="935">
        <f t="shared" si="608"/>
        <v>1450</v>
      </c>
      <c r="DC333" s="935">
        <f t="shared" si="608"/>
        <v>1740</v>
      </c>
      <c r="DD333" s="935">
        <f t="shared" si="608"/>
        <v>2175</v>
      </c>
      <c r="DE333" s="935">
        <f t="shared" si="608"/>
        <v>2900</v>
      </c>
      <c r="DF333" s="939">
        <f t="shared" si="608"/>
        <v>4350</v>
      </c>
      <c r="DG333" s="933"/>
      <c r="DH333" s="933" t="str">
        <f t="shared" si="46"/>
        <v/>
      </c>
      <c r="DI333" s="925" t="str">
        <f t="shared" si="47"/>
        <v/>
      </c>
      <c r="DJ333" s="925" t="str">
        <f t="shared" si="48"/>
        <v/>
      </c>
      <c r="DK333" s="938"/>
      <c r="DL333" s="925"/>
      <c r="DM333" s="925"/>
      <c r="DN333" s="925"/>
      <c r="DO333" s="933"/>
      <c r="DP333" s="942" t="s">
        <v>1634</v>
      </c>
    </row>
    <row r="334" hidden="1">
      <c r="A334" s="922">
        <v>328.0</v>
      </c>
      <c r="B334" s="923">
        <v>326.0</v>
      </c>
      <c r="C334" s="924">
        <v>5.0</v>
      </c>
      <c r="D334" s="924">
        <v>12.0</v>
      </c>
      <c r="E334" s="925"/>
      <c r="F334" s="926" t="s">
        <v>1246</v>
      </c>
      <c r="G334" s="925"/>
      <c r="H334" s="925"/>
      <c r="I334" s="925"/>
      <c r="J334" s="925"/>
      <c r="K334" s="925"/>
      <c r="L334" s="925"/>
      <c r="M334" s="927">
        <f t="shared" si="545"/>
        <v>20</v>
      </c>
      <c r="N334" s="925" t="s">
        <v>1648</v>
      </c>
      <c r="O334" s="963"/>
      <c r="P334" s="929"/>
      <c r="Q334" s="929" t="s">
        <v>1313</v>
      </c>
      <c r="R334" s="929" t="s">
        <v>43</v>
      </c>
      <c r="S334" s="929" t="s">
        <v>1633</v>
      </c>
      <c r="T334" s="931" t="s">
        <v>1649</v>
      </c>
      <c r="U334" s="924">
        <v>17.0</v>
      </c>
      <c r="V334" s="924">
        <v>13.0</v>
      </c>
      <c r="W334" s="925"/>
      <c r="X334" s="925"/>
      <c r="Y334" s="924">
        <v>2.0</v>
      </c>
      <c r="Z334" s="924">
        <v>0.0</v>
      </c>
      <c r="AA334" s="923">
        <v>0.0</v>
      </c>
      <c r="AB334" s="924">
        <v>80.0</v>
      </c>
      <c r="AC334" s="924">
        <v>1223.0</v>
      </c>
      <c r="AD334" s="924">
        <v>4.0</v>
      </c>
      <c r="AE334" s="924">
        <v>100.0</v>
      </c>
      <c r="AF334" s="925"/>
      <c r="AG334" s="924">
        <v>5.0</v>
      </c>
      <c r="AH334" s="924">
        <v>12.0</v>
      </c>
      <c r="AI334" s="932">
        <f t="shared" si="12"/>
        <v>8.5</v>
      </c>
      <c r="AJ334" s="925"/>
      <c r="AK334" s="925"/>
      <c r="AL334" s="925"/>
      <c r="AM334" s="925"/>
      <c r="AN334" s="925"/>
      <c r="AO334" s="925"/>
      <c r="AP334" s="925"/>
      <c r="AQ334" s="925"/>
      <c r="AR334" s="925"/>
      <c r="AS334" s="933"/>
      <c r="AT334" s="926">
        <f t="shared" si="13"/>
        <v>313</v>
      </c>
      <c r="AU334" s="926">
        <f t="shared" si="14"/>
        <v>432</v>
      </c>
      <c r="AV334" s="934">
        <f t="shared" si="15"/>
        <v>372.5</v>
      </c>
      <c r="AW334" s="925"/>
      <c r="AX334" s="925"/>
      <c r="AY334" s="925"/>
      <c r="AZ334" s="925"/>
      <c r="BA334" s="925"/>
      <c r="BB334" s="935">
        <f t="shared" si="550"/>
        <v>490</v>
      </c>
      <c r="BC334" s="925"/>
      <c r="BD334" s="925"/>
      <c r="BE334" s="925"/>
      <c r="BF334" s="925"/>
      <c r="BG334" s="925"/>
      <c r="BH334" s="925"/>
      <c r="BI334" s="925"/>
      <c r="BJ334" s="925"/>
      <c r="BK334" s="925"/>
      <c r="BL334" s="935">
        <f t="shared" si="559"/>
        <v>405</v>
      </c>
      <c r="BM334" s="925"/>
      <c r="BN334" s="925"/>
      <c r="BO334" s="925"/>
      <c r="BP334" s="933"/>
      <c r="BQ334" s="924">
        <v>5.0</v>
      </c>
      <c r="BR334" s="924">
        <v>12.0</v>
      </c>
      <c r="BS334" s="925"/>
      <c r="BT334" s="924">
        <v>100.0</v>
      </c>
      <c r="BU334" s="925"/>
      <c r="BV334" s="936">
        <f t="shared" si="34"/>
        <v>8.5</v>
      </c>
      <c r="BW334" s="937">
        <f t="shared" si="35"/>
        <v>451.8</v>
      </c>
      <c r="BX334" s="925"/>
      <c r="BY334" s="925"/>
      <c r="BZ334" s="925"/>
      <c r="CA334" s="925"/>
      <c r="CB334" s="925"/>
      <c r="CC334" s="925"/>
      <c r="CD334" s="935">
        <f t="shared" si="565"/>
        <v>594.5</v>
      </c>
      <c r="CE334" s="938" t="str">
        <f t="shared" si="43"/>
        <v/>
      </c>
      <c r="CF334" s="925">
        <f t="shared" si="248"/>
        <v>-17.6</v>
      </c>
      <c r="CG334" s="933">
        <f t="shared" si="606"/>
        <v>-17.6</v>
      </c>
      <c r="CH334" s="933" t="s">
        <v>1648</v>
      </c>
      <c r="CI334" s="935">
        <f t="shared" ref="CI334:DF334" si="609">FLOOR($AV334/(CI$3/25),1)</f>
        <v>372</v>
      </c>
      <c r="CJ334" s="935">
        <f t="shared" si="609"/>
        <v>388</v>
      </c>
      <c r="CK334" s="935">
        <f t="shared" si="609"/>
        <v>404</v>
      </c>
      <c r="CL334" s="935">
        <f t="shared" si="609"/>
        <v>423</v>
      </c>
      <c r="CM334" s="935">
        <f t="shared" si="609"/>
        <v>443</v>
      </c>
      <c r="CN334" s="935">
        <f t="shared" si="609"/>
        <v>465</v>
      </c>
      <c r="CO334" s="935">
        <f t="shared" si="609"/>
        <v>490</v>
      </c>
      <c r="CP334" s="935">
        <f t="shared" si="609"/>
        <v>517</v>
      </c>
      <c r="CQ334" s="935">
        <f t="shared" si="609"/>
        <v>547</v>
      </c>
      <c r="CR334" s="935">
        <f t="shared" si="609"/>
        <v>582</v>
      </c>
      <c r="CS334" s="935">
        <f t="shared" si="609"/>
        <v>620</v>
      </c>
      <c r="CT334" s="935">
        <f t="shared" si="609"/>
        <v>665</v>
      </c>
      <c r="CU334" s="935">
        <f t="shared" si="609"/>
        <v>716</v>
      </c>
      <c r="CV334" s="935">
        <f t="shared" si="609"/>
        <v>776</v>
      </c>
      <c r="CW334" s="935">
        <f t="shared" si="609"/>
        <v>846</v>
      </c>
      <c r="CX334" s="935">
        <f t="shared" si="609"/>
        <v>931</v>
      </c>
      <c r="CY334" s="935">
        <f t="shared" si="609"/>
        <v>1034</v>
      </c>
      <c r="CZ334" s="935">
        <f t="shared" si="609"/>
        <v>1164</v>
      </c>
      <c r="DA334" s="935">
        <f t="shared" si="609"/>
        <v>1330</v>
      </c>
      <c r="DB334" s="935">
        <f t="shared" si="609"/>
        <v>1552</v>
      </c>
      <c r="DC334" s="935">
        <f t="shared" si="609"/>
        <v>1862</v>
      </c>
      <c r="DD334" s="935">
        <f t="shared" si="609"/>
        <v>2328</v>
      </c>
      <c r="DE334" s="935">
        <f t="shared" si="609"/>
        <v>3104</v>
      </c>
      <c r="DF334" s="939">
        <f t="shared" si="609"/>
        <v>4656</v>
      </c>
      <c r="DG334" s="933"/>
      <c r="DH334" s="933" t="str">
        <f t="shared" si="46"/>
        <v/>
      </c>
      <c r="DI334" s="925" t="str">
        <f t="shared" si="47"/>
        <v/>
      </c>
      <c r="DJ334" s="925" t="str">
        <f t="shared" si="48"/>
        <v/>
      </c>
      <c r="DK334" s="938"/>
      <c r="DL334" s="925"/>
      <c r="DM334" s="925"/>
      <c r="DN334" s="925"/>
      <c r="DO334" s="933"/>
      <c r="DP334" s="942" t="s">
        <v>1634</v>
      </c>
    </row>
    <row r="335" hidden="1">
      <c r="A335" s="944">
        <v>329.0</v>
      </c>
      <c r="B335" s="945">
        <v>327.0</v>
      </c>
      <c r="C335" s="946">
        <v>8.0</v>
      </c>
      <c r="D335" s="946">
        <v>18.0</v>
      </c>
      <c r="E335" s="947"/>
      <c r="F335" s="948" t="s">
        <v>1246</v>
      </c>
      <c r="G335" s="947"/>
      <c r="H335" s="947"/>
      <c r="I335" s="947"/>
      <c r="J335" s="947"/>
      <c r="K335" s="947"/>
      <c r="L335" s="947"/>
      <c r="M335" s="949">
        <f t="shared" si="545"/>
        <v>20</v>
      </c>
      <c r="N335" s="983" t="s">
        <v>1654</v>
      </c>
      <c r="O335" s="984"/>
      <c r="P335" s="951"/>
      <c r="Q335" s="951" t="s">
        <v>1313</v>
      </c>
      <c r="R335" s="951" t="s">
        <v>43</v>
      </c>
      <c r="S335" s="951" t="s">
        <v>1633</v>
      </c>
      <c r="T335" s="953" t="s">
        <v>1655</v>
      </c>
      <c r="U335" s="946">
        <v>24.0</v>
      </c>
      <c r="V335" s="946">
        <v>18.0</v>
      </c>
      <c r="W335" s="947"/>
      <c r="X335" s="947"/>
      <c r="Y335" s="946">
        <v>3.0</v>
      </c>
      <c r="Z335" s="946">
        <v>10.0</v>
      </c>
      <c r="AA335" s="945">
        <v>0.0</v>
      </c>
      <c r="AB335" s="946">
        <v>100.0</v>
      </c>
      <c r="AC335" s="946">
        <v>1985.0</v>
      </c>
      <c r="AD335" s="946">
        <v>5.0</v>
      </c>
      <c r="AE335" s="946">
        <v>100.0</v>
      </c>
      <c r="AF335" s="947"/>
      <c r="AG335" s="946">
        <v>8.0</v>
      </c>
      <c r="AH335" s="946">
        <v>18.0</v>
      </c>
      <c r="AI335" s="954">
        <f t="shared" si="12"/>
        <v>13</v>
      </c>
      <c r="AJ335" s="947"/>
      <c r="AK335" s="947"/>
      <c r="AL335" s="947"/>
      <c r="AM335" s="947"/>
      <c r="AN335" s="947"/>
      <c r="AO335" s="947"/>
      <c r="AP335" s="947"/>
      <c r="AQ335" s="947"/>
      <c r="AR335" s="947"/>
      <c r="AS335" s="955"/>
      <c r="AT335" s="948">
        <f t="shared" si="13"/>
        <v>366</v>
      </c>
      <c r="AU335" s="948">
        <f t="shared" si="14"/>
        <v>536</v>
      </c>
      <c r="AV335" s="956">
        <f t="shared" si="15"/>
        <v>451</v>
      </c>
      <c r="AW335" s="947"/>
      <c r="AX335" s="947"/>
      <c r="AY335" s="947"/>
      <c r="AZ335" s="947"/>
      <c r="BA335" s="947"/>
      <c r="BB335" s="957">
        <f t="shared" si="550"/>
        <v>513</v>
      </c>
      <c r="BC335" s="947"/>
      <c r="BD335" s="947"/>
      <c r="BE335" s="947"/>
      <c r="BF335" s="947"/>
      <c r="BG335" s="947"/>
      <c r="BH335" s="947"/>
      <c r="BI335" s="947"/>
      <c r="BJ335" s="947"/>
      <c r="BK335" s="947"/>
      <c r="BL335" s="957">
        <f t="shared" si="559"/>
        <v>389</v>
      </c>
      <c r="BM335" s="947"/>
      <c r="BN335" s="947"/>
      <c r="BO335" s="947"/>
      <c r="BP335" s="955"/>
      <c r="BQ335" s="946">
        <v>8.0</v>
      </c>
      <c r="BR335" s="946">
        <v>18.0</v>
      </c>
      <c r="BS335" s="946">
        <v>10.0</v>
      </c>
      <c r="BT335" s="946">
        <v>100.0</v>
      </c>
      <c r="BU335" s="947"/>
      <c r="BV335" s="958">
        <f t="shared" si="34"/>
        <v>13</v>
      </c>
      <c r="BW335" s="959">
        <f t="shared" si="35"/>
        <v>542.9</v>
      </c>
      <c r="BX335" s="947"/>
      <c r="BY335" s="947"/>
      <c r="BZ335" s="947"/>
      <c r="CA335" s="947"/>
      <c r="CB335" s="947"/>
      <c r="CC335" s="947"/>
      <c r="CD335" s="957">
        <f t="shared" si="565"/>
        <v>616.9</v>
      </c>
      <c r="CE335" s="960" t="str">
        <f t="shared" si="43"/>
        <v/>
      </c>
      <c r="CF335" s="947">
        <f t="shared" si="248"/>
        <v>-16.9</v>
      </c>
      <c r="CG335" s="944">
        <f t="shared" si="606"/>
        <v>-16.8</v>
      </c>
      <c r="CH335" s="955" t="s">
        <v>2379</v>
      </c>
      <c r="CI335" s="957">
        <f t="shared" ref="CI335:DF335" si="610">FLOOR($AV335/(CI$3/25),1)</f>
        <v>451</v>
      </c>
      <c r="CJ335" s="957">
        <f t="shared" si="610"/>
        <v>469</v>
      </c>
      <c r="CK335" s="957">
        <f t="shared" si="610"/>
        <v>490</v>
      </c>
      <c r="CL335" s="957">
        <f t="shared" si="610"/>
        <v>512</v>
      </c>
      <c r="CM335" s="957">
        <f t="shared" si="610"/>
        <v>536</v>
      </c>
      <c r="CN335" s="957">
        <f t="shared" si="610"/>
        <v>563</v>
      </c>
      <c r="CO335" s="957">
        <f t="shared" si="610"/>
        <v>593</v>
      </c>
      <c r="CP335" s="957">
        <f t="shared" si="610"/>
        <v>626</v>
      </c>
      <c r="CQ335" s="957">
        <f t="shared" si="610"/>
        <v>663</v>
      </c>
      <c r="CR335" s="957">
        <f t="shared" si="610"/>
        <v>704</v>
      </c>
      <c r="CS335" s="957">
        <f t="shared" si="610"/>
        <v>751</v>
      </c>
      <c r="CT335" s="957">
        <f t="shared" si="610"/>
        <v>805</v>
      </c>
      <c r="CU335" s="957">
        <f t="shared" si="610"/>
        <v>867</v>
      </c>
      <c r="CV335" s="957">
        <f t="shared" si="610"/>
        <v>939</v>
      </c>
      <c r="CW335" s="957">
        <f t="shared" si="610"/>
        <v>1025</v>
      </c>
      <c r="CX335" s="957">
        <f t="shared" si="610"/>
        <v>1127</v>
      </c>
      <c r="CY335" s="957">
        <f t="shared" si="610"/>
        <v>1252</v>
      </c>
      <c r="CZ335" s="957">
        <f t="shared" si="610"/>
        <v>1409</v>
      </c>
      <c r="DA335" s="957">
        <f t="shared" si="610"/>
        <v>1610</v>
      </c>
      <c r="DB335" s="957">
        <f t="shared" si="610"/>
        <v>1879</v>
      </c>
      <c r="DC335" s="957">
        <f t="shared" si="610"/>
        <v>2255</v>
      </c>
      <c r="DD335" s="957">
        <f t="shared" si="610"/>
        <v>2818</v>
      </c>
      <c r="DE335" s="957">
        <f t="shared" si="610"/>
        <v>3758</v>
      </c>
      <c r="DF335" s="961">
        <f t="shared" si="610"/>
        <v>5637</v>
      </c>
      <c r="DG335" s="955"/>
      <c r="DH335" s="955" t="str">
        <f t="shared" si="46"/>
        <v/>
      </c>
      <c r="DI335" s="947" t="str">
        <f t="shared" si="47"/>
        <v/>
      </c>
      <c r="DJ335" s="947" t="str">
        <f t="shared" si="48"/>
        <v/>
      </c>
      <c r="DK335" s="960"/>
      <c r="DL335" s="947"/>
      <c r="DM335" s="947"/>
      <c r="DN335" s="947"/>
      <c r="DO335" s="955"/>
      <c r="DP335" s="962" t="s">
        <v>1634</v>
      </c>
    </row>
    <row r="336" hidden="1">
      <c r="A336" s="922">
        <v>330.0</v>
      </c>
      <c r="B336" s="923">
        <v>334.0</v>
      </c>
      <c r="C336" s="924">
        <v>8.0</v>
      </c>
      <c r="D336" s="924">
        <v>21.0</v>
      </c>
      <c r="E336" s="925"/>
      <c r="F336" s="926" t="s">
        <v>1246</v>
      </c>
      <c r="G336" s="925"/>
      <c r="H336" s="925"/>
      <c r="I336" s="925"/>
      <c r="J336" s="925"/>
      <c r="K336" s="925"/>
      <c r="L336" s="925"/>
      <c r="M336" s="927">
        <f t="shared" si="545"/>
        <v>20</v>
      </c>
      <c r="N336" s="925" t="s">
        <v>1629</v>
      </c>
      <c r="O336" s="928" t="s">
        <v>2380</v>
      </c>
      <c r="P336" s="929"/>
      <c r="Q336" s="929" t="s">
        <v>1670</v>
      </c>
      <c r="R336" s="929" t="s">
        <v>43</v>
      </c>
      <c r="S336" s="929" t="s">
        <v>1633</v>
      </c>
      <c r="T336" s="931" t="s">
        <v>1630</v>
      </c>
      <c r="U336" s="924">
        <v>32.0</v>
      </c>
      <c r="V336" s="924">
        <v>24.0</v>
      </c>
      <c r="W336" s="925"/>
      <c r="X336" s="925"/>
      <c r="Y336" s="924">
        <v>2.0</v>
      </c>
      <c r="Z336" s="924">
        <v>-10.0</v>
      </c>
      <c r="AA336" s="923">
        <v>0.0</v>
      </c>
      <c r="AB336" s="924">
        <v>40.0</v>
      </c>
      <c r="AC336" s="924">
        <v>804.0</v>
      </c>
      <c r="AD336" s="924">
        <v>2.0</v>
      </c>
      <c r="AE336" s="924">
        <v>100.0</v>
      </c>
      <c r="AF336" s="925"/>
      <c r="AG336" s="924">
        <v>8.0</v>
      </c>
      <c r="AH336" s="924">
        <v>21.0</v>
      </c>
      <c r="AI336" s="932">
        <f t="shared" si="12"/>
        <v>14.5</v>
      </c>
      <c r="AJ336" s="925"/>
      <c r="AK336" s="925"/>
      <c r="AL336" s="925"/>
      <c r="AM336" s="925"/>
      <c r="AN336" s="925"/>
      <c r="AO336" s="925"/>
      <c r="AP336" s="925"/>
      <c r="AQ336" s="925"/>
      <c r="AR336" s="925"/>
      <c r="AS336" s="933"/>
      <c r="AT336" s="926">
        <f t="shared" si="13"/>
        <v>366</v>
      </c>
      <c r="AU336" s="926">
        <f t="shared" si="14"/>
        <v>583</v>
      </c>
      <c r="AV336" s="934">
        <f t="shared" si="15"/>
        <v>474.5</v>
      </c>
      <c r="AW336" s="925"/>
      <c r="AX336" s="925"/>
      <c r="AY336" s="925"/>
      <c r="AZ336" s="925"/>
      <c r="BA336" s="925"/>
      <c r="BB336" s="935">
        <f t="shared" si="550"/>
        <v>659</v>
      </c>
      <c r="BC336" s="925"/>
      <c r="BD336" s="925"/>
      <c r="BE336" s="925"/>
      <c r="BF336" s="925"/>
      <c r="BG336" s="925"/>
      <c r="BH336" s="925"/>
      <c r="BI336" s="925"/>
      <c r="BJ336" s="925"/>
      <c r="BK336" s="925"/>
      <c r="BL336" s="935">
        <f t="shared" si="559"/>
        <v>624</v>
      </c>
      <c r="BM336" s="925"/>
      <c r="BN336" s="925"/>
      <c r="BO336" s="925"/>
      <c r="BP336" s="933"/>
      <c r="BQ336" s="924">
        <v>8.0</v>
      </c>
      <c r="BR336" s="924">
        <v>21.0</v>
      </c>
      <c r="BS336" s="924">
        <v>-10.0</v>
      </c>
      <c r="BT336" s="924">
        <v>100.0</v>
      </c>
      <c r="BU336" s="925"/>
      <c r="BV336" s="936">
        <f t="shared" si="34"/>
        <v>14.5</v>
      </c>
      <c r="BW336" s="937">
        <f t="shared" si="35"/>
        <v>573.3</v>
      </c>
      <c r="BX336" s="925"/>
      <c r="BY336" s="925"/>
      <c r="BZ336" s="925"/>
      <c r="CA336" s="925"/>
      <c r="CB336" s="925"/>
      <c r="CC336" s="925"/>
      <c r="CD336" s="935">
        <f t="shared" si="565"/>
        <v>796.3</v>
      </c>
      <c r="CE336" s="938" t="str">
        <f t="shared" si="43"/>
        <v/>
      </c>
      <c r="CF336" s="925">
        <f t="shared" si="248"/>
        <v>-17.2</v>
      </c>
      <c r="CG336" s="933">
        <f t="shared" si="606"/>
        <v>-17.2</v>
      </c>
      <c r="CH336" s="933" t="s">
        <v>1629</v>
      </c>
      <c r="CI336" s="935">
        <f t="shared" ref="CI336:DF336" si="611">FLOOR($AV336/(CI$3/25),1)</f>
        <v>474</v>
      </c>
      <c r="CJ336" s="935">
        <f t="shared" si="611"/>
        <v>494</v>
      </c>
      <c r="CK336" s="935">
        <f t="shared" si="611"/>
        <v>515</v>
      </c>
      <c r="CL336" s="935">
        <f t="shared" si="611"/>
        <v>539</v>
      </c>
      <c r="CM336" s="935">
        <f t="shared" si="611"/>
        <v>564</v>
      </c>
      <c r="CN336" s="935">
        <f t="shared" si="611"/>
        <v>593</v>
      </c>
      <c r="CO336" s="935">
        <f t="shared" si="611"/>
        <v>624</v>
      </c>
      <c r="CP336" s="935">
        <f t="shared" si="611"/>
        <v>659</v>
      </c>
      <c r="CQ336" s="935">
        <f t="shared" si="611"/>
        <v>697</v>
      </c>
      <c r="CR336" s="935">
        <f t="shared" si="611"/>
        <v>741</v>
      </c>
      <c r="CS336" s="935">
        <f t="shared" si="611"/>
        <v>790</v>
      </c>
      <c r="CT336" s="935">
        <f t="shared" si="611"/>
        <v>847</v>
      </c>
      <c r="CU336" s="935">
        <f t="shared" si="611"/>
        <v>912</v>
      </c>
      <c r="CV336" s="935">
        <f t="shared" si="611"/>
        <v>988</v>
      </c>
      <c r="CW336" s="935">
        <f t="shared" si="611"/>
        <v>1078</v>
      </c>
      <c r="CX336" s="935">
        <f t="shared" si="611"/>
        <v>1186</v>
      </c>
      <c r="CY336" s="935">
        <f t="shared" si="611"/>
        <v>1318</v>
      </c>
      <c r="CZ336" s="935">
        <f t="shared" si="611"/>
        <v>1482</v>
      </c>
      <c r="DA336" s="935">
        <f t="shared" si="611"/>
        <v>1694</v>
      </c>
      <c r="DB336" s="935">
        <f t="shared" si="611"/>
        <v>1977</v>
      </c>
      <c r="DC336" s="935">
        <f t="shared" si="611"/>
        <v>2372</v>
      </c>
      <c r="DD336" s="935">
        <f t="shared" si="611"/>
        <v>2965</v>
      </c>
      <c r="DE336" s="935">
        <f t="shared" si="611"/>
        <v>3954</v>
      </c>
      <c r="DF336" s="939">
        <f t="shared" si="611"/>
        <v>5931</v>
      </c>
      <c r="DG336" s="933"/>
      <c r="DH336" s="933" t="str">
        <f t="shared" si="46"/>
        <v/>
      </c>
      <c r="DI336" s="925" t="str">
        <f t="shared" si="47"/>
        <v/>
      </c>
      <c r="DJ336" s="925" t="str">
        <f t="shared" si="48"/>
        <v/>
      </c>
      <c r="DK336" s="938"/>
      <c r="DL336" s="925"/>
      <c r="DM336" s="925"/>
      <c r="DN336" s="935">
        <f t="shared" ref="DN336:DN345" si="613">IF(ISBLANK(DL336),ROUND(AI336/IF(ISBLANK(DL331),AI331,DL331),1),ROUND(DL336/IF(ISBLANK(DL331),AI331,DL331),1))</f>
        <v>4.1</v>
      </c>
      <c r="DO336" s="933"/>
      <c r="DP336" s="942" t="s">
        <v>1634</v>
      </c>
    </row>
    <row r="337" hidden="1">
      <c r="A337" s="922">
        <v>331.0</v>
      </c>
      <c r="B337" s="923">
        <v>335.0</v>
      </c>
      <c r="C337" s="924">
        <v>10.0</v>
      </c>
      <c r="D337" s="924">
        <v>26.0</v>
      </c>
      <c r="E337" s="925"/>
      <c r="F337" s="926" t="s">
        <v>1246</v>
      </c>
      <c r="G337" s="925"/>
      <c r="H337" s="925"/>
      <c r="I337" s="925"/>
      <c r="J337" s="925"/>
      <c r="K337" s="925"/>
      <c r="L337" s="925"/>
      <c r="M337" s="927">
        <f t="shared" si="545"/>
        <v>20</v>
      </c>
      <c r="N337" s="925" t="s">
        <v>1637</v>
      </c>
      <c r="O337" s="963"/>
      <c r="P337" s="929"/>
      <c r="Q337" s="929" t="s">
        <v>1670</v>
      </c>
      <c r="R337" s="929" t="s">
        <v>43</v>
      </c>
      <c r="S337" s="929" t="s">
        <v>1633</v>
      </c>
      <c r="T337" s="931" t="s">
        <v>1638</v>
      </c>
      <c r="U337" s="924">
        <v>37.0</v>
      </c>
      <c r="V337" s="924">
        <v>27.0</v>
      </c>
      <c r="W337" s="925"/>
      <c r="X337" s="925"/>
      <c r="Y337" s="924">
        <v>2.0</v>
      </c>
      <c r="Z337" s="924">
        <v>-10.0</v>
      </c>
      <c r="AA337" s="923">
        <v>0.0</v>
      </c>
      <c r="AB337" s="924">
        <v>60.0</v>
      </c>
      <c r="AC337" s="924">
        <v>1689.0</v>
      </c>
      <c r="AD337" s="924">
        <v>3.0</v>
      </c>
      <c r="AE337" s="924">
        <v>100.0</v>
      </c>
      <c r="AF337" s="925"/>
      <c r="AG337" s="924">
        <v>10.0</v>
      </c>
      <c r="AH337" s="924">
        <v>26.0</v>
      </c>
      <c r="AI337" s="932">
        <f t="shared" si="12"/>
        <v>18</v>
      </c>
      <c r="AJ337" s="925"/>
      <c r="AK337" s="925"/>
      <c r="AL337" s="925"/>
      <c r="AM337" s="925"/>
      <c r="AN337" s="925"/>
      <c r="AO337" s="925"/>
      <c r="AP337" s="925"/>
      <c r="AQ337" s="925"/>
      <c r="AR337" s="925"/>
      <c r="AS337" s="933"/>
      <c r="AT337" s="926">
        <f t="shared" si="13"/>
        <v>398</v>
      </c>
      <c r="AU337" s="926">
        <f t="shared" si="14"/>
        <v>668</v>
      </c>
      <c r="AV337" s="934">
        <f t="shared" si="15"/>
        <v>533</v>
      </c>
      <c r="AW337" s="925"/>
      <c r="AX337" s="925"/>
      <c r="AY337" s="925"/>
      <c r="AZ337" s="925"/>
      <c r="BA337" s="925"/>
      <c r="BB337" s="935">
        <f t="shared" si="550"/>
        <v>740</v>
      </c>
      <c r="BC337" s="925"/>
      <c r="BD337" s="925"/>
      <c r="BE337" s="925"/>
      <c r="BF337" s="925"/>
      <c r="BG337" s="925"/>
      <c r="BH337" s="925"/>
      <c r="BI337" s="925"/>
      <c r="BJ337" s="925"/>
      <c r="BK337" s="925"/>
      <c r="BL337" s="935">
        <f t="shared" si="559"/>
        <v>701</v>
      </c>
      <c r="BM337" s="925"/>
      <c r="BN337" s="925"/>
      <c r="BO337" s="925"/>
      <c r="BP337" s="933"/>
      <c r="BQ337" s="924">
        <v>10.0</v>
      </c>
      <c r="BR337" s="924">
        <v>26.0</v>
      </c>
      <c r="BS337" s="924">
        <v>-10.0</v>
      </c>
      <c r="BT337" s="924">
        <v>100.0</v>
      </c>
      <c r="BU337" s="925"/>
      <c r="BV337" s="936">
        <f t="shared" si="34"/>
        <v>18</v>
      </c>
      <c r="BW337" s="937">
        <f t="shared" si="35"/>
        <v>644.2</v>
      </c>
      <c r="BX337" s="925"/>
      <c r="BY337" s="925"/>
      <c r="BZ337" s="925"/>
      <c r="CA337" s="925"/>
      <c r="CB337" s="925"/>
      <c r="CC337" s="925"/>
      <c r="CD337" s="935">
        <f t="shared" si="565"/>
        <v>894.7</v>
      </c>
      <c r="CE337" s="938" t="str">
        <f t="shared" si="43"/>
        <v/>
      </c>
      <c r="CF337" s="925">
        <f t="shared" si="248"/>
        <v>-17.3</v>
      </c>
      <c r="CG337" s="933">
        <f t="shared" si="606"/>
        <v>-17.3</v>
      </c>
      <c r="CH337" s="933" t="s">
        <v>1637</v>
      </c>
      <c r="CI337" s="935">
        <f t="shared" ref="CI337:DF337" si="612">FLOOR($AV337/(CI$3/25),1)</f>
        <v>533</v>
      </c>
      <c r="CJ337" s="935">
        <f t="shared" si="612"/>
        <v>555</v>
      </c>
      <c r="CK337" s="935">
        <f t="shared" si="612"/>
        <v>579</v>
      </c>
      <c r="CL337" s="935">
        <f t="shared" si="612"/>
        <v>605</v>
      </c>
      <c r="CM337" s="935">
        <f t="shared" si="612"/>
        <v>634</v>
      </c>
      <c r="CN337" s="935">
        <f t="shared" si="612"/>
        <v>666</v>
      </c>
      <c r="CO337" s="935">
        <f t="shared" si="612"/>
        <v>701</v>
      </c>
      <c r="CP337" s="935">
        <f t="shared" si="612"/>
        <v>740</v>
      </c>
      <c r="CQ337" s="935">
        <f t="shared" si="612"/>
        <v>783</v>
      </c>
      <c r="CR337" s="935">
        <f t="shared" si="612"/>
        <v>832</v>
      </c>
      <c r="CS337" s="935">
        <f t="shared" si="612"/>
        <v>888</v>
      </c>
      <c r="CT337" s="935">
        <f t="shared" si="612"/>
        <v>951</v>
      </c>
      <c r="CU337" s="935">
        <f t="shared" si="612"/>
        <v>1025</v>
      </c>
      <c r="CV337" s="935">
        <f t="shared" si="612"/>
        <v>1110</v>
      </c>
      <c r="CW337" s="935">
        <f t="shared" si="612"/>
        <v>1211</v>
      </c>
      <c r="CX337" s="935">
        <f t="shared" si="612"/>
        <v>1332</v>
      </c>
      <c r="CY337" s="935">
        <f t="shared" si="612"/>
        <v>1480</v>
      </c>
      <c r="CZ337" s="935">
        <f t="shared" si="612"/>
        <v>1665</v>
      </c>
      <c r="DA337" s="935">
        <f t="shared" si="612"/>
        <v>1903</v>
      </c>
      <c r="DB337" s="935">
        <f t="shared" si="612"/>
        <v>2220</v>
      </c>
      <c r="DC337" s="935">
        <f t="shared" si="612"/>
        <v>2665</v>
      </c>
      <c r="DD337" s="935">
        <f t="shared" si="612"/>
        <v>3331</v>
      </c>
      <c r="DE337" s="935">
        <f t="shared" si="612"/>
        <v>4441</v>
      </c>
      <c r="DF337" s="939">
        <f t="shared" si="612"/>
        <v>6662</v>
      </c>
      <c r="DG337" s="933"/>
      <c r="DH337" s="933" t="str">
        <f t="shared" si="46"/>
        <v/>
      </c>
      <c r="DI337" s="925" t="str">
        <f t="shared" si="47"/>
        <v/>
      </c>
      <c r="DJ337" s="925" t="str">
        <f t="shared" si="48"/>
        <v/>
      </c>
      <c r="DK337" s="938"/>
      <c r="DL337" s="925"/>
      <c r="DM337" s="925"/>
      <c r="DN337" s="935">
        <f t="shared" si="613"/>
        <v>3.3</v>
      </c>
      <c r="DO337" s="933"/>
      <c r="DP337" s="942" t="s">
        <v>1634</v>
      </c>
    </row>
    <row r="338" hidden="1">
      <c r="A338" s="922">
        <v>332.0</v>
      </c>
      <c r="B338" s="923">
        <v>336.0</v>
      </c>
      <c r="C338" s="924">
        <v>11.0</v>
      </c>
      <c r="D338" s="924">
        <v>29.0</v>
      </c>
      <c r="E338" s="925"/>
      <c r="F338" s="926" t="s">
        <v>1246</v>
      </c>
      <c r="G338" s="925"/>
      <c r="H338" s="925"/>
      <c r="I338" s="925"/>
      <c r="J338" s="925"/>
      <c r="K338" s="925"/>
      <c r="L338" s="925"/>
      <c r="M338" s="927">
        <f t="shared" si="545"/>
        <v>20</v>
      </c>
      <c r="N338" s="925" t="s">
        <v>1643</v>
      </c>
      <c r="O338" s="963"/>
      <c r="P338" s="929"/>
      <c r="Q338" s="929" t="s">
        <v>1670</v>
      </c>
      <c r="R338" s="929" t="s">
        <v>43</v>
      </c>
      <c r="S338" s="929" t="s">
        <v>1633</v>
      </c>
      <c r="T338" s="931" t="s">
        <v>1644</v>
      </c>
      <c r="U338" s="924">
        <v>41.0</v>
      </c>
      <c r="V338" s="924">
        <v>30.0</v>
      </c>
      <c r="W338" s="925"/>
      <c r="X338" s="925"/>
      <c r="Y338" s="924">
        <v>2.0</v>
      </c>
      <c r="Z338" s="924">
        <v>0.0</v>
      </c>
      <c r="AA338" s="923">
        <v>0.0</v>
      </c>
      <c r="AB338" s="924">
        <v>70.0</v>
      </c>
      <c r="AC338" s="924">
        <v>2598.0</v>
      </c>
      <c r="AD338" s="924">
        <v>3.0</v>
      </c>
      <c r="AE338" s="924">
        <v>100.0</v>
      </c>
      <c r="AF338" s="925"/>
      <c r="AG338" s="924">
        <v>11.0</v>
      </c>
      <c r="AH338" s="924">
        <v>29.0</v>
      </c>
      <c r="AI338" s="932">
        <f t="shared" si="12"/>
        <v>20</v>
      </c>
      <c r="AJ338" s="925"/>
      <c r="AK338" s="925"/>
      <c r="AL338" s="925"/>
      <c r="AM338" s="925"/>
      <c r="AN338" s="925"/>
      <c r="AO338" s="925"/>
      <c r="AP338" s="925"/>
      <c r="AQ338" s="925"/>
      <c r="AR338" s="925"/>
      <c r="AS338" s="933"/>
      <c r="AT338" s="926">
        <f t="shared" si="13"/>
        <v>417</v>
      </c>
      <c r="AU338" s="926">
        <f t="shared" si="14"/>
        <v>721</v>
      </c>
      <c r="AV338" s="934">
        <f t="shared" si="15"/>
        <v>569</v>
      </c>
      <c r="AW338" s="925"/>
      <c r="AX338" s="925"/>
      <c r="AY338" s="925"/>
      <c r="AZ338" s="925"/>
      <c r="BA338" s="925"/>
      <c r="BB338" s="935">
        <f t="shared" si="550"/>
        <v>749</v>
      </c>
      <c r="BC338" s="925"/>
      <c r="BD338" s="925"/>
      <c r="BE338" s="925"/>
      <c r="BF338" s="925"/>
      <c r="BG338" s="925"/>
      <c r="BH338" s="925"/>
      <c r="BI338" s="925"/>
      <c r="BJ338" s="925"/>
      <c r="BK338" s="925"/>
      <c r="BL338" s="935">
        <f t="shared" si="559"/>
        <v>618</v>
      </c>
      <c r="BM338" s="925"/>
      <c r="BN338" s="925"/>
      <c r="BO338" s="925"/>
      <c r="BP338" s="933"/>
      <c r="BQ338" s="924">
        <v>11.0</v>
      </c>
      <c r="BR338" s="924">
        <v>29.0</v>
      </c>
      <c r="BS338" s="925"/>
      <c r="BT338" s="924">
        <v>100.0</v>
      </c>
      <c r="BU338" s="925"/>
      <c r="BV338" s="936">
        <f t="shared" si="34"/>
        <v>20</v>
      </c>
      <c r="BW338" s="937">
        <f t="shared" si="35"/>
        <v>684.6</v>
      </c>
      <c r="BX338" s="925"/>
      <c r="BY338" s="925"/>
      <c r="BZ338" s="925"/>
      <c r="CA338" s="925"/>
      <c r="CB338" s="925"/>
      <c r="CC338" s="925"/>
      <c r="CD338" s="935">
        <f t="shared" si="565"/>
        <v>900.8</v>
      </c>
      <c r="CE338" s="938" t="str">
        <f t="shared" si="43"/>
        <v/>
      </c>
      <c r="CF338" s="925">
        <f t="shared" si="248"/>
        <v>-16.9</v>
      </c>
      <c r="CG338" s="922">
        <f t="shared" si="606"/>
        <v>-16.9</v>
      </c>
      <c r="CH338" s="933" t="s">
        <v>1643</v>
      </c>
      <c r="CI338" s="935">
        <f t="shared" ref="CI338:DF338" si="614">FLOOR($AV338/(CI$3/25),1)</f>
        <v>569</v>
      </c>
      <c r="CJ338" s="935">
        <f t="shared" si="614"/>
        <v>592</v>
      </c>
      <c r="CK338" s="935">
        <f t="shared" si="614"/>
        <v>618</v>
      </c>
      <c r="CL338" s="935">
        <f t="shared" si="614"/>
        <v>646</v>
      </c>
      <c r="CM338" s="935">
        <f t="shared" si="614"/>
        <v>677</v>
      </c>
      <c r="CN338" s="935">
        <f t="shared" si="614"/>
        <v>711</v>
      </c>
      <c r="CO338" s="935">
        <f t="shared" si="614"/>
        <v>748</v>
      </c>
      <c r="CP338" s="935">
        <f t="shared" si="614"/>
        <v>790</v>
      </c>
      <c r="CQ338" s="935">
        <f t="shared" si="614"/>
        <v>836</v>
      </c>
      <c r="CR338" s="935">
        <f t="shared" si="614"/>
        <v>889</v>
      </c>
      <c r="CS338" s="935">
        <f t="shared" si="614"/>
        <v>948</v>
      </c>
      <c r="CT338" s="935">
        <f t="shared" si="614"/>
        <v>1016</v>
      </c>
      <c r="CU338" s="935">
        <f t="shared" si="614"/>
        <v>1094</v>
      </c>
      <c r="CV338" s="935">
        <f t="shared" si="614"/>
        <v>1185</v>
      </c>
      <c r="CW338" s="935">
        <f t="shared" si="614"/>
        <v>1293</v>
      </c>
      <c r="CX338" s="935">
        <f t="shared" si="614"/>
        <v>1422</v>
      </c>
      <c r="CY338" s="935">
        <f t="shared" si="614"/>
        <v>1580</v>
      </c>
      <c r="CZ338" s="935">
        <f t="shared" si="614"/>
        <v>1778</v>
      </c>
      <c r="DA338" s="935">
        <f t="shared" si="614"/>
        <v>2032</v>
      </c>
      <c r="DB338" s="935">
        <f t="shared" si="614"/>
        <v>2370</v>
      </c>
      <c r="DC338" s="935">
        <f t="shared" si="614"/>
        <v>2845</v>
      </c>
      <c r="DD338" s="935">
        <f t="shared" si="614"/>
        <v>3556</v>
      </c>
      <c r="DE338" s="935">
        <f t="shared" si="614"/>
        <v>4741</v>
      </c>
      <c r="DF338" s="939">
        <f t="shared" si="614"/>
        <v>7112</v>
      </c>
      <c r="DG338" s="933"/>
      <c r="DH338" s="933" t="str">
        <f t="shared" si="46"/>
        <v/>
      </c>
      <c r="DI338" s="925" t="str">
        <f t="shared" si="47"/>
        <v/>
      </c>
      <c r="DJ338" s="925" t="str">
        <f t="shared" si="48"/>
        <v/>
      </c>
      <c r="DK338" s="938"/>
      <c r="DL338" s="925"/>
      <c r="DM338" s="925"/>
      <c r="DN338" s="935">
        <f t="shared" si="613"/>
        <v>2.9</v>
      </c>
      <c r="DO338" s="933"/>
      <c r="DP338" s="942" t="s">
        <v>1634</v>
      </c>
    </row>
    <row r="339" hidden="1">
      <c r="A339" s="922">
        <v>333.0</v>
      </c>
      <c r="B339" s="923">
        <v>337.0</v>
      </c>
      <c r="C339" s="924">
        <v>13.0</v>
      </c>
      <c r="D339" s="924">
        <v>32.0</v>
      </c>
      <c r="E339" s="925"/>
      <c r="F339" s="926" t="s">
        <v>1246</v>
      </c>
      <c r="G339" s="925"/>
      <c r="H339" s="925"/>
      <c r="I339" s="925"/>
      <c r="J339" s="925"/>
      <c r="K339" s="925"/>
      <c r="L339" s="925"/>
      <c r="M339" s="927">
        <f t="shared" si="545"/>
        <v>20</v>
      </c>
      <c r="N339" s="925" t="s">
        <v>1650</v>
      </c>
      <c r="O339" s="963"/>
      <c r="P339" s="929"/>
      <c r="Q339" s="929" t="s">
        <v>1670</v>
      </c>
      <c r="R339" s="929" t="s">
        <v>43</v>
      </c>
      <c r="S339" s="929" t="s">
        <v>1633</v>
      </c>
      <c r="T339" s="931" t="s">
        <v>1651</v>
      </c>
      <c r="U339" s="924">
        <v>46.0</v>
      </c>
      <c r="V339" s="924">
        <v>34.0</v>
      </c>
      <c r="W339" s="925"/>
      <c r="X339" s="925"/>
      <c r="Y339" s="924">
        <v>2.0</v>
      </c>
      <c r="Z339" s="924">
        <v>0.0</v>
      </c>
      <c r="AA339" s="923">
        <v>0.0</v>
      </c>
      <c r="AB339" s="924">
        <v>80.0</v>
      </c>
      <c r="AC339" s="924">
        <v>3969.0</v>
      </c>
      <c r="AD339" s="924">
        <v>4.0</v>
      </c>
      <c r="AE339" s="924">
        <v>100.0</v>
      </c>
      <c r="AF339" s="925"/>
      <c r="AG339" s="924">
        <v>13.0</v>
      </c>
      <c r="AH339" s="924">
        <v>32.0</v>
      </c>
      <c r="AI339" s="932">
        <f t="shared" si="12"/>
        <v>22.5</v>
      </c>
      <c r="AJ339" s="925"/>
      <c r="AK339" s="925"/>
      <c r="AL339" s="925"/>
      <c r="AM339" s="925"/>
      <c r="AN339" s="925"/>
      <c r="AO339" s="925"/>
      <c r="AP339" s="925"/>
      <c r="AQ339" s="925"/>
      <c r="AR339" s="925"/>
      <c r="AS339" s="933"/>
      <c r="AT339" s="926">
        <f t="shared" si="13"/>
        <v>451</v>
      </c>
      <c r="AU339" s="926">
        <f t="shared" si="14"/>
        <v>768</v>
      </c>
      <c r="AV339" s="934">
        <f t="shared" si="15"/>
        <v>609.5</v>
      </c>
      <c r="AW339" s="925"/>
      <c r="AX339" s="925"/>
      <c r="AY339" s="925"/>
      <c r="AZ339" s="925"/>
      <c r="BA339" s="925"/>
      <c r="BB339" s="935">
        <f t="shared" si="550"/>
        <v>802</v>
      </c>
      <c r="BC339" s="925"/>
      <c r="BD339" s="925"/>
      <c r="BE339" s="925"/>
      <c r="BF339" s="925"/>
      <c r="BG339" s="925"/>
      <c r="BH339" s="925"/>
      <c r="BI339" s="925"/>
      <c r="BJ339" s="925"/>
      <c r="BK339" s="925"/>
      <c r="BL339" s="935">
        <f t="shared" si="559"/>
        <v>663</v>
      </c>
      <c r="BM339" s="925"/>
      <c r="BN339" s="925"/>
      <c r="BO339" s="925"/>
      <c r="BP339" s="933"/>
      <c r="BQ339" s="924">
        <v>13.0</v>
      </c>
      <c r="BR339" s="924">
        <v>32.0</v>
      </c>
      <c r="BS339" s="925"/>
      <c r="BT339" s="924">
        <v>100.0</v>
      </c>
      <c r="BU339" s="925"/>
      <c r="BV339" s="936">
        <f t="shared" si="34"/>
        <v>22.5</v>
      </c>
      <c r="BW339" s="937">
        <f t="shared" si="35"/>
        <v>735.3</v>
      </c>
      <c r="BX339" s="925"/>
      <c r="BY339" s="925"/>
      <c r="BZ339" s="925"/>
      <c r="CA339" s="925"/>
      <c r="CB339" s="925"/>
      <c r="CC339" s="925"/>
      <c r="CD339" s="935">
        <f t="shared" si="565"/>
        <v>967.5</v>
      </c>
      <c r="CE339" s="938" t="str">
        <f t="shared" si="43"/>
        <v/>
      </c>
      <c r="CF339" s="925">
        <f t="shared" si="248"/>
        <v>-17.1</v>
      </c>
      <c r="CG339" s="933">
        <f t="shared" si="606"/>
        <v>-17.1</v>
      </c>
      <c r="CH339" s="933" t="s">
        <v>1650</v>
      </c>
      <c r="CI339" s="935">
        <f t="shared" ref="CI339:DF339" si="615">FLOOR($AV339/(CI$3/25),1)</f>
        <v>609</v>
      </c>
      <c r="CJ339" s="935">
        <f t="shared" si="615"/>
        <v>634</v>
      </c>
      <c r="CK339" s="935">
        <f t="shared" si="615"/>
        <v>662</v>
      </c>
      <c r="CL339" s="935">
        <f t="shared" si="615"/>
        <v>692</v>
      </c>
      <c r="CM339" s="935">
        <f t="shared" si="615"/>
        <v>725</v>
      </c>
      <c r="CN339" s="935">
        <f t="shared" si="615"/>
        <v>761</v>
      </c>
      <c r="CO339" s="935">
        <f t="shared" si="615"/>
        <v>801</v>
      </c>
      <c r="CP339" s="935">
        <f t="shared" si="615"/>
        <v>846</v>
      </c>
      <c r="CQ339" s="935">
        <f t="shared" si="615"/>
        <v>896</v>
      </c>
      <c r="CR339" s="935">
        <f t="shared" si="615"/>
        <v>952</v>
      </c>
      <c r="CS339" s="935">
        <f t="shared" si="615"/>
        <v>1015</v>
      </c>
      <c r="CT339" s="935">
        <f t="shared" si="615"/>
        <v>1088</v>
      </c>
      <c r="CU339" s="935">
        <f t="shared" si="615"/>
        <v>1172</v>
      </c>
      <c r="CV339" s="935">
        <f t="shared" si="615"/>
        <v>1269</v>
      </c>
      <c r="CW339" s="935">
        <f t="shared" si="615"/>
        <v>1385</v>
      </c>
      <c r="CX339" s="935">
        <f t="shared" si="615"/>
        <v>1523</v>
      </c>
      <c r="CY339" s="935">
        <f t="shared" si="615"/>
        <v>1693</v>
      </c>
      <c r="CZ339" s="935">
        <f t="shared" si="615"/>
        <v>1904</v>
      </c>
      <c r="DA339" s="935">
        <f t="shared" si="615"/>
        <v>2176</v>
      </c>
      <c r="DB339" s="935">
        <f t="shared" si="615"/>
        <v>2539</v>
      </c>
      <c r="DC339" s="935">
        <f t="shared" si="615"/>
        <v>3047</v>
      </c>
      <c r="DD339" s="935">
        <f t="shared" si="615"/>
        <v>3809</v>
      </c>
      <c r="DE339" s="935">
        <f t="shared" si="615"/>
        <v>5079</v>
      </c>
      <c r="DF339" s="939">
        <f t="shared" si="615"/>
        <v>7618</v>
      </c>
      <c r="DG339" s="933"/>
      <c r="DH339" s="933" t="str">
        <f t="shared" si="46"/>
        <v/>
      </c>
      <c r="DI339" s="925" t="str">
        <f t="shared" si="47"/>
        <v/>
      </c>
      <c r="DJ339" s="925" t="str">
        <f t="shared" si="48"/>
        <v/>
      </c>
      <c r="DK339" s="938"/>
      <c r="DL339" s="925"/>
      <c r="DM339" s="925"/>
      <c r="DN339" s="935">
        <f t="shared" si="613"/>
        <v>2.6</v>
      </c>
      <c r="DO339" s="933"/>
      <c r="DP339" s="942" t="s">
        <v>1634</v>
      </c>
    </row>
    <row r="340" hidden="1">
      <c r="A340" s="944">
        <v>334.0</v>
      </c>
      <c r="B340" s="945">
        <v>338.0</v>
      </c>
      <c r="C340" s="946">
        <v>18.0</v>
      </c>
      <c r="D340" s="946">
        <v>42.0</v>
      </c>
      <c r="E340" s="947"/>
      <c r="F340" s="948" t="s">
        <v>1246</v>
      </c>
      <c r="G340" s="947"/>
      <c r="H340" s="947"/>
      <c r="I340" s="947"/>
      <c r="J340" s="947"/>
      <c r="K340" s="947"/>
      <c r="L340" s="947"/>
      <c r="M340" s="949">
        <f t="shared" si="545"/>
        <v>20</v>
      </c>
      <c r="N340" s="947" t="s">
        <v>1656</v>
      </c>
      <c r="O340" s="950" t="s">
        <v>2113</v>
      </c>
      <c r="P340" s="985" t="s">
        <v>2246</v>
      </c>
      <c r="Q340" s="951" t="s">
        <v>1670</v>
      </c>
      <c r="R340" s="951" t="s">
        <v>43</v>
      </c>
      <c r="S340" s="951" t="s">
        <v>1633</v>
      </c>
      <c r="T340" s="953" t="s">
        <v>1657</v>
      </c>
      <c r="U340" s="946">
        <v>50.0</v>
      </c>
      <c r="V340" s="946">
        <v>37.0</v>
      </c>
      <c r="W340" s="947"/>
      <c r="X340" s="947"/>
      <c r="Y340" s="946">
        <v>3.0</v>
      </c>
      <c r="Z340" s="946">
        <v>10.0</v>
      </c>
      <c r="AA340" s="945">
        <v>0.0</v>
      </c>
      <c r="AB340" s="946">
        <v>100.0</v>
      </c>
      <c r="AC340" s="946">
        <v>6255.0</v>
      </c>
      <c r="AD340" s="946">
        <v>5.0</v>
      </c>
      <c r="AE340" s="946">
        <v>100.0</v>
      </c>
      <c r="AF340" s="947"/>
      <c r="AG340" s="946">
        <v>18.0</v>
      </c>
      <c r="AH340" s="946">
        <v>42.0</v>
      </c>
      <c r="AI340" s="954">
        <f t="shared" si="12"/>
        <v>30</v>
      </c>
      <c r="AJ340" s="947"/>
      <c r="AK340" s="947"/>
      <c r="AL340" s="947"/>
      <c r="AM340" s="947"/>
      <c r="AN340" s="947"/>
      <c r="AO340" s="947"/>
      <c r="AP340" s="947"/>
      <c r="AQ340" s="947"/>
      <c r="AR340" s="947"/>
      <c r="AS340" s="955"/>
      <c r="AT340" s="948">
        <f t="shared" si="13"/>
        <v>536</v>
      </c>
      <c r="AU340" s="948">
        <f t="shared" si="14"/>
        <v>938</v>
      </c>
      <c r="AV340" s="956">
        <f t="shared" si="15"/>
        <v>737</v>
      </c>
      <c r="AW340" s="947"/>
      <c r="AX340" s="947"/>
      <c r="AY340" s="947"/>
      <c r="AZ340" s="947"/>
      <c r="BA340" s="947"/>
      <c r="BB340" s="957">
        <f t="shared" si="550"/>
        <v>838</v>
      </c>
      <c r="BC340" s="947"/>
      <c r="BD340" s="947"/>
      <c r="BE340" s="947"/>
      <c r="BF340" s="947"/>
      <c r="BG340" s="947"/>
      <c r="BH340" s="947"/>
      <c r="BI340" s="947"/>
      <c r="BJ340" s="947"/>
      <c r="BK340" s="947"/>
      <c r="BL340" s="957">
        <f t="shared" si="559"/>
        <v>635</v>
      </c>
      <c r="BM340" s="947"/>
      <c r="BN340" s="947"/>
      <c r="BO340" s="947"/>
      <c r="BP340" s="955"/>
      <c r="BQ340" s="946">
        <v>18.0</v>
      </c>
      <c r="BR340" s="946">
        <v>42.0</v>
      </c>
      <c r="BS340" s="946">
        <v>10.0</v>
      </c>
      <c r="BT340" s="946">
        <v>100.0</v>
      </c>
      <c r="BU340" s="947"/>
      <c r="BV340" s="958">
        <f t="shared" si="34"/>
        <v>30</v>
      </c>
      <c r="BW340" s="959">
        <f t="shared" si="35"/>
        <v>887.1</v>
      </c>
      <c r="BX340" s="947"/>
      <c r="BY340" s="947"/>
      <c r="BZ340" s="947"/>
      <c r="CA340" s="947"/>
      <c r="CB340" s="947"/>
      <c r="CC340" s="947"/>
      <c r="CD340" s="957">
        <f t="shared" si="565"/>
        <v>1008.1</v>
      </c>
      <c r="CE340" s="960" t="str">
        <f t="shared" si="43"/>
        <v/>
      </c>
      <c r="CF340" s="947">
        <f t="shared" si="248"/>
        <v>-16.9</v>
      </c>
      <c r="CG340" s="955">
        <f t="shared" si="606"/>
        <v>-16.9</v>
      </c>
      <c r="CH340" s="955" t="s">
        <v>1656</v>
      </c>
      <c r="CI340" s="957">
        <f t="shared" ref="CI340:DF340" si="616">FLOOR($AV340/(CI$3/25),1)</f>
        <v>737</v>
      </c>
      <c r="CJ340" s="957">
        <f t="shared" si="616"/>
        <v>767</v>
      </c>
      <c r="CK340" s="957">
        <f t="shared" si="616"/>
        <v>801</v>
      </c>
      <c r="CL340" s="957">
        <f t="shared" si="616"/>
        <v>837</v>
      </c>
      <c r="CM340" s="957">
        <f t="shared" si="616"/>
        <v>877</v>
      </c>
      <c r="CN340" s="957">
        <f t="shared" si="616"/>
        <v>921</v>
      </c>
      <c r="CO340" s="957">
        <f t="shared" si="616"/>
        <v>969</v>
      </c>
      <c r="CP340" s="957">
        <f t="shared" si="616"/>
        <v>1023</v>
      </c>
      <c r="CQ340" s="957">
        <f t="shared" si="616"/>
        <v>1083</v>
      </c>
      <c r="CR340" s="957">
        <f t="shared" si="616"/>
        <v>1151</v>
      </c>
      <c r="CS340" s="957">
        <f t="shared" si="616"/>
        <v>1228</v>
      </c>
      <c r="CT340" s="957">
        <f t="shared" si="616"/>
        <v>1316</v>
      </c>
      <c r="CU340" s="957">
        <f t="shared" si="616"/>
        <v>1417</v>
      </c>
      <c r="CV340" s="957">
        <f t="shared" si="616"/>
        <v>1535</v>
      </c>
      <c r="CW340" s="957">
        <f t="shared" si="616"/>
        <v>1675</v>
      </c>
      <c r="CX340" s="957">
        <f t="shared" si="616"/>
        <v>1842</v>
      </c>
      <c r="CY340" s="957">
        <f t="shared" si="616"/>
        <v>2047</v>
      </c>
      <c r="CZ340" s="957">
        <f t="shared" si="616"/>
        <v>2303</v>
      </c>
      <c r="DA340" s="957">
        <f t="shared" si="616"/>
        <v>2632</v>
      </c>
      <c r="DB340" s="957">
        <f t="shared" si="616"/>
        <v>3070</v>
      </c>
      <c r="DC340" s="957">
        <f t="shared" si="616"/>
        <v>3685</v>
      </c>
      <c r="DD340" s="957">
        <f t="shared" si="616"/>
        <v>4606</v>
      </c>
      <c r="DE340" s="957">
        <f t="shared" si="616"/>
        <v>6141</v>
      </c>
      <c r="DF340" s="961">
        <f t="shared" si="616"/>
        <v>9212</v>
      </c>
      <c r="DG340" s="955"/>
      <c r="DH340" s="955" t="str">
        <f t="shared" si="46"/>
        <v/>
      </c>
      <c r="DI340" s="947" t="str">
        <f t="shared" si="47"/>
        <v/>
      </c>
      <c r="DJ340" s="947" t="str">
        <f t="shared" si="48"/>
        <v/>
      </c>
      <c r="DK340" s="960"/>
      <c r="DL340" s="947"/>
      <c r="DM340" s="947"/>
      <c r="DN340" s="957">
        <f t="shared" si="613"/>
        <v>2.3</v>
      </c>
      <c r="DO340" s="955"/>
      <c r="DP340" s="962" t="s">
        <v>1634</v>
      </c>
    </row>
    <row r="341" hidden="1">
      <c r="A341" s="922">
        <v>335.0</v>
      </c>
      <c r="B341" s="923">
        <v>345.0</v>
      </c>
      <c r="C341" s="924">
        <v>21.0</v>
      </c>
      <c r="D341" s="924">
        <v>46.0</v>
      </c>
      <c r="E341" s="925"/>
      <c r="F341" s="926" t="s">
        <v>1246</v>
      </c>
      <c r="G341" s="925"/>
      <c r="H341" s="925"/>
      <c r="I341" s="925"/>
      <c r="J341" s="925"/>
      <c r="K341" s="925"/>
      <c r="L341" s="925"/>
      <c r="M341" s="927">
        <f t="shared" si="545"/>
        <v>20</v>
      </c>
      <c r="N341" s="925" t="s">
        <v>1631</v>
      </c>
      <c r="O341" s="963"/>
      <c r="P341" s="929"/>
      <c r="Q341" s="929" t="s">
        <v>1676</v>
      </c>
      <c r="R341" s="929" t="s">
        <v>43</v>
      </c>
      <c r="S341" s="929" t="s">
        <v>1633</v>
      </c>
      <c r="T341" s="931" t="s">
        <v>1632</v>
      </c>
      <c r="U341" s="924">
        <v>59.0</v>
      </c>
      <c r="V341" s="924">
        <v>44.0</v>
      </c>
      <c r="W341" s="925"/>
      <c r="X341" s="925"/>
      <c r="Y341" s="924">
        <v>2.0</v>
      </c>
      <c r="Z341" s="924">
        <v>-10.0</v>
      </c>
      <c r="AA341" s="923">
        <v>0.0</v>
      </c>
      <c r="AB341" s="924">
        <v>40.0</v>
      </c>
      <c r="AC341" s="924">
        <v>21051.0</v>
      </c>
      <c r="AD341" s="924">
        <v>2.0</v>
      </c>
      <c r="AE341" s="924">
        <v>100.0</v>
      </c>
      <c r="AF341" s="925"/>
      <c r="AG341" s="924">
        <v>21.0</v>
      </c>
      <c r="AH341" s="924">
        <v>46.0</v>
      </c>
      <c r="AI341" s="932">
        <f t="shared" si="12"/>
        <v>33.5</v>
      </c>
      <c r="AJ341" s="925"/>
      <c r="AK341" s="925"/>
      <c r="AL341" s="925"/>
      <c r="AM341" s="925"/>
      <c r="AN341" s="925"/>
      <c r="AO341" s="925"/>
      <c r="AP341" s="925"/>
      <c r="AQ341" s="925"/>
      <c r="AR341" s="925"/>
      <c r="AS341" s="933"/>
      <c r="AT341" s="926">
        <f t="shared" si="13"/>
        <v>583</v>
      </c>
      <c r="AU341" s="926">
        <f t="shared" si="14"/>
        <v>1006</v>
      </c>
      <c r="AV341" s="934">
        <f t="shared" si="15"/>
        <v>794.5</v>
      </c>
      <c r="AW341" s="925"/>
      <c r="AX341" s="925"/>
      <c r="AY341" s="925"/>
      <c r="AZ341" s="925"/>
      <c r="BA341" s="925"/>
      <c r="BB341" s="935">
        <f t="shared" si="550"/>
        <v>1103</v>
      </c>
      <c r="BC341" s="925"/>
      <c r="BD341" s="925"/>
      <c r="BE341" s="925"/>
      <c r="BF341" s="925"/>
      <c r="BG341" s="925"/>
      <c r="BH341" s="925"/>
      <c r="BI341" s="925"/>
      <c r="BJ341" s="925"/>
      <c r="BK341" s="925"/>
      <c r="BL341" s="935">
        <f t="shared" si="559"/>
        <v>1045</v>
      </c>
      <c r="BM341" s="925"/>
      <c r="BN341" s="925"/>
      <c r="BO341" s="925"/>
      <c r="BP341" s="933"/>
      <c r="BQ341" s="924">
        <v>21.0</v>
      </c>
      <c r="BR341" s="924">
        <v>46.0</v>
      </c>
      <c r="BS341" s="924">
        <v>-10.0</v>
      </c>
      <c r="BT341" s="924">
        <v>100.0</v>
      </c>
      <c r="BU341" s="925"/>
      <c r="BV341" s="936">
        <f t="shared" si="34"/>
        <v>33.5</v>
      </c>
      <c r="BW341" s="937">
        <f t="shared" si="35"/>
        <v>958</v>
      </c>
      <c r="BX341" s="925"/>
      <c r="BY341" s="925"/>
      <c r="BZ341" s="925"/>
      <c r="CA341" s="925"/>
      <c r="CB341" s="925"/>
      <c r="CC341" s="925"/>
      <c r="CD341" s="935">
        <f t="shared" si="565"/>
        <v>1330.6</v>
      </c>
      <c r="CE341" s="938" t="str">
        <f t="shared" si="43"/>
        <v/>
      </c>
      <c r="CF341" s="925">
        <f t="shared" si="248"/>
        <v>-17.1</v>
      </c>
      <c r="CG341" s="933">
        <f t="shared" si="606"/>
        <v>-17.1</v>
      </c>
      <c r="CH341" s="933" t="s">
        <v>1631</v>
      </c>
      <c r="CI341" s="935">
        <f t="shared" ref="CI341:DF341" si="617">FLOOR($AV341/(CI$3/25),1)</f>
        <v>794</v>
      </c>
      <c r="CJ341" s="935">
        <f t="shared" si="617"/>
        <v>827</v>
      </c>
      <c r="CK341" s="935">
        <f t="shared" si="617"/>
        <v>863</v>
      </c>
      <c r="CL341" s="935">
        <f t="shared" si="617"/>
        <v>902</v>
      </c>
      <c r="CM341" s="935">
        <f t="shared" si="617"/>
        <v>945</v>
      </c>
      <c r="CN341" s="935">
        <f t="shared" si="617"/>
        <v>993</v>
      </c>
      <c r="CO341" s="935">
        <f t="shared" si="617"/>
        <v>1045</v>
      </c>
      <c r="CP341" s="935">
        <f t="shared" si="617"/>
        <v>1103</v>
      </c>
      <c r="CQ341" s="935">
        <f t="shared" si="617"/>
        <v>1168</v>
      </c>
      <c r="CR341" s="935">
        <f t="shared" si="617"/>
        <v>1241</v>
      </c>
      <c r="CS341" s="935">
        <f t="shared" si="617"/>
        <v>1324</v>
      </c>
      <c r="CT341" s="935">
        <f t="shared" si="617"/>
        <v>1418</v>
      </c>
      <c r="CU341" s="935">
        <f t="shared" si="617"/>
        <v>1527</v>
      </c>
      <c r="CV341" s="935">
        <f t="shared" si="617"/>
        <v>1655</v>
      </c>
      <c r="CW341" s="935">
        <f t="shared" si="617"/>
        <v>1805</v>
      </c>
      <c r="CX341" s="935">
        <f t="shared" si="617"/>
        <v>1986</v>
      </c>
      <c r="CY341" s="935">
        <f t="shared" si="617"/>
        <v>2206</v>
      </c>
      <c r="CZ341" s="935">
        <f t="shared" si="617"/>
        <v>2482</v>
      </c>
      <c r="DA341" s="935">
        <f t="shared" si="617"/>
        <v>2837</v>
      </c>
      <c r="DB341" s="935">
        <f t="shared" si="617"/>
        <v>3310</v>
      </c>
      <c r="DC341" s="935">
        <f t="shared" si="617"/>
        <v>3972</v>
      </c>
      <c r="DD341" s="935">
        <f t="shared" si="617"/>
        <v>4965</v>
      </c>
      <c r="DE341" s="935">
        <f t="shared" si="617"/>
        <v>6620</v>
      </c>
      <c r="DF341" s="939">
        <f t="shared" si="617"/>
        <v>9931</v>
      </c>
      <c r="DG341" s="933"/>
      <c r="DH341" s="933" t="str">
        <f t="shared" si="46"/>
        <v/>
      </c>
      <c r="DI341" s="925" t="str">
        <f t="shared" si="47"/>
        <v/>
      </c>
      <c r="DJ341" s="925" t="str">
        <f t="shared" si="48"/>
        <v/>
      </c>
      <c r="DK341" s="938"/>
      <c r="DL341" s="925"/>
      <c r="DM341" s="925"/>
      <c r="DN341" s="935">
        <f t="shared" si="613"/>
        <v>2.3</v>
      </c>
      <c r="DO341" s="933"/>
      <c r="DP341" s="942" t="s">
        <v>1634</v>
      </c>
    </row>
    <row r="342" hidden="1">
      <c r="A342" s="922">
        <v>336.0</v>
      </c>
      <c r="B342" s="923">
        <v>346.0</v>
      </c>
      <c r="C342" s="924">
        <v>18.0</v>
      </c>
      <c r="D342" s="924">
        <v>50.0</v>
      </c>
      <c r="E342" s="925"/>
      <c r="F342" s="926" t="s">
        <v>1246</v>
      </c>
      <c r="G342" s="925"/>
      <c r="H342" s="925"/>
      <c r="I342" s="925"/>
      <c r="J342" s="925"/>
      <c r="K342" s="925"/>
      <c r="L342" s="925"/>
      <c r="M342" s="927">
        <f t="shared" si="545"/>
        <v>20</v>
      </c>
      <c r="N342" s="925" t="s">
        <v>1639</v>
      </c>
      <c r="O342" s="928" t="s">
        <v>2114</v>
      </c>
      <c r="P342" s="929"/>
      <c r="Q342" s="929" t="s">
        <v>1676</v>
      </c>
      <c r="R342" s="929" t="s">
        <v>43</v>
      </c>
      <c r="S342" s="929" t="s">
        <v>1633</v>
      </c>
      <c r="T342" s="931" t="s">
        <v>1640</v>
      </c>
      <c r="U342" s="924">
        <v>67.0</v>
      </c>
      <c r="V342" s="924">
        <v>50.0</v>
      </c>
      <c r="W342" s="925"/>
      <c r="X342" s="925"/>
      <c r="Y342" s="924">
        <v>2.0</v>
      </c>
      <c r="Z342" s="924">
        <v>-10.0</v>
      </c>
      <c r="AA342" s="923">
        <v>0.0</v>
      </c>
      <c r="AB342" s="924">
        <v>60.0</v>
      </c>
      <c r="AC342" s="924">
        <v>19367.0</v>
      </c>
      <c r="AD342" s="924">
        <v>3.0</v>
      </c>
      <c r="AE342" s="924">
        <v>100.0</v>
      </c>
      <c r="AF342" s="925"/>
      <c r="AG342" s="924">
        <v>18.0</v>
      </c>
      <c r="AH342" s="924">
        <v>50.0</v>
      </c>
      <c r="AI342" s="932">
        <f t="shared" si="12"/>
        <v>34</v>
      </c>
      <c r="AJ342" s="925"/>
      <c r="AK342" s="925"/>
      <c r="AL342" s="925"/>
      <c r="AM342" s="925"/>
      <c r="AN342" s="925"/>
      <c r="AO342" s="925"/>
      <c r="AP342" s="925"/>
      <c r="AQ342" s="925"/>
      <c r="AR342" s="925"/>
      <c r="AS342" s="933"/>
      <c r="AT342" s="926">
        <f t="shared" si="13"/>
        <v>536</v>
      </c>
      <c r="AU342" s="926">
        <f t="shared" si="14"/>
        <v>1076</v>
      </c>
      <c r="AV342" s="934">
        <f t="shared" si="15"/>
        <v>806</v>
      </c>
      <c r="AW342" s="925"/>
      <c r="AX342" s="925"/>
      <c r="AY342" s="925"/>
      <c r="AZ342" s="925"/>
      <c r="BA342" s="925"/>
      <c r="BB342" s="935">
        <f t="shared" si="550"/>
        <v>1119</v>
      </c>
      <c r="BC342" s="925"/>
      <c r="BD342" s="925"/>
      <c r="BE342" s="925"/>
      <c r="BF342" s="925"/>
      <c r="BG342" s="925"/>
      <c r="BH342" s="925"/>
      <c r="BI342" s="925"/>
      <c r="BJ342" s="925"/>
      <c r="BK342" s="925"/>
      <c r="BL342" s="935">
        <f t="shared" si="559"/>
        <v>1061</v>
      </c>
      <c r="BM342" s="925"/>
      <c r="BN342" s="925"/>
      <c r="BO342" s="925"/>
      <c r="BP342" s="933"/>
      <c r="BQ342" s="924">
        <v>18.0</v>
      </c>
      <c r="BR342" s="924">
        <v>50.0</v>
      </c>
      <c r="BS342" s="924">
        <v>-10.0</v>
      </c>
      <c r="BT342" s="924">
        <v>100.0</v>
      </c>
      <c r="BU342" s="925"/>
      <c r="BV342" s="936">
        <f t="shared" si="34"/>
        <v>34</v>
      </c>
      <c r="BW342" s="937">
        <f t="shared" si="35"/>
        <v>968.1</v>
      </c>
      <c r="BX342" s="925"/>
      <c r="BY342" s="925"/>
      <c r="BZ342" s="925"/>
      <c r="CA342" s="925"/>
      <c r="CB342" s="925"/>
      <c r="CC342" s="925"/>
      <c r="CD342" s="935">
        <f t="shared" si="565"/>
        <v>1344.6</v>
      </c>
      <c r="CE342" s="938" t="str">
        <f t="shared" si="43"/>
        <v/>
      </c>
      <c r="CF342" s="925">
        <f t="shared" si="248"/>
        <v>-16.7</v>
      </c>
      <c r="CG342" s="933">
        <f t="shared" si="606"/>
        <v>-16.8</v>
      </c>
      <c r="CH342" s="933" t="s">
        <v>1639</v>
      </c>
      <c r="CI342" s="935">
        <f t="shared" ref="CI342:DF342" si="618">FLOOR($AV342/(CI$3/25),1)</f>
        <v>806</v>
      </c>
      <c r="CJ342" s="935">
        <f t="shared" si="618"/>
        <v>839</v>
      </c>
      <c r="CK342" s="935">
        <f t="shared" si="618"/>
        <v>876</v>
      </c>
      <c r="CL342" s="935">
        <f t="shared" si="618"/>
        <v>915</v>
      </c>
      <c r="CM342" s="935">
        <f t="shared" si="618"/>
        <v>959</v>
      </c>
      <c r="CN342" s="935">
        <f t="shared" si="618"/>
        <v>1007</v>
      </c>
      <c r="CO342" s="935">
        <f t="shared" si="618"/>
        <v>1060</v>
      </c>
      <c r="CP342" s="935">
        <f t="shared" si="618"/>
        <v>1119</v>
      </c>
      <c r="CQ342" s="935">
        <f t="shared" si="618"/>
        <v>1185</v>
      </c>
      <c r="CR342" s="935">
        <f t="shared" si="618"/>
        <v>1259</v>
      </c>
      <c r="CS342" s="935">
        <f t="shared" si="618"/>
        <v>1343</v>
      </c>
      <c r="CT342" s="935">
        <f t="shared" si="618"/>
        <v>1439</v>
      </c>
      <c r="CU342" s="935">
        <f t="shared" si="618"/>
        <v>1550</v>
      </c>
      <c r="CV342" s="935">
        <f t="shared" si="618"/>
        <v>1679</v>
      </c>
      <c r="CW342" s="935">
        <f t="shared" si="618"/>
        <v>1831</v>
      </c>
      <c r="CX342" s="935">
        <f t="shared" si="618"/>
        <v>2015</v>
      </c>
      <c r="CY342" s="935">
        <f t="shared" si="618"/>
        <v>2238</v>
      </c>
      <c r="CZ342" s="935">
        <f t="shared" si="618"/>
        <v>2518</v>
      </c>
      <c r="DA342" s="935">
        <f t="shared" si="618"/>
        <v>2878</v>
      </c>
      <c r="DB342" s="935">
        <f t="shared" si="618"/>
        <v>3358</v>
      </c>
      <c r="DC342" s="935">
        <f t="shared" si="618"/>
        <v>4030</v>
      </c>
      <c r="DD342" s="935">
        <f t="shared" si="618"/>
        <v>5037</v>
      </c>
      <c r="DE342" s="935">
        <f t="shared" si="618"/>
        <v>6716</v>
      </c>
      <c r="DF342" s="939">
        <f t="shared" si="618"/>
        <v>10075</v>
      </c>
      <c r="DG342" s="933"/>
      <c r="DH342" s="933" t="str">
        <f t="shared" si="46"/>
        <v/>
      </c>
      <c r="DI342" s="925" t="str">
        <f t="shared" si="47"/>
        <v/>
      </c>
      <c r="DJ342" s="925" t="str">
        <f t="shared" si="48"/>
        <v/>
      </c>
      <c r="DK342" s="938"/>
      <c r="DL342" s="925"/>
      <c r="DM342" s="925"/>
      <c r="DN342" s="935">
        <f t="shared" si="613"/>
        <v>1.9</v>
      </c>
      <c r="DO342" s="933"/>
      <c r="DP342" s="942" t="s">
        <v>1634</v>
      </c>
    </row>
    <row r="343" hidden="1">
      <c r="A343" s="922">
        <v>337.0</v>
      </c>
      <c r="B343" s="923">
        <v>347.0</v>
      </c>
      <c r="C343" s="924">
        <v>23.0</v>
      </c>
      <c r="D343" s="924">
        <v>55.0</v>
      </c>
      <c r="E343" s="925"/>
      <c r="F343" s="926" t="s">
        <v>1246</v>
      </c>
      <c r="G343" s="925"/>
      <c r="H343" s="925"/>
      <c r="I343" s="925"/>
      <c r="J343" s="925"/>
      <c r="K343" s="925"/>
      <c r="L343" s="925"/>
      <c r="M343" s="927">
        <f t="shared" si="545"/>
        <v>20</v>
      </c>
      <c r="N343" s="925" t="s">
        <v>1645</v>
      </c>
      <c r="O343" s="963"/>
      <c r="P343" s="929"/>
      <c r="Q343" s="929" t="s">
        <v>1676</v>
      </c>
      <c r="R343" s="929" t="s">
        <v>43</v>
      </c>
      <c r="S343" s="929" t="s">
        <v>1633</v>
      </c>
      <c r="T343" s="931" t="s">
        <v>1646</v>
      </c>
      <c r="U343" s="924">
        <v>75.0</v>
      </c>
      <c r="V343" s="924">
        <v>56.0</v>
      </c>
      <c r="W343" s="925"/>
      <c r="X343" s="925"/>
      <c r="Y343" s="924">
        <v>2.0</v>
      </c>
      <c r="Z343" s="924">
        <v>0.0</v>
      </c>
      <c r="AA343" s="923">
        <v>0.0</v>
      </c>
      <c r="AB343" s="924">
        <v>70.0</v>
      </c>
      <c r="AC343" s="924">
        <v>22094.0</v>
      </c>
      <c r="AD343" s="924">
        <v>3.0</v>
      </c>
      <c r="AE343" s="924">
        <v>100.0</v>
      </c>
      <c r="AF343" s="925"/>
      <c r="AG343" s="924">
        <v>23.0</v>
      </c>
      <c r="AH343" s="924">
        <v>55.0</v>
      </c>
      <c r="AI343" s="932">
        <f t="shared" si="12"/>
        <v>39</v>
      </c>
      <c r="AJ343" s="925"/>
      <c r="AK343" s="925"/>
      <c r="AL343" s="925"/>
      <c r="AM343" s="925"/>
      <c r="AN343" s="925"/>
      <c r="AO343" s="925"/>
      <c r="AP343" s="925"/>
      <c r="AQ343" s="925"/>
      <c r="AR343" s="925"/>
      <c r="AS343" s="933"/>
      <c r="AT343" s="926">
        <f t="shared" si="13"/>
        <v>617</v>
      </c>
      <c r="AU343" s="926">
        <f t="shared" si="14"/>
        <v>1157</v>
      </c>
      <c r="AV343" s="934">
        <f t="shared" si="15"/>
        <v>887</v>
      </c>
      <c r="AW343" s="925"/>
      <c r="AX343" s="925"/>
      <c r="AY343" s="925"/>
      <c r="AZ343" s="925"/>
      <c r="BA343" s="925"/>
      <c r="BB343" s="935">
        <f t="shared" si="550"/>
        <v>1167</v>
      </c>
      <c r="BC343" s="925"/>
      <c r="BD343" s="925"/>
      <c r="BE343" s="925"/>
      <c r="BF343" s="925"/>
      <c r="BG343" s="925"/>
      <c r="BH343" s="925"/>
      <c r="BI343" s="925"/>
      <c r="BJ343" s="925"/>
      <c r="BK343" s="925"/>
      <c r="BL343" s="935">
        <f t="shared" si="559"/>
        <v>964</v>
      </c>
      <c r="BM343" s="925"/>
      <c r="BN343" s="925"/>
      <c r="BO343" s="925"/>
      <c r="BP343" s="933"/>
      <c r="BQ343" s="924">
        <v>23.0</v>
      </c>
      <c r="BR343" s="924">
        <v>55.0</v>
      </c>
      <c r="BS343" s="925"/>
      <c r="BT343" s="924">
        <v>100.0</v>
      </c>
      <c r="BU343" s="925"/>
      <c r="BV343" s="936">
        <f t="shared" si="34"/>
        <v>39</v>
      </c>
      <c r="BW343" s="937">
        <f t="shared" si="35"/>
        <v>1069.3</v>
      </c>
      <c r="BX343" s="925"/>
      <c r="BY343" s="925"/>
      <c r="BZ343" s="925"/>
      <c r="CA343" s="925"/>
      <c r="CB343" s="925"/>
      <c r="CC343" s="925"/>
      <c r="CD343" s="935">
        <f t="shared" si="565"/>
        <v>1407</v>
      </c>
      <c r="CE343" s="938" t="str">
        <f t="shared" si="43"/>
        <v/>
      </c>
      <c r="CF343" s="925">
        <f t="shared" si="248"/>
        <v>-17</v>
      </c>
      <c r="CG343" s="933">
        <f t="shared" si="606"/>
        <v>-17.1</v>
      </c>
      <c r="CH343" s="933" t="s">
        <v>1645</v>
      </c>
      <c r="CI343" s="935">
        <f t="shared" ref="CI343:DF343" si="619">FLOOR($AV343/(CI$3/25),1)</f>
        <v>887</v>
      </c>
      <c r="CJ343" s="935">
        <f t="shared" si="619"/>
        <v>923</v>
      </c>
      <c r="CK343" s="935">
        <f t="shared" si="619"/>
        <v>964</v>
      </c>
      <c r="CL343" s="935">
        <f t="shared" si="619"/>
        <v>1007</v>
      </c>
      <c r="CM343" s="935">
        <f t="shared" si="619"/>
        <v>1055</v>
      </c>
      <c r="CN343" s="935">
        <f t="shared" si="619"/>
        <v>1108</v>
      </c>
      <c r="CO343" s="935">
        <f t="shared" si="619"/>
        <v>1167</v>
      </c>
      <c r="CP343" s="935">
        <f t="shared" si="619"/>
        <v>1231</v>
      </c>
      <c r="CQ343" s="935">
        <f t="shared" si="619"/>
        <v>1304</v>
      </c>
      <c r="CR343" s="935">
        <f t="shared" si="619"/>
        <v>1385</v>
      </c>
      <c r="CS343" s="935">
        <f t="shared" si="619"/>
        <v>1478</v>
      </c>
      <c r="CT343" s="935">
        <f t="shared" si="619"/>
        <v>1583</v>
      </c>
      <c r="CU343" s="935">
        <f t="shared" si="619"/>
        <v>1705</v>
      </c>
      <c r="CV343" s="935">
        <f t="shared" si="619"/>
        <v>1847</v>
      </c>
      <c r="CW343" s="935">
        <f t="shared" si="619"/>
        <v>2015</v>
      </c>
      <c r="CX343" s="935">
        <f t="shared" si="619"/>
        <v>2217</v>
      </c>
      <c r="CY343" s="935">
        <f t="shared" si="619"/>
        <v>2463</v>
      </c>
      <c r="CZ343" s="935">
        <f t="shared" si="619"/>
        <v>2771</v>
      </c>
      <c r="DA343" s="935">
        <f t="shared" si="619"/>
        <v>3167</v>
      </c>
      <c r="DB343" s="935">
        <f t="shared" si="619"/>
        <v>3695</v>
      </c>
      <c r="DC343" s="935">
        <f t="shared" si="619"/>
        <v>4435</v>
      </c>
      <c r="DD343" s="935">
        <f t="shared" si="619"/>
        <v>5543</v>
      </c>
      <c r="DE343" s="935">
        <f t="shared" si="619"/>
        <v>7391</v>
      </c>
      <c r="DF343" s="939">
        <f t="shared" si="619"/>
        <v>11087</v>
      </c>
      <c r="DG343" s="933"/>
      <c r="DH343" s="933" t="str">
        <f t="shared" si="46"/>
        <v/>
      </c>
      <c r="DI343" s="925" t="str">
        <f t="shared" si="47"/>
        <v/>
      </c>
      <c r="DJ343" s="925" t="str">
        <f t="shared" si="48"/>
        <v/>
      </c>
      <c r="DK343" s="938"/>
      <c r="DL343" s="925"/>
      <c r="DM343" s="925"/>
      <c r="DN343" s="935">
        <f t="shared" si="613"/>
        <v>2</v>
      </c>
      <c r="DO343" s="933"/>
      <c r="DP343" s="942" t="s">
        <v>1634</v>
      </c>
    </row>
    <row r="344" hidden="1">
      <c r="A344" s="922">
        <v>338.0</v>
      </c>
      <c r="B344" s="923">
        <v>348.0</v>
      </c>
      <c r="C344" s="924">
        <v>12.0</v>
      </c>
      <c r="D344" s="924">
        <v>66.0</v>
      </c>
      <c r="E344" s="925"/>
      <c r="F344" s="926" t="s">
        <v>1246</v>
      </c>
      <c r="G344" s="925"/>
      <c r="H344" s="925"/>
      <c r="I344" s="925"/>
      <c r="J344" s="925"/>
      <c r="K344" s="925"/>
      <c r="L344" s="925"/>
      <c r="M344" s="927">
        <f t="shared" si="545"/>
        <v>20</v>
      </c>
      <c r="N344" s="925" t="s">
        <v>1652</v>
      </c>
      <c r="O344" s="963"/>
      <c r="P344" s="929"/>
      <c r="Q344" s="929" t="s">
        <v>1676</v>
      </c>
      <c r="R344" s="929" t="s">
        <v>43</v>
      </c>
      <c r="S344" s="929" t="s">
        <v>1633</v>
      </c>
      <c r="T344" s="931" t="s">
        <v>1653</v>
      </c>
      <c r="U344" s="924">
        <v>84.0</v>
      </c>
      <c r="V344" s="924">
        <v>63.0</v>
      </c>
      <c r="W344" s="925"/>
      <c r="X344" s="925"/>
      <c r="Y344" s="924">
        <v>2.0</v>
      </c>
      <c r="Z344" s="924">
        <v>0.0</v>
      </c>
      <c r="AA344" s="923">
        <v>0.0</v>
      </c>
      <c r="AB344" s="924">
        <v>80.0</v>
      </c>
      <c r="AC344" s="924">
        <v>25207.0</v>
      </c>
      <c r="AD344" s="924">
        <v>4.0</v>
      </c>
      <c r="AE344" s="924">
        <v>100.0</v>
      </c>
      <c r="AF344" s="925"/>
      <c r="AG344" s="924">
        <v>12.0</v>
      </c>
      <c r="AH344" s="924">
        <v>66.0</v>
      </c>
      <c r="AI344" s="932">
        <f t="shared" si="12"/>
        <v>39</v>
      </c>
      <c r="AJ344" s="925"/>
      <c r="AK344" s="925"/>
      <c r="AL344" s="925"/>
      <c r="AM344" s="925"/>
      <c r="AN344" s="925"/>
      <c r="AO344" s="925"/>
      <c r="AP344" s="925"/>
      <c r="AQ344" s="925"/>
      <c r="AR344" s="925"/>
      <c r="AS344" s="933"/>
      <c r="AT344" s="926">
        <f t="shared" si="13"/>
        <v>432</v>
      </c>
      <c r="AU344" s="926">
        <f t="shared" si="14"/>
        <v>1342</v>
      </c>
      <c r="AV344" s="934">
        <f t="shared" si="15"/>
        <v>887</v>
      </c>
      <c r="AW344" s="925"/>
      <c r="AX344" s="925"/>
      <c r="AY344" s="925"/>
      <c r="AZ344" s="925"/>
      <c r="BA344" s="925"/>
      <c r="BB344" s="935">
        <f t="shared" si="550"/>
        <v>1167</v>
      </c>
      <c r="BC344" s="925"/>
      <c r="BD344" s="925"/>
      <c r="BE344" s="925"/>
      <c r="BF344" s="925"/>
      <c r="BG344" s="925"/>
      <c r="BH344" s="925"/>
      <c r="BI344" s="925"/>
      <c r="BJ344" s="925"/>
      <c r="BK344" s="925"/>
      <c r="BL344" s="935">
        <f t="shared" si="559"/>
        <v>964</v>
      </c>
      <c r="BM344" s="925"/>
      <c r="BN344" s="925"/>
      <c r="BO344" s="925"/>
      <c r="BP344" s="933"/>
      <c r="BQ344" s="924">
        <v>12.0</v>
      </c>
      <c r="BR344" s="924">
        <v>66.0</v>
      </c>
      <c r="BS344" s="925"/>
      <c r="BT344" s="924">
        <v>100.0</v>
      </c>
      <c r="BU344" s="925"/>
      <c r="BV344" s="936">
        <f t="shared" si="34"/>
        <v>39</v>
      </c>
      <c r="BW344" s="937">
        <f t="shared" si="35"/>
        <v>1069.3</v>
      </c>
      <c r="BX344" s="925"/>
      <c r="BY344" s="925"/>
      <c r="BZ344" s="925"/>
      <c r="CA344" s="925"/>
      <c r="CB344" s="925"/>
      <c r="CC344" s="925"/>
      <c r="CD344" s="935">
        <f t="shared" si="565"/>
        <v>1407</v>
      </c>
      <c r="CE344" s="938" t="str">
        <f t="shared" si="43"/>
        <v/>
      </c>
      <c r="CF344" s="925">
        <f t="shared" si="248"/>
        <v>-17</v>
      </c>
      <c r="CG344" s="933">
        <f t="shared" si="606"/>
        <v>-17.1</v>
      </c>
      <c r="CH344" s="933" t="s">
        <v>1652</v>
      </c>
      <c r="CI344" s="935">
        <f t="shared" ref="CI344:DF344" si="620">FLOOR($AV344/(CI$3/25),1)</f>
        <v>887</v>
      </c>
      <c r="CJ344" s="935">
        <f t="shared" si="620"/>
        <v>923</v>
      </c>
      <c r="CK344" s="935">
        <f t="shared" si="620"/>
        <v>964</v>
      </c>
      <c r="CL344" s="935">
        <f t="shared" si="620"/>
        <v>1007</v>
      </c>
      <c r="CM344" s="935">
        <f t="shared" si="620"/>
        <v>1055</v>
      </c>
      <c r="CN344" s="935">
        <f t="shared" si="620"/>
        <v>1108</v>
      </c>
      <c r="CO344" s="935">
        <f t="shared" si="620"/>
        <v>1167</v>
      </c>
      <c r="CP344" s="935">
        <f t="shared" si="620"/>
        <v>1231</v>
      </c>
      <c r="CQ344" s="935">
        <f t="shared" si="620"/>
        <v>1304</v>
      </c>
      <c r="CR344" s="935">
        <f t="shared" si="620"/>
        <v>1385</v>
      </c>
      <c r="CS344" s="935">
        <f t="shared" si="620"/>
        <v>1478</v>
      </c>
      <c r="CT344" s="935">
        <f t="shared" si="620"/>
        <v>1583</v>
      </c>
      <c r="CU344" s="935">
        <f t="shared" si="620"/>
        <v>1705</v>
      </c>
      <c r="CV344" s="935">
        <f t="shared" si="620"/>
        <v>1847</v>
      </c>
      <c r="CW344" s="935">
        <f t="shared" si="620"/>
        <v>2015</v>
      </c>
      <c r="CX344" s="935">
        <f t="shared" si="620"/>
        <v>2217</v>
      </c>
      <c r="CY344" s="935">
        <f t="shared" si="620"/>
        <v>2463</v>
      </c>
      <c r="CZ344" s="935">
        <f t="shared" si="620"/>
        <v>2771</v>
      </c>
      <c r="DA344" s="935">
        <f t="shared" si="620"/>
        <v>3167</v>
      </c>
      <c r="DB344" s="935">
        <f t="shared" si="620"/>
        <v>3695</v>
      </c>
      <c r="DC344" s="935">
        <f t="shared" si="620"/>
        <v>4435</v>
      </c>
      <c r="DD344" s="935">
        <f t="shared" si="620"/>
        <v>5543</v>
      </c>
      <c r="DE344" s="935">
        <f t="shared" si="620"/>
        <v>7391</v>
      </c>
      <c r="DF344" s="939">
        <f t="shared" si="620"/>
        <v>11087</v>
      </c>
      <c r="DG344" s="933"/>
      <c r="DH344" s="933" t="str">
        <f t="shared" si="46"/>
        <v/>
      </c>
      <c r="DI344" s="925" t="str">
        <f t="shared" si="47"/>
        <v/>
      </c>
      <c r="DJ344" s="925" t="str">
        <f t="shared" si="48"/>
        <v/>
      </c>
      <c r="DK344" s="938"/>
      <c r="DL344" s="925"/>
      <c r="DM344" s="925"/>
      <c r="DN344" s="935">
        <f t="shared" si="613"/>
        <v>1.7</v>
      </c>
      <c r="DO344" s="933"/>
      <c r="DP344" s="942" t="s">
        <v>1634</v>
      </c>
    </row>
    <row r="345" hidden="1">
      <c r="A345" s="964">
        <v>339.0</v>
      </c>
      <c r="B345" s="965">
        <v>349.0</v>
      </c>
      <c r="C345" s="966">
        <v>30.0</v>
      </c>
      <c r="D345" s="966">
        <v>53.0</v>
      </c>
      <c r="E345" s="967"/>
      <c r="F345" s="968" t="s">
        <v>1246</v>
      </c>
      <c r="G345" s="967"/>
      <c r="H345" s="967"/>
      <c r="I345" s="967"/>
      <c r="J345" s="967"/>
      <c r="K345" s="967"/>
      <c r="L345" s="967"/>
      <c r="M345" s="969">
        <f t="shared" si="545"/>
        <v>20</v>
      </c>
      <c r="N345" s="967" t="s">
        <v>1659</v>
      </c>
      <c r="O345" s="970" t="s">
        <v>2115</v>
      </c>
      <c r="P345" s="971"/>
      <c r="Q345" s="971" t="s">
        <v>1676</v>
      </c>
      <c r="R345" s="971" t="s">
        <v>43</v>
      </c>
      <c r="S345" s="971" t="s">
        <v>1633</v>
      </c>
      <c r="T345" s="973" t="s">
        <v>1660</v>
      </c>
      <c r="U345" s="966">
        <v>85.0</v>
      </c>
      <c r="V345" s="966">
        <v>66.0</v>
      </c>
      <c r="W345" s="967"/>
      <c r="X345" s="967"/>
      <c r="Y345" s="966">
        <v>3.0</v>
      </c>
      <c r="Z345" s="966">
        <v>10.0</v>
      </c>
      <c r="AA345" s="965">
        <v>0.0</v>
      </c>
      <c r="AB345" s="966">
        <v>100.0</v>
      </c>
      <c r="AC345" s="966">
        <v>20065.0</v>
      </c>
      <c r="AD345" s="966">
        <v>5.0</v>
      </c>
      <c r="AE345" s="966">
        <v>100.0</v>
      </c>
      <c r="AF345" s="967"/>
      <c r="AG345" s="966">
        <v>30.0</v>
      </c>
      <c r="AH345" s="966">
        <v>53.0</v>
      </c>
      <c r="AI345" s="974">
        <f t="shared" si="12"/>
        <v>41.5</v>
      </c>
      <c r="AJ345" s="967"/>
      <c r="AK345" s="967"/>
      <c r="AL345" s="967"/>
      <c r="AM345" s="967"/>
      <c r="AN345" s="967"/>
      <c r="AO345" s="967"/>
      <c r="AP345" s="967"/>
      <c r="AQ345" s="967"/>
      <c r="AR345" s="967"/>
      <c r="AS345" s="975"/>
      <c r="AT345" s="968">
        <f t="shared" si="13"/>
        <v>736</v>
      </c>
      <c r="AU345" s="968">
        <f t="shared" si="14"/>
        <v>1123</v>
      </c>
      <c r="AV345" s="976">
        <f t="shared" si="15"/>
        <v>929.5</v>
      </c>
      <c r="AW345" s="967"/>
      <c r="AX345" s="967"/>
      <c r="AY345" s="967"/>
      <c r="AZ345" s="967"/>
      <c r="BA345" s="967"/>
      <c r="BB345" s="977">
        <f t="shared" si="550"/>
        <v>1056</v>
      </c>
      <c r="BC345" s="967"/>
      <c r="BD345" s="967"/>
      <c r="BE345" s="967"/>
      <c r="BF345" s="967"/>
      <c r="BG345" s="967"/>
      <c r="BH345" s="967"/>
      <c r="BI345" s="967"/>
      <c r="BJ345" s="967"/>
      <c r="BK345" s="967"/>
      <c r="BL345" s="977">
        <f t="shared" si="559"/>
        <v>801</v>
      </c>
      <c r="BM345" s="967"/>
      <c r="BN345" s="967"/>
      <c r="BO345" s="967"/>
      <c r="BP345" s="975"/>
      <c r="BQ345" s="966">
        <v>30.0</v>
      </c>
      <c r="BR345" s="966">
        <v>53.0</v>
      </c>
      <c r="BS345" s="966">
        <v>10.0</v>
      </c>
      <c r="BT345" s="966">
        <v>100.0</v>
      </c>
      <c r="BU345" s="967"/>
      <c r="BV345" s="978">
        <f t="shared" si="34"/>
        <v>41.5</v>
      </c>
      <c r="BW345" s="979">
        <f t="shared" si="35"/>
        <v>1119.9</v>
      </c>
      <c r="BX345" s="967"/>
      <c r="BY345" s="967"/>
      <c r="BZ345" s="967"/>
      <c r="CA345" s="967"/>
      <c r="CB345" s="967"/>
      <c r="CC345" s="967"/>
      <c r="CD345" s="977">
        <f t="shared" si="565"/>
        <v>1272.6</v>
      </c>
      <c r="CE345" s="980" t="str">
        <f t="shared" si="43"/>
        <v/>
      </c>
      <c r="CF345" s="967">
        <f t="shared" si="248"/>
        <v>-17</v>
      </c>
      <c r="CG345" s="975">
        <f t="shared" si="606"/>
        <v>-17</v>
      </c>
      <c r="CH345" s="975" t="s">
        <v>1659</v>
      </c>
      <c r="CI345" s="977">
        <f t="shared" ref="CI345:DF345" si="621">FLOOR($AV345/(CI$3/25),1)</f>
        <v>929</v>
      </c>
      <c r="CJ345" s="977">
        <f t="shared" si="621"/>
        <v>968</v>
      </c>
      <c r="CK345" s="977">
        <f t="shared" si="621"/>
        <v>1010</v>
      </c>
      <c r="CL345" s="977">
        <f t="shared" si="621"/>
        <v>1056</v>
      </c>
      <c r="CM345" s="977">
        <f t="shared" si="621"/>
        <v>1106</v>
      </c>
      <c r="CN345" s="977">
        <f t="shared" si="621"/>
        <v>1161</v>
      </c>
      <c r="CO345" s="977">
        <f t="shared" si="621"/>
        <v>1223</v>
      </c>
      <c r="CP345" s="977">
        <f t="shared" si="621"/>
        <v>1290</v>
      </c>
      <c r="CQ345" s="977">
        <f t="shared" si="621"/>
        <v>1366</v>
      </c>
      <c r="CR345" s="977">
        <f t="shared" si="621"/>
        <v>1452</v>
      </c>
      <c r="CS345" s="977">
        <f t="shared" si="621"/>
        <v>1549</v>
      </c>
      <c r="CT345" s="977">
        <f t="shared" si="621"/>
        <v>1659</v>
      </c>
      <c r="CU345" s="977">
        <f t="shared" si="621"/>
        <v>1787</v>
      </c>
      <c r="CV345" s="977">
        <f t="shared" si="621"/>
        <v>1936</v>
      </c>
      <c r="CW345" s="977">
        <f t="shared" si="621"/>
        <v>2112</v>
      </c>
      <c r="CX345" s="977">
        <f t="shared" si="621"/>
        <v>2323</v>
      </c>
      <c r="CY345" s="977">
        <f t="shared" si="621"/>
        <v>2581</v>
      </c>
      <c r="CZ345" s="977">
        <f t="shared" si="621"/>
        <v>2904</v>
      </c>
      <c r="DA345" s="977">
        <f t="shared" si="621"/>
        <v>3319</v>
      </c>
      <c r="DB345" s="977">
        <f t="shared" si="621"/>
        <v>3872</v>
      </c>
      <c r="DC345" s="977">
        <f t="shared" si="621"/>
        <v>4647</v>
      </c>
      <c r="DD345" s="977">
        <f t="shared" si="621"/>
        <v>5809</v>
      </c>
      <c r="DE345" s="977">
        <f t="shared" si="621"/>
        <v>7745</v>
      </c>
      <c r="DF345" s="981">
        <f t="shared" si="621"/>
        <v>11618</v>
      </c>
      <c r="DG345" s="975"/>
      <c r="DH345" s="975" t="str">
        <f t="shared" si="46"/>
        <v/>
      </c>
      <c r="DI345" s="967" t="str">
        <f t="shared" si="47"/>
        <v/>
      </c>
      <c r="DJ345" s="967" t="str">
        <f t="shared" si="48"/>
        <v/>
      </c>
      <c r="DK345" s="980"/>
      <c r="DL345" s="967"/>
      <c r="DM345" s="967"/>
      <c r="DN345" s="977">
        <f t="shared" si="613"/>
        <v>1.4</v>
      </c>
      <c r="DO345" s="975"/>
      <c r="DP345" s="982" t="s">
        <v>1634</v>
      </c>
    </row>
    <row r="346" hidden="1">
      <c r="A346" s="809">
        <v>340.0</v>
      </c>
      <c r="B346" s="337">
        <v>96.0</v>
      </c>
      <c r="C346" s="347"/>
      <c r="D346" s="347"/>
      <c r="E346" s="347"/>
      <c r="F346" s="347"/>
      <c r="G346" s="347"/>
      <c r="H346" s="347"/>
      <c r="I346" s="347"/>
      <c r="J346" s="347"/>
      <c r="K346" s="347"/>
      <c r="L346" s="347"/>
      <c r="M346" s="810"/>
      <c r="N346" s="986" t="s">
        <v>2381</v>
      </c>
      <c r="O346" s="844"/>
      <c r="P346" s="987"/>
      <c r="Q346" s="987"/>
      <c r="R346" s="814" t="s">
        <v>2382</v>
      </c>
      <c r="S346" s="987"/>
      <c r="T346" s="988"/>
      <c r="U346" s="347"/>
      <c r="V346" s="347"/>
      <c r="W346" s="347"/>
      <c r="X346" s="347"/>
      <c r="Y346" s="347"/>
      <c r="Z346" s="347"/>
      <c r="AA346" s="347"/>
      <c r="AB346" s="347"/>
      <c r="AC346" s="347"/>
      <c r="AD346" s="347"/>
      <c r="AE346" s="347"/>
      <c r="AF346" s="347"/>
      <c r="AG346" s="347"/>
      <c r="AH346" s="347"/>
      <c r="AI346" s="810"/>
      <c r="AJ346" s="347"/>
      <c r="AK346" s="347"/>
      <c r="AL346" s="347"/>
      <c r="AM346" s="347"/>
      <c r="AN346" s="347"/>
      <c r="AO346" s="347"/>
      <c r="AP346" s="347"/>
      <c r="AQ346" s="347"/>
      <c r="AR346" s="347"/>
      <c r="AS346" s="810"/>
      <c r="AT346" s="349"/>
      <c r="AU346" s="349"/>
      <c r="AV346" s="810"/>
      <c r="AW346" s="347"/>
      <c r="AX346" s="347"/>
      <c r="AY346" s="347"/>
      <c r="AZ346" s="347"/>
      <c r="BA346" s="347"/>
      <c r="BB346" s="347"/>
      <c r="BC346" s="347"/>
      <c r="BD346" s="347"/>
      <c r="BE346" s="347"/>
      <c r="BF346" s="347"/>
      <c r="BG346" s="347"/>
      <c r="BH346" s="347"/>
      <c r="BI346" s="347"/>
      <c r="BJ346" s="347"/>
      <c r="BK346" s="347"/>
      <c r="BL346" s="347"/>
      <c r="BM346" s="347"/>
      <c r="BN346" s="347"/>
      <c r="BO346" s="347"/>
      <c r="BP346" s="810"/>
      <c r="BQ346" s="347"/>
      <c r="BR346" s="347"/>
      <c r="BS346" s="347"/>
      <c r="BT346" s="347"/>
      <c r="BU346" s="347"/>
      <c r="BV346" s="347"/>
      <c r="BW346" s="989"/>
      <c r="BX346" s="347"/>
      <c r="BY346" s="347"/>
      <c r="BZ346" s="347"/>
      <c r="CA346" s="347"/>
      <c r="CB346" s="347"/>
      <c r="CC346" s="347"/>
      <c r="CD346" s="347"/>
      <c r="CE346" s="820"/>
      <c r="CF346" s="347"/>
      <c r="CG346" s="810"/>
      <c r="CH346" s="990" t="s">
        <v>2381</v>
      </c>
      <c r="CI346" s="347"/>
      <c r="CJ346" s="347"/>
      <c r="CK346" s="347"/>
      <c r="CL346" s="347"/>
      <c r="CM346" s="347"/>
      <c r="CN346" s="347"/>
      <c r="CO346" s="347"/>
      <c r="CP346" s="347"/>
      <c r="CQ346" s="347"/>
      <c r="CR346" s="347"/>
      <c r="CS346" s="347"/>
      <c r="CT346" s="347"/>
      <c r="CU346" s="347"/>
      <c r="CV346" s="347"/>
      <c r="CW346" s="347"/>
      <c r="CX346" s="347"/>
      <c r="CY346" s="347"/>
      <c r="CZ346" s="347"/>
      <c r="DA346" s="347"/>
      <c r="DB346" s="347"/>
      <c r="DC346" s="347"/>
      <c r="DD346" s="347"/>
      <c r="DE346" s="347"/>
      <c r="DF346" s="810"/>
      <c r="DG346" s="810"/>
      <c r="DH346" s="810"/>
      <c r="DI346" s="347"/>
      <c r="DJ346" s="347"/>
      <c r="DK346" s="820"/>
      <c r="DL346" s="347"/>
      <c r="DM346" s="347"/>
      <c r="DN346" s="347"/>
      <c r="DO346" s="810"/>
      <c r="DP346" s="824"/>
    </row>
    <row r="347" hidden="1">
      <c r="A347" s="809">
        <v>341.0</v>
      </c>
      <c r="B347" s="337">
        <v>97.0</v>
      </c>
      <c r="C347" s="347"/>
      <c r="D347" s="347"/>
      <c r="E347" s="347"/>
      <c r="F347" s="347"/>
      <c r="G347" s="347"/>
      <c r="H347" s="347"/>
      <c r="I347" s="347"/>
      <c r="J347" s="347"/>
      <c r="K347" s="347"/>
      <c r="L347" s="347"/>
      <c r="M347" s="810"/>
      <c r="N347" s="986" t="s">
        <v>2383</v>
      </c>
      <c r="O347" s="844"/>
      <c r="P347" s="987"/>
      <c r="Q347" s="987"/>
      <c r="R347" s="814" t="s">
        <v>2382</v>
      </c>
      <c r="S347" s="987"/>
      <c r="T347" s="988"/>
      <c r="U347" s="347"/>
      <c r="V347" s="347"/>
      <c r="W347" s="347"/>
      <c r="X347" s="347"/>
      <c r="Y347" s="347"/>
      <c r="Z347" s="347"/>
      <c r="AA347" s="347"/>
      <c r="AB347" s="347"/>
      <c r="AC347" s="347"/>
      <c r="AD347" s="347"/>
      <c r="AE347" s="347"/>
      <c r="AF347" s="347"/>
      <c r="AG347" s="347"/>
      <c r="AH347" s="347"/>
      <c r="AI347" s="810"/>
      <c r="AJ347" s="347"/>
      <c r="AK347" s="347"/>
      <c r="AL347" s="347"/>
      <c r="AM347" s="347"/>
      <c r="AN347" s="347"/>
      <c r="AO347" s="347"/>
      <c r="AP347" s="347"/>
      <c r="AQ347" s="347"/>
      <c r="AR347" s="347"/>
      <c r="AS347" s="810"/>
      <c r="AT347" s="349"/>
      <c r="AU347" s="349"/>
      <c r="AV347" s="810"/>
      <c r="AW347" s="347"/>
      <c r="AX347" s="347"/>
      <c r="AY347" s="347"/>
      <c r="AZ347" s="347"/>
      <c r="BA347" s="347"/>
      <c r="BB347" s="347"/>
      <c r="BC347" s="347"/>
      <c r="BD347" s="347"/>
      <c r="BE347" s="347"/>
      <c r="BF347" s="347"/>
      <c r="BG347" s="347"/>
      <c r="BH347" s="347"/>
      <c r="BI347" s="347"/>
      <c r="BJ347" s="347"/>
      <c r="BK347" s="347"/>
      <c r="BL347" s="347"/>
      <c r="BM347" s="347"/>
      <c r="BN347" s="347"/>
      <c r="BO347" s="347"/>
      <c r="BP347" s="810"/>
      <c r="BQ347" s="347"/>
      <c r="BR347" s="347"/>
      <c r="BS347" s="347"/>
      <c r="BT347" s="347"/>
      <c r="BU347" s="347"/>
      <c r="BV347" s="347"/>
      <c r="BW347" s="989"/>
      <c r="BX347" s="347"/>
      <c r="BY347" s="347"/>
      <c r="BZ347" s="347"/>
      <c r="CA347" s="347"/>
      <c r="CB347" s="347"/>
      <c r="CC347" s="347"/>
      <c r="CD347" s="347"/>
      <c r="CE347" s="820"/>
      <c r="CF347" s="347"/>
      <c r="CG347" s="810"/>
      <c r="CH347" s="990" t="s">
        <v>2383</v>
      </c>
      <c r="CI347" s="347"/>
      <c r="CJ347" s="347"/>
      <c r="CK347" s="347"/>
      <c r="CL347" s="347"/>
      <c r="CM347" s="347"/>
      <c r="CN347" s="347"/>
      <c r="CO347" s="347"/>
      <c r="CP347" s="347"/>
      <c r="CQ347" s="347"/>
      <c r="CR347" s="347"/>
      <c r="CS347" s="347"/>
      <c r="CT347" s="347"/>
      <c r="CU347" s="347"/>
      <c r="CV347" s="347"/>
      <c r="CW347" s="347"/>
      <c r="CX347" s="347"/>
      <c r="CY347" s="347"/>
      <c r="CZ347" s="347"/>
      <c r="DA347" s="347"/>
      <c r="DB347" s="347"/>
      <c r="DC347" s="347"/>
      <c r="DD347" s="347"/>
      <c r="DE347" s="347"/>
      <c r="DF347" s="810"/>
      <c r="DG347" s="810"/>
      <c r="DH347" s="810"/>
      <c r="DI347" s="347"/>
      <c r="DJ347" s="347"/>
      <c r="DK347" s="820"/>
      <c r="DL347" s="347"/>
      <c r="DM347" s="347"/>
      <c r="DN347" s="347"/>
      <c r="DO347" s="810"/>
      <c r="DP347" s="824"/>
    </row>
    <row r="348" hidden="1">
      <c r="A348" s="809">
        <v>342.0</v>
      </c>
      <c r="B348" s="337">
        <v>98.0</v>
      </c>
      <c r="C348" s="347"/>
      <c r="D348" s="347"/>
      <c r="E348" s="347"/>
      <c r="F348" s="347"/>
      <c r="G348" s="347"/>
      <c r="H348" s="347"/>
      <c r="I348" s="347"/>
      <c r="J348" s="347"/>
      <c r="K348" s="347"/>
      <c r="L348" s="347"/>
      <c r="M348" s="810"/>
      <c r="N348" s="986" t="s">
        <v>2384</v>
      </c>
      <c r="O348" s="844"/>
      <c r="P348" s="987"/>
      <c r="Q348" s="987"/>
      <c r="R348" s="814" t="s">
        <v>2382</v>
      </c>
      <c r="S348" s="987"/>
      <c r="T348" s="988"/>
      <c r="U348" s="347"/>
      <c r="V348" s="347"/>
      <c r="W348" s="347"/>
      <c r="X348" s="347"/>
      <c r="Y348" s="347"/>
      <c r="Z348" s="347"/>
      <c r="AA348" s="347"/>
      <c r="AB348" s="347"/>
      <c r="AC348" s="347"/>
      <c r="AD348" s="347"/>
      <c r="AE348" s="347"/>
      <c r="AF348" s="347"/>
      <c r="AG348" s="347"/>
      <c r="AH348" s="347"/>
      <c r="AI348" s="810"/>
      <c r="AJ348" s="347"/>
      <c r="AK348" s="347"/>
      <c r="AL348" s="347"/>
      <c r="AM348" s="347"/>
      <c r="AN348" s="347"/>
      <c r="AO348" s="347"/>
      <c r="AP348" s="347"/>
      <c r="AQ348" s="347"/>
      <c r="AR348" s="347"/>
      <c r="AS348" s="810"/>
      <c r="AT348" s="349"/>
      <c r="AU348" s="349"/>
      <c r="AV348" s="810"/>
      <c r="AW348" s="347"/>
      <c r="AX348" s="347"/>
      <c r="AY348" s="347"/>
      <c r="AZ348" s="347"/>
      <c r="BA348" s="347"/>
      <c r="BB348" s="347"/>
      <c r="BC348" s="347"/>
      <c r="BD348" s="347"/>
      <c r="BE348" s="347"/>
      <c r="BF348" s="347"/>
      <c r="BG348" s="347"/>
      <c r="BH348" s="347"/>
      <c r="BI348" s="347"/>
      <c r="BJ348" s="347"/>
      <c r="BK348" s="347"/>
      <c r="BL348" s="347"/>
      <c r="BM348" s="347"/>
      <c r="BN348" s="347"/>
      <c r="BO348" s="347"/>
      <c r="BP348" s="810"/>
      <c r="BQ348" s="347"/>
      <c r="BR348" s="347"/>
      <c r="BS348" s="347"/>
      <c r="BT348" s="347"/>
      <c r="BU348" s="347"/>
      <c r="BV348" s="347"/>
      <c r="BW348" s="989"/>
      <c r="BX348" s="347"/>
      <c r="BY348" s="347"/>
      <c r="BZ348" s="347"/>
      <c r="CA348" s="347"/>
      <c r="CB348" s="347"/>
      <c r="CC348" s="347"/>
      <c r="CD348" s="347"/>
      <c r="CE348" s="820"/>
      <c r="CF348" s="347"/>
      <c r="CG348" s="810"/>
      <c r="CH348" s="990" t="s">
        <v>2384</v>
      </c>
      <c r="CI348" s="347"/>
      <c r="CJ348" s="347"/>
      <c r="CK348" s="347"/>
      <c r="CL348" s="347"/>
      <c r="CM348" s="347"/>
      <c r="CN348" s="347"/>
      <c r="CO348" s="347"/>
      <c r="CP348" s="347"/>
      <c r="CQ348" s="347"/>
      <c r="CR348" s="347"/>
      <c r="CS348" s="347"/>
      <c r="CT348" s="347"/>
      <c r="CU348" s="347"/>
      <c r="CV348" s="347"/>
      <c r="CW348" s="347"/>
      <c r="CX348" s="347"/>
      <c r="CY348" s="347"/>
      <c r="CZ348" s="347"/>
      <c r="DA348" s="347"/>
      <c r="DB348" s="347"/>
      <c r="DC348" s="347"/>
      <c r="DD348" s="347"/>
      <c r="DE348" s="347"/>
      <c r="DF348" s="810"/>
      <c r="DG348" s="810"/>
      <c r="DH348" s="810"/>
      <c r="DI348" s="347"/>
      <c r="DJ348" s="347"/>
      <c r="DK348" s="820"/>
      <c r="DL348" s="347"/>
      <c r="DM348" s="347"/>
      <c r="DN348" s="347"/>
      <c r="DO348" s="810"/>
      <c r="DP348" s="824"/>
    </row>
    <row r="349" hidden="1">
      <c r="A349" s="809">
        <v>343.0</v>
      </c>
      <c r="B349" s="337">
        <v>99.0</v>
      </c>
      <c r="C349" s="347"/>
      <c r="D349" s="347"/>
      <c r="E349" s="347"/>
      <c r="F349" s="347"/>
      <c r="G349" s="347"/>
      <c r="H349" s="347"/>
      <c r="I349" s="347"/>
      <c r="J349" s="347"/>
      <c r="K349" s="347"/>
      <c r="L349" s="347"/>
      <c r="M349" s="810"/>
      <c r="N349" s="986" t="s">
        <v>2385</v>
      </c>
      <c r="O349" s="844"/>
      <c r="P349" s="987"/>
      <c r="Q349" s="987"/>
      <c r="R349" s="814" t="s">
        <v>2382</v>
      </c>
      <c r="S349" s="987"/>
      <c r="T349" s="988"/>
      <c r="U349" s="347"/>
      <c r="V349" s="347"/>
      <c r="W349" s="347"/>
      <c r="X349" s="347"/>
      <c r="Y349" s="347"/>
      <c r="Z349" s="347"/>
      <c r="AA349" s="347"/>
      <c r="AB349" s="347"/>
      <c r="AC349" s="347"/>
      <c r="AD349" s="347"/>
      <c r="AE349" s="347"/>
      <c r="AF349" s="347"/>
      <c r="AG349" s="347"/>
      <c r="AH349" s="347"/>
      <c r="AI349" s="810"/>
      <c r="AJ349" s="347"/>
      <c r="AK349" s="347"/>
      <c r="AL349" s="347"/>
      <c r="AM349" s="347"/>
      <c r="AN349" s="347"/>
      <c r="AO349" s="347"/>
      <c r="AP349" s="347"/>
      <c r="AQ349" s="347"/>
      <c r="AR349" s="347"/>
      <c r="AS349" s="810"/>
      <c r="AT349" s="349"/>
      <c r="AU349" s="349"/>
      <c r="AV349" s="810"/>
      <c r="AW349" s="347"/>
      <c r="AX349" s="347"/>
      <c r="AY349" s="347"/>
      <c r="AZ349" s="347"/>
      <c r="BA349" s="347"/>
      <c r="BB349" s="347"/>
      <c r="BC349" s="347"/>
      <c r="BD349" s="347"/>
      <c r="BE349" s="347"/>
      <c r="BF349" s="347"/>
      <c r="BG349" s="347"/>
      <c r="BH349" s="347"/>
      <c r="BI349" s="347"/>
      <c r="BJ349" s="347"/>
      <c r="BK349" s="347"/>
      <c r="BL349" s="347"/>
      <c r="BM349" s="347"/>
      <c r="BN349" s="347"/>
      <c r="BO349" s="347"/>
      <c r="BP349" s="810"/>
      <c r="BQ349" s="347"/>
      <c r="BR349" s="347"/>
      <c r="BS349" s="347"/>
      <c r="BT349" s="347"/>
      <c r="BU349" s="347"/>
      <c r="BV349" s="347"/>
      <c r="BW349" s="989"/>
      <c r="BX349" s="347"/>
      <c r="BY349" s="347"/>
      <c r="BZ349" s="347"/>
      <c r="CA349" s="347"/>
      <c r="CB349" s="347"/>
      <c r="CC349" s="347"/>
      <c r="CD349" s="347"/>
      <c r="CE349" s="820"/>
      <c r="CF349" s="347"/>
      <c r="CG349" s="810"/>
      <c r="CH349" s="990" t="s">
        <v>2385</v>
      </c>
      <c r="CI349" s="347"/>
      <c r="CJ349" s="347"/>
      <c r="CK349" s="347"/>
      <c r="CL349" s="347"/>
      <c r="CM349" s="347"/>
      <c r="CN349" s="347"/>
      <c r="CO349" s="347"/>
      <c r="CP349" s="347"/>
      <c r="CQ349" s="347"/>
      <c r="CR349" s="347"/>
      <c r="CS349" s="347"/>
      <c r="CT349" s="347"/>
      <c r="CU349" s="347"/>
      <c r="CV349" s="347"/>
      <c r="CW349" s="347"/>
      <c r="CX349" s="347"/>
      <c r="CY349" s="347"/>
      <c r="CZ349" s="347"/>
      <c r="DA349" s="347"/>
      <c r="DB349" s="347"/>
      <c r="DC349" s="347"/>
      <c r="DD349" s="347"/>
      <c r="DE349" s="347"/>
      <c r="DF349" s="810"/>
      <c r="DG349" s="810"/>
      <c r="DH349" s="810"/>
      <c r="DI349" s="347"/>
      <c r="DJ349" s="347"/>
      <c r="DK349" s="820"/>
      <c r="DL349" s="347"/>
      <c r="DM349" s="347"/>
      <c r="DN349" s="347"/>
      <c r="DO349" s="810"/>
      <c r="DP349" s="824"/>
    </row>
    <row r="350" hidden="1">
      <c r="A350" s="809">
        <v>344.0</v>
      </c>
      <c r="B350" s="337">
        <v>100.0</v>
      </c>
      <c r="C350" s="347"/>
      <c r="D350" s="347"/>
      <c r="E350" s="347"/>
      <c r="F350" s="347"/>
      <c r="G350" s="347"/>
      <c r="H350" s="347"/>
      <c r="I350" s="347"/>
      <c r="J350" s="347"/>
      <c r="K350" s="347"/>
      <c r="L350" s="347"/>
      <c r="M350" s="810"/>
      <c r="N350" s="991" t="s">
        <v>2386</v>
      </c>
      <c r="O350" s="844"/>
      <c r="P350" s="987"/>
      <c r="Q350" s="987"/>
      <c r="R350" s="814" t="s">
        <v>2382</v>
      </c>
      <c r="S350" s="987"/>
      <c r="T350" s="988"/>
      <c r="U350" s="347"/>
      <c r="V350" s="347"/>
      <c r="W350" s="347"/>
      <c r="X350" s="347"/>
      <c r="Y350" s="347"/>
      <c r="Z350" s="347"/>
      <c r="AA350" s="347"/>
      <c r="AB350" s="347"/>
      <c r="AC350" s="347"/>
      <c r="AD350" s="347"/>
      <c r="AE350" s="347"/>
      <c r="AF350" s="347"/>
      <c r="AG350" s="347"/>
      <c r="AH350" s="347"/>
      <c r="AI350" s="810"/>
      <c r="AJ350" s="347"/>
      <c r="AK350" s="347"/>
      <c r="AL350" s="347"/>
      <c r="AM350" s="347"/>
      <c r="AN350" s="347"/>
      <c r="AO350" s="347"/>
      <c r="AP350" s="347"/>
      <c r="AQ350" s="347"/>
      <c r="AR350" s="347"/>
      <c r="AS350" s="810"/>
      <c r="AT350" s="349"/>
      <c r="AU350" s="349"/>
      <c r="AV350" s="810"/>
      <c r="AW350" s="347"/>
      <c r="AX350" s="347"/>
      <c r="AY350" s="347"/>
      <c r="AZ350" s="347"/>
      <c r="BA350" s="347"/>
      <c r="BB350" s="347"/>
      <c r="BC350" s="347"/>
      <c r="BD350" s="347"/>
      <c r="BE350" s="347"/>
      <c r="BF350" s="347"/>
      <c r="BG350" s="347"/>
      <c r="BH350" s="347"/>
      <c r="BI350" s="347"/>
      <c r="BJ350" s="347"/>
      <c r="BK350" s="347"/>
      <c r="BL350" s="347"/>
      <c r="BM350" s="347"/>
      <c r="BN350" s="347"/>
      <c r="BO350" s="347"/>
      <c r="BP350" s="810"/>
      <c r="BQ350" s="347"/>
      <c r="BR350" s="347"/>
      <c r="BS350" s="347"/>
      <c r="BT350" s="347"/>
      <c r="BU350" s="347"/>
      <c r="BV350" s="347"/>
      <c r="BW350" s="989"/>
      <c r="BX350" s="347"/>
      <c r="BY350" s="347"/>
      <c r="BZ350" s="347"/>
      <c r="CA350" s="347"/>
      <c r="CB350" s="347"/>
      <c r="CC350" s="347"/>
      <c r="CD350" s="347"/>
      <c r="CE350" s="820"/>
      <c r="CF350" s="347"/>
      <c r="CG350" s="810"/>
      <c r="CH350" s="991" t="s">
        <v>2386</v>
      </c>
      <c r="CI350" s="347"/>
      <c r="CJ350" s="347"/>
      <c r="CK350" s="347"/>
      <c r="CL350" s="347"/>
      <c r="CM350" s="347"/>
      <c r="CN350" s="347"/>
      <c r="CO350" s="347"/>
      <c r="CP350" s="347"/>
      <c r="CQ350" s="347"/>
      <c r="CR350" s="347"/>
      <c r="CS350" s="347"/>
      <c r="CT350" s="347"/>
      <c r="CU350" s="347"/>
      <c r="CV350" s="347"/>
      <c r="CW350" s="347"/>
      <c r="CX350" s="347"/>
      <c r="CY350" s="347"/>
      <c r="CZ350" s="347"/>
      <c r="DA350" s="347"/>
      <c r="DB350" s="347"/>
      <c r="DC350" s="347"/>
      <c r="DD350" s="347"/>
      <c r="DE350" s="347"/>
      <c r="DF350" s="810"/>
      <c r="DG350" s="810"/>
      <c r="DH350" s="810"/>
      <c r="DI350" s="347"/>
      <c r="DJ350" s="347"/>
      <c r="DK350" s="820"/>
      <c r="DL350" s="347"/>
      <c r="DM350" s="347"/>
      <c r="DN350" s="347"/>
      <c r="DO350" s="810"/>
      <c r="DP350" s="824"/>
    </row>
    <row r="351" hidden="1">
      <c r="A351" s="809">
        <v>345.0</v>
      </c>
      <c r="B351" s="337">
        <v>101.0</v>
      </c>
      <c r="C351" s="347"/>
      <c r="D351" s="347"/>
      <c r="E351" s="347"/>
      <c r="F351" s="347"/>
      <c r="G351" s="347"/>
      <c r="H351" s="347"/>
      <c r="I351" s="347"/>
      <c r="J351" s="347"/>
      <c r="K351" s="347"/>
      <c r="L351" s="347"/>
      <c r="M351" s="810"/>
      <c r="N351" s="986" t="s">
        <v>2387</v>
      </c>
      <c r="O351" s="844"/>
      <c r="P351" s="987"/>
      <c r="Q351" s="987"/>
      <c r="R351" s="814" t="s">
        <v>2382</v>
      </c>
      <c r="S351" s="987"/>
      <c r="T351" s="988"/>
      <c r="U351" s="347"/>
      <c r="V351" s="347"/>
      <c r="W351" s="347"/>
      <c r="X351" s="347"/>
      <c r="Y351" s="347"/>
      <c r="Z351" s="347"/>
      <c r="AA351" s="347"/>
      <c r="AB351" s="347"/>
      <c r="AC351" s="347"/>
      <c r="AD351" s="347"/>
      <c r="AE351" s="347"/>
      <c r="AF351" s="347"/>
      <c r="AG351" s="347"/>
      <c r="AH351" s="347"/>
      <c r="AI351" s="810"/>
      <c r="AJ351" s="347"/>
      <c r="AK351" s="347"/>
      <c r="AL351" s="347"/>
      <c r="AM351" s="347"/>
      <c r="AN351" s="347"/>
      <c r="AO351" s="347"/>
      <c r="AP351" s="347"/>
      <c r="AQ351" s="347"/>
      <c r="AR351" s="347"/>
      <c r="AS351" s="810"/>
      <c r="AT351" s="349"/>
      <c r="AU351" s="349"/>
      <c r="AV351" s="810"/>
      <c r="AW351" s="347"/>
      <c r="AX351" s="347"/>
      <c r="AY351" s="347"/>
      <c r="AZ351" s="347"/>
      <c r="BA351" s="347"/>
      <c r="BB351" s="347"/>
      <c r="BC351" s="347"/>
      <c r="BD351" s="347"/>
      <c r="BE351" s="347"/>
      <c r="BF351" s="347"/>
      <c r="BG351" s="347"/>
      <c r="BH351" s="347"/>
      <c r="BI351" s="347"/>
      <c r="BJ351" s="347"/>
      <c r="BK351" s="347"/>
      <c r="BL351" s="347"/>
      <c r="BM351" s="347"/>
      <c r="BN351" s="347"/>
      <c r="BO351" s="347"/>
      <c r="BP351" s="810"/>
      <c r="BQ351" s="347"/>
      <c r="BR351" s="347"/>
      <c r="BS351" s="347"/>
      <c r="BT351" s="347"/>
      <c r="BU351" s="347"/>
      <c r="BV351" s="347"/>
      <c r="BW351" s="989"/>
      <c r="BX351" s="347"/>
      <c r="BY351" s="347"/>
      <c r="BZ351" s="347"/>
      <c r="CA351" s="347"/>
      <c r="CB351" s="347"/>
      <c r="CC351" s="347"/>
      <c r="CD351" s="347"/>
      <c r="CE351" s="820"/>
      <c r="CF351" s="347"/>
      <c r="CG351" s="810"/>
      <c r="CH351" s="990" t="s">
        <v>2387</v>
      </c>
      <c r="CI351" s="347"/>
      <c r="CJ351" s="347"/>
      <c r="CK351" s="347"/>
      <c r="CL351" s="347"/>
      <c r="CM351" s="347"/>
      <c r="CN351" s="347"/>
      <c r="CO351" s="347"/>
      <c r="CP351" s="347"/>
      <c r="CQ351" s="347"/>
      <c r="CR351" s="347"/>
      <c r="CS351" s="347"/>
      <c r="CT351" s="347"/>
      <c r="CU351" s="347"/>
      <c r="CV351" s="347"/>
      <c r="CW351" s="347"/>
      <c r="CX351" s="347"/>
      <c r="CY351" s="347"/>
      <c r="CZ351" s="347"/>
      <c r="DA351" s="347"/>
      <c r="DB351" s="347"/>
      <c r="DC351" s="347"/>
      <c r="DD351" s="347"/>
      <c r="DE351" s="347"/>
      <c r="DF351" s="810"/>
      <c r="DG351" s="810"/>
      <c r="DH351" s="810"/>
      <c r="DI351" s="347"/>
      <c r="DJ351" s="347"/>
      <c r="DK351" s="820"/>
      <c r="DL351" s="347"/>
      <c r="DM351" s="347"/>
      <c r="DN351" s="347"/>
      <c r="DO351" s="810"/>
      <c r="DP351" s="824"/>
    </row>
    <row r="352" hidden="1">
      <c r="A352" s="809">
        <v>346.0</v>
      </c>
      <c r="B352" s="337">
        <v>102.0</v>
      </c>
      <c r="C352" s="347"/>
      <c r="D352" s="347"/>
      <c r="E352" s="347"/>
      <c r="F352" s="347"/>
      <c r="G352" s="347"/>
      <c r="H352" s="347"/>
      <c r="I352" s="347"/>
      <c r="J352" s="347"/>
      <c r="K352" s="347"/>
      <c r="L352" s="347"/>
      <c r="M352" s="810"/>
      <c r="N352" s="986" t="s">
        <v>2388</v>
      </c>
      <c r="O352" s="844"/>
      <c r="P352" s="987"/>
      <c r="Q352" s="987"/>
      <c r="R352" s="814" t="s">
        <v>2382</v>
      </c>
      <c r="S352" s="987"/>
      <c r="T352" s="988"/>
      <c r="U352" s="347"/>
      <c r="V352" s="347"/>
      <c r="W352" s="347"/>
      <c r="X352" s="347"/>
      <c r="Y352" s="347"/>
      <c r="Z352" s="347"/>
      <c r="AA352" s="347"/>
      <c r="AB352" s="347"/>
      <c r="AC352" s="347"/>
      <c r="AD352" s="347"/>
      <c r="AE352" s="347"/>
      <c r="AF352" s="347"/>
      <c r="AG352" s="347"/>
      <c r="AH352" s="347"/>
      <c r="AI352" s="810"/>
      <c r="AJ352" s="347"/>
      <c r="AK352" s="347"/>
      <c r="AL352" s="347"/>
      <c r="AM352" s="347"/>
      <c r="AN352" s="347"/>
      <c r="AO352" s="347"/>
      <c r="AP352" s="347"/>
      <c r="AQ352" s="347"/>
      <c r="AR352" s="347"/>
      <c r="AS352" s="810"/>
      <c r="AT352" s="349"/>
      <c r="AU352" s="349"/>
      <c r="AV352" s="810"/>
      <c r="AW352" s="347"/>
      <c r="AX352" s="347"/>
      <c r="AY352" s="347"/>
      <c r="AZ352" s="347"/>
      <c r="BA352" s="347"/>
      <c r="BB352" s="347"/>
      <c r="BC352" s="347"/>
      <c r="BD352" s="347"/>
      <c r="BE352" s="347"/>
      <c r="BF352" s="347"/>
      <c r="BG352" s="347"/>
      <c r="BH352" s="347"/>
      <c r="BI352" s="347"/>
      <c r="BJ352" s="347"/>
      <c r="BK352" s="347"/>
      <c r="BL352" s="347"/>
      <c r="BM352" s="347"/>
      <c r="BN352" s="347"/>
      <c r="BO352" s="347"/>
      <c r="BP352" s="810"/>
      <c r="BQ352" s="347"/>
      <c r="BR352" s="347"/>
      <c r="BS352" s="347"/>
      <c r="BT352" s="347"/>
      <c r="BU352" s="347"/>
      <c r="BV352" s="347"/>
      <c r="BW352" s="989"/>
      <c r="BX352" s="347"/>
      <c r="BY352" s="347"/>
      <c r="BZ352" s="347"/>
      <c r="CA352" s="347"/>
      <c r="CB352" s="347"/>
      <c r="CC352" s="347"/>
      <c r="CD352" s="347"/>
      <c r="CE352" s="820"/>
      <c r="CF352" s="347"/>
      <c r="CG352" s="810"/>
      <c r="CH352" s="990" t="s">
        <v>2388</v>
      </c>
      <c r="CI352" s="347"/>
      <c r="CJ352" s="347"/>
      <c r="CK352" s="347"/>
      <c r="CL352" s="347"/>
      <c r="CM352" s="347"/>
      <c r="CN352" s="347"/>
      <c r="CO352" s="347"/>
      <c r="CP352" s="347"/>
      <c r="CQ352" s="347"/>
      <c r="CR352" s="347"/>
      <c r="CS352" s="347"/>
      <c r="CT352" s="347"/>
      <c r="CU352" s="347"/>
      <c r="CV352" s="347"/>
      <c r="CW352" s="347"/>
      <c r="CX352" s="347"/>
      <c r="CY352" s="347"/>
      <c r="CZ352" s="347"/>
      <c r="DA352" s="347"/>
      <c r="DB352" s="347"/>
      <c r="DC352" s="347"/>
      <c r="DD352" s="347"/>
      <c r="DE352" s="347"/>
      <c r="DF352" s="810"/>
      <c r="DG352" s="810"/>
      <c r="DH352" s="810"/>
      <c r="DI352" s="347"/>
      <c r="DJ352" s="347"/>
      <c r="DK352" s="820"/>
      <c r="DL352" s="347"/>
      <c r="DM352" s="347"/>
      <c r="DN352" s="347"/>
      <c r="DO352" s="810"/>
      <c r="DP352" s="824"/>
    </row>
    <row r="353" hidden="1">
      <c r="A353" s="809">
        <v>347.0</v>
      </c>
      <c r="B353" s="337">
        <v>103.0</v>
      </c>
      <c r="C353" s="347"/>
      <c r="D353" s="347"/>
      <c r="E353" s="347"/>
      <c r="F353" s="347"/>
      <c r="G353" s="347"/>
      <c r="H353" s="347"/>
      <c r="I353" s="347"/>
      <c r="J353" s="347"/>
      <c r="K353" s="347"/>
      <c r="L353" s="347"/>
      <c r="M353" s="810"/>
      <c r="N353" s="986" t="s">
        <v>2389</v>
      </c>
      <c r="O353" s="844"/>
      <c r="P353" s="987"/>
      <c r="Q353" s="987"/>
      <c r="R353" s="814" t="s">
        <v>2382</v>
      </c>
      <c r="S353" s="987"/>
      <c r="T353" s="988"/>
      <c r="U353" s="347"/>
      <c r="V353" s="347"/>
      <c r="W353" s="347"/>
      <c r="X353" s="347"/>
      <c r="Y353" s="347"/>
      <c r="Z353" s="347"/>
      <c r="AA353" s="347"/>
      <c r="AB353" s="347"/>
      <c r="AC353" s="347"/>
      <c r="AD353" s="347"/>
      <c r="AE353" s="347"/>
      <c r="AF353" s="347"/>
      <c r="AG353" s="347"/>
      <c r="AH353" s="347"/>
      <c r="AI353" s="810"/>
      <c r="AJ353" s="347"/>
      <c r="AK353" s="347"/>
      <c r="AL353" s="347"/>
      <c r="AM353" s="347"/>
      <c r="AN353" s="347"/>
      <c r="AO353" s="347"/>
      <c r="AP353" s="347"/>
      <c r="AQ353" s="347"/>
      <c r="AR353" s="347"/>
      <c r="AS353" s="810"/>
      <c r="AT353" s="349"/>
      <c r="AU353" s="349"/>
      <c r="AV353" s="810"/>
      <c r="AW353" s="347"/>
      <c r="AX353" s="347"/>
      <c r="AY353" s="347"/>
      <c r="AZ353" s="347"/>
      <c r="BA353" s="347"/>
      <c r="BB353" s="347"/>
      <c r="BC353" s="347"/>
      <c r="BD353" s="347"/>
      <c r="BE353" s="347"/>
      <c r="BF353" s="347"/>
      <c r="BG353" s="347"/>
      <c r="BH353" s="347"/>
      <c r="BI353" s="347"/>
      <c r="BJ353" s="347"/>
      <c r="BK353" s="347"/>
      <c r="BL353" s="347"/>
      <c r="BM353" s="347"/>
      <c r="BN353" s="347"/>
      <c r="BO353" s="347"/>
      <c r="BP353" s="810"/>
      <c r="BQ353" s="347"/>
      <c r="BR353" s="347"/>
      <c r="BS353" s="347"/>
      <c r="BT353" s="347"/>
      <c r="BU353" s="347"/>
      <c r="BV353" s="347"/>
      <c r="BW353" s="989"/>
      <c r="BX353" s="347"/>
      <c r="BY353" s="347"/>
      <c r="BZ353" s="347"/>
      <c r="CA353" s="347"/>
      <c r="CB353" s="347"/>
      <c r="CC353" s="347"/>
      <c r="CD353" s="347"/>
      <c r="CE353" s="820"/>
      <c r="CF353" s="347"/>
      <c r="CG353" s="810"/>
      <c r="CH353" s="990" t="s">
        <v>2389</v>
      </c>
      <c r="CI353" s="347"/>
      <c r="CJ353" s="347"/>
      <c r="CK353" s="347"/>
      <c r="CL353" s="347"/>
      <c r="CM353" s="347"/>
      <c r="CN353" s="347"/>
      <c r="CO353" s="347"/>
      <c r="CP353" s="347"/>
      <c r="CQ353" s="347"/>
      <c r="CR353" s="347"/>
      <c r="CS353" s="347"/>
      <c r="CT353" s="347"/>
      <c r="CU353" s="347"/>
      <c r="CV353" s="347"/>
      <c r="CW353" s="347"/>
      <c r="CX353" s="347"/>
      <c r="CY353" s="347"/>
      <c r="CZ353" s="347"/>
      <c r="DA353" s="347"/>
      <c r="DB353" s="347"/>
      <c r="DC353" s="347"/>
      <c r="DD353" s="347"/>
      <c r="DE353" s="347"/>
      <c r="DF353" s="810"/>
      <c r="DG353" s="810"/>
      <c r="DH353" s="810"/>
      <c r="DI353" s="347"/>
      <c r="DJ353" s="347"/>
      <c r="DK353" s="820"/>
      <c r="DL353" s="347"/>
      <c r="DM353" s="347"/>
      <c r="DN353" s="347"/>
      <c r="DO353" s="810"/>
      <c r="DP353" s="824"/>
    </row>
    <row r="354" hidden="1">
      <c r="A354" s="809">
        <v>348.0</v>
      </c>
      <c r="B354" s="337">
        <v>104.0</v>
      </c>
      <c r="C354" s="347"/>
      <c r="D354" s="347"/>
      <c r="E354" s="347"/>
      <c r="F354" s="347"/>
      <c r="G354" s="347"/>
      <c r="H354" s="347"/>
      <c r="I354" s="347"/>
      <c r="J354" s="347"/>
      <c r="K354" s="347"/>
      <c r="L354" s="347"/>
      <c r="M354" s="810"/>
      <c r="N354" s="986" t="s">
        <v>2390</v>
      </c>
      <c r="O354" s="844"/>
      <c r="P354" s="987"/>
      <c r="Q354" s="987"/>
      <c r="R354" s="814" t="s">
        <v>2382</v>
      </c>
      <c r="S354" s="987"/>
      <c r="T354" s="988"/>
      <c r="U354" s="347"/>
      <c r="V354" s="347"/>
      <c r="W354" s="347"/>
      <c r="X354" s="347"/>
      <c r="Y354" s="347"/>
      <c r="Z354" s="347"/>
      <c r="AA354" s="347"/>
      <c r="AB354" s="347"/>
      <c r="AC354" s="347"/>
      <c r="AD354" s="347"/>
      <c r="AE354" s="347"/>
      <c r="AF354" s="347"/>
      <c r="AG354" s="347"/>
      <c r="AH354" s="347"/>
      <c r="AI354" s="810"/>
      <c r="AJ354" s="347"/>
      <c r="AK354" s="347"/>
      <c r="AL354" s="347"/>
      <c r="AM354" s="347"/>
      <c r="AN354" s="347"/>
      <c r="AO354" s="347"/>
      <c r="AP354" s="347"/>
      <c r="AQ354" s="347"/>
      <c r="AR354" s="347"/>
      <c r="AS354" s="810"/>
      <c r="AT354" s="349"/>
      <c r="AU354" s="349"/>
      <c r="AV354" s="810"/>
      <c r="AW354" s="347"/>
      <c r="AX354" s="347"/>
      <c r="AY354" s="347"/>
      <c r="AZ354" s="347"/>
      <c r="BA354" s="347"/>
      <c r="BB354" s="347"/>
      <c r="BC354" s="347"/>
      <c r="BD354" s="347"/>
      <c r="BE354" s="347"/>
      <c r="BF354" s="347"/>
      <c r="BG354" s="347"/>
      <c r="BH354" s="347"/>
      <c r="BI354" s="347"/>
      <c r="BJ354" s="347"/>
      <c r="BK354" s="347"/>
      <c r="BL354" s="347"/>
      <c r="BM354" s="347"/>
      <c r="BN354" s="347"/>
      <c r="BO354" s="347"/>
      <c r="BP354" s="810"/>
      <c r="BQ354" s="347"/>
      <c r="BR354" s="347"/>
      <c r="BS354" s="347"/>
      <c r="BT354" s="347"/>
      <c r="BU354" s="347"/>
      <c r="BV354" s="347"/>
      <c r="BW354" s="989"/>
      <c r="BX354" s="347"/>
      <c r="BY354" s="347"/>
      <c r="BZ354" s="347"/>
      <c r="CA354" s="347"/>
      <c r="CB354" s="347"/>
      <c r="CC354" s="347"/>
      <c r="CD354" s="347"/>
      <c r="CE354" s="820"/>
      <c r="CF354" s="347"/>
      <c r="CG354" s="810"/>
      <c r="CH354" s="990" t="s">
        <v>2390</v>
      </c>
      <c r="CI354" s="347"/>
      <c r="CJ354" s="347"/>
      <c r="CK354" s="347"/>
      <c r="CL354" s="347"/>
      <c r="CM354" s="347"/>
      <c r="CN354" s="347"/>
      <c r="CO354" s="347"/>
      <c r="CP354" s="347"/>
      <c r="CQ354" s="347"/>
      <c r="CR354" s="347"/>
      <c r="CS354" s="347"/>
      <c r="CT354" s="347"/>
      <c r="CU354" s="347"/>
      <c r="CV354" s="347"/>
      <c r="CW354" s="347"/>
      <c r="CX354" s="347"/>
      <c r="CY354" s="347"/>
      <c r="CZ354" s="347"/>
      <c r="DA354" s="347"/>
      <c r="DB354" s="347"/>
      <c r="DC354" s="347"/>
      <c r="DD354" s="347"/>
      <c r="DE354" s="347"/>
      <c r="DF354" s="810"/>
      <c r="DG354" s="810"/>
      <c r="DH354" s="810"/>
      <c r="DI354" s="347"/>
      <c r="DJ354" s="347"/>
      <c r="DK354" s="820"/>
      <c r="DL354" s="347"/>
      <c r="DM354" s="347"/>
      <c r="DN354" s="347"/>
      <c r="DO354" s="810"/>
      <c r="DP354" s="824"/>
    </row>
    <row r="355" hidden="1">
      <c r="A355" s="809">
        <v>349.0</v>
      </c>
      <c r="B355" s="337">
        <v>105.0</v>
      </c>
      <c r="C355" s="347"/>
      <c r="D355" s="347"/>
      <c r="E355" s="347"/>
      <c r="F355" s="347"/>
      <c r="G355" s="347"/>
      <c r="H355" s="347"/>
      <c r="I355" s="347"/>
      <c r="J355" s="347"/>
      <c r="K355" s="347"/>
      <c r="L355" s="347"/>
      <c r="M355" s="810"/>
      <c r="N355" s="986" t="s">
        <v>2391</v>
      </c>
      <c r="O355" s="844"/>
      <c r="P355" s="987"/>
      <c r="Q355" s="987"/>
      <c r="R355" s="814" t="s">
        <v>2382</v>
      </c>
      <c r="S355" s="987"/>
      <c r="T355" s="988"/>
      <c r="U355" s="347"/>
      <c r="V355" s="347"/>
      <c r="W355" s="347"/>
      <c r="X355" s="347"/>
      <c r="Y355" s="347"/>
      <c r="Z355" s="347"/>
      <c r="AA355" s="347"/>
      <c r="AB355" s="347"/>
      <c r="AC355" s="347"/>
      <c r="AD355" s="347"/>
      <c r="AE355" s="347"/>
      <c r="AF355" s="347"/>
      <c r="AG355" s="347"/>
      <c r="AH355" s="347"/>
      <c r="AI355" s="810"/>
      <c r="AJ355" s="347"/>
      <c r="AK355" s="347"/>
      <c r="AL355" s="347"/>
      <c r="AM355" s="347"/>
      <c r="AN355" s="347"/>
      <c r="AO355" s="347"/>
      <c r="AP355" s="347"/>
      <c r="AQ355" s="347"/>
      <c r="AR355" s="347"/>
      <c r="AS355" s="810"/>
      <c r="AT355" s="349"/>
      <c r="AU355" s="349"/>
      <c r="AV355" s="810"/>
      <c r="AW355" s="347"/>
      <c r="AX355" s="347"/>
      <c r="AY355" s="347"/>
      <c r="AZ355" s="347"/>
      <c r="BA355" s="347"/>
      <c r="BB355" s="347"/>
      <c r="BC355" s="347"/>
      <c r="BD355" s="347"/>
      <c r="BE355" s="347"/>
      <c r="BF355" s="347"/>
      <c r="BG355" s="347"/>
      <c r="BH355" s="347"/>
      <c r="BI355" s="347"/>
      <c r="BJ355" s="347"/>
      <c r="BK355" s="347"/>
      <c r="BL355" s="347"/>
      <c r="BM355" s="347"/>
      <c r="BN355" s="347"/>
      <c r="BO355" s="347"/>
      <c r="BP355" s="810"/>
      <c r="BQ355" s="347"/>
      <c r="BR355" s="347"/>
      <c r="BS355" s="347"/>
      <c r="BT355" s="347"/>
      <c r="BU355" s="347"/>
      <c r="BV355" s="347"/>
      <c r="BW355" s="989"/>
      <c r="BX355" s="347"/>
      <c r="BY355" s="347"/>
      <c r="BZ355" s="347"/>
      <c r="CA355" s="347"/>
      <c r="CB355" s="347"/>
      <c r="CC355" s="347"/>
      <c r="CD355" s="347"/>
      <c r="CE355" s="820"/>
      <c r="CF355" s="347"/>
      <c r="CG355" s="810"/>
      <c r="CH355" s="990" t="s">
        <v>2391</v>
      </c>
      <c r="CI355" s="347"/>
      <c r="CJ355" s="347"/>
      <c r="CK355" s="347"/>
      <c r="CL355" s="347"/>
      <c r="CM355" s="347"/>
      <c r="CN355" s="347"/>
      <c r="CO355" s="347"/>
      <c r="CP355" s="347"/>
      <c r="CQ355" s="347"/>
      <c r="CR355" s="347"/>
      <c r="CS355" s="347"/>
      <c r="CT355" s="347"/>
      <c r="CU355" s="347"/>
      <c r="CV355" s="347"/>
      <c r="CW355" s="347"/>
      <c r="CX355" s="347"/>
      <c r="CY355" s="347"/>
      <c r="CZ355" s="347"/>
      <c r="DA355" s="347"/>
      <c r="DB355" s="347"/>
      <c r="DC355" s="347"/>
      <c r="DD355" s="347"/>
      <c r="DE355" s="347"/>
      <c r="DF355" s="810"/>
      <c r="DG355" s="810"/>
      <c r="DH355" s="810"/>
      <c r="DI355" s="347"/>
      <c r="DJ355" s="347"/>
      <c r="DK355" s="820"/>
      <c r="DL355" s="347"/>
      <c r="DM355" s="347"/>
      <c r="DN355" s="347"/>
      <c r="DO355" s="810"/>
      <c r="DP355" s="824"/>
    </row>
    <row r="356" hidden="1">
      <c r="A356" s="809">
        <v>350.0</v>
      </c>
      <c r="B356" s="337">
        <v>106.0</v>
      </c>
      <c r="C356" s="347"/>
      <c r="D356" s="347"/>
      <c r="E356" s="347"/>
      <c r="F356" s="347"/>
      <c r="G356" s="347"/>
      <c r="H356" s="347"/>
      <c r="I356" s="347"/>
      <c r="J356" s="347"/>
      <c r="K356" s="347"/>
      <c r="L356" s="347"/>
      <c r="M356" s="810"/>
      <c r="N356" s="986" t="s">
        <v>2392</v>
      </c>
      <c r="O356" s="844"/>
      <c r="P356" s="987"/>
      <c r="Q356" s="987"/>
      <c r="R356" s="814" t="s">
        <v>2382</v>
      </c>
      <c r="S356" s="987"/>
      <c r="T356" s="988"/>
      <c r="U356" s="347"/>
      <c r="V356" s="347"/>
      <c r="W356" s="347"/>
      <c r="X356" s="347"/>
      <c r="Y356" s="347"/>
      <c r="Z356" s="347"/>
      <c r="AA356" s="347"/>
      <c r="AB356" s="347"/>
      <c r="AC356" s="347"/>
      <c r="AD356" s="347"/>
      <c r="AE356" s="347"/>
      <c r="AF356" s="347"/>
      <c r="AG356" s="347"/>
      <c r="AH356" s="347"/>
      <c r="AI356" s="810"/>
      <c r="AJ356" s="347"/>
      <c r="AK356" s="347"/>
      <c r="AL356" s="347"/>
      <c r="AM356" s="347"/>
      <c r="AN356" s="347"/>
      <c r="AO356" s="347"/>
      <c r="AP356" s="347"/>
      <c r="AQ356" s="347"/>
      <c r="AR356" s="347"/>
      <c r="AS356" s="810"/>
      <c r="AT356" s="349"/>
      <c r="AU356" s="349"/>
      <c r="AV356" s="810"/>
      <c r="AW356" s="347"/>
      <c r="AX356" s="347"/>
      <c r="AY356" s="347"/>
      <c r="AZ356" s="347"/>
      <c r="BA356" s="347"/>
      <c r="BB356" s="347"/>
      <c r="BC356" s="347"/>
      <c r="BD356" s="347"/>
      <c r="BE356" s="347"/>
      <c r="BF356" s="347"/>
      <c r="BG356" s="347"/>
      <c r="BH356" s="347"/>
      <c r="BI356" s="347"/>
      <c r="BJ356" s="347"/>
      <c r="BK356" s="347"/>
      <c r="BL356" s="347"/>
      <c r="BM356" s="347"/>
      <c r="BN356" s="347"/>
      <c r="BO356" s="347"/>
      <c r="BP356" s="810"/>
      <c r="BQ356" s="347"/>
      <c r="BR356" s="347"/>
      <c r="BS356" s="347"/>
      <c r="BT356" s="347"/>
      <c r="BU356" s="347"/>
      <c r="BV356" s="347"/>
      <c r="BW356" s="989"/>
      <c r="BX356" s="347"/>
      <c r="BY356" s="347"/>
      <c r="BZ356" s="347"/>
      <c r="CA356" s="347"/>
      <c r="CB356" s="347"/>
      <c r="CC356" s="347"/>
      <c r="CD356" s="347"/>
      <c r="CE356" s="820"/>
      <c r="CF356" s="347"/>
      <c r="CG356" s="810"/>
      <c r="CH356" s="990" t="s">
        <v>2392</v>
      </c>
      <c r="CI356" s="347"/>
      <c r="CJ356" s="347"/>
      <c r="CK356" s="347"/>
      <c r="CL356" s="347"/>
      <c r="CM356" s="347"/>
      <c r="CN356" s="347"/>
      <c r="CO356" s="347"/>
      <c r="CP356" s="347"/>
      <c r="CQ356" s="347"/>
      <c r="CR356" s="347"/>
      <c r="CS356" s="347"/>
      <c r="CT356" s="347"/>
      <c r="CU356" s="347"/>
      <c r="CV356" s="347"/>
      <c r="CW356" s="347"/>
      <c r="CX356" s="347"/>
      <c r="CY356" s="347"/>
      <c r="CZ356" s="347"/>
      <c r="DA356" s="347"/>
      <c r="DB356" s="347"/>
      <c r="DC356" s="347"/>
      <c r="DD356" s="347"/>
      <c r="DE356" s="347"/>
      <c r="DF356" s="810"/>
      <c r="DG356" s="810"/>
      <c r="DH356" s="810"/>
      <c r="DI356" s="347"/>
      <c r="DJ356" s="347"/>
      <c r="DK356" s="820"/>
      <c r="DL356" s="347"/>
      <c r="DM356" s="347"/>
      <c r="DN356" s="347"/>
      <c r="DO356" s="810"/>
      <c r="DP356" s="824"/>
    </row>
    <row r="357" hidden="1">
      <c r="A357" s="809">
        <v>351.0</v>
      </c>
      <c r="B357" s="337">
        <v>107.0</v>
      </c>
      <c r="C357" s="347"/>
      <c r="D357" s="347"/>
      <c r="E357" s="347"/>
      <c r="F357" s="347"/>
      <c r="G357" s="347"/>
      <c r="H357" s="347"/>
      <c r="I357" s="347"/>
      <c r="J357" s="347"/>
      <c r="K357" s="347"/>
      <c r="L357" s="347"/>
      <c r="M357" s="810"/>
      <c r="N357" s="986" t="s">
        <v>2393</v>
      </c>
      <c r="O357" s="844"/>
      <c r="P357" s="987"/>
      <c r="Q357" s="987"/>
      <c r="R357" s="814" t="s">
        <v>2382</v>
      </c>
      <c r="S357" s="987"/>
      <c r="T357" s="988"/>
      <c r="U357" s="347"/>
      <c r="V357" s="347"/>
      <c r="W357" s="347"/>
      <c r="X357" s="347"/>
      <c r="Y357" s="347"/>
      <c r="Z357" s="347"/>
      <c r="AA357" s="347"/>
      <c r="AB357" s="347"/>
      <c r="AC357" s="347"/>
      <c r="AD357" s="347"/>
      <c r="AE357" s="347"/>
      <c r="AF357" s="347"/>
      <c r="AG357" s="347"/>
      <c r="AH357" s="347"/>
      <c r="AI357" s="810"/>
      <c r="AJ357" s="347"/>
      <c r="AK357" s="347"/>
      <c r="AL357" s="347"/>
      <c r="AM357" s="347"/>
      <c r="AN357" s="347"/>
      <c r="AO357" s="347"/>
      <c r="AP357" s="347"/>
      <c r="AQ357" s="347"/>
      <c r="AR357" s="347"/>
      <c r="AS357" s="810"/>
      <c r="AT357" s="349"/>
      <c r="AU357" s="349"/>
      <c r="AV357" s="810"/>
      <c r="AW357" s="347"/>
      <c r="AX357" s="347"/>
      <c r="AY357" s="347"/>
      <c r="AZ357" s="347"/>
      <c r="BA357" s="347"/>
      <c r="BB357" s="347"/>
      <c r="BC357" s="347"/>
      <c r="BD357" s="347"/>
      <c r="BE357" s="347"/>
      <c r="BF357" s="347"/>
      <c r="BG357" s="347"/>
      <c r="BH357" s="347"/>
      <c r="BI357" s="347"/>
      <c r="BJ357" s="347"/>
      <c r="BK357" s="347"/>
      <c r="BL357" s="347"/>
      <c r="BM357" s="347"/>
      <c r="BN357" s="347"/>
      <c r="BO357" s="347"/>
      <c r="BP357" s="810"/>
      <c r="BQ357" s="347"/>
      <c r="BR357" s="347"/>
      <c r="BS357" s="347"/>
      <c r="BT357" s="347"/>
      <c r="BU357" s="347"/>
      <c r="BV357" s="347"/>
      <c r="BW357" s="989"/>
      <c r="BX357" s="347"/>
      <c r="BY357" s="347"/>
      <c r="BZ357" s="347"/>
      <c r="CA357" s="347"/>
      <c r="CB357" s="347"/>
      <c r="CC357" s="347"/>
      <c r="CD357" s="347"/>
      <c r="CE357" s="820"/>
      <c r="CF357" s="347"/>
      <c r="CG357" s="810"/>
      <c r="CH357" s="990" t="s">
        <v>2393</v>
      </c>
      <c r="CI357" s="347"/>
      <c r="CJ357" s="347"/>
      <c r="CK357" s="347"/>
      <c r="CL357" s="347"/>
      <c r="CM357" s="347"/>
      <c r="CN357" s="347"/>
      <c r="CO357" s="347"/>
      <c r="CP357" s="347"/>
      <c r="CQ357" s="347"/>
      <c r="CR357" s="347"/>
      <c r="CS357" s="347"/>
      <c r="CT357" s="347"/>
      <c r="CU357" s="347"/>
      <c r="CV357" s="347"/>
      <c r="CW357" s="347"/>
      <c r="CX357" s="347"/>
      <c r="CY357" s="347"/>
      <c r="CZ357" s="347"/>
      <c r="DA357" s="347"/>
      <c r="DB357" s="347"/>
      <c r="DC357" s="347"/>
      <c r="DD357" s="347"/>
      <c r="DE357" s="347"/>
      <c r="DF357" s="810"/>
      <c r="DG357" s="810"/>
      <c r="DH357" s="810"/>
      <c r="DI357" s="347"/>
      <c r="DJ357" s="347"/>
      <c r="DK357" s="820"/>
      <c r="DL357" s="347"/>
      <c r="DM357" s="347"/>
      <c r="DN357" s="347"/>
      <c r="DO357" s="810"/>
      <c r="DP357" s="824"/>
    </row>
    <row r="358" hidden="1">
      <c r="A358" s="809">
        <v>352.0</v>
      </c>
      <c r="B358" s="337">
        <v>108.0</v>
      </c>
      <c r="C358" s="347"/>
      <c r="D358" s="347"/>
      <c r="E358" s="347"/>
      <c r="F358" s="347"/>
      <c r="G358" s="347"/>
      <c r="H358" s="347"/>
      <c r="I358" s="347"/>
      <c r="J358" s="347"/>
      <c r="K358" s="347"/>
      <c r="L358" s="347"/>
      <c r="M358" s="810"/>
      <c r="N358" s="986" t="s">
        <v>2394</v>
      </c>
      <c r="O358" s="844"/>
      <c r="P358" s="987"/>
      <c r="Q358" s="987"/>
      <c r="R358" s="814" t="s">
        <v>2382</v>
      </c>
      <c r="S358" s="987"/>
      <c r="T358" s="988"/>
      <c r="U358" s="347"/>
      <c r="V358" s="347"/>
      <c r="W358" s="347"/>
      <c r="X358" s="347"/>
      <c r="Y358" s="347"/>
      <c r="Z358" s="347"/>
      <c r="AA358" s="347"/>
      <c r="AB358" s="347"/>
      <c r="AC358" s="347"/>
      <c r="AD358" s="347"/>
      <c r="AE358" s="347"/>
      <c r="AF358" s="347"/>
      <c r="AG358" s="347"/>
      <c r="AH358" s="347"/>
      <c r="AI358" s="810"/>
      <c r="AJ358" s="347"/>
      <c r="AK358" s="347"/>
      <c r="AL358" s="347"/>
      <c r="AM358" s="347"/>
      <c r="AN358" s="347"/>
      <c r="AO358" s="347"/>
      <c r="AP358" s="347"/>
      <c r="AQ358" s="347"/>
      <c r="AR358" s="347"/>
      <c r="AS358" s="810"/>
      <c r="AT358" s="349"/>
      <c r="AU358" s="349"/>
      <c r="AV358" s="810"/>
      <c r="AW358" s="347"/>
      <c r="AX358" s="347"/>
      <c r="AY358" s="347"/>
      <c r="AZ358" s="347"/>
      <c r="BA358" s="347"/>
      <c r="BB358" s="347"/>
      <c r="BC358" s="347"/>
      <c r="BD358" s="347"/>
      <c r="BE358" s="347"/>
      <c r="BF358" s="347"/>
      <c r="BG358" s="347"/>
      <c r="BH358" s="347"/>
      <c r="BI358" s="347"/>
      <c r="BJ358" s="347"/>
      <c r="BK358" s="347"/>
      <c r="BL358" s="347"/>
      <c r="BM358" s="347"/>
      <c r="BN358" s="347"/>
      <c r="BO358" s="347"/>
      <c r="BP358" s="810"/>
      <c r="BQ358" s="347"/>
      <c r="BR358" s="347"/>
      <c r="BS358" s="347"/>
      <c r="BT358" s="347"/>
      <c r="BU358" s="347"/>
      <c r="BV358" s="347"/>
      <c r="BW358" s="989"/>
      <c r="BX358" s="347"/>
      <c r="BY358" s="347"/>
      <c r="BZ358" s="347"/>
      <c r="CA358" s="347"/>
      <c r="CB358" s="347"/>
      <c r="CC358" s="347"/>
      <c r="CD358" s="347"/>
      <c r="CE358" s="820"/>
      <c r="CF358" s="347"/>
      <c r="CG358" s="810"/>
      <c r="CH358" s="990" t="s">
        <v>2394</v>
      </c>
      <c r="CI358" s="347"/>
      <c r="CJ358" s="347"/>
      <c r="CK358" s="347"/>
      <c r="CL358" s="347"/>
      <c r="CM358" s="347"/>
      <c r="CN358" s="347"/>
      <c r="CO358" s="347"/>
      <c r="CP358" s="347"/>
      <c r="CQ358" s="347"/>
      <c r="CR358" s="347"/>
      <c r="CS358" s="347"/>
      <c r="CT358" s="347"/>
      <c r="CU358" s="347"/>
      <c r="CV358" s="347"/>
      <c r="CW358" s="347"/>
      <c r="CX358" s="347"/>
      <c r="CY358" s="347"/>
      <c r="CZ358" s="347"/>
      <c r="DA358" s="347"/>
      <c r="DB358" s="347"/>
      <c r="DC358" s="347"/>
      <c r="DD358" s="347"/>
      <c r="DE358" s="347"/>
      <c r="DF358" s="810"/>
      <c r="DG358" s="810"/>
      <c r="DH358" s="810"/>
      <c r="DI358" s="347"/>
      <c r="DJ358" s="347"/>
      <c r="DK358" s="820"/>
      <c r="DL358" s="347"/>
      <c r="DM358" s="347"/>
      <c r="DN358" s="347"/>
      <c r="DO358" s="810"/>
      <c r="DP358" s="824"/>
    </row>
    <row r="359" hidden="1">
      <c r="A359" s="809">
        <v>353.0</v>
      </c>
      <c r="B359" s="337">
        <v>204.0</v>
      </c>
      <c r="C359" s="347"/>
      <c r="D359" s="347"/>
      <c r="E359" s="347"/>
      <c r="F359" s="347"/>
      <c r="G359" s="347"/>
      <c r="H359" s="347"/>
      <c r="I359" s="347"/>
      <c r="J359" s="347"/>
      <c r="K359" s="347"/>
      <c r="L359" s="347"/>
      <c r="M359" s="810"/>
      <c r="N359" s="986" t="s">
        <v>2395</v>
      </c>
      <c r="O359" s="844"/>
      <c r="P359" s="987"/>
      <c r="Q359" s="987"/>
      <c r="R359" s="814" t="s">
        <v>2382</v>
      </c>
      <c r="S359" s="987"/>
      <c r="T359" s="988"/>
      <c r="U359" s="347"/>
      <c r="V359" s="347"/>
      <c r="W359" s="347"/>
      <c r="X359" s="347"/>
      <c r="Y359" s="347"/>
      <c r="Z359" s="347"/>
      <c r="AA359" s="347"/>
      <c r="AB359" s="347"/>
      <c r="AC359" s="347"/>
      <c r="AD359" s="347"/>
      <c r="AE359" s="347"/>
      <c r="AF359" s="347"/>
      <c r="AG359" s="347"/>
      <c r="AH359" s="347"/>
      <c r="AI359" s="810"/>
      <c r="AJ359" s="347"/>
      <c r="AK359" s="347"/>
      <c r="AL359" s="347"/>
      <c r="AM359" s="347"/>
      <c r="AN359" s="347"/>
      <c r="AO359" s="347"/>
      <c r="AP359" s="347"/>
      <c r="AQ359" s="347"/>
      <c r="AR359" s="347"/>
      <c r="AS359" s="810"/>
      <c r="AT359" s="349"/>
      <c r="AU359" s="349"/>
      <c r="AV359" s="810"/>
      <c r="AW359" s="347"/>
      <c r="AX359" s="347"/>
      <c r="AY359" s="347"/>
      <c r="AZ359" s="347"/>
      <c r="BA359" s="347"/>
      <c r="BB359" s="347"/>
      <c r="BC359" s="347"/>
      <c r="BD359" s="347"/>
      <c r="BE359" s="347"/>
      <c r="BF359" s="347"/>
      <c r="BG359" s="347"/>
      <c r="BH359" s="347"/>
      <c r="BI359" s="347"/>
      <c r="BJ359" s="347"/>
      <c r="BK359" s="347"/>
      <c r="BL359" s="347"/>
      <c r="BM359" s="347"/>
      <c r="BN359" s="347"/>
      <c r="BO359" s="347"/>
      <c r="BP359" s="810"/>
      <c r="BQ359" s="347"/>
      <c r="BR359" s="347"/>
      <c r="BS359" s="347"/>
      <c r="BT359" s="347"/>
      <c r="BU359" s="347"/>
      <c r="BV359" s="347"/>
      <c r="BW359" s="989"/>
      <c r="BX359" s="347"/>
      <c r="BY359" s="347"/>
      <c r="BZ359" s="347"/>
      <c r="CA359" s="347"/>
      <c r="CB359" s="347"/>
      <c r="CC359" s="347"/>
      <c r="CD359" s="347"/>
      <c r="CE359" s="820"/>
      <c r="CF359" s="347"/>
      <c r="CG359" s="810"/>
      <c r="CH359" s="990" t="s">
        <v>2395</v>
      </c>
      <c r="CI359" s="347"/>
      <c r="CJ359" s="347"/>
      <c r="CK359" s="347"/>
      <c r="CL359" s="347"/>
      <c r="CM359" s="347"/>
      <c r="CN359" s="347"/>
      <c r="CO359" s="347"/>
      <c r="CP359" s="347"/>
      <c r="CQ359" s="347"/>
      <c r="CR359" s="347"/>
      <c r="CS359" s="347"/>
      <c r="CT359" s="347"/>
      <c r="CU359" s="347"/>
      <c r="CV359" s="347"/>
      <c r="CW359" s="347"/>
      <c r="CX359" s="347"/>
      <c r="CY359" s="347"/>
      <c r="CZ359" s="347"/>
      <c r="DA359" s="347"/>
      <c r="DB359" s="347"/>
      <c r="DC359" s="347"/>
      <c r="DD359" s="347"/>
      <c r="DE359" s="347"/>
      <c r="DF359" s="810"/>
      <c r="DG359" s="810"/>
      <c r="DH359" s="810"/>
      <c r="DI359" s="347"/>
      <c r="DJ359" s="347"/>
      <c r="DK359" s="820"/>
      <c r="DL359" s="347"/>
      <c r="DM359" s="347"/>
      <c r="DN359" s="347"/>
      <c r="DO359" s="810"/>
      <c r="DP359" s="824"/>
    </row>
    <row r="360" hidden="1">
      <c r="A360" s="809">
        <v>354.0</v>
      </c>
      <c r="B360" s="337">
        <v>205.0</v>
      </c>
      <c r="C360" s="347"/>
      <c r="D360" s="347"/>
      <c r="E360" s="347"/>
      <c r="F360" s="347"/>
      <c r="G360" s="347"/>
      <c r="H360" s="347"/>
      <c r="I360" s="347"/>
      <c r="J360" s="347"/>
      <c r="K360" s="347"/>
      <c r="L360" s="347"/>
      <c r="M360" s="810"/>
      <c r="N360" s="986" t="s">
        <v>2396</v>
      </c>
      <c r="O360" s="844"/>
      <c r="P360" s="987"/>
      <c r="Q360" s="987"/>
      <c r="R360" s="814" t="s">
        <v>2382</v>
      </c>
      <c r="S360" s="987"/>
      <c r="T360" s="988"/>
      <c r="U360" s="347"/>
      <c r="V360" s="347"/>
      <c r="W360" s="347"/>
      <c r="X360" s="347"/>
      <c r="Y360" s="347"/>
      <c r="Z360" s="347"/>
      <c r="AA360" s="347"/>
      <c r="AB360" s="347"/>
      <c r="AC360" s="347"/>
      <c r="AD360" s="347"/>
      <c r="AE360" s="347"/>
      <c r="AF360" s="347"/>
      <c r="AG360" s="347"/>
      <c r="AH360" s="347"/>
      <c r="AI360" s="810"/>
      <c r="AJ360" s="347"/>
      <c r="AK360" s="347"/>
      <c r="AL360" s="347"/>
      <c r="AM360" s="347"/>
      <c r="AN360" s="347"/>
      <c r="AO360" s="347"/>
      <c r="AP360" s="347"/>
      <c r="AQ360" s="347"/>
      <c r="AR360" s="347"/>
      <c r="AS360" s="810"/>
      <c r="AT360" s="349"/>
      <c r="AU360" s="349"/>
      <c r="AV360" s="810"/>
      <c r="AW360" s="347"/>
      <c r="AX360" s="347"/>
      <c r="AY360" s="347"/>
      <c r="AZ360" s="347"/>
      <c r="BA360" s="347"/>
      <c r="BB360" s="347"/>
      <c r="BC360" s="347"/>
      <c r="BD360" s="347"/>
      <c r="BE360" s="347"/>
      <c r="BF360" s="347"/>
      <c r="BG360" s="347"/>
      <c r="BH360" s="347"/>
      <c r="BI360" s="347"/>
      <c r="BJ360" s="347"/>
      <c r="BK360" s="347"/>
      <c r="BL360" s="347"/>
      <c r="BM360" s="347"/>
      <c r="BN360" s="347"/>
      <c r="BO360" s="347"/>
      <c r="BP360" s="810"/>
      <c r="BQ360" s="347"/>
      <c r="BR360" s="347"/>
      <c r="BS360" s="347"/>
      <c r="BT360" s="347"/>
      <c r="BU360" s="347"/>
      <c r="BV360" s="347"/>
      <c r="BW360" s="989"/>
      <c r="BX360" s="347"/>
      <c r="BY360" s="347"/>
      <c r="BZ360" s="347"/>
      <c r="CA360" s="347"/>
      <c r="CB360" s="347"/>
      <c r="CC360" s="347"/>
      <c r="CD360" s="347"/>
      <c r="CE360" s="820"/>
      <c r="CF360" s="347"/>
      <c r="CG360" s="810"/>
      <c r="CH360" s="990" t="s">
        <v>2396</v>
      </c>
      <c r="CI360" s="347"/>
      <c r="CJ360" s="347"/>
      <c r="CK360" s="347"/>
      <c r="CL360" s="347"/>
      <c r="CM360" s="347"/>
      <c r="CN360" s="347"/>
      <c r="CO360" s="347"/>
      <c r="CP360" s="347"/>
      <c r="CQ360" s="347"/>
      <c r="CR360" s="347"/>
      <c r="CS360" s="347"/>
      <c r="CT360" s="347"/>
      <c r="CU360" s="347"/>
      <c r="CV360" s="347"/>
      <c r="CW360" s="347"/>
      <c r="CX360" s="347"/>
      <c r="CY360" s="347"/>
      <c r="CZ360" s="347"/>
      <c r="DA360" s="347"/>
      <c r="DB360" s="347"/>
      <c r="DC360" s="347"/>
      <c r="DD360" s="347"/>
      <c r="DE360" s="347"/>
      <c r="DF360" s="810"/>
      <c r="DG360" s="810"/>
      <c r="DH360" s="810"/>
      <c r="DI360" s="347"/>
      <c r="DJ360" s="347"/>
      <c r="DK360" s="820"/>
      <c r="DL360" s="347"/>
      <c r="DM360" s="347"/>
      <c r="DN360" s="347"/>
      <c r="DO360" s="810"/>
      <c r="DP360" s="824"/>
    </row>
    <row r="361" hidden="1">
      <c r="A361" s="809">
        <v>355.0</v>
      </c>
      <c r="B361" s="337">
        <v>206.0</v>
      </c>
      <c r="C361" s="347"/>
      <c r="D361" s="347"/>
      <c r="E361" s="347"/>
      <c r="F361" s="347"/>
      <c r="G361" s="347"/>
      <c r="H361" s="347"/>
      <c r="I361" s="347"/>
      <c r="J361" s="347"/>
      <c r="K361" s="347"/>
      <c r="L361" s="347"/>
      <c r="M361" s="810"/>
      <c r="N361" s="986" t="s">
        <v>2397</v>
      </c>
      <c r="O361" s="844"/>
      <c r="P361" s="987"/>
      <c r="Q361" s="987"/>
      <c r="R361" s="814" t="s">
        <v>2382</v>
      </c>
      <c r="S361" s="987"/>
      <c r="T361" s="988"/>
      <c r="U361" s="347"/>
      <c r="V361" s="347"/>
      <c r="W361" s="347"/>
      <c r="X361" s="347"/>
      <c r="Y361" s="347"/>
      <c r="Z361" s="347"/>
      <c r="AA361" s="347"/>
      <c r="AB361" s="347"/>
      <c r="AC361" s="347"/>
      <c r="AD361" s="347"/>
      <c r="AE361" s="347"/>
      <c r="AF361" s="347"/>
      <c r="AG361" s="347"/>
      <c r="AH361" s="347"/>
      <c r="AI361" s="810"/>
      <c r="AJ361" s="347"/>
      <c r="AK361" s="347"/>
      <c r="AL361" s="347"/>
      <c r="AM361" s="347"/>
      <c r="AN361" s="347"/>
      <c r="AO361" s="347"/>
      <c r="AP361" s="347"/>
      <c r="AQ361" s="347"/>
      <c r="AR361" s="347"/>
      <c r="AS361" s="810"/>
      <c r="AT361" s="349"/>
      <c r="AU361" s="349"/>
      <c r="AV361" s="810"/>
      <c r="AW361" s="347"/>
      <c r="AX361" s="347"/>
      <c r="AY361" s="347"/>
      <c r="AZ361" s="347"/>
      <c r="BA361" s="347"/>
      <c r="BB361" s="347"/>
      <c r="BC361" s="347"/>
      <c r="BD361" s="347"/>
      <c r="BE361" s="347"/>
      <c r="BF361" s="347"/>
      <c r="BG361" s="347"/>
      <c r="BH361" s="347"/>
      <c r="BI361" s="347"/>
      <c r="BJ361" s="347"/>
      <c r="BK361" s="347"/>
      <c r="BL361" s="347"/>
      <c r="BM361" s="347"/>
      <c r="BN361" s="347"/>
      <c r="BO361" s="347"/>
      <c r="BP361" s="810"/>
      <c r="BQ361" s="347"/>
      <c r="BR361" s="347"/>
      <c r="BS361" s="347"/>
      <c r="BT361" s="347"/>
      <c r="BU361" s="347"/>
      <c r="BV361" s="347"/>
      <c r="BW361" s="989"/>
      <c r="BX361" s="347"/>
      <c r="BY361" s="347"/>
      <c r="BZ361" s="347"/>
      <c r="CA361" s="347"/>
      <c r="CB361" s="347"/>
      <c r="CC361" s="347"/>
      <c r="CD361" s="347"/>
      <c r="CE361" s="820"/>
      <c r="CF361" s="347"/>
      <c r="CG361" s="810"/>
      <c r="CH361" s="990" t="s">
        <v>2397</v>
      </c>
      <c r="CI361" s="347"/>
      <c r="CJ361" s="347"/>
      <c r="CK361" s="347"/>
      <c r="CL361" s="347"/>
      <c r="CM361" s="347"/>
      <c r="CN361" s="347"/>
      <c r="CO361" s="347"/>
      <c r="CP361" s="347"/>
      <c r="CQ361" s="347"/>
      <c r="CR361" s="347"/>
      <c r="CS361" s="347"/>
      <c r="CT361" s="347"/>
      <c r="CU361" s="347"/>
      <c r="CV361" s="347"/>
      <c r="CW361" s="347"/>
      <c r="CX361" s="347"/>
      <c r="CY361" s="347"/>
      <c r="CZ361" s="347"/>
      <c r="DA361" s="347"/>
      <c r="DB361" s="347"/>
      <c r="DC361" s="347"/>
      <c r="DD361" s="347"/>
      <c r="DE361" s="347"/>
      <c r="DF361" s="810"/>
      <c r="DG361" s="810"/>
      <c r="DH361" s="810"/>
      <c r="DI361" s="347"/>
      <c r="DJ361" s="347"/>
      <c r="DK361" s="820"/>
      <c r="DL361" s="347"/>
      <c r="DM361" s="347"/>
      <c r="DN361" s="347"/>
      <c r="DO361" s="810"/>
      <c r="DP361" s="824"/>
    </row>
    <row r="362">
      <c r="A362" s="552">
        <v>356.0</v>
      </c>
      <c r="B362" s="74"/>
      <c r="C362" s="74"/>
      <c r="D362" s="74"/>
      <c r="E362" s="74"/>
      <c r="F362" s="74"/>
      <c r="G362" s="74"/>
      <c r="H362" s="74"/>
      <c r="I362" s="74"/>
      <c r="J362" s="74"/>
      <c r="K362" s="74"/>
      <c r="L362" s="74"/>
      <c r="M362" s="575"/>
      <c r="N362" s="74" t="s">
        <v>2398</v>
      </c>
      <c r="O362" s="678"/>
      <c r="P362" s="992"/>
      <c r="Q362" s="992"/>
      <c r="R362" s="992"/>
      <c r="S362" s="992"/>
      <c r="T362" s="993"/>
      <c r="U362" s="74"/>
      <c r="V362" s="74"/>
      <c r="W362" s="74"/>
      <c r="X362" s="74"/>
      <c r="Y362" s="74"/>
      <c r="Z362" s="74"/>
      <c r="AA362" s="74"/>
      <c r="AB362" s="74"/>
      <c r="AC362" s="74"/>
      <c r="AD362" s="74"/>
      <c r="AE362" s="74"/>
      <c r="AF362" s="74"/>
      <c r="AG362" s="74"/>
      <c r="AH362" s="74"/>
      <c r="AI362" s="575"/>
      <c r="AJ362" s="74"/>
      <c r="AK362" s="74"/>
      <c r="AL362" s="74"/>
      <c r="AM362" s="74"/>
      <c r="AN362" s="74"/>
      <c r="AO362" s="74"/>
      <c r="AP362" s="74"/>
      <c r="AQ362" s="74"/>
      <c r="AR362" s="74"/>
      <c r="AS362" s="575"/>
      <c r="AT362" s="68"/>
      <c r="AU362" s="68"/>
      <c r="AV362" s="575"/>
      <c r="AW362" s="74"/>
      <c r="AX362" s="74"/>
      <c r="AY362" s="74"/>
      <c r="AZ362" s="74"/>
      <c r="BA362" s="74"/>
      <c r="BB362" s="74"/>
      <c r="BC362" s="74"/>
      <c r="BD362" s="74"/>
      <c r="BE362" s="74"/>
      <c r="BF362" s="74"/>
      <c r="BG362" s="74"/>
      <c r="BH362" s="74"/>
      <c r="BI362" s="74"/>
      <c r="BJ362" s="74"/>
      <c r="BK362" s="74"/>
      <c r="BL362" s="74"/>
      <c r="BM362" s="74"/>
      <c r="BN362" s="74"/>
      <c r="BO362" s="74"/>
      <c r="BP362" s="575"/>
      <c r="BQ362" s="365"/>
      <c r="BR362" s="365"/>
      <c r="BS362" s="365"/>
      <c r="BT362" s="365"/>
      <c r="BU362" s="365"/>
      <c r="BV362" s="365"/>
      <c r="BW362" s="994"/>
      <c r="BX362" s="365"/>
      <c r="BY362" s="365"/>
      <c r="BZ362" s="365"/>
      <c r="CA362" s="365"/>
      <c r="CB362" s="365"/>
      <c r="CC362" s="365"/>
      <c r="CD362" s="365"/>
      <c r="CE362" s="877"/>
      <c r="CF362" s="365"/>
      <c r="CG362" s="995"/>
      <c r="CH362" s="575"/>
      <c r="CI362" s="74"/>
      <c r="CJ362" s="74"/>
      <c r="CK362" s="74"/>
      <c r="CL362" s="74"/>
      <c r="CM362" s="74"/>
      <c r="CN362" s="74"/>
      <c r="CO362" s="74"/>
      <c r="CP362" s="74"/>
      <c r="CQ362" s="74"/>
      <c r="CR362" s="74"/>
      <c r="CS362" s="74"/>
      <c r="CT362" s="74"/>
      <c r="CU362" s="74"/>
      <c r="CV362" s="74"/>
      <c r="CW362" s="74"/>
      <c r="CX362" s="74"/>
      <c r="CY362" s="74"/>
      <c r="CZ362" s="74"/>
      <c r="DA362" s="74"/>
      <c r="DB362" s="74"/>
      <c r="DC362" s="74"/>
      <c r="DD362" s="74"/>
      <c r="DE362" s="74"/>
      <c r="DF362" s="575"/>
      <c r="DG362" s="575"/>
      <c r="DH362" s="575"/>
      <c r="DI362" s="74"/>
      <c r="DJ362" s="74"/>
      <c r="DK362" s="877"/>
      <c r="DL362" s="365"/>
      <c r="DM362" s="365"/>
      <c r="DN362" s="365"/>
      <c r="DO362" s="995"/>
      <c r="DP362" s="297"/>
    </row>
  </sheetData>
  <autoFilter ref="$A$3:$DP$362">
    <filterColumn colId="17">
      <filters blank="1">
        <filter val="ranged (thrown)"/>
        <filter val="Identifiers and Categories"/>
        <filter val="ranged (bow)"/>
        <filter val="Style"/>
        <filter val="melee (two-handed)"/>
        <filter val="melee (one-handed)"/>
      </filters>
    </filterColumn>
  </autoFilter>
  <mergeCells count="6">
    <mergeCell ref="B4:M4"/>
    <mergeCell ref="N4:T4"/>
    <mergeCell ref="U4:AI4"/>
    <mergeCell ref="AJ4:AS4"/>
    <mergeCell ref="AW4:BP4"/>
    <mergeCell ref="CI4:DF4"/>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3.25"/>
    <col customWidth="1" min="2" max="101" width="1.88"/>
    <col customWidth="1" min="102" max="102" width="17.5"/>
  </cols>
  <sheetData>
    <row r="1" ht="10.5" customHeight="1">
      <c r="A1" s="543"/>
      <c r="B1" s="546" t="s">
        <v>1229</v>
      </c>
      <c r="C1" s="547" t="s">
        <v>1229</v>
      </c>
      <c r="D1" s="543"/>
      <c r="E1" s="543"/>
      <c r="F1" s="543"/>
      <c r="G1" s="543"/>
      <c r="H1" s="543"/>
      <c r="I1" s="549" t="s">
        <v>1233</v>
      </c>
      <c r="J1" s="543"/>
      <c r="K1" s="543"/>
      <c r="L1" s="2"/>
      <c r="M1" s="543"/>
      <c r="N1" s="543"/>
      <c r="O1" s="543"/>
      <c r="P1" s="543"/>
      <c r="Q1" s="543"/>
      <c r="R1" s="543"/>
      <c r="S1" s="543"/>
      <c r="T1" s="543"/>
      <c r="U1" s="543"/>
      <c r="V1" s="543"/>
      <c r="W1" s="543"/>
      <c r="X1" s="543"/>
      <c r="Y1" s="543"/>
      <c r="Z1" s="543"/>
      <c r="AA1" s="543"/>
      <c r="AB1" s="543"/>
      <c r="AC1" s="543"/>
      <c r="AD1" s="543"/>
      <c r="AE1" s="543"/>
      <c r="AF1" s="543"/>
      <c r="AG1" s="543"/>
      <c r="AH1" s="543"/>
      <c r="AI1" s="543"/>
      <c r="AJ1" s="543"/>
      <c r="AK1" s="543"/>
      <c r="AL1" s="543"/>
      <c r="AM1" s="543"/>
      <c r="AN1" s="543"/>
      <c r="AO1" s="543"/>
      <c r="AP1" s="549" t="s">
        <v>1245</v>
      </c>
      <c r="AQ1" s="543"/>
      <c r="AR1" s="543"/>
      <c r="AS1" s="543"/>
      <c r="AT1" s="543"/>
      <c r="AU1" s="543"/>
      <c r="AV1" s="543"/>
      <c r="AW1" s="543"/>
      <c r="AX1" s="543"/>
      <c r="AY1" s="543"/>
      <c r="AZ1" s="543"/>
      <c r="BA1" s="543"/>
      <c r="BB1" s="543"/>
      <c r="BC1" s="543"/>
      <c r="BD1" s="543"/>
      <c r="BE1" s="543"/>
      <c r="BF1" s="543"/>
      <c r="BG1" s="543"/>
      <c r="BH1" s="543"/>
      <c r="BI1" s="543"/>
      <c r="BJ1" s="543"/>
      <c r="BK1" s="543"/>
      <c r="BL1" s="543"/>
      <c r="BM1" s="543"/>
      <c r="BN1" s="543"/>
      <c r="BO1" s="543"/>
      <c r="BP1" s="543"/>
      <c r="BQ1" s="543"/>
      <c r="BR1" s="543"/>
      <c r="BS1" s="543"/>
      <c r="BT1" s="543"/>
      <c r="BU1" s="543"/>
      <c r="BV1" s="543"/>
      <c r="BW1" s="543"/>
      <c r="BX1" s="543"/>
      <c r="BY1" s="543"/>
      <c r="BZ1" s="543"/>
      <c r="CA1" s="543"/>
      <c r="CB1" s="543"/>
      <c r="CC1" s="543"/>
      <c r="CD1" s="543"/>
      <c r="CE1" s="543"/>
      <c r="CF1" s="543"/>
      <c r="CG1" s="543"/>
      <c r="CH1" s="543"/>
      <c r="CI1" s="543"/>
      <c r="CJ1" s="555" t="s">
        <v>1229</v>
      </c>
      <c r="CK1" s="556" t="s">
        <v>1257</v>
      </c>
      <c r="CL1" s="543"/>
      <c r="CM1" s="543"/>
      <c r="CN1" s="543"/>
      <c r="CO1" s="543"/>
      <c r="CP1" s="543"/>
      <c r="CQ1" s="543"/>
      <c r="CR1" s="543"/>
      <c r="CS1" s="543"/>
      <c r="CT1" s="543"/>
      <c r="CU1" s="543"/>
      <c r="CV1" s="543"/>
      <c r="CW1" s="557" t="s">
        <v>1229</v>
      </c>
      <c r="CX1" s="557"/>
    </row>
    <row r="2" ht="10.5" customHeight="1">
      <c r="A2" s="559" t="s">
        <v>1261</v>
      </c>
      <c r="B2" s="543"/>
      <c r="C2" s="560">
        <v>1.0</v>
      </c>
      <c r="D2" s="563">
        <f t="shared" ref="D2:CW2" si="1">C2+1</f>
        <v>2</v>
      </c>
      <c r="E2" s="563">
        <f t="shared" si="1"/>
        <v>3</v>
      </c>
      <c r="F2" s="563">
        <f t="shared" si="1"/>
        <v>4</v>
      </c>
      <c r="G2" s="563">
        <f t="shared" si="1"/>
        <v>5</v>
      </c>
      <c r="H2" s="563">
        <f t="shared" si="1"/>
        <v>6</v>
      </c>
      <c r="I2" s="563">
        <f t="shared" si="1"/>
        <v>7</v>
      </c>
      <c r="J2" s="563">
        <f t="shared" si="1"/>
        <v>8</v>
      </c>
      <c r="K2" s="563">
        <f t="shared" si="1"/>
        <v>9</v>
      </c>
      <c r="L2" s="563">
        <f t="shared" si="1"/>
        <v>10</v>
      </c>
      <c r="M2" s="563">
        <f t="shared" si="1"/>
        <v>11</v>
      </c>
      <c r="N2" s="563">
        <f t="shared" si="1"/>
        <v>12</v>
      </c>
      <c r="O2" s="563">
        <f t="shared" si="1"/>
        <v>13</v>
      </c>
      <c r="P2" s="563">
        <f t="shared" si="1"/>
        <v>14</v>
      </c>
      <c r="Q2" s="563">
        <f t="shared" si="1"/>
        <v>15</v>
      </c>
      <c r="R2" s="563">
        <f t="shared" si="1"/>
        <v>16</v>
      </c>
      <c r="S2" s="563">
        <f t="shared" si="1"/>
        <v>17</v>
      </c>
      <c r="T2" s="563">
        <f t="shared" si="1"/>
        <v>18</v>
      </c>
      <c r="U2" s="563">
        <f t="shared" si="1"/>
        <v>19</v>
      </c>
      <c r="V2" s="563">
        <f t="shared" si="1"/>
        <v>20</v>
      </c>
      <c r="W2" s="563">
        <f t="shared" si="1"/>
        <v>21</v>
      </c>
      <c r="X2" s="563">
        <f t="shared" si="1"/>
        <v>22</v>
      </c>
      <c r="Y2" s="563">
        <f t="shared" si="1"/>
        <v>23</v>
      </c>
      <c r="Z2" s="563">
        <f t="shared" si="1"/>
        <v>24</v>
      </c>
      <c r="AA2" s="563">
        <f t="shared" si="1"/>
        <v>25</v>
      </c>
      <c r="AB2" s="563">
        <f t="shared" si="1"/>
        <v>26</v>
      </c>
      <c r="AC2" s="563">
        <f t="shared" si="1"/>
        <v>27</v>
      </c>
      <c r="AD2" s="563">
        <f t="shared" si="1"/>
        <v>28</v>
      </c>
      <c r="AE2" s="563">
        <f t="shared" si="1"/>
        <v>29</v>
      </c>
      <c r="AF2" s="563">
        <f t="shared" si="1"/>
        <v>30</v>
      </c>
      <c r="AG2" s="563">
        <f t="shared" si="1"/>
        <v>31</v>
      </c>
      <c r="AH2" s="563">
        <f t="shared" si="1"/>
        <v>32</v>
      </c>
      <c r="AI2" s="563">
        <f t="shared" si="1"/>
        <v>33</v>
      </c>
      <c r="AJ2" s="563">
        <f t="shared" si="1"/>
        <v>34</v>
      </c>
      <c r="AK2" s="563">
        <f t="shared" si="1"/>
        <v>35</v>
      </c>
      <c r="AL2" s="563">
        <f t="shared" si="1"/>
        <v>36</v>
      </c>
      <c r="AM2" s="563">
        <f t="shared" si="1"/>
        <v>37</v>
      </c>
      <c r="AN2" s="563">
        <f t="shared" si="1"/>
        <v>38</v>
      </c>
      <c r="AO2" s="563">
        <f t="shared" si="1"/>
        <v>39</v>
      </c>
      <c r="AP2" s="563">
        <f t="shared" si="1"/>
        <v>40</v>
      </c>
      <c r="AQ2" s="563">
        <f t="shared" si="1"/>
        <v>41</v>
      </c>
      <c r="AR2" s="563">
        <f t="shared" si="1"/>
        <v>42</v>
      </c>
      <c r="AS2" s="563">
        <f t="shared" si="1"/>
        <v>43</v>
      </c>
      <c r="AT2" s="563">
        <f t="shared" si="1"/>
        <v>44</v>
      </c>
      <c r="AU2" s="563">
        <f t="shared" si="1"/>
        <v>45</v>
      </c>
      <c r="AV2" s="563">
        <f t="shared" si="1"/>
        <v>46</v>
      </c>
      <c r="AW2" s="563">
        <f t="shared" si="1"/>
        <v>47</v>
      </c>
      <c r="AX2" s="563">
        <f t="shared" si="1"/>
        <v>48</v>
      </c>
      <c r="AY2" s="563">
        <f t="shared" si="1"/>
        <v>49</v>
      </c>
      <c r="AZ2" s="563">
        <f t="shared" si="1"/>
        <v>50</v>
      </c>
      <c r="BA2" s="563">
        <f t="shared" si="1"/>
        <v>51</v>
      </c>
      <c r="BB2" s="563">
        <f t="shared" si="1"/>
        <v>52</v>
      </c>
      <c r="BC2" s="563">
        <f t="shared" si="1"/>
        <v>53</v>
      </c>
      <c r="BD2" s="563">
        <f t="shared" si="1"/>
        <v>54</v>
      </c>
      <c r="BE2" s="563">
        <f t="shared" si="1"/>
        <v>55</v>
      </c>
      <c r="BF2" s="563">
        <f t="shared" si="1"/>
        <v>56</v>
      </c>
      <c r="BG2" s="563">
        <f t="shared" si="1"/>
        <v>57</v>
      </c>
      <c r="BH2" s="563">
        <f t="shared" si="1"/>
        <v>58</v>
      </c>
      <c r="BI2" s="563">
        <f t="shared" si="1"/>
        <v>59</v>
      </c>
      <c r="BJ2" s="563">
        <f t="shared" si="1"/>
        <v>60</v>
      </c>
      <c r="BK2" s="563">
        <f t="shared" si="1"/>
        <v>61</v>
      </c>
      <c r="BL2" s="563">
        <f t="shared" si="1"/>
        <v>62</v>
      </c>
      <c r="BM2" s="563">
        <f t="shared" si="1"/>
        <v>63</v>
      </c>
      <c r="BN2" s="563">
        <f t="shared" si="1"/>
        <v>64</v>
      </c>
      <c r="BO2" s="563">
        <f t="shared" si="1"/>
        <v>65</v>
      </c>
      <c r="BP2" s="563">
        <f t="shared" si="1"/>
        <v>66</v>
      </c>
      <c r="BQ2" s="563">
        <f t="shared" si="1"/>
        <v>67</v>
      </c>
      <c r="BR2" s="563">
        <f t="shared" si="1"/>
        <v>68</v>
      </c>
      <c r="BS2" s="563">
        <f t="shared" si="1"/>
        <v>69</v>
      </c>
      <c r="BT2" s="563">
        <f t="shared" si="1"/>
        <v>70</v>
      </c>
      <c r="BU2" s="563">
        <f t="shared" si="1"/>
        <v>71</v>
      </c>
      <c r="BV2" s="563">
        <f t="shared" si="1"/>
        <v>72</v>
      </c>
      <c r="BW2" s="563">
        <f t="shared" si="1"/>
        <v>73</v>
      </c>
      <c r="BX2" s="563">
        <f t="shared" si="1"/>
        <v>74</v>
      </c>
      <c r="BY2" s="563">
        <f t="shared" si="1"/>
        <v>75</v>
      </c>
      <c r="BZ2" s="563">
        <f t="shared" si="1"/>
        <v>76</v>
      </c>
      <c r="CA2" s="563">
        <f t="shared" si="1"/>
        <v>77</v>
      </c>
      <c r="CB2" s="563">
        <f t="shared" si="1"/>
        <v>78</v>
      </c>
      <c r="CC2" s="563">
        <f t="shared" si="1"/>
        <v>79</v>
      </c>
      <c r="CD2" s="563">
        <f t="shared" si="1"/>
        <v>80</v>
      </c>
      <c r="CE2" s="563">
        <f t="shared" si="1"/>
        <v>81</v>
      </c>
      <c r="CF2" s="563">
        <f t="shared" si="1"/>
        <v>82</v>
      </c>
      <c r="CG2" s="563">
        <f t="shared" si="1"/>
        <v>83</v>
      </c>
      <c r="CH2" s="563">
        <f t="shared" si="1"/>
        <v>84</v>
      </c>
      <c r="CI2" s="563">
        <f t="shared" si="1"/>
        <v>85</v>
      </c>
      <c r="CJ2" s="563">
        <f t="shared" si="1"/>
        <v>86</v>
      </c>
      <c r="CK2" s="563">
        <f t="shared" si="1"/>
        <v>87</v>
      </c>
      <c r="CL2" s="563">
        <f t="shared" si="1"/>
        <v>88</v>
      </c>
      <c r="CM2" s="563">
        <f t="shared" si="1"/>
        <v>89</v>
      </c>
      <c r="CN2" s="563">
        <f t="shared" si="1"/>
        <v>90</v>
      </c>
      <c r="CO2" s="563">
        <f t="shared" si="1"/>
        <v>91</v>
      </c>
      <c r="CP2" s="563">
        <f t="shared" si="1"/>
        <v>92</v>
      </c>
      <c r="CQ2" s="563">
        <f t="shared" si="1"/>
        <v>93</v>
      </c>
      <c r="CR2" s="563">
        <f t="shared" si="1"/>
        <v>94</v>
      </c>
      <c r="CS2" s="563">
        <f t="shared" si="1"/>
        <v>95</v>
      </c>
      <c r="CT2" s="563">
        <f t="shared" si="1"/>
        <v>96</v>
      </c>
      <c r="CU2" s="563">
        <f t="shared" si="1"/>
        <v>97</v>
      </c>
      <c r="CV2" s="563">
        <f t="shared" si="1"/>
        <v>98</v>
      </c>
      <c r="CW2" s="563">
        <f t="shared" si="1"/>
        <v>99</v>
      </c>
      <c r="CX2" s="563"/>
    </row>
    <row r="3" ht="10.5" customHeight="1">
      <c r="A3" s="577" t="s">
        <v>1261</v>
      </c>
      <c r="B3" s="560">
        <v>1.0</v>
      </c>
      <c r="C3" s="563">
        <f t="shared" ref="C3:CW3" si="2">IF(LT(IF(GT(C$2,MIN($B3,99)),C$2,MIN($B3,99)),99-FLOOR(C$2/2,1)),IF(GT(C$2,MIN($B3,99)),C$2,MIN($B3,99))-FLOOR(C$2/2,1),2*IF(GT(C$2,MIN($B3,99)),C$2,MIN($B3,99))-99)</f>
        <v>1</v>
      </c>
      <c r="D3" s="563">
        <f t="shared" si="2"/>
        <v>1</v>
      </c>
      <c r="E3" s="563">
        <f t="shared" si="2"/>
        <v>2</v>
      </c>
      <c r="F3" s="563">
        <f t="shared" si="2"/>
        <v>2</v>
      </c>
      <c r="G3" s="579">
        <f t="shared" si="2"/>
        <v>3</v>
      </c>
      <c r="H3" s="563">
        <f t="shared" si="2"/>
        <v>3</v>
      </c>
      <c r="I3" s="563">
        <f t="shared" si="2"/>
        <v>4</v>
      </c>
      <c r="J3" s="563">
        <f t="shared" si="2"/>
        <v>4</v>
      </c>
      <c r="K3" s="563">
        <f t="shared" si="2"/>
        <v>5</v>
      </c>
      <c r="L3" s="580">
        <f t="shared" si="2"/>
        <v>5</v>
      </c>
      <c r="M3" s="563">
        <f t="shared" si="2"/>
        <v>6</v>
      </c>
      <c r="N3" s="563">
        <f t="shared" si="2"/>
        <v>6</v>
      </c>
      <c r="O3" s="563">
        <f t="shared" si="2"/>
        <v>7</v>
      </c>
      <c r="P3" s="563">
        <f t="shared" si="2"/>
        <v>7</v>
      </c>
      <c r="Q3" s="579">
        <f t="shared" si="2"/>
        <v>8</v>
      </c>
      <c r="R3" s="563">
        <f t="shared" si="2"/>
        <v>8</v>
      </c>
      <c r="S3" s="563">
        <f t="shared" si="2"/>
        <v>9</v>
      </c>
      <c r="T3" s="563">
        <f t="shared" si="2"/>
        <v>9</v>
      </c>
      <c r="U3" s="563">
        <f t="shared" si="2"/>
        <v>10</v>
      </c>
      <c r="V3" s="580">
        <f t="shared" si="2"/>
        <v>10</v>
      </c>
      <c r="W3" s="563">
        <f t="shared" si="2"/>
        <v>11</v>
      </c>
      <c r="X3" s="563">
        <f t="shared" si="2"/>
        <v>11</v>
      </c>
      <c r="Y3" s="563">
        <f t="shared" si="2"/>
        <v>12</v>
      </c>
      <c r="Z3" s="563">
        <f t="shared" si="2"/>
        <v>12</v>
      </c>
      <c r="AA3" s="579">
        <f t="shared" si="2"/>
        <v>13</v>
      </c>
      <c r="AB3" s="563">
        <f t="shared" si="2"/>
        <v>13</v>
      </c>
      <c r="AC3" s="563">
        <f t="shared" si="2"/>
        <v>14</v>
      </c>
      <c r="AD3" s="563">
        <f t="shared" si="2"/>
        <v>14</v>
      </c>
      <c r="AE3" s="563">
        <f t="shared" si="2"/>
        <v>15</v>
      </c>
      <c r="AF3" s="580">
        <f t="shared" si="2"/>
        <v>15</v>
      </c>
      <c r="AG3" s="563">
        <f t="shared" si="2"/>
        <v>16</v>
      </c>
      <c r="AH3" s="563">
        <f t="shared" si="2"/>
        <v>16</v>
      </c>
      <c r="AI3" s="563">
        <f t="shared" si="2"/>
        <v>17</v>
      </c>
      <c r="AJ3" s="563">
        <f t="shared" si="2"/>
        <v>17</v>
      </c>
      <c r="AK3" s="579">
        <f t="shared" si="2"/>
        <v>18</v>
      </c>
      <c r="AL3" s="563">
        <f t="shared" si="2"/>
        <v>18</v>
      </c>
      <c r="AM3" s="563">
        <f t="shared" si="2"/>
        <v>19</v>
      </c>
      <c r="AN3" s="563">
        <f t="shared" si="2"/>
        <v>19</v>
      </c>
      <c r="AO3" s="563">
        <f t="shared" si="2"/>
        <v>20</v>
      </c>
      <c r="AP3" s="580">
        <f t="shared" si="2"/>
        <v>20</v>
      </c>
      <c r="AQ3" s="563">
        <f t="shared" si="2"/>
        <v>21</v>
      </c>
      <c r="AR3" s="563">
        <f t="shared" si="2"/>
        <v>21</v>
      </c>
      <c r="AS3" s="563">
        <f t="shared" si="2"/>
        <v>22</v>
      </c>
      <c r="AT3" s="563">
        <f t="shared" si="2"/>
        <v>22</v>
      </c>
      <c r="AU3" s="579">
        <f t="shared" si="2"/>
        <v>23</v>
      </c>
      <c r="AV3" s="563">
        <f t="shared" si="2"/>
        <v>23</v>
      </c>
      <c r="AW3" s="563">
        <f t="shared" si="2"/>
        <v>24</v>
      </c>
      <c r="AX3" s="563">
        <f t="shared" si="2"/>
        <v>24</v>
      </c>
      <c r="AY3" s="563">
        <f t="shared" si="2"/>
        <v>25</v>
      </c>
      <c r="AZ3" s="580">
        <f t="shared" si="2"/>
        <v>25</v>
      </c>
      <c r="BA3" s="563">
        <f t="shared" si="2"/>
        <v>26</v>
      </c>
      <c r="BB3" s="563">
        <f t="shared" si="2"/>
        <v>26</v>
      </c>
      <c r="BC3" s="563">
        <f t="shared" si="2"/>
        <v>27</v>
      </c>
      <c r="BD3" s="563">
        <f t="shared" si="2"/>
        <v>27</v>
      </c>
      <c r="BE3" s="579">
        <f t="shared" si="2"/>
        <v>28</v>
      </c>
      <c r="BF3" s="563">
        <f t="shared" si="2"/>
        <v>28</v>
      </c>
      <c r="BG3" s="563">
        <f t="shared" si="2"/>
        <v>29</v>
      </c>
      <c r="BH3" s="563">
        <f t="shared" si="2"/>
        <v>29</v>
      </c>
      <c r="BI3" s="563">
        <f t="shared" si="2"/>
        <v>30</v>
      </c>
      <c r="BJ3" s="580">
        <f t="shared" si="2"/>
        <v>30</v>
      </c>
      <c r="BK3" s="563">
        <f t="shared" si="2"/>
        <v>31</v>
      </c>
      <c r="BL3" s="563">
        <f t="shared" si="2"/>
        <v>31</v>
      </c>
      <c r="BM3" s="563">
        <f t="shared" si="2"/>
        <v>32</v>
      </c>
      <c r="BN3" s="563">
        <f t="shared" si="2"/>
        <v>32</v>
      </c>
      <c r="BO3" s="579">
        <f t="shared" si="2"/>
        <v>33</v>
      </c>
      <c r="BP3" s="563">
        <f t="shared" si="2"/>
        <v>33</v>
      </c>
      <c r="BQ3" s="563">
        <f t="shared" si="2"/>
        <v>35</v>
      </c>
      <c r="BR3" s="563">
        <f t="shared" si="2"/>
        <v>37</v>
      </c>
      <c r="BS3" s="563">
        <f t="shared" si="2"/>
        <v>39</v>
      </c>
      <c r="BT3" s="580">
        <f t="shared" si="2"/>
        <v>41</v>
      </c>
      <c r="BU3" s="563">
        <f t="shared" si="2"/>
        <v>43</v>
      </c>
      <c r="BV3" s="563">
        <f t="shared" si="2"/>
        <v>45</v>
      </c>
      <c r="BW3" s="563">
        <f t="shared" si="2"/>
        <v>47</v>
      </c>
      <c r="BX3" s="563">
        <f t="shared" si="2"/>
        <v>49</v>
      </c>
      <c r="BY3" s="579">
        <f t="shared" si="2"/>
        <v>51</v>
      </c>
      <c r="BZ3" s="563">
        <f t="shared" si="2"/>
        <v>53</v>
      </c>
      <c r="CA3" s="563">
        <f t="shared" si="2"/>
        <v>55</v>
      </c>
      <c r="CB3" s="563">
        <f t="shared" si="2"/>
        <v>57</v>
      </c>
      <c r="CC3" s="563">
        <f t="shared" si="2"/>
        <v>59</v>
      </c>
      <c r="CD3" s="580">
        <f t="shared" si="2"/>
        <v>61</v>
      </c>
      <c r="CE3" s="563">
        <f t="shared" si="2"/>
        <v>63</v>
      </c>
      <c r="CF3" s="563">
        <f t="shared" si="2"/>
        <v>65</v>
      </c>
      <c r="CG3" s="563">
        <f t="shared" si="2"/>
        <v>67</v>
      </c>
      <c r="CH3" s="563">
        <f t="shared" si="2"/>
        <v>69</v>
      </c>
      <c r="CI3" s="579">
        <f t="shared" si="2"/>
        <v>71</v>
      </c>
      <c r="CJ3" s="563">
        <f t="shared" si="2"/>
        <v>73</v>
      </c>
      <c r="CK3" s="563">
        <f t="shared" si="2"/>
        <v>75</v>
      </c>
      <c r="CL3" s="563">
        <f t="shared" si="2"/>
        <v>77</v>
      </c>
      <c r="CM3" s="563">
        <f t="shared" si="2"/>
        <v>79</v>
      </c>
      <c r="CN3" s="580">
        <f t="shared" si="2"/>
        <v>81</v>
      </c>
      <c r="CO3" s="563">
        <f t="shared" si="2"/>
        <v>83</v>
      </c>
      <c r="CP3" s="563">
        <f t="shared" si="2"/>
        <v>85</v>
      </c>
      <c r="CQ3" s="563">
        <f t="shared" si="2"/>
        <v>87</v>
      </c>
      <c r="CR3" s="563">
        <f t="shared" si="2"/>
        <v>89</v>
      </c>
      <c r="CS3" s="579">
        <f t="shared" si="2"/>
        <v>91</v>
      </c>
      <c r="CT3" s="563">
        <f t="shared" si="2"/>
        <v>93</v>
      </c>
      <c r="CU3" s="563">
        <f t="shared" si="2"/>
        <v>95</v>
      </c>
      <c r="CV3" s="563">
        <f t="shared" si="2"/>
        <v>97</v>
      </c>
      <c r="CW3" s="563">
        <f t="shared" si="2"/>
        <v>99</v>
      </c>
      <c r="CX3" s="587" t="s">
        <v>1507</v>
      </c>
    </row>
    <row r="4" ht="10.5" customHeight="1">
      <c r="A4" s="543"/>
      <c r="B4" s="563">
        <f t="shared" ref="B4:B101" si="4">B3+1</f>
        <v>2</v>
      </c>
      <c r="C4" s="563">
        <f t="shared" ref="C4:CW4" si="3">IF(LT(IF(GT(C$2,MIN($B4,99)),C$2,MIN($B4,99)),99-FLOOR(C$2/2,1)),IF(GT(C$2,MIN($B4,99)),C$2,MIN($B4,99))-FLOOR(C$2/2,1),2*IF(GT(C$2,MIN($B4,99)),C$2,MIN($B4,99))-99)</f>
        <v>2</v>
      </c>
      <c r="D4" s="563">
        <f t="shared" si="3"/>
        <v>1</v>
      </c>
      <c r="E4" s="563">
        <f t="shared" si="3"/>
        <v>2</v>
      </c>
      <c r="F4" s="563">
        <f t="shared" si="3"/>
        <v>2</v>
      </c>
      <c r="G4" s="579">
        <f t="shared" si="3"/>
        <v>3</v>
      </c>
      <c r="H4" s="563">
        <f t="shared" si="3"/>
        <v>3</v>
      </c>
      <c r="I4" s="563">
        <f t="shared" si="3"/>
        <v>4</v>
      </c>
      <c r="J4" s="563">
        <f t="shared" si="3"/>
        <v>4</v>
      </c>
      <c r="K4" s="563">
        <f t="shared" si="3"/>
        <v>5</v>
      </c>
      <c r="L4" s="580">
        <f t="shared" si="3"/>
        <v>5</v>
      </c>
      <c r="M4" s="563">
        <f t="shared" si="3"/>
        <v>6</v>
      </c>
      <c r="N4" s="563">
        <f t="shared" si="3"/>
        <v>6</v>
      </c>
      <c r="O4" s="563">
        <f t="shared" si="3"/>
        <v>7</v>
      </c>
      <c r="P4" s="563">
        <f t="shared" si="3"/>
        <v>7</v>
      </c>
      <c r="Q4" s="579">
        <f t="shared" si="3"/>
        <v>8</v>
      </c>
      <c r="R4" s="563">
        <f t="shared" si="3"/>
        <v>8</v>
      </c>
      <c r="S4" s="563">
        <f t="shared" si="3"/>
        <v>9</v>
      </c>
      <c r="T4" s="563">
        <f t="shared" si="3"/>
        <v>9</v>
      </c>
      <c r="U4" s="563">
        <f t="shared" si="3"/>
        <v>10</v>
      </c>
      <c r="V4" s="580">
        <f t="shared" si="3"/>
        <v>10</v>
      </c>
      <c r="W4" s="563">
        <f t="shared" si="3"/>
        <v>11</v>
      </c>
      <c r="X4" s="563">
        <f t="shared" si="3"/>
        <v>11</v>
      </c>
      <c r="Y4" s="563">
        <f t="shared" si="3"/>
        <v>12</v>
      </c>
      <c r="Z4" s="563">
        <f t="shared" si="3"/>
        <v>12</v>
      </c>
      <c r="AA4" s="579">
        <f t="shared" si="3"/>
        <v>13</v>
      </c>
      <c r="AB4" s="563">
        <f t="shared" si="3"/>
        <v>13</v>
      </c>
      <c r="AC4" s="563">
        <f t="shared" si="3"/>
        <v>14</v>
      </c>
      <c r="AD4" s="563">
        <f t="shared" si="3"/>
        <v>14</v>
      </c>
      <c r="AE4" s="563">
        <f t="shared" si="3"/>
        <v>15</v>
      </c>
      <c r="AF4" s="580">
        <f t="shared" si="3"/>
        <v>15</v>
      </c>
      <c r="AG4" s="563">
        <f t="shared" si="3"/>
        <v>16</v>
      </c>
      <c r="AH4" s="563">
        <f t="shared" si="3"/>
        <v>16</v>
      </c>
      <c r="AI4" s="563">
        <f t="shared" si="3"/>
        <v>17</v>
      </c>
      <c r="AJ4" s="563">
        <f t="shared" si="3"/>
        <v>17</v>
      </c>
      <c r="AK4" s="579">
        <f t="shared" si="3"/>
        <v>18</v>
      </c>
      <c r="AL4" s="563">
        <f t="shared" si="3"/>
        <v>18</v>
      </c>
      <c r="AM4" s="563">
        <f t="shared" si="3"/>
        <v>19</v>
      </c>
      <c r="AN4" s="563">
        <f t="shared" si="3"/>
        <v>19</v>
      </c>
      <c r="AO4" s="563">
        <f t="shared" si="3"/>
        <v>20</v>
      </c>
      <c r="AP4" s="580">
        <f t="shared" si="3"/>
        <v>20</v>
      </c>
      <c r="AQ4" s="563">
        <f t="shared" si="3"/>
        <v>21</v>
      </c>
      <c r="AR4" s="563">
        <f t="shared" si="3"/>
        <v>21</v>
      </c>
      <c r="AS4" s="563">
        <f t="shared" si="3"/>
        <v>22</v>
      </c>
      <c r="AT4" s="563">
        <f t="shared" si="3"/>
        <v>22</v>
      </c>
      <c r="AU4" s="579">
        <f t="shared" si="3"/>
        <v>23</v>
      </c>
      <c r="AV4" s="563">
        <f t="shared" si="3"/>
        <v>23</v>
      </c>
      <c r="AW4" s="563">
        <f t="shared" si="3"/>
        <v>24</v>
      </c>
      <c r="AX4" s="563">
        <f t="shared" si="3"/>
        <v>24</v>
      </c>
      <c r="AY4" s="563">
        <f t="shared" si="3"/>
        <v>25</v>
      </c>
      <c r="AZ4" s="580">
        <f t="shared" si="3"/>
        <v>25</v>
      </c>
      <c r="BA4" s="563">
        <f t="shared" si="3"/>
        <v>26</v>
      </c>
      <c r="BB4" s="563">
        <f t="shared" si="3"/>
        <v>26</v>
      </c>
      <c r="BC4" s="563">
        <f t="shared" si="3"/>
        <v>27</v>
      </c>
      <c r="BD4" s="563">
        <f t="shared" si="3"/>
        <v>27</v>
      </c>
      <c r="BE4" s="579">
        <f t="shared" si="3"/>
        <v>28</v>
      </c>
      <c r="BF4" s="563">
        <f t="shared" si="3"/>
        <v>28</v>
      </c>
      <c r="BG4" s="563">
        <f t="shared" si="3"/>
        <v>29</v>
      </c>
      <c r="BH4" s="563">
        <f t="shared" si="3"/>
        <v>29</v>
      </c>
      <c r="BI4" s="563">
        <f t="shared" si="3"/>
        <v>30</v>
      </c>
      <c r="BJ4" s="580">
        <f t="shared" si="3"/>
        <v>30</v>
      </c>
      <c r="BK4" s="563">
        <f t="shared" si="3"/>
        <v>31</v>
      </c>
      <c r="BL4" s="563">
        <f t="shared" si="3"/>
        <v>31</v>
      </c>
      <c r="BM4" s="563">
        <f t="shared" si="3"/>
        <v>32</v>
      </c>
      <c r="BN4" s="563">
        <f t="shared" si="3"/>
        <v>32</v>
      </c>
      <c r="BO4" s="579">
        <f t="shared" si="3"/>
        <v>33</v>
      </c>
      <c r="BP4" s="563">
        <f t="shared" si="3"/>
        <v>33</v>
      </c>
      <c r="BQ4" s="563">
        <f t="shared" si="3"/>
        <v>35</v>
      </c>
      <c r="BR4" s="563">
        <f t="shared" si="3"/>
        <v>37</v>
      </c>
      <c r="BS4" s="563">
        <f t="shared" si="3"/>
        <v>39</v>
      </c>
      <c r="BT4" s="580">
        <f t="shared" si="3"/>
        <v>41</v>
      </c>
      <c r="BU4" s="563">
        <f t="shared" si="3"/>
        <v>43</v>
      </c>
      <c r="BV4" s="563">
        <f t="shared" si="3"/>
        <v>45</v>
      </c>
      <c r="BW4" s="563">
        <f t="shared" si="3"/>
        <v>47</v>
      </c>
      <c r="BX4" s="563">
        <f t="shared" si="3"/>
        <v>49</v>
      </c>
      <c r="BY4" s="579">
        <f t="shared" si="3"/>
        <v>51</v>
      </c>
      <c r="BZ4" s="563">
        <f t="shared" si="3"/>
        <v>53</v>
      </c>
      <c r="CA4" s="563">
        <f t="shared" si="3"/>
        <v>55</v>
      </c>
      <c r="CB4" s="563">
        <f t="shared" si="3"/>
        <v>57</v>
      </c>
      <c r="CC4" s="563">
        <f t="shared" si="3"/>
        <v>59</v>
      </c>
      <c r="CD4" s="580">
        <f t="shared" si="3"/>
        <v>61</v>
      </c>
      <c r="CE4" s="563">
        <f t="shared" si="3"/>
        <v>63</v>
      </c>
      <c r="CF4" s="563">
        <f t="shared" si="3"/>
        <v>65</v>
      </c>
      <c r="CG4" s="563">
        <f t="shared" si="3"/>
        <v>67</v>
      </c>
      <c r="CH4" s="563">
        <f t="shared" si="3"/>
        <v>69</v>
      </c>
      <c r="CI4" s="579">
        <f t="shared" si="3"/>
        <v>71</v>
      </c>
      <c r="CJ4" s="563">
        <f t="shared" si="3"/>
        <v>73</v>
      </c>
      <c r="CK4" s="563">
        <f t="shared" si="3"/>
        <v>75</v>
      </c>
      <c r="CL4" s="563">
        <f t="shared" si="3"/>
        <v>77</v>
      </c>
      <c r="CM4" s="563">
        <f t="shared" si="3"/>
        <v>79</v>
      </c>
      <c r="CN4" s="580">
        <f t="shared" si="3"/>
        <v>81</v>
      </c>
      <c r="CO4" s="563">
        <f t="shared" si="3"/>
        <v>83</v>
      </c>
      <c r="CP4" s="563">
        <f t="shared" si="3"/>
        <v>85</v>
      </c>
      <c r="CQ4" s="563">
        <f t="shared" si="3"/>
        <v>87</v>
      </c>
      <c r="CR4" s="563">
        <f t="shared" si="3"/>
        <v>89</v>
      </c>
      <c r="CS4" s="579">
        <f t="shared" si="3"/>
        <v>91</v>
      </c>
      <c r="CT4" s="563">
        <f t="shared" si="3"/>
        <v>93</v>
      </c>
      <c r="CU4" s="563">
        <f t="shared" si="3"/>
        <v>95</v>
      </c>
      <c r="CV4" s="563">
        <f t="shared" si="3"/>
        <v>97</v>
      </c>
      <c r="CW4" s="563">
        <f t="shared" si="3"/>
        <v>99</v>
      </c>
      <c r="CX4" s="621" t="s">
        <v>1599</v>
      </c>
    </row>
    <row r="5" ht="10.5" customHeight="1">
      <c r="A5" s="543"/>
      <c r="B5" s="563">
        <f t="shared" si="4"/>
        <v>3</v>
      </c>
      <c r="C5" s="563">
        <f t="shared" ref="C5:CW5" si="5">IF(LT(IF(GT(C$2,MIN($B5,99)),C$2,MIN($B5,99)),99-FLOOR(C$2/2,1)),IF(GT(C$2,MIN($B5,99)),C$2,MIN($B5,99))-FLOOR(C$2/2,1),2*IF(GT(C$2,MIN($B5,99)),C$2,MIN($B5,99))-99)</f>
        <v>3</v>
      </c>
      <c r="D5" s="563">
        <f t="shared" si="5"/>
        <v>2</v>
      </c>
      <c r="E5" s="563">
        <f t="shared" si="5"/>
        <v>2</v>
      </c>
      <c r="F5" s="563">
        <f t="shared" si="5"/>
        <v>2</v>
      </c>
      <c r="G5" s="579">
        <f t="shared" si="5"/>
        <v>3</v>
      </c>
      <c r="H5" s="563">
        <f t="shared" si="5"/>
        <v>3</v>
      </c>
      <c r="I5" s="563">
        <f t="shared" si="5"/>
        <v>4</v>
      </c>
      <c r="J5" s="563">
        <f t="shared" si="5"/>
        <v>4</v>
      </c>
      <c r="K5" s="563">
        <f t="shared" si="5"/>
        <v>5</v>
      </c>
      <c r="L5" s="580">
        <f t="shared" si="5"/>
        <v>5</v>
      </c>
      <c r="M5" s="563">
        <f t="shared" si="5"/>
        <v>6</v>
      </c>
      <c r="N5" s="563">
        <f t="shared" si="5"/>
        <v>6</v>
      </c>
      <c r="O5" s="563">
        <f t="shared" si="5"/>
        <v>7</v>
      </c>
      <c r="P5" s="563">
        <f t="shared" si="5"/>
        <v>7</v>
      </c>
      <c r="Q5" s="579">
        <f t="shared" si="5"/>
        <v>8</v>
      </c>
      <c r="R5" s="563">
        <f t="shared" si="5"/>
        <v>8</v>
      </c>
      <c r="S5" s="563">
        <f t="shared" si="5"/>
        <v>9</v>
      </c>
      <c r="T5" s="563">
        <f t="shared" si="5"/>
        <v>9</v>
      </c>
      <c r="U5" s="563">
        <f t="shared" si="5"/>
        <v>10</v>
      </c>
      <c r="V5" s="580">
        <f t="shared" si="5"/>
        <v>10</v>
      </c>
      <c r="W5" s="563">
        <f t="shared" si="5"/>
        <v>11</v>
      </c>
      <c r="X5" s="563">
        <f t="shared" si="5"/>
        <v>11</v>
      </c>
      <c r="Y5" s="563">
        <f t="shared" si="5"/>
        <v>12</v>
      </c>
      <c r="Z5" s="563">
        <f t="shared" si="5"/>
        <v>12</v>
      </c>
      <c r="AA5" s="579">
        <f t="shared" si="5"/>
        <v>13</v>
      </c>
      <c r="AB5" s="563">
        <f t="shared" si="5"/>
        <v>13</v>
      </c>
      <c r="AC5" s="563">
        <f t="shared" si="5"/>
        <v>14</v>
      </c>
      <c r="AD5" s="563">
        <f t="shared" si="5"/>
        <v>14</v>
      </c>
      <c r="AE5" s="563">
        <f t="shared" si="5"/>
        <v>15</v>
      </c>
      <c r="AF5" s="580">
        <f t="shared" si="5"/>
        <v>15</v>
      </c>
      <c r="AG5" s="563">
        <f t="shared" si="5"/>
        <v>16</v>
      </c>
      <c r="AH5" s="563">
        <f t="shared" si="5"/>
        <v>16</v>
      </c>
      <c r="AI5" s="563">
        <f t="shared" si="5"/>
        <v>17</v>
      </c>
      <c r="AJ5" s="563">
        <f t="shared" si="5"/>
        <v>17</v>
      </c>
      <c r="AK5" s="579">
        <f t="shared" si="5"/>
        <v>18</v>
      </c>
      <c r="AL5" s="563">
        <f t="shared" si="5"/>
        <v>18</v>
      </c>
      <c r="AM5" s="563">
        <f t="shared" si="5"/>
        <v>19</v>
      </c>
      <c r="AN5" s="563">
        <f t="shared" si="5"/>
        <v>19</v>
      </c>
      <c r="AO5" s="563">
        <f t="shared" si="5"/>
        <v>20</v>
      </c>
      <c r="AP5" s="580">
        <f t="shared" si="5"/>
        <v>20</v>
      </c>
      <c r="AQ5" s="563">
        <f t="shared" si="5"/>
        <v>21</v>
      </c>
      <c r="AR5" s="563">
        <f t="shared" si="5"/>
        <v>21</v>
      </c>
      <c r="AS5" s="563">
        <f t="shared" si="5"/>
        <v>22</v>
      </c>
      <c r="AT5" s="563">
        <f t="shared" si="5"/>
        <v>22</v>
      </c>
      <c r="AU5" s="579">
        <f t="shared" si="5"/>
        <v>23</v>
      </c>
      <c r="AV5" s="563">
        <f t="shared" si="5"/>
        <v>23</v>
      </c>
      <c r="AW5" s="563">
        <f t="shared" si="5"/>
        <v>24</v>
      </c>
      <c r="AX5" s="563">
        <f t="shared" si="5"/>
        <v>24</v>
      </c>
      <c r="AY5" s="563">
        <f t="shared" si="5"/>
        <v>25</v>
      </c>
      <c r="AZ5" s="580">
        <f t="shared" si="5"/>
        <v>25</v>
      </c>
      <c r="BA5" s="563">
        <f t="shared" si="5"/>
        <v>26</v>
      </c>
      <c r="BB5" s="563">
        <f t="shared" si="5"/>
        <v>26</v>
      </c>
      <c r="BC5" s="563">
        <f t="shared" si="5"/>
        <v>27</v>
      </c>
      <c r="BD5" s="563">
        <f t="shared" si="5"/>
        <v>27</v>
      </c>
      <c r="BE5" s="579">
        <f t="shared" si="5"/>
        <v>28</v>
      </c>
      <c r="BF5" s="563">
        <f t="shared" si="5"/>
        <v>28</v>
      </c>
      <c r="BG5" s="563">
        <f t="shared" si="5"/>
        <v>29</v>
      </c>
      <c r="BH5" s="563">
        <f t="shared" si="5"/>
        <v>29</v>
      </c>
      <c r="BI5" s="563">
        <f t="shared" si="5"/>
        <v>30</v>
      </c>
      <c r="BJ5" s="580">
        <f t="shared" si="5"/>
        <v>30</v>
      </c>
      <c r="BK5" s="563">
        <f t="shared" si="5"/>
        <v>31</v>
      </c>
      <c r="BL5" s="563">
        <f t="shared" si="5"/>
        <v>31</v>
      </c>
      <c r="BM5" s="563">
        <f t="shared" si="5"/>
        <v>32</v>
      </c>
      <c r="BN5" s="563">
        <f t="shared" si="5"/>
        <v>32</v>
      </c>
      <c r="BO5" s="579">
        <f t="shared" si="5"/>
        <v>33</v>
      </c>
      <c r="BP5" s="563">
        <f t="shared" si="5"/>
        <v>33</v>
      </c>
      <c r="BQ5" s="563">
        <f t="shared" si="5"/>
        <v>35</v>
      </c>
      <c r="BR5" s="563">
        <f t="shared" si="5"/>
        <v>37</v>
      </c>
      <c r="BS5" s="563">
        <f t="shared" si="5"/>
        <v>39</v>
      </c>
      <c r="BT5" s="580">
        <f t="shared" si="5"/>
        <v>41</v>
      </c>
      <c r="BU5" s="563">
        <f t="shared" si="5"/>
        <v>43</v>
      </c>
      <c r="BV5" s="563">
        <f t="shared" si="5"/>
        <v>45</v>
      </c>
      <c r="BW5" s="563">
        <f t="shared" si="5"/>
        <v>47</v>
      </c>
      <c r="BX5" s="563">
        <f t="shared" si="5"/>
        <v>49</v>
      </c>
      <c r="BY5" s="579">
        <f t="shared" si="5"/>
        <v>51</v>
      </c>
      <c r="BZ5" s="563">
        <f t="shared" si="5"/>
        <v>53</v>
      </c>
      <c r="CA5" s="563">
        <f t="shared" si="5"/>
        <v>55</v>
      </c>
      <c r="CB5" s="563">
        <f t="shared" si="5"/>
        <v>57</v>
      </c>
      <c r="CC5" s="563">
        <f t="shared" si="5"/>
        <v>59</v>
      </c>
      <c r="CD5" s="580">
        <f t="shared" si="5"/>
        <v>61</v>
      </c>
      <c r="CE5" s="563">
        <f t="shared" si="5"/>
        <v>63</v>
      </c>
      <c r="CF5" s="563">
        <f t="shared" si="5"/>
        <v>65</v>
      </c>
      <c r="CG5" s="563">
        <f t="shared" si="5"/>
        <v>67</v>
      </c>
      <c r="CH5" s="563">
        <f t="shared" si="5"/>
        <v>69</v>
      </c>
      <c r="CI5" s="579">
        <f t="shared" si="5"/>
        <v>71</v>
      </c>
      <c r="CJ5" s="563">
        <f t="shared" si="5"/>
        <v>73</v>
      </c>
      <c r="CK5" s="563">
        <f t="shared" si="5"/>
        <v>75</v>
      </c>
      <c r="CL5" s="563">
        <f t="shared" si="5"/>
        <v>77</v>
      </c>
      <c r="CM5" s="563">
        <f t="shared" si="5"/>
        <v>79</v>
      </c>
      <c r="CN5" s="580">
        <f t="shared" si="5"/>
        <v>81</v>
      </c>
      <c r="CO5" s="563">
        <f t="shared" si="5"/>
        <v>83</v>
      </c>
      <c r="CP5" s="563">
        <f t="shared" si="5"/>
        <v>85</v>
      </c>
      <c r="CQ5" s="563">
        <f t="shared" si="5"/>
        <v>87</v>
      </c>
      <c r="CR5" s="563">
        <f t="shared" si="5"/>
        <v>89</v>
      </c>
      <c r="CS5" s="579">
        <f t="shared" si="5"/>
        <v>91</v>
      </c>
      <c r="CT5" s="563">
        <f t="shared" si="5"/>
        <v>93</v>
      </c>
      <c r="CU5" s="563">
        <f t="shared" si="5"/>
        <v>95</v>
      </c>
      <c r="CV5" s="563">
        <f t="shared" si="5"/>
        <v>97</v>
      </c>
      <c r="CW5" s="563">
        <f t="shared" si="5"/>
        <v>99</v>
      </c>
      <c r="CX5" s="621" t="s">
        <v>1661</v>
      </c>
    </row>
    <row r="6" ht="10.5" customHeight="1">
      <c r="A6" s="543"/>
      <c r="B6" s="563">
        <f t="shared" si="4"/>
        <v>4</v>
      </c>
      <c r="C6" s="563">
        <f t="shared" ref="C6:CW6" si="6">IF(LT(IF(GT(C$2,MIN($B6,99)),C$2,MIN($B6,99)),99-FLOOR(C$2/2,1)),IF(GT(C$2,MIN($B6,99)),C$2,MIN($B6,99))-FLOOR(C$2/2,1),2*IF(GT(C$2,MIN($B6,99)),C$2,MIN($B6,99))-99)</f>
        <v>4</v>
      </c>
      <c r="D6" s="563">
        <f t="shared" si="6"/>
        <v>3</v>
      </c>
      <c r="E6" s="563">
        <f t="shared" si="6"/>
        <v>3</v>
      </c>
      <c r="F6" s="563">
        <f t="shared" si="6"/>
        <v>2</v>
      </c>
      <c r="G6" s="579">
        <f t="shared" si="6"/>
        <v>3</v>
      </c>
      <c r="H6" s="563">
        <f t="shared" si="6"/>
        <v>3</v>
      </c>
      <c r="I6" s="563">
        <f t="shared" si="6"/>
        <v>4</v>
      </c>
      <c r="J6" s="563">
        <f t="shared" si="6"/>
        <v>4</v>
      </c>
      <c r="K6" s="563">
        <f t="shared" si="6"/>
        <v>5</v>
      </c>
      <c r="L6" s="580">
        <f t="shared" si="6"/>
        <v>5</v>
      </c>
      <c r="M6" s="563">
        <f t="shared" si="6"/>
        <v>6</v>
      </c>
      <c r="N6" s="563">
        <f t="shared" si="6"/>
        <v>6</v>
      </c>
      <c r="O6" s="563">
        <f t="shared" si="6"/>
        <v>7</v>
      </c>
      <c r="P6" s="563">
        <f t="shared" si="6"/>
        <v>7</v>
      </c>
      <c r="Q6" s="579">
        <f t="shared" si="6"/>
        <v>8</v>
      </c>
      <c r="R6" s="563">
        <f t="shared" si="6"/>
        <v>8</v>
      </c>
      <c r="S6" s="563">
        <f t="shared" si="6"/>
        <v>9</v>
      </c>
      <c r="T6" s="563">
        <f t="shared" si="6"/>
        <v>9</v>
      </c>
      <c r="U6" s="563">
        <f t="shared" si="6"/>
        <v>10</v>
      </c>
      <c r="V6" s="580">
        <f t="shared" si="6"/>
        <v>10</v>
      </c>
      <c r="W6" s="563">
        <f t="shared" si="6"/>
        <v>11</v>
      </c>
      <c r="X6" s="563">
        <f t="shared" si="6"/>
        <v>11</v>
      </c>
      <c r="Y6" s="563">
        <f t="shared" si="6"/>
        <v>12</v>
      </c>
      <c r="Z6" s="563">
        <f t="shared" si="6"/>
        <v>12</v>
      </c>
      <c r="AA6" s="579">
        <f t="shared" si="6"/>
        <v>13</v>
      </c>
      <c r="AB6" s="563">
        <f t="shared" si="6"/>
        <v>13</v>
      </c>
      <c r="AC6" s="563">
        <f t="shared" si="6"/>
        <v>14</v>
      </c>
      <c r="AD6" s="563">
        <f t="shared" si="6"/>
        <v>14</v>
      </c>
      <c r="AE6" s="563">
        <f t="shared" si="6"/>
        <v>15</v>
      </c>
      <c r="AF6" s="580">
        <f t="shared" si="6"/>
        <v>15</v>
      </c>
      <c r="AG6" s="563">
        <f t="shared" si="6"/>
        <v>16</v>
      </c>
      <c r="AH6" s="563">
        <f t="shared" si="6"/>
        <v>16</v>
      </c>
      <c r="AI6" s="563">
        <f t="shared" si="6"/>
        <v>17</v>
      </c>
      <c r="AJ6" s="563">
        <f t="shared" si="6"/>
        <v>17</v>
      </c>
      <c r="AK6" s="579">
        <f t="shared" si="6"/>
        <v>18</v>
      </c>
      <c r="AL6" s="563">
        <f t="shared" si="6"/>
        <v>18</v>
      </c>
      <c r="AM6" s="563">
        <f t="shared" si="6"/>
        <v>19</v>
      </c>
      <c r="AN6" s="563">
        <f t="shared" si="6"/>
        <v>19</v>
      </c>
      <c r="AO6" s="563">
        <f t="shared" si="6"/>
        <v>20</v>
      </c>
      <c r="AP6" s="580">
        <f t="shared" si="6"/>
        <v>20</v>
      </c>
      <c r="AQ6" s="563">
        <f t="shared" si="6"/>
        <v>21</v>
      </c>
      <c r="AR6" s="563">
        <f t="shared" si="6"/>
        <v>21</v>
      </c>
      <c r="AS6" s="563">
        <f t="shared" si="6"/>
        <v>22</v>
      </c>
      <c r="AT6" s="563">
        <f t="shared" si="6"/>
        <v>22</v>
      </c>
      <c r="AU6" s="579">
        <f t="shared" si="6"/>
        <v>23</v>
      </c>
      <c r="AV6" s="563">
        <f t="shared" si="6"/>
        <v>23</v>
      </c>
      <c r="AW6" s="563">
        <f t="shared" si="6"/>
        <v>24</v>
      </c>
      <c r="AX6" s="563">
        <f t="shared" si="6"/>
        <v>24</v>
      </c>
      <c r="AY6" s="563">
        <f t="shared" si="6"/>
        <v>25</v>
      </c>
      <c r="AZ6" s="580">
        <f t="shared" si="6"/>
        <v>25</v>
      </c>
      <c r="BA6" s="563">
        <f t="shared" si="6"/>
        <v>26</v>
      </c>
      <c r="BB6" s="563">
        <f t="shared" si="6"/>
        <v>26</v>
      </c>
      <c r="BC6" s="563">
        <f t="shared" si="6"/>
        <v>27</v>
      </c>
      <c r="BD6" s="563">
        <f t="shared" si="6"/>
        <v>27</v>
      </c>
      <c r="BE6" s="579">
        <f t="shared" si="6"/>
        <v>28</v>
      </c>
      <c r="BF6" s="563">
        <f t="shared" si="6"/>
        <v>28</v>
      </c>
      <c r="BG6" s="563">
        <f t="shared" si="6"/>
        <v>29</v>
      </c>
      <c r="BH6" s="563">
        <f t="shared" si="6"/>
        <v>29</v>
      </c>
      <c r="BI6" s="563">
        <f t="shared" si="6"/>
        <v>30</v>
      </c>
      <c r="BJ6" s="580">
        <f t="shared" si="6"/>
        <v>30</v>
      </c>
      <c r="BK6" s="563">
        <f t="shared" si="6"/>
        <v>31</v>
      </c>
      <c r="BL6" s="563">
        <f t="shared" si="6"/>
        <v>31</v>
      </c>
      <c r="BM6" s="563">
        <f t="shared" si="6"/>
        <v>32</v>
      </c>
      <c r="BN6" s="563">
        <f t="shared" si="6"/>
        <v>32</v>
      </c>
      <c r="BO6" s="579">
        <f t="shared" si="6"/>
        <v>33</v>
      </c>
      <c r="BP6" s="563">
        <f t="shared" si="6"/>
        <v>33</v>
      </c>
      <c r="BQ6" s="563">
        <f t="shared" si="6"/>
        <v>35</v>
      </c>
      <c r="BR6" s="563">
        <f t="shared" si="6"/>
        <v>37</v>
      </c>
      <c r="BS6" s="563">
        <f t="shared" si="6"/>
        <v>39</v>
      </c>
      <c r="BT6" s="580">
        <f t="shared" si="6"/>
        <v>41</v>
      </c>
      <c r="BU6" s="563">
        <f t="shared" si="6"/>
        <v>43</v>
      </c>
      <c r="BV6" s="563">
        <f t="shared" si="6"/>
        <v>45</v>
      </c>
      <c r="BW6" s="563">
        <f t="shared" si="6"/>
        <v>47</v>
      </c>
      <c r="BX6" s="563">
        <f t="shared" si="6"/>
        <v>49</v>
      </c>
      <c r="BY6" s="579">
        <f t="shared" si="6"/>
        <v>51</v>
      </c>
      <c r="BZ6" s="563">
        <f t="shared" si="6"/>
        <v>53</v>
      </c>
      <c r="CA6" s="563">
        <f t="shared" si="6"/>
        <v>55</v>
      </c>
      <c r="CB6" s="563">
        <f t="shared" si="6"/>
        <v>57</v>
      </c>
      <c r="CC6" s="563">
        <f t="shared" si="6"/>
        <v>59</v>
      </c>
      <c r="CD6" s="580">
        <f t="shared" si="6"/>
        <v>61</v>
      </c>
      <c r="CE6" s="563">
        <f t="shared" si="6"/>
        <v>63</v>
      </c>
      <c r="CF6" s="563">
        <f t="shared" si="6"/>
        <v>65</v>
      </c>
      <c r="CG6" s="563">
        <f t="shared" si="6"/>
        <v>67</v>
      </c>
      <c r="CH6" s="563">
        <f t="shared" si="6"/>
        <v>69</v>
      </c>
      <c r="CI6" s="579">
        <f t="shared" si="6"/>
        <v>71</v>
      </c>
      <c r="CJ6" s="563">
        <f t="shared" si="6"/>
        <v>73</v>
      </c>
      <c r="CK6" s="563">
        <f t="shared" si="6"/>
        <v>75</v>
      </c>
      <c r="CL6" s="563">
        <f t="shared" si="6"/>
        <v>77</v>
      </c>
      <c r="CM6" s="563">
        <f t="shared" si="6"/>
        <v>79</v>
      </c>
      <c r="CN6" s="580">
        <f t="shared" si="6"/>
        <v>81</v>
      </c>
      <c r="CO6" s="563">
        <f t="shared" si="6"/>
        <v>83</v>
      </c>
      <c r="CP6" s="563">
        <f t="shared" si="6"/>
        <v>85</v>
      </c>
      <c r="CQ6" s="563">
        <f t="shared" si="6"/>
        <v>87</v>
      </c>
      <c r="CR6" s="563">
        <f t="shared" si="6"/>
        <v>89</v>
      </c>
      <c r="CS6" s="579">
        <f t="shared" si="6"/>
        <v>91</v>
      </c>
      <c r="CT6" s="563">
        <f t="shared" si="6"/>
        <v>93</v>
      </c>
      <c r="CU6" s="563">
        <f t="shared" si="6"/>
        <v>95</v>
      </c>
      <c r="CV6" s="563">
        <f t="shared" si="6"/>
        <v>97</v>
      </c>
      <c r="CW6" s="563">
        <f t="shared" si="6"/>
        <v>99</v>
      </c>
      <c r="CX6" s="621" t="s">
        <v>1664</v>
      </c>
    </row>
    <row r="7" ht="10.5" customHeight="1">
      <c r="A7" s="543"/>
      <c r="B7" s="563">
        <f t="shared" si="4"/>
        <v>5</v>
      </c>
      <c r="C7" s="640">
        <f t="shared" ref="C7:CW7" si="7">IF(LT(IF(GT(C$2,MIN($B7,99)),C$2,MIN($B7,99)),99-FLOOR(C$2/2,1)),IF(GT(C$2,MIN($B7,99)),C$2,MIN($B7,99))-FLOOR(C$2/2,1),2*IF(GT(C$2,MIN($B7,99)),C$2,MIN($B7,99))-99)</f>
        <v>5</v>
      </c>
      <c r="D7" s="640">
        <f t="shared" si="7"/>
        <v>4</v>
      </c>
      <c r="E7" s="640">
        <f t="shared" si="7"/>
        <v>4</v>
      </c>
      <c r="F7" s="640">
        <f t="shared" si="7"/>
        <v>3</v>
      </c>
      <c r="G7" s="641">
        <f t="shared" si="7"/>
        <v>3</v>
      </c>
      <c r="H7" s="640">
        <f t="shared" si="7"/>
        <v>3</v>
      </c>
      <c r="I7" s="640">
        <f t="shared" si="7"/>
        <v>4</v>
      </c>
      <c r="J7" s="640">
        <f t="shared" si="7"/>
        <v>4</v>
      </c>
      <c r="K7" s="640">
        <f t="shared" si="7"/>
        <v>5</v>
      </c>
      <c r="L7" s="643">
        <f t="shared" si="7"/>
        <v>5</v>
      </c>
      <c r="M7" s="640">
        <f t="shared" si="7"/>
        <v>6</v>
      </c>
      <c r="N7" s="640">
        <f t="shared" si="7"/>
        <v>6</v>
      </c>
      <c r="O7" s="640">
        <f t="shared" si="7"/>
        <v>7</v>
      </c>
      <c r="P7" s="640">
        <f t="shared" si="7"/>
        <v>7</v>
      </c>
      <c r="Q7" s="641">
        <f t="shared" si="7"/>
        <v>8</v>
      </c>
      <c r="R7" s="640">
        <f t="shared" si="7"/>
        <v>8</v>
      </c>
      <c r="S7" s="640">
        <f t="shared" si="7"/>
        <v>9</v>
      </c>
      <c r="T7" s="640">
        <f t="shared" si="7"/>
        <v>9</v>
      </c>
      <c r="U7" s="640">
        <f t="shared" si="7"/>
        <v>10</v>
      </c>
      <c r="V7" s="643">
        <f t="shared" si="7"/>
        <v>10</v>
      </c>
      <c r="W7" s="640">
        <f t="shared" si="7"/>
        <v>11</v>
      </c>
      <c r="X7" s="640">
        <f t="shared" si="7"/>
        <v>11</v>
      </c>
      <c r="Y7" s="640">
        <f t="shared" si="7"/>
        <v>12</v>
      </c>
      <c r="Z7" s="640">
        <f t="shared" si="7"/>
        <v>12</v>
      </c>
      <c r="AA7" s="641">
        <f t="shared" si="7"/>
        <v>13</v>
      </c>
      <c r="AB7" s="640">
        <f t="shared" si="7"/>
        <v>13</v>
      </c>
      <c r="AC7" s="640">
        <f t="shared" si="7"/>
        <v>14</v>
      </c>
      <c r="AD7" s="640">
        <f t="shared" si="7"/>
        <v>14</v>
      </c>
      <c r="AE7" s="640">
        <f t="shared" si="7"/>
        <v>15</v>
      </c>
      <c r="AF7" s="643">
        <f t="shared" si="7"/>
        <v>15</v>
      </c>
      <c r="AG7" s="640">
        <f t="shared" si="7"/>
        <v>16</v>
      </c>
      <c r="AH7" s="640">
        <f t="shared" si="7"/>
        <v>16</v>
      </c>
      <c r="AI7" s="640">
        <f t="shared" si="7"/>
        <v>17</v>
      </c>
      <c r="AJ7" s="640">
        <f t="shared" si="7"/>
        <v>17</v>
      </c>
      <c r="AK7" s="641">
        <f t="shared" si="7"/>
        <v>18</v>
      </c>
      <c r="AL7" s="640">
        <f t="shared" si="7"/>
        <v>18</v>
      </c>
      <c r="AM7" s="640">
        <f t="shared" si="7"/>
        <v>19</v>
      </c>
      <c r="AN7" s="640">
        <f t="shared" si="7"/>
        <v>19</v>
      </c>
      <c r="AO7" s="640">
        <f t="shared" si="7"/>
        <v>20</v>
      </c>
      <c r="AP7" s="643">
        <f t="shared" si="7"/>
        <v>20</v>
      </c>
      <c r="AQ7" s="640">
        <f t="shared" si="7"/>
        <v>21</v>
      </c>
      <c r="AR7" s="640">
        <f t="shared" si="7"/>
        <v>21</v>
      </c>
      <c r="AS7" s="640">
        <f t="shared" si="7"/>
        <v>22</v>
      </c>
      <c r="AT7" s="640">
        <f t="shared" si="7"/>
        <v>22</v>
      </c>
      <c r="AU7" s="641">
        <f t="shared" si="7"/>
        <v>23</v>
      </c>
      <c r="AV7" s="640">
        <f t="shared" si="7"/>
        <v>23</v>
      </c>
      <c r="AW7" s="640">
        <f t="shared" si="7"/>
        <v>24</v>
      </c>
      <c r="AX7" s="640">
        <f t="shared" si="7"/>
        <v>24</v>
      </c>
      <c r="AY7" s="640">
        <f t="shared" si="7"/>
        <v>25</v>
      </c>
      <c r="AZ7" s="643">
        <f t="shared" si="7"/>
        <v>25</v>
      </c>
      <c r="BA7" s="640">
        <f t="shared" si="7"/>
        <v>26</v>
      </c>
      <c r="BB7" s="640">
        <f t="shared" si="7"/>
        <v>26</v>
      </c>
      <c r="BC7" s="640">
        <f t="shared" si="7"/>
        <v>27</v>
      </c>
      <c r="BD7" s="640">
        <f t="shared" si="7"/>
        <v>27</v>
      </c>
      <c r="BE7" s="641">
        <f t="shared" si="7"/>
        <v>28</v>
      </c>
      <c r="BF7" s="640">
        <f t="shared" si="7"/>
        <v>28</v>
      </c>
      <c r="BG7" s="640">
        <f t="shared" si="7"/>
        <v>29</v>
      </c>
      <c r="BH7" s="640">
        <f t="shared" si="7"/>
        <v>29</v>
      </c>
      <c r="BI7" s="640">
        <f t="shared" si="7"/>
        <v>30</v>
      </c>
      <c r="BJ7" s="643">
        <f t="shared" si="7"/>
        <v>30</v>
      </c>
      <c r="BK7" s="640">
        <f t="shared" si="7"/>
        <v>31</v>
      </c>
      <c r="BL7" s="640">
        <f t="shared" si="7"/>
        <v>31</v>
      </c>
      <c r="BM7" s="640">
        <f t="shared" si="7"/>
        <v>32</v>
      </c>
      <c r="BN7" s="640">
        <f t="shared" si="7"/>
        <v>32</v>
      </c>
      <c r="BO7" s="641">
        <f t="shared" si="7"/>
        <v>33</v>
      </c>
      <c r="BP7" s="640">
        <f t="shared" si="7"/>
        <v>33</v>
      </c>
      <c r="BQ7" s="640">
        <f t="shared" si="7"/>
        <v>35</v>
      </c>
      <c r="BR7" s="640">
        <f t="shared" si="7"/>
        <v>37</v>
      </c>
      <c r="BS7" s="640">
        <f t="shared" si="7"/>
        <v>39</v>
      </c>
      <c r="BT7" s="643">
        <f t="shared" si="7"/>
        <v>41</v>
      </c>
      <c r="BU7" s="640">
        <f t="shared" si="7"/>
        <v>43</v>
      </c>
      <c r="BV7" s="640">
        <f t="shared" si="7"/>
        <v>45</v>
      </c>
      <c r="BW7" s="640">
        <f t="shared" si="7"/>
        <v>47</v>
      </c>
      <c r="BX7" s="640">
        <f t="shared" si="7"/>
        <v>49</v>
      </c>
      <c r="BY7" s="641">
        <f t="shared" si="7"/>
        <v>51</v>
      </c>
      <c r="BZ7" s="640">
        <f t="shared" si="7"/>
        <v>53</v>
      </c>
      <c r="CA7" s="640">
        <f t="shared" si="7"/>
        <v>55</v>
      </c>
      <c r="CB7" s="640">
        <f t="shared" si="7"/>
        <v>57</v>
      </c>
      <c r="CC7" s="640">
        <f t="shared" si="7"/>
        <v>59</v>
      </c>
      <c r="CD7" s="643">
        <f t="shared" si="7"/>
        <v>61</v>
      </c>
      <c r="CE7" s="640">
        <f t="shared" si="7"/>
        <v>63</v>
      </c>
      <c r="CF7" s="640">
        <f t="shared" si="7"/>
        <v>65</v>
      </c>
      <c r="CG7" s="640">
        <f t="shared" si="7"/>
        <v>67</v>
      </c>
      <c r="CH7" s="640">
        <f t="shared" si="7"/>
        <v>69</v>
      </c>
      <c r="CI7" s="641">
        <f t="shared" si="7"/>
        <v>71</v>
      </c>
      <c r="CJ7" s="640">
        <f t="shared" si="7"/>
        <v>73</v>
      </c>
      <c r="CK7" s="640">
        <f t="shared" si="7"/>
        <v>75</v>
      </c>
      <c r="CL7" s="640">
        <f t="shared" si="7"/>
        <v>77</v>
      </c>
      <c r="CM7" s="640">
        <f t="shared" si="7"/>
        <v>79</v>
      </c>
      <c r="CN7" s="643">
        <f t="shared" si="7"/>
        <v>81</v>
      </c>
      <c r="CO7" s="640">
        <f t="shared" si="7"/>
        <v>83</v>
      </c>
      <c r="CP7" s="640">
        <f t="shared" si="7"/>
        <v>85</v>
      </c>
      <c r="CQ7" s="640">
        <f t="shared" si="7"/>
        <v>87</v>
      </c>
      <c r="CR7" s="640">
        <f t="shared" si="7"/>
        <v>89</v>
      </c>
      <c r="CS7" s="641">
        <f t="shared" si="7"/>
        <v>91</v>
      </c>
      <c r="CT7" s="640">
        <f t="shared" si="7"/>
        <v>93</v>
      </c>
      <c r="CU7" s="640">
        <f t="shared" si="7"/>
        <v>95</v>
      </c>
      <c r="CV7" s="640">
        <f t="shared" si="7"/>
        <v>97</v>
      </c>
      <c r="CW7" s="640">
        <f t="shared" si="7"/>
        <v>99</v>
      </c>
      <c r="CX7" s="621" t="s">
        <v>1668</v>
      </c>
    </row>
    <row r="8" ht="10.5" customHeight="1">
      <c r="A8" s="543"/>
      <c r="B8" s="563">
        <f t="shared" si="4"/>
        <v>6</v>
      </c>
      <c r="C8" s="563">
        <f t="shared" ref="C8:CW8" si="8">IF(LT(IF(GT(C$2,MIN($B8,99)),C$2,MIN($B8,99)),99-FLOOR(C$2/2,1)),IF(GT(C$2,MIN($B8,99)),C$2,MIN($B8,99))-FLOOR(C$2/2,1),2*IF(GT(C$2,MIN($B8,99)),C$2,MIN($B8,99))-99)</f>
        <v>6</v>
      </c>
      <c r="D8" s="563">
        <f t="shared" si="8"/>
        <v>5</v>
      </c>
      <c r="E8" s="563">
        <f t="shared" si="8"/>
        <v>5</v>
      </c>
      <c r="F8" s="563">
        <f t="shared" si="8"/>
        <v>4</v>
      </c>
      <c r="G8" s="579">
        <f t="shared" si="8"/>
        <v>4</v>
      </c>
      <c r="H8" s="563">
        <f t="shared" si="8"/>
        <v>3</v>
      </c>
      <c r="I8" s="563">
        <f t="shared" si="8"/>
        <v>4</v>
      </c>
      <c r="J8" s="563">
        <f t="shared" si="8"/>
        <v>4</v>
      </c>
      <c r="K8" s="563">
        <f t="shared" si="8"/>
        <v>5</v>
      </c>
      <c r="L8" s="580">
        <f t="shared" si="8"/>
        <v>5</v>
      </c>
      <c r="M8" s="563">
        <f t="shared" si="8"/>
        <v>6</v>
      </c>
      <c r="N8" s="563">
        <f t="shared" si="8"/>
        <v>6</v>
      </c>
      <c r="O8" s="563">
        <f t="shared" si="8"/>
        <v>7</v>
      </c>
      <c r="P8" s="563">
        <f t="shared" si="8"/>
        <v>7</v>
      </c>
      <c r="Q8" s="579">
        <f t="shared" si="8"/>
        <v>8</v>
      </c>
      <c r="R8" s="563">
        <f t="shared" si="8"/>
        <v>8</v>
      </c>
      <c r="S8" s="563">
        <f t="shared" si="8"/>
        <v>9</v>
      </c>
      <c r="T8" s="563">
        <f t="shared" si="8"/>
        <v>9</v>
      </c>
      <c r="U8" s="563">
        <f t="shared" si="8"/>
        <v>10</v>
      </c>
      <c r="V8" s="580">
        <f t="shared" si="8"/>
        <v>10</v>
      </c>
      <c r="W8" s="563">
        <f t="shared" si="8"/>
        <v>11</v>
      </c>
      <c r="X8" s="563">
        <f t="shared" si="8"/>
        <v>11</v>
      </c>
      <c r="Y8" s="563">
        <f t="shared" si="8"/>
        <v>12</v>
      </c>
      <c r="Z8" s="563">
        <f t="shared" si="8"/>
        <v>12</v>
      </c>
      <c r="AA8" s="579">
        <f t="shared" si="8"/>
        <v>13</v>
      </c>
      <c r="AB8" s="563">
        <f t="shared" si="8"/>
        <v>13</v>
      </c>
      <c r="AC8" s="563">
        <f t="shared" si="8"/>
        <v>14</v>
      </c>
      <c r="AD8" s="563">
        <f t="shared" si="8"/>
        <v>14</v>
      </c>
      <c r="AE8" s="563">
        <f t="shared" si="8"/>
        <v>15</v>
      </c>
      <c r="AF8" s="580">
        <f t="shared" si="8"/>
        <v>15</v>
      </c>
      <c r="AG8" s="563">
        <f t="shared" si="8"/>
        <v>16</v>
      </c>
      <c r="AH8" s="563">
        <f t="shared" si="8"/>
        <v>16</v>
      </c>
      <c r="AI8" s="563">
        <f t="shared" si="8"/>
        <v>17</v>
      </c>
      <c r="AJ8" s="563">
        <f t="shared" si="8"/>
        <v>17</v>
      </c>
      <c r="AK8" s="579">
        <f t="shared" si="8"/>
        <v>18</v>
      </c>
      <c r="AL8" s="563">
        <f t="shared" si="8"/>
        <v>18</v>
      </c>
      <c r="AM8" s="563">
        <f t="shared" si="8"/>
        <v>19</v>
      </c>
      <c r="AN8" s="563">
        <f t="shared" si="8"/>
        <v>19</v>
      </c>
      <c r="AO8" s="563">
        <f t="shared" si="8"/>
        <v>20</v>
      </c>
      <c r="AP8" s="580">
        <f t="shared" si="8"/>
        <v>20</v>
      </c>
      <c r="AQ8" s="563">
        <f t="shared" si="8"/>
        <v>21</v>
      </c>
      <c r="AR8" s="563">
        <f t="shared" si="8"/>
        <v>21</v>
      </c>
      <c r="AS8" s="563">
        <f t="shared" si="8"/>
        <v>22</v>
      </c>
      <c r="AT8" s="563">
        <f t="shared" si="8"/>
        <v>22</v>
      </c>
      <c r="AU8" s="579">
        <f t="shared" si="8"/>
        <v>23</v>
      </c>
      <c r="AV8" s="563">
        <f t="shared" si="8"/>
        <v>23</v>
      </c>
      <c r="AW8" s="563">
        <f t="shared" si="8"/>
        <v>24</v>
      </c>
      <c r="AX8" s="563">
        <f t="shared" si="8"/>
        <v>24</v>
      </c>
      <c r="AY8" s="563">
        <f t="shared" si="8"/>
        <v>25</v>
      </c>
      <c r="AZ8" s="580">
        <f t="shared" si="8"/>
        <v>25</v>
      </c>
      <c r="BA8" s="563">
        <f t="shared" si="8"/>
        <v>26</v>
      </c>
      <c r="BB8" s="563">
        <f t="shared" si="8"/>
        <v>26</v>
      </c>
      <c r="BC8" s="563">
        <f t="shared" si="8"/>
        <v>27</v>
      </c>
      <c r="BD8" s="563">
        <f t="shared" si="8"/>
        <v>27</v>
      </c>
      <c r="BE8" s="579">
        <f t="shared" si="8"/>
        <v>28</v>
      </c>
      <c r="BF8" s="563">
        <f t="shared" si="8"/>
        <v>28</v>
      </c>
      <c r="BG8" s="563">
        <f t="shared" si="8"/>
        <v>29</v>
      </c>
      <c r="BH8" s="563">
        <f t="shared" si="8"/>
        <v>29</v>
      </c>
      <c r="BI8" s="563">
        <f t="shared" si="8"/>
        <v>30</v>
      </c>
      <c r="BJ8" s="580">
        <f t="shared" si="8"/>
        <v>30</v>
      </c>
      <c r="BK8" s="563">
        <f t="shared" si="8"/>
        <v>31</v>
      </c>
      <c r="BL8" s="563">
        <f t="shared" si="8"/>
        <v>31</v>
      </c>
      <c r="BM8" s="563">
        <f t="shared" si="8"/>
        <v>32</v>
      </c>
      <c r="BN8" s="563">
        <f t="shared" si="8"/>
        <v>32</v>
      </c>
      <c r="BO8" s="579">
        <f t="shared" si="8"/>
        <v>33</v>
      </c>
      <c r="BP8" s="563">
        <f t="shared" si="8"/>
        <v>33</v>
      </c>
      <c r="BQ8" s="563">
        <f t="shared" si="8"/>
        <v>35</v>
      </c>
      <c r="BR8" s="563">
        <f t="shared" si="8"/>
        <v>37</v>
      </c>
      <c r="BS8" s="563">
        <f t="shared" si="8"/>
        <v>39</v>
      </c>
      <c r="BT8" s="580">
        <f t="shared" si="8"/>
        <v>41</v>
      </c>
      <c r="BU8" s="563">
        <f t="shared" si="8"/>
        <v>43</v>
      </c>
      <c r="BV8" s="563">
        <f t="shared" si="8"/>
        <v>45</v>
      </c>
      <c r="BW8" s="563">
        <f t="shared" si="8"/>
        <v>47</v>
      </c>
      <c r="BX8" s="563">
        <f t="shared" si="8"/>
        <v>49</v>
      </c>
      <c r="BY8" s="579">
        <f t="shared" si="8"/>
        <v>51</v>
      </c>
      <c r="BZ8" s="563">
        <f t="shared" si="8"/>
        <v>53</v>
      </c>
      <c r="CA8" s="563">
        <f t="shared" si="8"/>
        <v>55</v>
      </c>
      <c r="CB8" s="563">
        <f t="shared" si="8"/>
        <v>57</v>
      </c>
      <c r="CC8" s="563">
        <f t="shared" si="8"/>
        <v>59</v>
      </c>
      <c r="CD8" s="580">
        <f t="shared" si="8"/>
        <v>61</v>
      </c>
      <c r="CE8" s="563">
        <f t="shared" si="8"/>
        <v>63</v>
      </c>
      <c r="CF8" s="563">
        <f t="shared" si="8"/>
        <v>65</v>
      </c>
      <c r="CG8" s="563">
        <f t="shared" si="8"/>
        <v>67</v>
      </c>
      <c r="CH8" s="563">
        <f t="shared" si="8"/>
        <v>69</v>
      </c>
      <c r="CI8" s="579">
        <f t="shared" si="8"/>
        <v>71</v>
      </c>
      <c r="CJ8" s="563">
        <f t="shared" si="8"/>
        <v>73</v>
      </c>
      <c r="CK8" s="563">
        <f t="shared" si="8"/>
        <v>75</v>
      </c>
      <c r="CL8" s="563">
        <f t="shared" si="8"/>
        <v>77</v>
      </c>
      <c r="CM8" s="563">
        <f t="shared" si="8"/>
        <v>79</v>
      </c>
      <c r="CN8" s="580">
        <f t="shared" si="8"/>
        <v>81</v>
      </c>
      <c r="CO8" s="563">
        <f t="shared" si="8"/>
        <v>83</v>
      </c>
      <c r="CP8" s="563">
        <f t="shared" si="8"/>
        <v>85</v>
      </c>
      <c r="CQ8" s="563">
        <f t="shared" si="8"/>
        <v>87</v>
      </c>
      <c r="CR8" s="563">
        <f t="shared" si="8"/>
        <v>89</v>
      </c>
      <c r="CS8" s="579">
        <f t="shared" si="8"/>
        <v>91</v>
      </c>
      <c r="CT8" s="563">
        <f t="shared" si="8"/>
        <v>93</v>
      </c>
      <c r="CU8" s="563">
        <f t="shared" si="8"/>
        <v>95</v>
      </c>
      <c r="CV8" s="563">
        <f t="shared" si="8"/>
        <v>97</v>
      </c>
      <c r="CW8" s="563">
        <f t="shared" si="8"/>
        <v>99</v>
      </c>
      <c r="CX8" s="563"/>
    </row>
    <row r="9" ht="10.5" customHeight="1">
      <c r="A9" s="543"/>
      <c r="B9" s="563">
        <f t="shared" si="4"/>
        <v>7</v>
      </c>
      <c r="C9" s="563">
        <f t="shared" ref="C9:CW9" si="9">IF(LT(IF(GT(C$2,MIN($B9,99)),C$2,MIN($B9,99)),99-FLOOR(C$2/2,1)),IF(GT(C$2,MIN($B9,99)),C$2,MIN($B9,99))-FLOOR(C$2/2,1),2*IF(GT(C$2,MIN($B9,99)),C$2,MIN($B9,99))-99)</f>
        <v>7</v>
      </c>
      <c r="D9" s="563">
        <f t="shared" si="9"/>
        <v>6</v>
      </c>
      <c r="E9" s="563">
        <f t="shared" si="9"/>
        <v>6</v>
      </c>
      <c r="F9" s="563">
        <f t="shared" si="9"/>
        <v>5</v>
      </c>
      <c r="G9" s="579">
        <f t="shared" si="9"/>
        <v>5</v>
      </c>
      <c r="H9" s="563">
        <f t="shared" si="9"/>
        <v>4</v>
      </c>
      <c r="I9" s="563">
        <f t="shared" si="9"/>
        <v>4</v>
      </c>
      <c r="J9" s="563">
        <f t="shared" si="9"/>
        <v>4</v>
      </c>
      <c r="K9" s="563">
        <f t="shared" si="9"/>
        <v>5</v>
      </c>
      <c r="L9" s="580">
        <f t="shared" si="9"/>
        <v>5</v>
      </c>
      <c r="M9" s="563">
        <f t="shared" si="9"/>
        <v>6</v>
      </c>
      <c r="N9" s="563">
        <f t="shared" si="9"/>
        <v>6</v>
      </c>
      <c r="O9" s="563">
        <f t="shared" si="9"/>
        <v>7</v>
      </c>
      <c r="P9" s="563">
        <f t="shared" si="9"/>
        <v>7</v>
      </c>
      <c r="Q9" s="579">
        <f t="shared" si="9"/>
        <v>8</v>
      </c>
      <c r="R9" s="563">
        <f t="shared" si="9"/>
        <v>8</v>
      </c>
      <c r="S9" s="563">
        <f t="shared" si="9"/>
        <v>9</v>
      </c>
      <c r="T9" s="563">
        <f t="shared" si="9"/>
        <v>9</v>
      </c>
      <c r="U9" s="563">
        <f t="shared" si="9"/>
        <v>10</v>
      </c>
      <c r="V9" s="580">
        <f t="shared" si="9"/>
        <v>10</v>
      </c>
      <c r="W9" s="563">
        <f t="shared" si="9"/>
        <v>11</v>
      </c>
      <c r="X9" s="563">
        <f t="shared" si="9"/>
        <v>11</v>
      </c>
      <c r="Y9" s="563">
        <f t="shared" si="9"/>
        <v>12</v>
      </c>
      <c r="Z9" s="563">
        <f t="shared" si="9"/>
        <v>12</v>
      </c>
      <c r="AA9" s="579">
        <f t="shared" si="9"/>
        <v>13</v>
      </c>
      <c r="AB9" s="563">
        <f t="shared" si="9"/>
        <v>13</v>
      </c>
      <c r="AC9" s="563">
        <f t="shared" si="9"/>
        <v>14</v>
      </c>
      <c r="AD9" s="563">
        <f t="shared" si="9"/>
        <v>14</v>
      </c>
      <c r="AE9" s="563">
        <f t="shared" si="9"/>
        <v>15</v>
      </c>
      <c r="AF9" s="580">
        <f t="shared" si="9"/>
        <v>15</v>
      </c>
      <c r="AG9" s="563">
        <f t="shared" si="9"/>
        <v>16</v>
      </c>
      <c r="AH9" s="563">
        <f t="shared" si="9"/>
        <v>16</v>
      </c>
      <c r="AI9" s="563">
        <f t="shared" si="9"/>
        <v>17</v>
      </c>
      <c r="AJ9" s="563">
        <f t="shared" si="9"/>
        <v>17</v>
      </c>
      <c r="AK9" s="579">
        <f t="shared" si="9"/>
        <v>18</v>
      </c>
      <c r="AL9" s="563">
        <f t="shared" si="9"/>
        <v>18</v>
      </c>
      <c r="AM9" s="563">
        <f t="shared" si="9"/>
        <v>19</v>
      </c>
      <c r="AN9" s="563">
        <f t="shared" si="9"/>
        <v>19</v>
      </c>
      <c r="AO9" s="563">
        <f t="shared" si="9"/>
        <v>20</v>
      </c>
      <c r="AP9" s="580">
        <f t="shared" si="9"/>
        <v>20</v>
      </c>
      <c r="AQ9" s="563">
        <f t="shared" si="9"/>
        <v>21</v>
      </c>
      <c r="AR9" s="563">
        <f t="shared" si="9"/>
        <v>21</v>
      </c>
      <c r="AS9" s="563">
        <f t="shared" si="9"/>
        <v>22</v>
      </c>
      <c r="AT9" s="563">
        <f t="shared" si="9"/>
        <v>22</v>
      </c>
      <c r="AU9" s="579">
        <f t="shared" si="9"/>
        <v>23</v>
      </c>
      <c r="AV9" s="563">
        <f t="shared" si="9"/>
        <v>23</v>
      </c>
      <c r="AW9" s="563">
        <f t="shared" si="9"/>
        <v>24</v>
      </c>
      <c r="AX9" s="563">
        <f t="shared" si="9"/>
        <v>24</v>
      </c>
      <c r="AY9" s="563">
        <f t="shared" si="9"/>
        <v>25</v>
      </c>
      <c r="AZ9" s="580">
        <f t="shared" si="9"/>
        <v>25</v>
      </c>
      <c r="BA9" s="563">
        <f t="shared" si="9"/>
        <v>26</v>
      </c>
      <c r="BB9" s="563">
        <f t="shared" si="9"/>
        <v>26</v>
      </c>
      <c r="BC9" s="563">
        <f t="shared" si="9"/>
        <v>27</v>
      </c>
      <c r="BD9" s="563">
        <f t="shared" si="9"/>
        <v>27</v>
      </c>
      <c r="BE9" s="579">
        <f t="shared" si="9"/>
        <v>28</v>
      </c>
      <c r="BF9" s="563">
        <f t="shared" si="9"/>
        <v>28</v>
      </c>
      <c r="BG9" s="563">
        <f t="shared" si="9"/>
        <v>29</v>
      </c>
      <c r="BH9" s="563">
        <f t="shared" si="9"/>
        <v>29</v>
      </c>
      <c r="BI9" s="563">
        <f t="shared" si="9"/>
        <v>30</v>
      </c>
      <c r="BJ9" s="580">
        <f t="shared" si="9"/>
        <v>30</v>
      </c>
      <c r="BK9" s="563">
        <f t="shared" si="9"/>
        <v>31</v>
      </c>
      <c r="BL9" s="563">
        <f t="shared" si="9"/>
        <v>31</v>
      </c>
      <c r="BM9" s="563">
        <f t="shared" si="9"/>
        <v>32</v>
      </c>
      <c r="BN9" s="563">
        <f t="shared" si="9"/>
        <v>32</v>
      </c>
      <c r="BO9" s="579">
        <f t="shared" si="9"/>
        <v>33</v>
      </c>
      <c r="BP9" s="563">
        <f t="shared" si="9"/>
        <v>33</v>
      </c>
      <c r="BQ9" s="563">
        <f t="shared" si="9"/>
        <v>35</v>
      </c>
      <c r="BR9" s="563">
        <f t="shared" si="9"/>
        <v>37</v>
      </c>
      <c r="BS9" s="563">
        <f t="shared" si="9"/>
        <v>39</v>
      </c>
      <c r="BT9" s="580">
        <f t="shared" si="9"/>
        <v>41</v>
      </c>
      <c r="BU9" s="563">
        <f t="shared" si="9"/>
        <v>43</v>
      </c>
      <c r="BV9" s="563">
        <f t="shared" si="9"/>
        <v>45</v>
      </c>
      <c r="BW9" s="563">
        <f t="shared" si="9"/>
        <v>47</v>
      </c>
      <c r="BX9" s="563">
        <f t="shared" si="9"/>
        <v>49</v>
      </c>
      <c r="BY9" s="579">
        <f t="shared" si="9"/>
        <v>51</v>
      </c>
      <c r="BZ9" s="563">
        <f t="shared" si="9"/>
        <v>53</v>
      </c>
      <c r="CA9" s="563">
        <f t="shared" si="9"/>
        <v>55</v>
      </c>
      <c r="CB9" s="563">
        <f t="shared" si="9"/>
        <v>57</v>
      </c>
      <c r="CC9" s="563">
        <f t="shared" si="9"/>
        <v>59</v>
      </c>
      <c r="CD9" s="580">
        <f t="shared" si="9"/>
        <v>61</v>
      </c>
      <c r="CE9" s="563">
        <f t="shared" si="9"/>
        <v>63</v>
      </c>
      <c r="CF9" s="563">
        <f t="shared" si="9"/>
        <v>65</v>
      </c>
      <c r="CG9" s="563">
        <f t="shared" si="9"/>
        <v>67</v>
      </c>
      <c r="CH9" s="563">
        <f t="shared" si="9"/>
        <v>69</v>
      </c>
      <c r="CI9" s="579">
        <f t="shared" si="9"/>
        <v>71</v>
      </c>
      <c r="CJ9" s="563">
        <f t="shared" si="9"/>
        <v>73</v>
      </c>
      <c r="CK9" s="563">
        <f t="shared" si="9"/>
        <v>75</v>
      </c>
      <c r="CL9" s="563">
        <f t="shared" si="9"/>
        <v>77</v>
      </c>
      <c r="CM9" s="563">
        <f t="shared" si="9"/>
        <v>79</v>
      </c>
      <c r="CN9" s="580">
        <f t="shared" si="9"/>
        <v>81</v>
      </c>
      <c r="CO9" s="563">
        <f t="shared" si="9"/>
        <v>83</v>
      </c>
      <c r="CP9" s="563">
        <f t="shared" si="9"/>
        <v>85</v>
      </c>
      <c r="CQ9" s="563">
        <f t="shared" si="9"/>
        <v>87</v>
      </c>
      <c r="CR9" s="563">
        <f t="shared" si="9"/>
        <v>89</v>
      </c>
      <c r="CS9" s="579">
        <f t="shared" si="9"/>
        <v>91</v>
      </c>
      <c r="CT9" s="563">
        <f t="shared" si="9"/>
        <v>93</v>
      </c>
      <c r="CU9" s="563">
        <f t="shared" si="9"/>
        <v>95</v>
      </c>
      <c r="CV9" s="563">
        <f t="shared" si="9"/>
        <v>97</v>
      </c>
      <c r="CW9" s="563">
        <f t="shared" si="9"/>
        <v>99</v>
      </c>
      <c r="CX9" s="563"/>
    </row>
    <row r="10" ht="10.5" customHeight="1">
      <c r="A10" s="543"/>
      <c r="B10" s="563">
        <f t="shared" si="4"/>
        <v>8</v>
      </c>
      <c r="C10" s="563">
        <f t="shared" ref="C10:CW10" si="10">IF(LT(IF(GT(C$2,MIN($B10,99)),C$2,MIN($B10,99)),99-FLOOR(C$2/2,1)),IF(GT(C$2,MIN($B10,99)),C$2,MIN($B10,99))-FLOOR(C$2/2,1),2*IF(GT(C$2,MIN($B10,99)),C$2,MIN($B10,99))-99)</f>
        <v>8</v>
      </c>
      <c r="D10" s="563">
        <f t="shared" si="10"/>
        <v>7</v>
      </c>
      <c r="E10" s="563">
        <f t="shared" si="10"/>
        <v>7</v>
      </c>
      <c r="F10" s="563">
        <f t="shared" si="10"/>
        <v>6</v>
      </c>
      <c r="G10" s="579">
        <f t="shared" si="10"/>
        <v>6</v>
      </c>
      <c r="H10" s="563">
        <f t="shared" si="10"/>
        <v>5</v>
      </c>
      <c r="I10" s="563">
        <f t="shared" si="10"/>
        <v>5</v>
      </c>
      <c r="J10" s="563">
        <f t="shared" si="10"/>
        <v>4</v>
      </c>
      <c r="K10" s="563">
        <f t="shared" si="10"/>
        <v>5</v>
      </c>
      <c r="L10" s="580">
        <f t="shared" si="10"/>
        <v>5</v>
      </c>
      <c r="M10" s="563">
        <f t="shared" si="10"/>
        <v>6</v>
      </c>
      <c r="N10" s="563">
        <f t="shared" si="10"/>
        <v>6</v>
      </c>
      <c r="O10" s="563">
        <f t="shared" si="10"/>
        <v>7</v>
      </c>
      <c r="P10" s="563">
        <f t="shared" si="10"/>
        <v>7</v>
      </c>
      <c r="Q10" s="579">
        <f t="shared" si="10"/>
        <v>8</v>
      </c>
      <c r="R10" s="563">
        <f t="shared" si="10"/>
        <v>8</v>
      </c>
      <c r="S10" s="563">
        <f t="shared" si="10"/>
        <v>9</v>
      </c>
      <c r="T10" s="563">
        <f t="shared" si="10"/>
        <v>9</v>
      </c>
      <c r="U10" s="563">
        <f t="shared" si="10"/>
        <v>10</v>
      </c>
      <c r="V10" s="580">
        <f t="shared" si="10"/>
        <v>10</v>
      </c>
      <c r="W10" s="563">
        <f t="shared" si="10"/>
        <v>11</v>
      </c>
      <c r="X10" s="563">
        <f t="shared" si="10"/>
        <v>11</v>
      </c>
      <c r="Y10" s="563">
        <f t="shared" si="10"/>
        <v>12</v>
      </c>
      <c r="Z10" s="563">
        <f t="shared" si="10"/>
        <v>12</v>
      </c>
      <c r="AA10" s="579">
        <f t="shared" si="10"/>
        <v>13</v>
      </c>
      <c r="AB10" s="563">
        <f t="shared" si="10"/>
        <v>13</v>
      </c>
      <c r="AC10" s="563">
        <f t="shared" si="10"/>
        <v>14</v>
      </c>
      <c r="AD10" s="563">
        <f t="shared" si="10"/>
        <v>14</v>
      </c>
      <c r="AE10" s="563">
        <f t="shared" si="10"/>
        <v>15</v>
      </c>
      <c r="AF10" s="580">
        <f t="shared" si="10"/>
        <v>15</v>
      </c>
      <c r="AG10" s="563">
        <f t="shared" si="10"/>
        <v>16</v>
      </c>
      <c r="AH10" s="563">
        <f t="shared" si="10"/>
        <v>16</v>
      </c>
      <c r="AI10" s="563">
        <f t="shared" si="10"/>
        <v>17</v>
      </c>
      <c r="AJ10" s="563">
        <f t="shared" si="10"/>
        <v>17</v>
      </c>
      <c r="AK10" s="579">
        <f t="shared" si="10"/>
        <v>18</v>
      </c>
      <c r="AL10" s="563">
        <f t="shared" si="10"/>
        <v>18</v>
      </c>
      <c r="AM10" s="563">
        <f t="shared" si="10"/>
        <v>19</v>
      </c>
      <c r="AN10" s="563">
        <f t="shared" si="10"/>
        <v>19</v>
      </c>
      <c r="AO10" s="563">
        <f t="shared" si="10"/>
        <v>20</v>
      </c>
      <c r="AP10" s="580">
        <f t="shared" si="10"/>
        <v>20</v>
      </c>
      <c r="AQ10" s="563">
        <f t="shared" si="10"/>
        <v>21</v>
      </c>
      <c r="AR10" s="563">
        <f t="shared" si="10"/>
        <v>21</v>
      </c>
      <c r="AS10" s="563">
        <f t="shared" si="10"/>
        <v>22</v>
      </c>
      <c r="AT10" s="563">
        <f t="shared" si="10"/>
        <v>22</v>
      </c>
      <c r="AU10" s="579">
        <f t="shared" si="10"/>
        <v>23</v>
      </c>
      <c r="AV10" s="563">
        <f t="shared" si="10"/>
        <v>23</v>
      </c>
      <c r="AW10" s="563">
        <f t="shared" si="10"/>
        <v>24</v>
      </c>
      <c r="AX10" s="563">
        <f t="shared" si="10"/>
        <v>24</v>
      </c>
      <c r="AY10" s="563">
        <f t="shared" si="10"/>
        <v>25</v>
      </c>
      <c r="AZ10" s="580">
        <f t="shared" si="10"/>
        <v>25</v>
      </c>
      <c r="BA10" s="563">
        <f t="shared" si="10"/>
        <v>26</v>
      </c>
      <c r="BB10" s="563">
        <f t="shared" si="10"/>
        <v>26</v>
      </c>
      <c r="BC10" s="563">
        <f t="shared" si="10"/>
        <v>27</v>
      </c>
      <c r="BD10" s="563">
        <f t="shared" si="10"/>
        <v>27</v>
      </c>
      <c r="BE10" s="579">
        <f t="shared" si="10"/>
        <v>28</v>
      </c>
      <c r="BF10" s="563">
        <f t="shared" si="10"/>
        <v>28</v>
      </c>
      <c r="BG10" s="563">
        <f t="shared" si="10"/>
        <v>29</v>
      </c>
      <c r="BH10" s="563">
        <f t="shared" si="10"/>
        <v>29</v>
      </c>
      <c r="BI10" s="563">
        <f t="shared" si="10"/>
        <v>30</v>
      </c>
      <c r="BJ10" s="580">
        <f t="shared" si="10"/>
        <v>30</v>
      </c>
      <c r="BK10" s="563">
        <f t="shared" si="10"/>
        <v>31</v>
      </c>
      <c r="BL10" s="563">
        <f t="shared" si="10"/>
        <v>31</v>
      </c>
      <c r="BM10" s="563">
        <f t="shared" si="10"/>
        <v>32</v>
      </c>
      <c r="BN10" s="563">
        <f t="shared" si="10"/>
        <v>32</v>
      </c>
      <c r="BO10" s="579">
        <f t="shared" si="10"/>
        <v>33</v>
      </c>
      <c r="BP10" s="563">
        <f t="shared" si="10"/>
        <v>33</v>
      </c>
      <c r="BQ10" s="563">
        <f t="shared" si="10"/>
        <v>35</v>
      </c>
      <c r="BR10" s="563">
        <f t="shared" si="10"/>
        <v>37</v>
      </c>
      <c r="BS10" s="563">
        <f t="shared" si="10"/>
        <v>39</v>
      </c>
      <c r="BT10" s="580">
        <f t="shared" si="10"/>
        <v>41</v>
      </c>
      <c r="BU10" s="563">
        <f t="shared" si="10"/>
        <v>43</v>
      </c>
      <c r="BV10" s="563">
        <f t="shared" si="10"/>
        <v>45</v>
      </c>
      <c r="BW10" s="563">
        <f t="shared" si="10"/>
        <v>47</v>
      </c>
      <c r="BX10" s="563">
        <f t="shared" si="10"/>
        <v>49</v>
      </c>
      <c r="BY10" s="579">
        <f t="shared" si="10"/>
        <v>51</v>
      </c>
      <c r="BZ10" s="563">
        <f t="shared" si="10"/>
        <v>53</v>
      </c>
      <c r="CA10" s="563">
        <f t="shared" si="10"/>
        <v>55</v>
      </c>
      <c r="CB10" s="563">
        <f t="shared" si="10"/>
        <v>57</v>
      </c>
      <c r="CC10" s="563">
        <f t="shared" si="10"/>
        <v>59</v>
      </c>
      <c r="CD10" s="580">
        <f t="shared" si="10"/>
        <v>61</v>
      </c>
      <c r="CE10" s="563">
        <f t="shared" si="10"/>
        <v>63</v>
      </c>
      <c r="CF10" s="563">
        <f t="shared" si="10"/>
        <v>65</v>
      </c>
      <c r="CG10" s="563">
        <f t="shared" si="10"/>
        <v>67</v>
      </c>
      <c r="CH10" s="563">
        <f t="shared" si="10"/>
        <v>69</v>
      </c>
      <c r="CI10" s="579">
        <f t="shared" si="10"/>
        <v>71</v>
      </c>
      <c r="CJ10" s="563">
        <f t="shared" si="10"/>
        <v>73</v>
      </c>
      <c r="CK10" s="563">
        <f t="shared" si="10"/>
        <v>75</v>
      </c>
      <c r="CL10" s="563">
        <f t="shared" si="10"/>
        <v>77</v>
      </c>
      <c r="CM10" s="563">
        <f t="shared" si="10"/>
        <v>79</v>
      </c>
      <c r="CN10" s="580">
        <f t="shared" si="10"/>
        <v>81</v>
      </c>
      <c r="CO10" s="563">
        <f t="shared" si="10"/>
        <v>83</v>
      </c>
      <c r="CP10" s="563">
        <f t="shared" si="10"/>
        <v>85</v>
      </c>
      <c r="CQ10" s="563">
        <f t="shared" si="10"/>
        <v>87</v>
      </c>
      <c r="CR10" s="563">
        <f t="shared" si="10"/>
        <v>89</v>
      </c>
      <c r="CS10" s="579">
        <f t="shared" si="10"/>
        <v>91</v>
      </c>
      <c r="CT10" s="563">
        <f t="shared" si="10"/>
        <v>93</v>
      </c>
      <c r="CU10" s="563">
        <f t="shared" si="10"/>
        <v>95</v>
      </c>
      <c r="CV10" s="563">
        <f t="shared" si="10"/>
        <v>97</v>
      </c>
      <c r="CW10" s="563">
        <f t="shared" si="10"/>
        <v>99</v>
      </c>
      <c r="CX10" s="563"/>
    </row>
    <row r="11" ht="10.5" customHeight="1">
      <c r="A11" s="543"/>
      <c r="B11" s="563">
        <f t="shared" si="4"/>
        <v>9</v>
      </c>
      <c r="C11" s="563">
        <f t="shared" ref="C11:CW11" si="11">IF(LT(IF(GT(C$2,MIN($B11,99)),C$2,MIN($B11,99)),99-FLOOR(C$2/2,1)),IF(GT(C$2,MIN($B11,99)),C$2,MIN($B11,99))-FLOOR(C$2/2,1),2*IF(GT(C$2,MIN($B11,99)),C$2,MIN($B11,99))-99)</f>
        <v>9</v>
      </c>
      <c r="D11" s="563">
        <f t="shared" si="11"/>
        <v>8</v>
      </c>
      <c r="E11" s="563">
        <f t="shared" si="11"/>
        <v>8</v>
      </c>
      <c r="F11" s="563">
        <f t="shared" si="11"/>
        <v>7</v>
      </c>
      <c r="G11" s="579">
        <f t="shared" si="11"/>
        <v>7</v>
      </c>
      <c r="H11" s="563">
        <f t="shared" si="11"/>
        <v>6</v>
      </c>
      <c r="I11" s="563">
        <f t="shared" si="11"/>
        <v>6</v>
      </c>
      <c r="J11" s="563">
        <f t="shared" si="11"/>
        <v>5</v>
      </c>
      <c r="K11" s="563">
        <f t="shared" si="11"/>
        <v>5</v>
      </c>
      <c r="L11" s="580">
        <f t="shared" si="11"/>
        <v>5</v>
      </c>
      <c r="M11" s="563">
        <f t="shared" si="11"/>
        <v>6</v>
      </c>
      <c r="N11" s="563">
        <f t="shared" si="11"/>
        <v>6</v>
      </c>
      <c r="O11" s="563">
        <f t="shared" si="11"/>
        <v>7</v>
      </c>
      <c r="P11" s="563">
        <f t="shared" si="11"/>
        <v>7</v>
      </c>
      <c r="Q11" s="579">
        <f t="shared" si="11"/>
        <v>8</v>
      </c>
      <c r="R11" s="563">
        <f t="shared" si="11"/>
        <v>8</v>
      </c>
      <c r="S11" s="563">
        <f t="shared" si="11"/>
        <v>9</v>
      </c>
      <c r="T11" s="563">
        <f t="shared" si="11"/>
        <v>9</v>
      </c>
      <c r="U11" s="563">
        <f t="shared" si="11"/>
        <v>10</v>
      </c>
      <c r="V11" s="580">
        <f t="shared" si="11"/>
        <v>10</v>
      </c>
      <c r="W11" s="563">
        <f t="shared" si="11"/>
        <v>11</v>
      </c>
      <c r="X11" s="563">
        <f t="shared" si="11"/>
        <v>11</v>
      </c>
      <c r="Y11" s="563">
        <f t="shared" si="11"/>
        <v>12</v>
      </c>
      <c r="Z11" s="563">
        <f t="shared" si="11"/>
        <v>12</v>
      </c>
      <c r="AA11" s="579">
        <f t="shared" si="11"/>
        <v>13</v>
      </c>
      <c r="AB11" s="563">
        <f t="shared" si="11"/>
        <v>13</v>
      </c>
      <c r="AC11" s="563">
        <f t="shared" si="11"/>
        <v>14</v>
      </c>
      <c r="AD11" s="563">
        <f t="shared" si="11"/>
        <v>14</v>
      </c>
      <c r="AE11" s="563">
        <f t="shared" si="11"/>
        <v>15</v>
      </c>
      <c r="AF11" s="580">
        <f t="shared" si="11"/>
        <v>15</v>
      </c>
      <c r="AG11" s="563">
        <f t="shared" si="11"/>
        <v>16</v>
      </c>
      <c r="AH11" s="563">
        <f t="shared" si="11"/>
        <v>16</v>
      </c>
      <c r="AI11" s="563">
        <f t="shared" si="11"/>
        <v>17</v>
      </c>
      <c r="AJ11" s="563">
        <f t="shared" si="11"/>
        <v>17</v>
      </c>
      <c r="AK11" s="579">
        <f t="shared" si="11"/>
        <v>18</v>
      </c>
      <c r="AL11" s="563">
        <f t="shared" si="11"/>
        <v>18</v>
      </c>
      <c r="AM11" s="563">
        <f t="shared" si="11"/>
        <v>19</v>
      </c>
      <c r="AN11" s="563">
        <f t="shared" si="11"/>
        <v>19</v>
      </c>
      <c r="AO11" s="563">
        <f t="shared" si="11"/>
        <v>20</v>
      </c>
      <c r="AP11" s="580">
        <f t="shared" si="11"/>
        <v>20</v>
      </c>
      <c r="AQ11" s="563">
        <f t="shared" si="11"/>
        <v>21</v>
      </c>
      <c r="AR11" s="563">
        <f t="shared" si="11"/>
        <v>21</v>
      </c>
      <c r="AS11" s="563">
        <f t="shared" si="11"/>
        <v>22</v>
      </c>
      <c r="AT11" s="563">
        <f t="shared" si="11"/>
        <v>22</v>
      </c>
      <c r="AU11" s="579">
        <f t="shared" si="11"/>
        <v>23</v>
      </c>
      <c r="AV11" s="563">
        <f t="shared" si="11"/>
        <v>23</v>
      </c>
      <c r="AW11" s="563">
        <f t="shared" si="11"/>
        <v>24</v>
      </c>
      <c r="AX11" s="563">
        <f t="shared" si="11"/>
        <v>24</v>
      </c>
      <c r="AY11" s="563">
        <f t="shared" si="11"/>
        <v>25</v>
      </c>
      <c r="AZ11" s="580">
        <f t="shared" si="11"/>
        <v>25</v>
      </c>
      <c r="BA11" s="563">
        <f t="shared" si="11"/>
        <v>26</v>
      </c>
      <c r="BB11" s="563">
        <f t="shared" si="11"/>
        <v>26</v>
      </c>
      <c r="BC11" s="563">
        <f t="shared" si="11"/>
        <v>27</v>
      </c>
      <c r="BD11" s="563">
        <f t="shared" si="11"/>
        <v>27</v>
      </c>
      <c r="BE11" s="579">
        <f t="shared" si="11"/>
        <v>28</v>
      </c>
      <c r="BF11" s="563">
        <f t="shared" si="11"/>
        <v>28</v>
      </c>
      <c r="BG11" s="563">
        <f t="shared" si="11"/>
        <v>29</v>
      </c>
      <c r="BH11" s="563">
        <f t="shared" si="11"/>
        <v>29</v>
      </c>
      <c r="BI11" s="563">
        <f t="shared" si="11"/>
        <v>30</v>
      </c>
      <c r="BJ11" s="580">
        <f t="shared" si="11"/>
        <v>30</v>
      </c>
      <c r="BK11" s="563">
        <f t="shared" si="11"/>
        <v>31</v>
      </c>
      <c r="BL11" s="563">
        <f t="shared" si="11"/>
        <v>31</v>
      </c>
      <c r="BM11" s="563">
        <f t="shared" si="11"/>
        <v>32</v>
      </c>
      <c r="BN11" s="563">
        <f t="shared" si="11"/>
        <v>32</v>
      </c>
      <c r="BO11" s="579">
        <f t="shared" si="11"/>
        <v>33</v>
      </c>
      <c r="BP11" s="563">
        <f t="shared" si="11"/>
        <v>33</v>
      </c>
      <c r="BQ11" s="563">
        <f t="shared" si="11"/>
        <v>35</v>
      </c>
      <c r="BR11" s="563">
        <f t="shared" si="11"/>
        <v>37</v>
      </c>
      <c r="BS11" s="563">
        <f t="shared" si="11"/>
        <v>39</v>
      </c>
      <c r="BT11" s="580">
        <f t="shared" si="11"/>
        <v>41</v>
      </c>
      <c r="BU11" s="563">
        <f t="shared" si="11"/>
        <v>43</v>
      </c>
      <c r="BV11" s="563">
        <f t="shared" si="11"/>
        <v>45</v>
      </c>
      <c r="BW11" s="563">
        <f t="shared" si="11"/>
        <v>47</v>
      </c>
      <c r="BX11" s="563">
        <f t="shared" si="11"/>
        <v>49</v>
      </c>
      <c r="BY11" s="579">
        <f t="shared" si="11"/>
        <v>51</v>
      </c>
      <c r="BZ11" s="563">
        <f t="shared" si="11"/>
        <v>53</v>
      </c>
      <c r="CA11" s="563">
        <f t="shared" si="11"/>
        <v>55</v>
      </c>
      <c r="CB11" s="563">
        <f t="shared" si="11"/>
        <v>57</v>
      </c>
      <c r="CC11" s="563">
        <f t="shared" si="11"/>
        <v>59</v>
      </c>
      <c r="CD11" s="580">
        <f t="shared" si="11"/>
        <v>61</v>
      </c>
      <c r="CE11" s="563">
        <f t="shared" si="11"/>
        <v>63</v>
      </c>
      <c r="CF11" s="563">
        <f t="shared" si="11"/>
        <v>65</v>
      </c>
      <c r="CG11" s="563">
        <f t="shared" si="11"/>
        <v>67</v>
      </c>
      <c r="CH11" s="563">
        <f t="shared" si="11"/>
        <v>69</v>
      </c>
      <c r="CI11" s="579">
        <f t="shared" si="11"/>
        <v>71</v>
      </c>
      <c r="CJ11" s="563">
        <f t="shared" si="11"/>
        <v>73</v>
      </c>
      <c r="CK11" s="563">
        <f t="shared" si="11"/>
        <v>75</v>
      </c>
      <c r="CL11" s="563">
        <f t="shared" si="11"/>
        <v>77</v>
      </c>
      <c r="CM11" s="563">
        <f t="shared" si="11"/>
        <v>79</v>
      </c>
      <c r="CN11" s="580">
        <f t="shared" si="11"/>
        <v>81</v>
      </c>
      <c r="CO11" s="563">
        <f t="shared" si="11"/>
        <v>83</v>
      </c>
      <c r="CP11" s="563">
        <f t="shared" si="11"/>
        <v>85</v>
      </c>
      <c r="CQ11" s="563">
        <f t="shared" si="11"/>
        <v>87</v>
      </c>
      <c r="CR11" s="563">
        <f t="shared" si="11"/>
        <v>89</v>
      </c>
      <c r="CS11" s="579">
        <f t="shared" si="11"/>
        <v>91</v>
      </c>
      <c r="CT11" s="563">
        <f t="shared" si="11"/>
        <v>93</v>
      </c>
      <c r="CU11" s="563">
        <f t="shared" si="11"/>
        <v>95</v>
      </c>
      <c r="CV11" s="563">
        <f t="shared" si="11"/>
        <v>97</v>
      </c>
      <c r="CW11" s="563">
        <f t="shared" si="11"/>
        <v>99</v>
      </c>
      <c r="CX11" s="563"/>
    </row>
    <row r="12" ht="10.5" customHeight="1">
      <c r="A12" s="543"/>
      <c r="B12" s="563">
        <f t="shared" si="4"/>
        <v>10</v>
      </c>
      <c r="C12" s="682">
        <f t="shared" ref="C12:CW12" si="12">IF(LT(IF(GT(C$2,MIN($B12,99)),C$2,MIN($B12,99)),99-FLOOR(C$2/2,1)),IF(GT(C$2,MIN($B12,99)),C$2,MIN($B12,99))-FLOOR(C$2/2,1),2*IF(GT(C$2,MIN($B12,99)),C$2,MIN($B12,99))-99)</f>
        <v>10</v>
      </c>
      <c r="D12" s="682">
        <f t="shared" si="12"/>
        <v>9</v>
      </c>
      <c r="E12" s="682">
        <f t="shared" si="12"/>
        <v>9</v>
      </c>
      <c r="F12" s="682">
        <f t="shared" si="12"/>
        <v>8</v>
      </c>
      <c r="G12" s="683">
        <f t="shared" si="12"/>
        <v>8</v>
      </c>
      <c r="H12" s="682">
        <f t="shared" si="12"/>
        <v>7</v>
      </c>
      <c r="I12" s="682">
        <f t="shared" si="12"/>
        <v>7</v>
      </c>
      <c r="J12" s="682">
        <f t="shared" si="12"/>
        <v>6</v>
      </c>
      <c r="K12" s="682">
        <f t="shared" si="12"/>
        <v>6</v>
      </c>
      <c r="L12" s="684">
        <f t="shared" si="12"/>
        <v>5</v>
      </c>
      <c r="M12" s="682">
        <f t="shared" si="12"/>
        <v>6</v>
      </c>
      <c r="N12" s="682">
        <f t="shared" si="12"/>
        <v>6</v>
      </c>
      <c r="O12" s="682">
        <f t="shared" si="12"/>
        <v>7</v>
      </c>
      <c r="P12" s="682">
        <f t="shared" si="12"/>
        <v>7</v>
      </c>
      <c r="Q12" s="683">
        <f t="shared" si="12"/>
        <v>8</v>
      </c>
      <c r="R12" s="682">
        <f t="shared" si="12"/>
        <v>8</v>
      </c>
      <c r="S12" s="682">
        <f t="shared" si="12"/>
        <v>9</v>
      </c>
      <c r="T12" s="682">
        <f t="shared" si="12"/>
        <v>9</v>
      </c>
      <c r="U12" s="682">
        <f t="shared" si="12"/>
        <v>10</v>
      </c>
      <c r="V12" s="684">
        <f t="shared" si="12"/>
        <v>10</v>
      </c>
      <c r="W12" s="682">
        <f t="shared" si="12"/>
        <v>11</v>
      </c>
      <c r="X12" s="682">
        <f t="shared" si="12"/>
        <v>11</v>
      </c>
      <c r="Y12" s="682">
        <f t="shared" si="12"/>
        <v>12</v>
      </c>
      <c r="Z12" s="682">
        <f t="shared" si="12"/>
        <v>12</v>
      </c>
      <c r="AA12" s="683">
        <f t="shared" si="12"/>
        <v>13</v>
      </c>
      <c r="AB12" s="682">
        <f t="shared" si="12"/>
        <v>13</v>
      </c>
      <c r="AC12" s="682">
        <f t="shared" si="12"/>
        <v>14</v>
      </c>
      <c r="AD12" s="682">
        <f t="shared" si="12"/>
        <v>14</v>
      </c>
      <c r="AE12" s="682">
        <f t="shared" si="12"/>
        <v>15</v>
      </c>
      <c r="AF12" s="684">
        <f t="shared" si="12"/>
        <v>15</v>
      </c>
      <c r="AG12" s="682">
        <f t="shared" si="12"/>
        <v>16</v>
      </c>
      <c r="AH12" s="682">
        <f t="shared" si="12"/>
        <v>16</v>
      </c>
      <c r="AI12" s="682">
        <f t="shared" si="12"/>
        <v>17</v>
      </c>
      <c r="AJ12" s="682">
        <f t="shared" si="12"/>
        <v>17</v>
      </c>
      <c r="AK12" s="683">
        <f t="shared" si="12"/>
        <v>18</v>
      </c>
      <c r="AL12" s="682">
        <f t="shared" si="12"/>
        <v>18</v>
      </c>
      <c r="AM12" s="682">
        <f t="shared" si="12"/>
        <v>19</v>
      </c>
      <c r="AN12" s="682">
        <f t="shared" si="12"/>
        <v>19</v>
      </c>
      <c r="AO12" s="682">
        <f t="shared" si="12"/>
        <v>20</v>
      </c>
      <c r="AP12" s="684">
        <f t="shared" si="12"/>
        <v>20</v>
      </c>
      <c r="AQ12" s="682">
        <f t="shared" si="12"/>
        <v>21</v>
      </c>
      <c r="AR12" s="682">
        <f t="shared" si="12"/>
        <v>21</v>
      </c>
      <c r="AS12" s="682">
        <f t="shared" si="12"/>
        <v>22</v>
      </c>
      <c r="AT12" s="682">
        <f t="shared" si="12"/>
        <v>22</v>
      </c>
      <c r="AU12" s="683">
        <f t="shared" si="12"/>
        <v>23</v>
      </c>
      <c r="AV12" s="682">
        <f t="shared" si="12"/>
        <v>23</v>
      </c>
      <c r="AW12" s="682">
        <f t="shared" si="12"/>
        <v>24</v>
      </c>
      <c r="AX12" s="682">
        <f t="shared" si="12"/>
        <v>24</v>
      </c>
      <c r="AY12" s="682">
        <f t="shared" si="12"/>
        <v>25</v>
      </c>
      <c r="AZ12" s="684">
        <f t="shared" si="12"/>
        <v>25</v>
      </c>
      <c r="BA12" s="682">
        <f t="shared" si="12"/>
        <v>26</v>
      </c>
      <c r="BB12" s="682">
        <f t="shared" si="12"/>
        <v>26</v>
      </c>
      <c r="BC12" s="682">
        <f t="shared" si="12"/>
        <v>27</v>
      </c>
      <c r="BD12" s="682">
        <f t="shared" si="12"/>
        <v>27</v>
      </c>
      <c r="BE12" s="683">
        <f t="shared" si="12"/>
        <v>28</v>
      </c>
      <c r="BF12" s="682">
        <f t="shared" si="12"/>
        <v>28</v>
      </c>
      <c r="BG12" s="682">
        <f t="shared" si="12"/>
        <v>29</v>
      </c>
      <c r="BH12" s="682">
        <f t="shared" si="12"/>
        <v>29</v>
      </c>
      <c r="BI12" s="682">
        <f t="shared" si="12"/>
        <v>30</v>
      </c>
      <c r="BJ12" s="684">
        <f t="shared" si="12"/>
        <v>30</v>
      </c>
      <c r="BK12" s="682">
        <f t="shared" si="12"/>
        <v>31</v>
      </c>
      <c r="BL12" s="682">
        <f t="shared" si="12"/>
        <v>31</v>
      </c>
      <c r="BM12" s="682">
        <f t="shared" si="12"/>
        <v>32</v>
      </c>
      <c r="BN12" s="682">
        <f t="shared" si="12"/>
        <v>32</v>
      </c>
      <c r="BO12" s="683">
        <f t="shared" si="12"/>
        <v>33</v>
      </c>
      <c r="BP12" s="682">
        <f t="shared" si="12"/>
        <v>33</v>
      </c>
      <c r="BQ12" s="682">
        <f t="shared" si="12"/>
        <v>35</v>
      </c>
      <c r="BR12" s="682">
        <f t="shared" si="12"/>
        <v>37</v>
      </c>
      <c r="BS12" s="682">
        <f t="shared" si="12"/>
        <v>39</v>
      </c>
      <c r="BT12" s="684">
        <f t="shared" si="12"/>
        <v>41</v>
      </c>
      <c r="BU12" s="682">
        <f t="shared" si="12"/>
        <v>43</v>
      </c>
      <c r="BV12" s="682">
        <f t="shared" si="12"/>
        <v>45</v>
      </c>
      <c r="BW12" s="682">
        <f t="shared" si="12"/>
        <v>47</v>
      </c>
      <c r="BX12" s="682">
        <f t="shared" si="12"/>
        <v>49</v>
      </c>
      <c r="BY12" s="683">
        <f t="shared" si="12"/>
        <v>51</v>
      </c>
      <c r="BZ12" s="682">
        <f t="shared" si="12"/>
        <v>53</v>
      </c>
      <c r="CA12" s="682">
        <f t="shared" si="12"/>
        <v>55</v>
      </c>
      <c r="CB12" s="682">
        <f t="shared" si="12"/>
        <v>57</v>
      </c>
      <c r="CC12" s="682">
        <f t="shared" si="12"/>
        <v>59</v>
      </c>
      <c r="CD12" s="684">
        <f t="shared" si="12"/>
        <v>61</v>
      </c>
      <c r="CE12" s="682">
        <f t="shared" si="12"/>
        <v>63</v>
      </c>
      <c r="CF12" s="682">
        <f t="shared" si="12"/>
        <v>65</v>
      </c>
      <c r="CG12" s="682">
        <f t="shared" si="12"/>
        <v>67</v>
      </c>
      <c r="CH12" s="682">
        <f t="shared" si="12"/>
        <v>69</v>
      </c>
      <c r="CI12" s="683">
        <f t="shared" si="12"/>
        <v>71</v>
      </c>
      <c r="CJ12" s="682">
        <f t="shared" si="12"/>
        <v>73</v>
      </c>
      <c r="CK12" s="682">
        <f t="shared" si="12"/>
        <v>75</v>
      </c>
      <c r="CL12" s="682">
        <f t="shared" si="12"/>
        <v>77</v>
      </c>
      <c r="CM12" s="682">
        <f t="shared" si="12"/>
        <v>79</v>
      </c>
      <c r="CN12" s="684">
        <f t="shared" si="12"/>
        <v>81</v>
      </c>
      <c r="CO12" s="682">
        <f t="shared" si="12"/>
        <v>83</v>
      </c>
      <c r="CP12" s="682">
        <f t="shared" si="12"/>
        <v>85</v>
      </c>
      <c r="CQ12" s="682">
        <f t="shared" si="12"/>
        <v>87</v>
      </c>
      <c r="CR12" s="682">
        <f t="shared" si="12"/>
        <v>89</v>
      </c>
      <c r="CS12" s="683">
        <f t="shared" si="12"/>
        <v>91</v>
      </c>
      <c r="CT12" s="682">
        <f t="shared" si="12"/>
        <v>93</v>
      </c>
      <c r="CU12" s="682">
        <f t="shared" si="12"/>
        <v>95</v>
      </c>
      <c r="CV12" s="682">
        <f t="shared" si="12"/>
        <v>97</v>
      </c>
      <c r="CW12" s="682">
        <f t="shared" si="12"/>
        <v>99</v>
      </c>
      <c r="CX12" s="563"/>
    </row>
    <row r="13" ht="10.5" customHeight="1">
      <c r="A13" s="543"/>
      <c r="B13" s="563">
        <f t="shared" si="4"/>
        <v>11</v>
      </c>
      <c r="C13" s="563">
        <f t="shared" ref="C13:CW13" si="13">IF(LT(IF(GT(C$2,MIN($B13,99)),C$2,MIN($B13,99)),99-FLOOR(C$2/2,1)),IF(GT(C$2,MIN($B13,99)),C$2,MIN($B13,99))-FLOOR(C$2/2,1),2*IF(GT(C$2,MIN($B13,99)),C$2,MIN($B13,99))-99)</f>
        <v>11</v>
      </c>
      <c r="D13" s="563">
        <f t="shared" si="13"/>
        <v>10</v>
      </c>
      <c r="E13" s="563">
        <f t="shared" si="13"/>
        <v>10</v>
      </c>
      <c r="F13" s="563">
        <f t="shared" si="13"/>
        <v>9</v>
      </c>
      <c r="G13" s="579">
        <f t="shared" si="13"/>
        <v>9</v>
      </c>
      <c r="H13" s="563">
        <f t="shared" si="13"/>
        <v>8</v>
      </c>
      <c r="I13" s="563">
        <f t="shared" si="13"/>
        <v>8</v>
      </c>
      <c r="J13" s="563">
        <f t="shared" si="13"/>
        <v>7</v>
      </c>
      <c r="K13" s="563">
        <f t="shared" si="13"/>
        <v>7</v>
      </c>
      <c r="L13" s="580">
        <f t="shared" si="13"/>
        <v>6</v>
      </c>
      <c r="M13" s="563">
        <f t="shared" si="13"/>
        <v>6</v>
      </c>
      <c r="N13" s="563">
        <f t="shared" si="13"/>
        <v>6</v>
      </c>
      <c r="O13" s="563">
        <f t="shared" si="13"/>
        <v>7</v>
      </c>
      <c r="P13" s="563">
        <f t="shared" si="13"/>
        <v>7</v>
      </c>
      <c r="Q13" s="579">
        <f t="shared" si="13"/>
        <v>8</v>
      </c>
      <c r="R13" s="563">
        <f t="shared" si="13"/>
        <v>8</v>
      </c>
      <c r="S13" s="563">
        <f t="shared" si="13"/>
        <v>9</v>
      </c>
      <c r="T13" s="563">
        <f t="shared" si="13"/>
        <v>9</v>
      </c>
      <c r="U13" s="563">
        <f t="shared" si="13"/>
        <v>10</v>
      </c>
      <c r="V13" s="580">
        <f t="shared" si="13"/>
        <v>10</v>
      </c>
      <c r="W13" s="563">
        <f t="shared" si="13"/>
        <v>11</v>
      </c>
      <c r="X13" s="563">
        <f t="shared" si="13"/>
        <v>11</v>
      </c>
      <c r="Y13" s="563">
        <f t="shared" si="13"/>
        <v>12</v>
      </c>
      <c r="Z13" s="563">
        <f t="shared" si="13"/>
        <v>12</v>
      </c>
      <c r="AA13" s="579">
        <f t="shared" si="13"/>
        <v>13</v>
      </c>
      <c r="AB13" s="563">
        <f t="shared" si="13"/>
        <v>13</v>
      </c>
      <c r="AC13" s="563">
        <f t="shared" si="13"/>
        <v>14</v>
      </c>
      <c r="AD13" s="563">
        <f t="shared" si="13"/>
        <v>14</v>
      </c>
      <c r="AE13" s="563">
        <f t="shared" si="13"/>
        <v>15</v>
      </c>
      <c r="AF13" s="580">
        <f t="shared" si="13"/>
        <v>15</v>
      </c>
      <c r="AG13" s="563">
        <f t="shared" si="13"/>
        <v>16</v>
      </c>
      <c r="AH13" s="563">
        <f t="shared" si="13"/>
        <v>16</v>
      </c>
      <c r="AI13" s="563">
        <f t="shared" si="13"/>
        <v>17</v>
      </c>
      <c r="AJ13" s="563">
        <f t="shared" si="13"/>
        <v>17</v>
      </c>
      <c r="AK13" s="579">
        <f t="shared" si="13"/>
        <v>18</v>
      </c>
      <c r="AL13" s="563">
        <f t="shared" si="13"/>
        <v>18</v>
      </c>
      <c r="AM13" s="563">
        <f t="shared" si="13"/>
        <v>19</v>
      </c>
      <c r="AN13" s="563">
        <f t="shared" si="13"/>
        <v>19</v>
      </c>
      <c r="AO13" s="563">
        <f t="shared" si="13"/>
        <v>20</v>
      </c>
      <c r="AP13" s="580">
        <f t="shared" si="13"/>
        <v>20</v>
      </c>
      <c r="AQ13" s="563">
        <f t="shared" si="13"/>
        <v>21</v>
      </c>
      <c r="AR13" s="563">
        <f t="shared" si="13"/>
        <v>21</v>
      </c>
      <c r="AS13" s="563">
        <f t="shared" si="13"/>
        <v>22</v>
      </c>
      <c r="AT13" s="563">
        <f t="shared" si="13"/>
        <v>22</v>
      </c>
      <c r="AU13" s="579">
        <f t="shared" si="13"/>
        <v>23</v>
      </c>
      <c r="AV13" s="563">
        <f t="shared" si="13"/>
        <v>23</v>
      </c>
      <c r="AW13" s="563">
        <f t="shared" si="13"/>
        <v>24</v>
      </c>
      <c r="AX13" s="563">
        <f t="shared" si="13"/>
        <v>24</v>
      </c>
      <c r="AY13" s="563">
        <f t="shared" si="13"/>
        <v>25</v>
      </c>
      <c r="AZ13" s="580">
        <f t="shared" si="13"/>
        <v>25</v>
      </c>
      <c r="BA13" s="563">
        <f t="shared" si="13"/>
        <v>26</v>
      </c>
      <c r="BB13" s="563">
        <f t="shared" si="13"/>
        <v>26</v>
      </c>
      <c r="BC13" s="563">
        <f t="shared" si="13"/>
        <v>27</v>
      </c>
      <c r="BD13" s="563">
        <f t="shared" si="13"/>
        <v>27</v>
      </c>
      <c r="BE13" s="579">
        <f t="shared" si="13"/>
        <v>28</v>
      </c>
      <c r="BF13" s="563">
        <f t="shared" si="13"/>
        <v>28</v>
      </c>
      <c r="BG13" s="563">
        <f t="shared" si="13"/>
        <v>29</v>
      </c>
      <c r="BH13" s="563">
        <f t="shared" si="13"/>
        <v>29</v>
      </c>
      <c r="BI13" s="563">
        <f t="shared" si="13"/>
        <v>30</v>
      </c>
      <c r="BJ13" s="580">
        <f t="shared" si="13"/>
        <v>30</v>
      </c>
      <c r="BK13" s="563">
        <f t="shared" si="13"/>
        <v>31</v>
      </c>
      <c r="BL13" s="563">
        <f t="shared" si="13"/>
        <v>31</v>
      </c>
      <c r="BM13" s="563">
        <f t="shared" si="13"/>
        <v>32</v>
      </c>
      <c r="BN13" s="563">
        <f t="shared" si="13"/>
        <v>32</v>
      </c>
      <c r="BO13" s="579">
        <f t="shared" si="13"/>
        <v>33</v>
      </c>
      <c r="BP13" s="563">
        <f t="shared" si="13"/>
        <v>33</v>
      </c>
      <c r="BQ13" s="563">
        <f t="shared" si="13"/>
        <v>35</v>
      </c>
      <c r="BR13" s="563">
        <f t="shared" si="13"/>
        <v>37</v>
      </c>
      <c r="BS13" s="563">
        <f t="shared" si="13"/>
        <v>39</v>
      </c>
      <c r="BT13" s="580">
        <f t="shared" si="13"/>
        <v>41</v>
      </c>
      <c r="BU13" s="563">
        <f t="shared" si="13"/>
        <v>43</v>
      </c>
      <c r="BV13" s="563">
        <f t="shared" si="13"/>
        <v>45</v>
      </c>
      <c r="BW13" s="563">
        <f t="shared" si="13"/>
        <v>47</v>
      </c>
      <c r="BX13" s="563">
        <f t="shared" si="13"/>
        <v>49</v>
      </c>
      <c r="BY13" s="579">
        <f t="shared" si="13"/>
        <v>51</v>
      </c>
      <c r="BZ13" s="563">
        <f t="shared" si="13"/>
        <v>53</v>
      </c>
      <c r="CA13" s="563">
        <f t="shared" si="13"/>
        <v>55</v>
      </c>
      <c r="CB13" s="563">
        <f t="shared" si="13"/>
        <v>57</v>
      </c>
      <c r="CC13" s="563">
        <f t="shared" si="13"/>
        <v>59</v>
      </c>
      <c r="CD13" s="580">
        <f t="shared" si="13"/>
        <v>61</v>
      </c>
      <c r="CE13" s="563">
        <f t="shared" si="13"/>
        <v>63</v>
      </c>
      <c r="CF13" s="563">
        <f t="shared" si="13"/>
        <v>65</v>
      </c>
      <c r="CG13" s="563">
        <f t="shared" si="13"/>
        <v>67</v>
      </c>
      <c r="CH13" s="563">
        <f t="shared" si="13"/>
        <v>69</v>
      </c>
      <c r="CI13" s="579">
        <f t="shared" si="13"/>
        <v>71</v>
      </c>
      <c r="CJ13" s="563">
        <f t="shared" si="13"/>
        <v>73</v>
      </c>
      <c r="CK13" s="563">
        <f t="shared" si="13"/>
        <v>75</v>
      </c>
      <c r="CL13" s="563">
        <f t="shared" si="13"/>
        <v>77</v>
      </c>
      <c r="CM13" s="563">
        <f t="shared" si="13"/>
        <v>79</v>
      </c>
      <c r="CN13" s="580">
        <f t="shared" si="13"/>
        <v>81</v>
      </c>
      <c r="CO13" s="563">
        <f t="shared" si="13"/>
        <v>83</v>
      </c>
      <c r="CP13" s="563">
        <f t="shared" si="13"/>
        <v>85</v>
      </c>
      <c r="CQ13" s="563">
        <f t="shared" si="13"/>
        <v>87</v>
      </c>
      <c r="CR13" s="563">
        <f t="shared" si="13"/>
        <v>89</v>
      </c>
      <c r="CS13" s="579">
        <f t="shared" si="13"/>
        <v>91</v>
      </c>
      <c r="CT13" s="563">
        <f t="shared" si="13"/>
        <v>93</v>
      </c>
      <c r="CU13" s="563">
        <f t="shared" si="13"/>
        <v>95</v>
      </c>
      <c r="CV13" s="563">
        <f t="shared" si="13"/>
        <v>97</v>
      </c>
      <c r="CW13" s="563">
        <f t="shared" si="13"/>
        <v>99</v>
      </c>
      <c r="CX13" s="563"/>
    </row>
    <row r="14" ht="10.5" customHeight="1">
      <c r="A14" s="543"/>
      <c r="B14" s="563">
        <f t="shared" si="4"/>
        <v>12</v>
      </c>
      <c r="C14" s="563">
        <f t="shared" ref="C14:CW14" si="14">IF(LT(IF(GT(C$2,MIN($B14,99)),C$2,MIN($B14,99)),99-FLOOR(C$2/2,1)),IF(GT(C$2,MIN($B14,99)),C$2,MIN($B14,99))-FLOOR(C$2/2,1),2*IF(GT(C$2,MIN($B14,99)),C$2,MIN($B14,99))-99)</f>
        <v>12</v>
      </c>
      <c r="D14" s="563">
        <f t="shared" si="14"/>
        <v>11</v>
      </c>
      <c r="E14" s="563">
        <f t="shared" si="14"/>
        <v>11</v>
      </c>
      <c r="F14" s="563">
        <f t="shared" si="14"/>
        <v>10</v>
      </c>
      <c r="G14" s="579">
        <f t="shared" si="14"/>
        <v>10</v>
      </c>
      <c r="H14" s="563">
        <f t="shared" si="14"/>
        <v>9</v>
      </c>
      <c r="I14" s="563">
        <f t="shared" si="14"/>
        <v>9</v>
      </c>
      <c r="J14" s="563">
        <f t="shared" si="14"/>
        <v>8</v>
      </c>
      <c r="K14" s="563">
        <f t="shared" si="14"/>
        <v>8</v>
      </c>
      <c r="L14" s="580">
        <f t="shared" si="14"/>
        <v>7</v>
      </c>
      <c r="M14" s="563">
        <f t="shared" si="14"/>
        <v>7</v>
      </c>
      <c r="N14" s="563">
        <f t="shared" si="14"/>
        <v>6</v>
      </c>
      <c r="O14" s="563">
        <f t="shared" si="14"/>
        <v>7</v>
      </c>
      <c r="P14" s="563">
        <f t="shared" si="14"/>
        <v>7</v>
      </c>
      <c r="Q14" s="579">
        <f t="shared" si="14"/>
        <v>8</v>
      </c>
      <c r="R14" s="563">
        <f t="shared" si="14"/>
        <v>8</v>
      </c>
      <c r="S14" s="563">
        <f t="shared" si="14"/>
        <v>9</v>
      </c>
      <c r="T14" s="563">
        <f t="shared" si="14"/>
        <v>9</v>
      </c>
      <c r="U14" s="563">
        <f t="shared" si="14"/>
        <v>10</v>
      </c>
      <c r="V14" s="580">
        <f t="shared" si="14"/>
        <v>10</v>
      </c>
      <c r="W14" s="563">
        <f t="shared" si="14"/>
        <v>11</v>
      </c>
      <c r="X14" s="563">
        <f t="shared" si="14"/>
        <v>11</v>
      </c>
      <c r="Y14" s="563">
        <f t="shared" si="14"/>
        <v>12</v>
      </c>
      <c r="Z14" s="563">
        <f t="shared" si="14"/>
        <v>12</v>
      </c>
      <c r="AA14" s="579">
        <f t="shared" si="14"/>
        <v>13</v>
      </c>
      <c r="AB14" s="563">
        <f t="shared" si="14"/>
        <v>13</v>
      </c>
      <c r="AC14" s="563">
        <f t="shared" si="14"/>
        <v>14</v>
      </c>
      <c r="AD14" s="563">
        <f t="shared" si="14"/>
        <v>14</v>
      </c>
      <c r="AE14" s="563">
        <f t="shared" si="14"/>
        <v>15</v>
      </c>
      <c r="AF14" s="580">
        <f t="shared" si="14"/>
        <v>15</v>
      </c>
      <c r="AG14" s="563">
        <f t="shared" si="14"/>
        <v>16</v>
      </c>
      <c r="AH14" s="563">
        <f t="shared" si="14"/>
        <v>16</v>
      </c>
      <c r="AI14" s="563">
        <f t="shared" si="14"/>
        <v>17</v>
      </c>
      <c r="AJ14" s="563">
        <f t="shared" si="14"/>
        <v>17</v>
      </c>
      <c r="AK14" s="579">
        <f t="shared" si="14"/>
        <v>18</v>
      </c>
      <c r="AL14" s="563">
        <f t="shared" si="14"/>
        <v>18</v>
      </c>
      <c r="AM14" s="563">
        <f t="shared" si="14"/>
        <v>19</v>
      </c>
      <c r="AN14" s="563">
        <f t="shared" si="14"/>
        <v>19</v>
      </c>
      <c r="AO14" s="563">
        <f t="shared" si="14"/>
        <v>20</v>
      </c>
      <c r="AP14" s="580">
        <f t="shared" si="14"/>
        <v>20</v>
      </c>
      <c r="AQ14" s="563">
        <f t="shared" si="14"/>
        <v>21</v>
      </c>
      <c r="AR14" s="563">
        <f t="shared" si="14"/>
        <v>21</v>
      </c>
      <c r="AS14" s="563">
        <f t="shared" si="14"/>
        <v>22</v>
      </c>
      <c r="AT14" s="563">
        <f t="shared" si="14"/>
        <v>22</v>
      </c>
      <c r="AU14" s="579">
        <f t="shared" si="14"/>
        <v>23</v>
      </c>
      <c r="AV14" s="563">
        <f t="shared" si="14"/>
        <v>23</v>
      </c>
      <c r="AW14" s="563">
        <f t="shared" si="14"/>
        <v>24</v>
      </c>
      <c r="AX14" s="563">
        <f t="shared" si="14"/>
        <v>24</v>
      </c>
      <c r="AY14" s="563">
        <f t="shared" si="14"/>
        <v>25</v>
      </c>
      <c r="AZ14" s="580">
        <f t="shared" si="14"/>
        <v>25</v>
      </c>
      <c r="BA14" s="563">
        <f t="shared" si="14"/>
        <v>26</v>
      </c>
      <c r="BB14" s="563">
        <f t="shared" si="14"/>
        <v>26</v>
      </c>
      <c r="BC14" s="563">
        <f t="shared" si="14"/>
        <v>27</v>
      </c>
      <c r="BD14" s="563">
        <f t="shared" si="14"/>
        <v>27</v>
      </c>
      <c r="BE14" s="579">
        <f t="shared" si="14"/>
        <v>28</v>
      </c>
      <c r="BF14" s="563">
        <f t="shared" si="14"/>
        <v>28</v>
      </c>
      <c r="BG14" s="563">
        <f t="shared" si="14"/>
        <v>29</v>
      </c>
      <c r="BH14" s="563">
        <f t="shared" si="14"/>
        <v>29</v>
      </c>
      <c r="BI14" s="563">
        <f t="shared" si="14"/>
        <v>30</v>
      </c>
      <c r="BJ14" s="580">
        <f t="shared" si="14"/>
        <v>30</v>
      </c>
      <c r="BK14" s="563">
        <f t="shared" si="14"/>
        <v>31</v>
      </c>
      <c r="BL14" s="563">
        <f t="shared" si="14"/>
        <v>31</v>
      </c>
      <c r="BM14" s="563">
        <f t="shared" si="14"/>
        <v>32</v>
      </c>
      <c r="BN14" s="563">
        <f t="shared" si="14"/>
        <v>32</v>
      </c>
      <c r="BO14" s="579">
        <f t="shared" si="14"/>
        <v>33</v>
      </c>
      <c r="BP14" s="563">
        <f t="shared" si="14"/>
        <v>33</v>
      </c>
      <c r="BQ14" s="563">
        <f t="shared" si="14"/>
        <v>35</v>
      </c>
      <c r="BR14" s="563">
        <f t="shared" si="14"/>
        <v>37</v>
      </c>
      <c r="BS14" s="563">
        <f t="shared" si="14"/>
        <v>39</v>
      </c>
      <c r="BT14" s="580">
        <f t="shared" si="14"/>
        <v>41</v>
      </c>
      <c r="BU14" s="563">
        <f t="shared" si="14"/>
        <v>43</v>
      </c>
      <c r="BV14" s="563">
        <f t="shared" si="14"/>
        <v>45</v>
      </c>
      <c r="BW14" s="563">
        <f t="shared" si="14"/>
        <v>47</v>
      </c>
      <c r="BX14" s="563">
        <f t="shared" si="14"/>
        <v>49</v>
      </c>
      <c r="BY14" s="579">
        <f t="shared" si="14"/>
        <v>51</v>
      </c>
      <c r="BZ14" s="563">
        <f t="shared" si="14"/>
        <v>53</v>
      </c>
      <c r="CA14" s="563">
        <f t="shared" si="14"/>
        <v>55</v>
      </c>
      <c r="CB14" s="563">
        <f t="shared" si="14"/>
        <v>57</v>
      </c>
      <c r="CC14" s="563">
        <f t="shared" si="14"/>
        <v>59</v>
      </c>
      <c r="CD14" s="580">
        <f t="shared" si="14"/>
        <v>61</v>
      </c>
      <c r="CE14" s="563">
        <f t="shared" si="14"/>
        <v>63</v>
      </c>
      <c r="CF14" s="563">
        <f t="shared" si="14"/>
        <v>65</v>
      </c>
      <c r="CG14" s="563">
        <f t="shared" si="14"/>
        <v>67</v>
      </c>
      <c r="CH14" s="563">
        <f t="shared" si="14"/>
        <v>69</v>
      </c>
      <c r="CI14" s="579">
        <f t="shared" si="14"/>
        <v>71</v>
      </c>
      <c r="CJ14" s="563">
        <f t="shared" si="14"/>
        <v>73</v>
      </c>
      <c r="CK14" s="563">
        <f t="shared" si="14"/>
        <v>75</v>
      </c>
      <c r="CL14" s="563">
        <f t="shared" si="14"/>
        <v>77</v>
      </c>
      <c r="CM14" s="563">
        <f t="shared" si="14"/>
        <v>79</v>
      </c>
      <c r="CN14" s="580">
        <f t="shared" si="14"/>
        <v>81</v>
      </c>
      <c r="CO14" s="563">
        <f t="shared" si="14"/>
        <v>83</v>
      </c>
      <c r="CP14" s="563">
        <f t="shared" si="14"/>
        <v>85</v>
      </c>
      <c r="CQ14" s="563">
        <f t="shared" si="14"/>
        <v>87</v>
      </c>
      <c r="CR14" s="563">
        <f t="shared" si="14"/>
        <v>89</v>
      </c>
      <c r="CS14" s="579">
        <f t="shared" si="14"/>
        <v>91</v>
      </c>
      <c r="CT14" s="563">
        <f t="shared" si="14"/>
        <v>93</v>
      </c>
      <c r="CU14" s="563">
        <f t="shared" si="14"/>
        <v>95</v>
      </c>
      <c r="CV14" s="563">
        <f t="shared" si="14"/>
        <v>97</v>
      </c>
      <c r="CW14" s="563">
        <f t="shared" si="14"/>
        <v>99</v>
      </c>
      <c r="CX14" s="563"/>
    </row>
    <row r="15" ht="10.5" customHeight="1">
      <c r="A15" s="543"/>
      <c r="B15" s="563">
        <f t="shared" si="4"/>
        <v>13</v>
      </c>
      <c r="C15" s="563">
        <f t="shared" ref="C15:CW15" si="15">IF(LT(IF(GT(C$2,MIN($B15,99)),C$2,MIN($B15,99)),99-FLOOR(C$2/2,1)),IF(GT(C$2,MIN($B15,99)),C$2,MIN($B15,99))-FLOOR(C$2/2,1),2*IF(GT(C$2,MIN($B15,99)),C$2,MIN($B15,99))-99)</f>
        <v>13</v>
      </c>
      <c r="D15" s="563">
        <f t="shared" si="15"/>
        <v>12</v>
      </c>
      <c r="E15" s="563">
        <f t="shared" si="15"/>
        <v>12</v>
      </c>
      <c r="F15" s="563">
        <f t="shared" si="15"/>
        <v>11</v>
      </c>
      <c r="G15" s="579">
        <f t="shared" si="15"/>
        <v>11</v>
      </c>
      <c r="H15" s="563">
        <f t="shared" si="15"/>
        <v>10</v>
      </c>
      <c r="I15" s="563">
        <f t="shared" si="15"/>
        <v>10</v>
      </c>
      <c r="J15" s="563">
        <f t="shared" si="15"/>
        <v>9</v>
      </c>
      <c r="K15" s="563">
        <f t="shared" si="15"/>
        <v>9</v>
      </c>
      <c r="L15" s="580">
        <f t="shared" si="15"/>
        <v>8</v>
      </c>
      <c r="M15" s="563">
        <f t="shared" si="15"/>
        <v>8</v>
      </c>
      <c r="N15" s="563">
        <f t="shared" si="15"/>
        <v>7</v>
      </c>
      <c r="O15" s="563">
        <f t="shared" si="15"/>
        <v>7</v>
      </c>
      <c r="P15" s="563">
        <f t="shared" si="15"/>
        <v>7</v>
      </c>
      <c r="Q15" s="579">
        <f t="shared" si="15"/>
        <v>8</v>
      </c>
      <c r="R15" s="563">
        <f t="shared" si="15"/>
        <v>8</v>
      </c>
      <c r="S15" s="563">
        <f t="shared" si="15"/>
        <v>9</v>
      </c>
      <c r="T15" s="563">
        <f t="shared" si="15"/>
        <v>9</v>
      </c>
      <c r="U15" s="563">
        <f t="shared" si="15"/>
        <v>10</v>
      </c>
      <c r="V15" s="580">
        <f t="shared" si="15"/>
        <v>10</v>
      </c>
      <c r="W15" s="563">
        <f t="shared" si="15"/>
        <v>11</v>
      </c>
      <c r="X15" s="563">
        <f t="shared" si="15"/>
        <v>11</v>
      </c>
      <c r="Y15" s="563">
        <f t="shared" si="15"/>
        <v>12</v>
      </c>
      <c r="Z15" s="563">
        <f t="shared" si="15"/>
        <v>12</v>
      </c>
      <c r="AA15" s="579">
        <f t="shared" si="15"/>
        <v>13</v>
      </c>
      <c r="AB15" s="563">
        <f t="shared" si="15"/>
        <v>13</v>
      </c>
      <c r="AC15" s="563">
        <f t="shared" si="15"/>
        <v>14</v>
      </c>
      <c r="AD15" s="563">
        <f t="shared" si="15"/>
        <v>14</v>
      </c>
      <c r="AE15" s="563">
        <f t="shared" si="15"/>
        <v>15</v>
      </c>
      <c r="AF15" s="580">
        <f t="shared" si="15"/>
        <v>15</v>
      </c>
      <c r="AG15" s="563">
        <f t="shared" si="15"/>
        <v>16</v>
      </c>
      <c r="AH15" s="563">
        <f t="shared" si="15"/>
        <v>16</v>
      </c>
      <c r="AI15" s="563">
        <f t="shared" si="15"/>
        <v>17</v>
      </c>
      <c r="AJ15" s="563">
        <f t="shared" si="15"/>
        <v>17</v>
      </c>
      <c r="AK15" s="579">
        <f t="shared" si="15"/>
        <v>18</v>
      </c>
      <c r="AL15" s="563">
        <f t="shared" si="15"/>
        <v>18</v>
      </c>
      <c r="AM15" s="563">
        <f t="shared" si="15"/>
        <v>19</v>
      </c>
      <c r="AN15" s="563">
        <f t="shared" si="15"/>
        <v>19</v>
      </c>
      <c r="AO15" s="563">
        <f t="shared" si="15"/>
        <v>20</v>
      </c>
      <c r="AP15" s="580">
        <f t="shared" si="15"/>
        <v>20</v>
      </c>
      <c r="AQ15" s="563">
        <f t="shared" si="15"/>
        <v>21</v>
      </c>
      <c r="AR15" s="563">
        <f t="shared" si="15"/>
        <v>21</v>
      </c>
      <c r="AS15" s="563">
        <f t="shared" si="15"/>
        <v>22</v>
      </c>
      <c r="AT15" s="563">
        <f t="shared" si="15"/>
        <v>22</v>
      </c>
      <c r="AU15" s="579">
        <f t="shared" si="15"/>
        <v>23</v>
      </c>
      <c r="AV15" s="563">
        <f t="shared" si="15"/>
        <v>23</v>
      </c>
      <c r="AW15" s="563">
        <f t="shared" si="15"/>
        <v>24</v>
      </c>
      <c r="AX15" s="563">
        <f t="shared" si="15"/>
        <v>24</v>
      </c>
      <c r="AY15" s="563">
        <f t="shared" si="15"/>
        <v>25</v>
      </c>
      <c r="AZ15" s="580">
        <f t="shared" si="15"/>
        <v>25</v>
      </c>
      <c r="BA15" s="563">
        <f t="shared" si="15"/>
        <v>26</v>
      </c>
      <c r="BB15" s="563">
        <f t="shared" si="15"/>
        <v>26</v>
      </c>
      <c r="BC15" s="563">
        <f t="shared" si="15"/>
        <v>27</v>
      </c>
      <c r="BD15" s="563">
        <f t="shared" si="15"/>
        <v>27</v>
      </c>
      <c r="BE15" s="579">
        <f t="shared" si="15"/>
        <v>28</v>
      </c>
      <c r="BF15" s="563">
        <f t="shared" si="15"/>
        <v>28</v>
      </c>
      <c r="BG15" s="563">
        <f t="shared" si="15"/>
        <v>29</v>
      </c>
      <c r="BH15" s="563">
        <f t="shared" si="15"/>
        <v>29</v>
      </c>
      <c r="BI15" s="563">
        <f t="shared" si="15"/>
        <v>30</v>
      </c>
      <c r="BJ15" s="580">
        <f t="shared" si="15"/>
        <v>30</v>
      </c>
      <c r="BK15" s="563">
        <f t="shared" si="15"/>
        <v>31</v>
      </c>
      <c r="BL15" s="563">
        <f t="shared" si="15"/>
        <v>31</v>
      </c>
      <c r="BM15" s="563">
        <f t="shared" si="15"/>
        <v>32</v>
      </c>
      <c r="BN15" s="563">
        <f t="shared" si="15"/>
        <v>32</v>
      </c>
      <c r="BO15" s="579">
        <f t="shared" si="15"/>
        <v>33</v>
      </c>
      <c r="BP15" s="563">
        <f t="shared" si="15"/>
        <v>33</v>
      </c>
      <c r="BQ15" s="563">
        <f t="shared" si="15"/>
        <v>35</v>
      </c>
      <c r="BR15" s="563">
        <f t="shared" si="15"/>
        <v>37</v>
      </c>
      <c r="BS15" s="563">
        <f t="shared" si="15"/>
        <v>39</v>
      </c>
      <c r="BT15" s="580">
        <f t="shared" si="15"/>
        <v>41</v>
      </c>
      <c r="BU15" s="563">
        <f t="shared" si="15"/>
        <v>43</v>
      </c>
      <c r="BV15" s="563">
        <f t="shared" si="15"/>
        <v>45</v>
      </c>
      <c r="BW15" s="563">
        <f t="shared" si="15"/>
        <v>47</v>
      </c>
      <c r="BX15" s="563">
        <f t="shared" si="15"/>
        <v>49</v>
      </c>
      <c r="BY15" s="579">
        <f t="shared" si="15"/>
        <v>51</v>
      </c>
      <c r="BZ15" s="563">
        <f t="shared" si="15"/>
        <v>53</v>
      </c>
      <c r="CA15" s="563">
        <f t="shared" si="15"/>
        <v>55</v>
      </c>
      <c r="CB15" s="563">
        <f t="shared" si="15"/>
        <v>57</v>
      </c>
      <c r="CC15" s="563">
        <f t="shared" si="15"/>
        <v>59</v>
      </c>
      <c r="CD15" s="580">
        <f t="shared" si="15"/>
        <v>61</v>
      </c>
      <c r="CE15" s="563">
        <f t="shared" si="15"/>
        <v>63</v>
      </c>
      <c r="CF15" s="563">
        <f t="shared" si="15"/>
        <v>65</v>
      </c>
      <c r="CG15" s="563">
        <f t="shared" si="15"/>
        <v>67</v>
      </c>
      <c r="CH15" s="563">
        <f t="shared" si="15"/>
        <v>69</v>
      </c>
      <c r="CI15" s="579">
        <f t="shared" si="15"/>
        <v>71</v>
      </c>
      <c r="CJ15" s="563">
        <f t="shared" si="15"/>
        <v>73</v>
      </c>
      <c r="CK15" s="563">
        <f t="shared" si="15"/>
        <v>75</v>
      </c>
      <c r="CL15" s="563">
        <f t="shared" si="15"/>
        <v>77</v>
      </c>
      <c r="CM15" s="563">
        <f t="shared" si="15"/>
        <v>79</v>
      </c>
      <c r="CN15" s="580">
        <f t="shared" si="15"/>
        <v>81</v>
      </c>
      <c r="CO15" s="563">
        <f t="shared" si="15"/>
        <v>83</v>
      </c>
      <c r="CP15" s="563">
        <f t="shared" si="15"/>
        <v>85</v>
      </c>
      <c r="CQ15" s="563">
        <f t="shared" si="15"/>
        <v>87</v>
      </c>
      <c r="CR15" s="563">
        <f t="shared" si="15"/>
        <v>89</v>
      </c>
      <c r="CS15" s="579">
        <f t="shared" si="15"/>
        <v>91</v>
      </c>
      <c r="CT15" s="563">
        <f t="shared" si="15"/>
        <v>93</v>
      </c>
      <c r="CU15" s="563">
        <f t="shared" si="15"/>
        <v>95</v>
      </c>
      <c r="CV15" s="563">
        <f t="shared" si="15"/>
        <v>97</v>
      </c>
      <c r="CW15" s="563">
        <f t="shared" si="15"/>
        <v>99</v>
      </c>
      <c r="CX15" s="563"/>
    </row>
    <row r="16" ht="10.5" customHeight="1">
      <c r="A16" s="543"/>
      <c r="B16" s="563">
        <f t="shared" si="4"/>
        <v>14</v>
      </c>
      <c r="C16" s="563">
        <f t="shared" ref="C16:CW16" si="16">IF(LT(IF(GT(C$2,MIN($B16,99)),C$2,MIN($B16,99)),99-FLOOR(C$2/2,1)),IF(GT(C$2,MIN($B16,99)),C$2,MIN($B16,99))-FLOOR(C$2/2,1),2*IF(GT(C$2,MIN($B16,99)),C$2,MIN($B16,99))-99)</f>
        <v>14</v>
      </c>
      <c r="D16" s="563">
        <f t="shared" si="16"/>
        <v>13</v>
      </c>
      <c r="E16" s="563">
        <f t="shared" si="16"/>
        <v>13</v>
      </c>
      <c r="F16" s="563">
        <f t="shared" si="16"/>
        <v>12</v>
      </c>
      <c r="G16" s="579">
        <f t="shared" si="16"/>
        <v>12</v>
      </c>
      <c r="H16" s="563">
        <f t="shared" si="16"/>
        <v>11</v>
      </c>
      <c r="I16" s="563">
        <f t="shared" si="16"/>
        <v>11</v>
      </c>
      <c r="J16" s="563">
        <f t="shared" si="16"/>
        <v>10</v>
      </c>
      <c r="K16" s="563">
        <f t="shared" si="16"/>
        <v>10</v>
      </c>
      <c r="L16" s="580">
        <f t="shared" si="16"/>
        <v>9</v>
      </c>
      <c r="M16" s="563">
        <f t="shared" si="16"/>
        <v>9</v>
      </c>
      <c r="N16" s="563">
        <f t="shared" si="16"/>
        <v>8</v>
      </c>
      <c r="O16" s="563">
        <f t="shared" si="16"/>
        <v>8</v>
      </c>
      <c r="P16" s="563">
        <f t="shared" si="16"/>
        <v>7</v>
      </c>
      <c r="Q16" s="579">
        <f t="shared" si="16"/>
        <v>8</v>
      </c>
      <c r="R16" s="563">
        <f t="shared" si="16"/>
        <v>8</v>
      </c>
      <c r="S16" s="563">
        <f t="shared" si="16"/>
        <v>9</v>
      </c>
      <c r="T16" s="563">
        <f t="shared" si="16"/>
        <v>9</v>
      </c>
      <c r="U16" s="563">
        <f t="shared" si="16"/>
        <v>10</v>
      </c>
      <c r="V16" s="580">
        <f t="shared" si="16"/>
        <v>10</v>
      </c>
      <c r="W16" s="563">
        <f t="shared" si="16"/>
        <v>11</v>
      </c>
      <c r="X16" s="563">
        <f t="shared" si="16"/>
        <v>11</v>
      </c>
      <c r="Y16" s="563">
        <f t="shared" si="16"/>
        <v>12</v>
      </c>
      <c r="Z16" s="563">
        <f t="shared" si="16"/>
        <v>12</v>
      </c>
      <c r="AA16" s="579">
        <f t="shared" si="16"/>
        <v>13</v>
      </c>
      <c r="AB16" s="563">
        <f t="shared" si="16"/>
        <v>13</v>
      </c>
      <c r="AC16" s="563">
        <f t="shared" si="16"/>
        <v>14</v>
      </c>
      <c r="AD16" s="563">
        <f t="shared" si="16"/>
        <v>14</v>
      </c>
      <c r="AE16" s="563">
        <f t="shared" si="16"/>
        <v>15</v>
      </c>
      <c r="AF16" s="580">
        <f t="shared" si="16"/>
        <v>15</v>
      </c>
      <c r="AG16" s="563">
        <f t="shared" si="16"/>
        <v>16</v>
      </c>
      <c r="AH16" s="563">
        <f t="shared" si="16"/>
        <v>16</v>
      </c>
      <c r="AI16" s="563">
        <f t="shared" si="16"/>
        <v>17</v>
      </c>
      <c r="AJ16" s="563">
        <f t="shared" si="16"/>
        <v>17</v>
      </c>
      <c r="AK16" s="579">
        <f t="shared" si="16"/>
        <v>18</v>
      </c>
      <c r="AL16" s="563">
        <f t="shared" si="16"/>
        <v>18</v>
      </c>
      <c r="AM16" s="563">
        <f t="shared" si="16"/>
        <v>19</v>
      </c>
      <c r="AN16" s="563">
        <f t="shared" si="16"/>
        <v>19</v>
      </c>
      <c r="AO16" s="563">
        <f t="shared" si="16"/>
        <v>20</v>
      </c>
      <c r="AP16" s="580">
        <f t="shared" si="16"/>
        <v>20</v>
      </c>
      <c r="AQ16" s="563">
        <f t="shared" si="16"/>
        <v>21</v>
      </c>
      <c r="AR16" s="563">
        <f t="shared" si="16"/>
        <v>21</v>
      </c>
      <c r="AS16" s="563">
        <f t="shared" si="16"/>
        <v>22</v>
      </c>
      <c r="AT16" s="563">
        <f t="shared" si="16"/>
        <v>22</v>
      </c>
      <c r="AU16" s="579">
        <f t="shared" si="16"/>
        <v>23</v>
      </c>
      <c r="AV16" s="563">
        <f t="shared" si="16"/>
        <v>23</v>
      </c>
      <c r="AW16" s="563">
        <f t="shared" si="16"/>
        <v>24</v>
      </c>
      <c r="AX16" s="563">
        <f t="shared" si="16"/>
        <v>24</v>
      </c>
      <c r="AY16" s="563">
        <f t="shared" si="16"/>
        <v>25</v>
      </c>
      <c r="AZ16" s="580">
        <f t="shared" si="16"/>
        <v>25</v>
      </c>
      <c r="BA16" s="563">
        <f t="shared" si="16"/>
        <v>26</v>
      </c>
      <c r="BB16" s="563">
        <f t="shared" si="16"/>
        <v>26</v>
      </c>
      <c r="BC16" s="563">
        <f t="shared" si="16"/>
        <v>27</v>
      </c>
      <c r="BD16" s="563">
        <f t="shared" si="16"/>
        <v>27</v>
      </c>
      <c r="BE16" s="579">
        <f t="shared" si="16"/>
        <v>28</v>
      </c>
      <c r="BF16" s="563">
        <f t="shared" si="16"/>
        <v>28</v>
      </c>
      <c r="BG16" s="563">
        <f t="shared" si="16"/>
        <v>29</v>
      </c>
      <c r="BH16" s="563">
        <f t="shared" si="16"/>
        <v>29</v>
      </c>
      <c r="BI16" s="563">
        <f t="shared" si="16"/>
        <v>30</v>
      </c>
      <c r="BJ16" s="580">
        <f t="shared" si="16"/>
        <v>30</v>
      </c>
      <c r="BK16" s="563">
        <f t="shared" si="16"/>
        <v>31</v>
      </c>
      <c r="BL16" s="563">
        <f t="shared" si="16"/>
        <v>31</v>
      </c>
      <c r="BM16" s="563">
        <f t="shared" si="16"/>
        <v>32</v>
      </c>
      <c r="BN16" s="563">
        <f t="shared" si="16"/>
        <v>32</v>
      </c>
      <c r="BO16" s="579">
        <f t="shared" si="16"/>
        <v>33</v>
      </c>
      <c r="BP16" s="563">
        <f t="shared" si="16"/>
        <v>33</v>
      </c>
      <c r="BQ16" s="563">
        <f t="shared" si="16"/>
        <v>35</v>
      </c>
      <c r="BR16" s="563">
        <f t="shared" si="16"/>
        <v>37</v>
      </c>
      <c r="BS16" s="563">
        <f t="shared" si="16"/>
        <v>39</v>
      </c>
      <c r="BT16" s="580">
        <f t="shared" si="16"/>
        <v>41</v>
      </c>
      <c r="BU16" s="563">
        <f t="shared" si="16"/>
        <v>43</v>
      </c>
      <c r="BV16" s="563">
        <f t="shared" si="16"/>
        <v>45</v>
      </c>
      <c r="BW16" s="563">
        <f t="shared" si="16"/>
        <v>47</v>
      </c>
      <c r="BX16" s="563">
        <f t="shared" si="16"/>
        <v>49</v>
      </c>
      <c r="BY16" s="579">
        <f t="shared" si="16"/>
        <v>51</v>
      </c>
      <c r="BZ16" s="563">
        <f t="shared" si="16"/>
        <v>53</v>
      </c>
      <c r="CA16" s="563">
        <f t="shared" si="16"/>
        <v>55</v>
      </c>
      <c r="CB16" s="563">
        <f t="shared" si="16"/>
        <v>57</v>
      </c>
      <c r="CC16" s="563">
        <f t="shared" si="16"/>
        <v>59</v>
      </c>
      <c r="CD16" s="580">
        <f t="shared" si="16"/>
        <v>61</v>
      </c>
      <c r="CE16" s="563">
        <f t="shared" si="16"/>
        <v>63</v>
      </c>
      <c r="CF16" s="563">
        <f t="shared" si="16"/>
        <v>65</v>
      </c>
      <c r="CG16" s="563">
        <f t="shared" si="16"/>
        <v>67</v>
      </c>
      <c r="CH16" s="563">
        <f t="shared" si="16"/>
        <v>69</v>
      </c>
      <c r="CI16" s="579">
        <f t="shared" si="16"/>
        <v>71</v>
      </c>
      <c r="CJ16" s="563">
        <f t="shared" si="16"/>
        <v>73</v>
      </c>
      <c r="CK16" s="563">
        <f t="shared" si="16"/>
        <v>75</v>
      </c>
      <c r="CL16" s="563">
        <f t="shared" si="16"/>
        <v>77</v>
      </c>
      <c r="CM16" s="563">
        <f t="shared" si="16"/>
        <v>79</v>
      </c>
      <c r="CN16" s="580">
        <f t="shared" si="16"/>
        <v>81</v>
      </c>
      <c r="CO16" s="563">
        <f t="shared" si="16"/>
        <v>83</v>
      </c>
      <c r="CP16" s="563">
        <f t="shared" si="16"/>
        <v>85</v>
      </c>
      <c r="CQ16" s="563">
        <f t="shared" si="16"/>
        <v>87</v>
      </c>
      <c r="CR16" s="563">
        <f t="shared" si="16"/>
        <v>89</v>
      </c>
      <c r="CS16" s="579">
        <f t="shared" si="16"/>
        <v>91</v>
      </c>
      <c r="CT16" s="563">
        <f t="shared" si="16"/>
        <v>93</v>
      </c>
      <c r="CU16" s="563">
        <f t="shared" si="16"/>
        <v>95</v>
      </c>
      <c r="CV16" s="563">
        <f t="shared" si="16"/>
        <v>97</v>
      </c>
      <c r="CW16" s="563">
        <f t="shared" si="16"/>
        <v>99</v>
      </c>
      <c r="CX16" s="563"/>
    </row>
    <row r="17" ht="10.5" customHeight="1">
      <c r="A17" s="543"/>
      <c r="B17" s="563">
        <f t="shared" si="4"/>
        <v>15</v>
      </c>
      <c r="C17" s="640">
        <f t="shared" ref="C17:CW17" si="17">IF(LT(IF(GT(C$2,MIN($B17,99)),C$2,MIN($B17,99)),99-FLOOR(C$2/2,1)),IF(GT(C$2,MIN($B17,99)),C$2,MIN($B17,99))-FLOOR(C$2/2,1),2*IF(GT(C$2,MIN($B17,99)),C$2,MIN($B17,99))-99)</f>
        <v>15</v>
      </c>
      <c r="D17" s="640">
        <f t="shared" si="17"/>
        <v>14</v>
      </c>
      <c r="E17" s="640">
        <f t="shared" si="17"/>
        <v>14</v>
      </c>
      <c r="F17" s="640">
        <f t="shared" si="17"/>
        <v>13</v>
      </c>
      <c r="G17" s="641">
        <f t="shared" si="17"/>
        <v>13</v>
      </c>
      <c r="H17" s="640">
        <f t="shared" si="17"/>
        <v>12</v>
      </c>
      <c r="I17" s="640">
        <f t="shared" si="17"/>
        <v>12</v>
      </c>
      <c r="J17" s="640">
        <f t="shared" si="17"/>
        <v>11</v>
      </c>
      <c r="K17" s="640">
        <f t="shared" si="17"/>
        <v>11</v>
      </c>
      <c r="L17" s="643">
        <f t="shared" si="17"/>
        <v>10</v>
      </c>
      <c r="M17" s="640">
        <f t="shared" si="17"/>
        <v>10</v>
      </c>
      <c r="N17" s="640">
        <f t="shared" si="17"/>
        <v>9</v>
      </c>
      <c r="O17" s="640">
        <f t="shared" si="17"/>
        <v>9</v>
      </c>
      <c r="P17" s="640">
        <f t="shared" si="17"/>
        <v>8</v>
      </c>
      <c r="Q17" s="641">
        <f t="shared" si="17"/>
        <v>8</v>
      </c>
      <c r="R17" s="640">
        <f t="shared" si="17"/>
        <v>8</v>
      </c>
      <c r="S17" s="640">
        <f t="shared" si="17"/>
        <v>9</v>
      </c>
      <c r="T17" s="640">
        <f t="shared" si="17"/>
        <v>9</v>
      </c>
      <c r="U17" s="640">
        <f t="shared" si="17"/>
        <v>10</v>
      </c>
      <c r="V17" s="643">
        <f t="shared" si="17"/>
        <v>10</v>
      </c>
      <c r="W17" s="640">
        <f t="shared" si="17"/>
        <v>11</v>
      </c>
      <c r="X17" s="640">
        <f t="shared" si="17"/>
        <v>11</v>
      </c>
      <c r="Y17" s="640">
        <f t="shared" si="17"/>
        <v>12</v>
      </c>
      <c r="Z17" s="640">
        <f t="shared" si="17"/>
        <v>12</v>
      </c>
      <c r="AA17" s="641">
        <f t="shared" si="17"/>
        <v>13</v>
      </c>
      <c r="AB17" s="640">
        <f t="shared" si="17"/>
        <v>13</v>
      </c>
      <c r="AC17" s="640">
        <f t="shared" si="17"/>
        <v>14</v>
      </c>
      <c r="AD17" s="640">
        <f t="shared" si="17"/>
        <v>14</v>
      </c>
      <c r="AE17" s="640">
        <f t="shared" si="17"/>
        <v>15</v>
      </c>
      <c r="AF17" s="643">
        <f t="shared" si="17"/>
        <v>15</v>
      </c>
      <c r="AG17" s="640">
        <f t="shared" si="17"/>
        <v>16</v>
      </c>
      <c r="AH17" s="640">
        <f t="shared" si="17"/>
        <v>16</v>
      </c>
      <c r="AI17" s="640">
        <f t="shared" si="17"/>
        <v>17</v>
      </c>
      <c r="AJ17" s="640">
        <f t="shared" si="17"/>
        <v>17</v>
      </c>
      <c r="AK17" s="641">
        <f t="shared" si="17"/>
        <v>18</v>
      </c>
      <c r="AL17" s="640">
        <f t="shared" si="17"/>
        <v>18</v>
      </c>
      <c r="AM17" s="640">
        <f t="shared" si="17"/>
        <v>19</v>
      </c>
      <c r="AN17" s="640">
        <f t="shared" si="17"/>
        <v>19</v>
      </c>
      <c r="AO17" s="640">
        <f t="shared" si="17"/>
        <v>20</v>
      </c>
      <c r="AP17" s="643">
        <f t="shared" si="17"/>
        <v>20</v>
      </c>
      <c r="AQ17" s="640">
        <f t="shared" si="17"/>
        <v>21</v>
      </c>
      <c r="AR17" s="640">
        <f t="shared" si="17"/>
        <v>21</v>
      </c>
      <c r="AS17" s="640">
        <f t="shared" si="17"/>
        <v>22</v>
      </c>
      <c r="AT17" s="640">
        <f t="shared" si="17"/>
        <v>22</v>
      </c>
      <c r="AU17" s="641">
        <f t="shared" si="17"/>
        <v>23</v>
      </c>
      <c r="AV17" s="640">
        <f t="shared" si="17"/>
        <v>23</v>
      </c>
      <c r="AW17" s="640">
        <f t="shared" si="17"/>
        <v>24</v>
      </c>
      <c r="AX17" s="640">
        <f t="shared" si="17"/>
        <v>24</v>
      </c>
      <c r="AY17" s="640">
        <f t="shared" si="17"/>
        <v>25</v>
      </c>
      <c r="AZ17" s="643">
        <f t="shared" si="17"/>
        <v>25</v>
      </c>
      <c r="BA17" s="640">
        <f t="shared" si="17"/>
        <v>26</v>
      </c>
      <c r="BB17" s="640">
        <f t="shared" si="17"/>
        <v>26</v>
      </c>
      <c r="BC17" s="640">
        <f t="shared" si="17"/>
        <v>27</v>
      </c>
      <c r="BD17" s="640">
        <f t="shared" si="17"/>
        <v>27</v>
      </c>
      <c r="BE17" s="641">
        <f t="shared" si="17"/>
        <v>28</v>
      </c>
      <c r="BF17" s="640">
        <f t="shared" si="17"/>
        <v>28</v>
      </c>
      <c r="BG17" s="640">
        <f t="shared" si="17"/>
        <v>29</v>
      </c>
      <c r="BH17" s="640">
        <f t="shared" si="17"/>
        <v>29</v>
      </c>
      <c r="BI17" s="640">
        <f t="shared" si="17"/>
        <v>30</v>
      </c>
      <c r="BJ17" s="643">
        <f t="shared" si="17"/>
        <v>30</v>
      </c>
      <c r="BK17" s="640">
        <f t="shared" si="17"/>
        <v>31</v>
      </c>
      <c r="BL17" s="640">
        <f t="shared" si="17"/>
        <v>31</v>
      </c>
      <c r="BM17" s="640">
        <f t="shared" si="17"/>
        <v>32</v>
      </c>
      <c r="BN17" s="640">
        <f t="shared" si="17"/>
        <v>32</v>
      </c>
      <c r="BO17" s="641">
        <f t="shared" si="17"/>
        <v>33</v>
      </c>
      <c r="BP17" s="640">
        <f t="shared" si="17"/>
        <v>33</v>
      </c>
      <c r="BQ17" s="640">
        <f t="shared" si="17"/>
        <v>35</v>
      </c>
      <c r="BR17" s="640">
        <f t="shared" si="17"/>
        <v>37</v>
      </c>
      <c r="BS17" s="640">
        <f t="shared" si="17"/>
        <v>39</v>
      </c>
      <c r="BT17" s="643">
        <f t="shared" si="17"/>
        <v>41</v>
      </c>
      <c r="BU17" s="640">
        <f t="shared" si="17"/>
        <v>43</v>
      </c>
      <c r="BV17" s="640">
        <f t="shared" si="17"/>
        <v>45</v>
      </c>
      <c r="BW17" s="640">
        <f t="shared" si="17"/>
        <v>47</v>
      </c>
      <c r="BX17" s="640">
        <f t="shared" si="17"/>
        <v>49</v>
      </c>
      <c r="BY17" s="641">
        <f t="shared" si="17"/>
        <v>51</v>
      </c>
      <c r="BZ17" s="640">
        <f t="shared" si="17"/>
        <v>53</v>
      </c>
      <c r="CA17" s="640">
        <f t="shared" si="17"/>
        <v>55</v>
      </c>
      <c r="CB17" s="640">
        <f t="shared" si="17"/>
        <v>57</v>
      </c>
      <c r="CC17" s="640">
        <f t="shared" si="17"/>
        <v>59</v>
      </c>
      <c r="CD17" s="643">
        <f t="shared" si="17"/>
        <v>61</v>
      </c>
      <c r="CE17" s="640">
        <f t="shared" si="17"/>
        <v>63</v>
      </c>
      <c r="CF17" s="640">
        <f t="shared" si="17"/>
        <v>65</v>
      </c>
      <c r="CG17" s="640">
        <f t="shared" si="17"/>
        <v>67</v>
      </c>
      <c r="CH17" s="640">
        <f t="shared" si="17"/>
        <v>69</v>
      </c>
      <c r="CI17" s="641">
        <f t="shared" si="17"/>
        <v>71</v>
      </c>
      <c r="CJ17" s="640">
        <f t="shared" si="17"/>
        <v>73</v>
      </c>
      <c r="CK17" s="640">
        <f t="shared" si="17"/>
        <v>75</v>
      </c>
      <c r="CL17" s="640">
        <f t="shared" si="17"/>
        <v>77</v>
      </c>
      <c r="CM17" s="640">
        <f t="shared" si="17"/>
        <v>79</v>
      </c>
      <c r="CN17" s="643">
        <f t="shared" si="17"/>
        <v>81</v>
      </c>
      <c r="CO17" s="640">
        <f t="shared" si="17"/>
        <v>83</v>
      </c>
      <c r="CP17" s="640">
        <f t="shared" si="17"/>
        <v>85</v>
      </c>
      <c r="CQ17" s="640">
        <f t="shared" si="17"/>
        <v>87</v>
      </c>
      <c r="CR17" s="640">
        <f t="shared" si="17"/>
        <v>89</v>
      </c>
      <c r="CS17" s="641">
        <f t="shared" si="17"/>
        <v>91</v>
      </c>
      <c r="CT17" s="640">
        <f t="shared" si="17"/>
        <v>93</v>
      </c>
      <c r="CU17" s="640">
        <f t="shared" si="17"/>
        <v>95</v>
      </c>
      <c r="CV17" s="640">
        <f t="shared" si="17"/>
        <v>97</v>
      </c>
      <c r="CW17" s="640">
        <f t="shared" si="17"/>
        <v>99</v>
      </c>
      <c r="CX17" s="563"/>
    </row>
    <row r="18" ht="10.5" customHeight="1">
      <c r="A18" s="543"/>
      <c r="B18" s="563">
        <f t="shared" si="4"/>
        <v>16</v>
      </c>
      <c r="C18" s="563">
        <f t="shared" ref="C18:CW18" si="18">IF(LT(IF(GT(C$2,MIN($B18,99)),C$2,MIN($B18,99)),99-FLOOR(C$2/2,1)),IF(GT(C$2,MIN($B18,99)),C$2,MIN($B18,99))-FLOOR(C$2/2,1),2*IF(GT(C$2,MIN($B18,99)),C$2,MIN($B18,99))-99)</f>
        <v>16</v>
      </c>
      <c r="D18" s="563">
        <f t="shared" si="18"/>
        <v>15</v>
      </c>
      <c r="E18" s="563">
        <f t="shared" si="18"/>
        <v>15</v>
      </c>
      <c r="F18" s="563">
        <f t="shared" si="18"/>
        <v>14</v>
      </c>
      <c r="G18" s="579">
        <f t="shared" si="18"/>
        <v>14</v>
      </c>
      <c r="H18" s="563">
        <f t="shared" si="18"/>
        <v>13</v>
      </c>
      <c r="I18" s="563">
        <f t="shared" si="18"/>
        <v>13</v>
      </c>
      <c r="J18" s="563">
        <f t="shared" si="18"/>
        <v>12</v>
      </c>
      <c r="K18" s="563">
        <f t="shared" si="18"/>
        <v>12</v>
      </c>
      <c r="L18" s="580">
        <f t="shared" si="18"/>
        <v>11</v>
      </c>
      <c r="M18" s="563">
        <f t="shared" si="18"/>
        <v>11</v>
      </c>
      <c r="N18" s="563">
        <f t="shared" si="18"/>
        <v>10</v>
      </c>
      <c r="O18" s="563">
        <f t="shared" si="18"/>
        <v>10</v>
      </c>
      <c r="P18" s="563">
        <f t="shared" si="18"/>
        <v>9</v>
      </c>
      <c r="Q18" s="579">
        <f t="shared" si="18"/>
        <v>9</v>
      </c>
      <c r="R18" s="563">
        <f t="shared" si="18"/>
        <v>8</v>
      </c>
      <c r="S18" s="563">
        <f t="shared" si="18"/>
        <v>9</v>
      </c>
      <c r="T18" s="563">
        <f t="shared" si="18"/>
        <v>9</v>
      </c>
      <c r="U18" s="563">
        <f t="shared" si="18"/>
        <v>10</v>
      </c>
      <c r="V18" s="580">
        <f t="shared" si="18"/>
        <v>10</v>
      </c>
      <c r="W18" s="563">
        <f t="shared" si="18"/>
        <v>11</v>
      </c>
      <c r="X18" s="563">
        <f t="shared" si="18"/>
        <v>11</v>
      </c>
      <c r="Y18" s="563">
        <f t="shared" si="18"/>
        <v>12</v>
      </c>
      <c r="Z18" s="563">
        <f t="shared" si="18"/>
        <v>12</v>
      </c>
      <c r="AA18" s="579">
        <f t="shared" si="18"/>
        <v>13</v>
      </c>
      <c r="AB18" s="563">
        <f t="shared" si="18"/>
        <v>13</v>
      </c>
      <c r="AC18" s="563">
        <f t="shared" si="18"/>
        <v>14</v>
      </c>
      <c r="AD18" s="563">
        <f t="shared" si="18"/>
        <v>14</v>
      </c>
      <c r="AE18" s="563">
        <f t="shared" si="18"/>
        <v>15</v>
      </c>
      <c r="AF18" s="580">
        <f t="shared" si="18"/>
        <v>15</v>
      </c>
      <c r="AG18" s="563">
        <f t="shared" si="18"/>
        <v>16</v>
      </c>
      <c r="AH18" s="563">
        <f t="shared" si="18"/>
        <v>16</v>
      </c>
      <c r="AI18" s="563">
        <f t="shared" si="18"/>
        <v>17</v>
      </c>
      <c r="AJ18" s="563">
        <f t="shared" si="18"/>
        <v>17</v>
      </c>
      <c r="AK18" s="579">
        <f t="shared" si="18"/>
        <v>18</v>
      </c>
      <c r="AL18" s="563">
        <f t="shared" si="18"/>
        <v>18</v>
      </c>
      <c r="AM18" s="563">
        <f t="shared" si="18"/>
        <v>19</v>
      </c>
      <c r="AN18" s="563">
        <f t="shared" si="18"/>
        <v>19</v>
      </c>
      <c r="AO18" s="563">
        <f t="shared" si="18"/>
        <v>20</v>
      </c>
      <c r="AP18" s="580">
        <f t="shared" si="18"/>
        <v>20</v>
      </c>
      <c r="AQ18" s="563">
        <f t="shared" si="18"/>
        <v>21</v>
      </c>
      <c r="AR18" s="563">
        <f t="shared" si="18"/>
        <v>21</v>
      </c>
      <c r="AS18" s="563">
        <f t="shared" si="18"/>
        <v>22</v>
      </c>
      <c r="AT18" s="563">
        <f t="shared" si="18"/>
        <v>22</v>
      </c>
      <c r="AU18" s="579">
        <f t="shared" si="18"/>
        <v>23</v>
      </c>
      <c r="AV18" s="563">
        <f t="shared" si="18"/>
        <v>23</v>
      </c>
      <c r="AW18" s="563">
        <f t="shared" si="18"/>
        <v>24</v>
      </c>
      <c r="AX18" s="563">
        <f t="shared" si="18"/>
        <v>24</v>
      </c>
      <c r="AY18" s="563">
        <f t="shared" si="18"/>
        <v>25</v>
      </c>
      <c r="AZ18" s="580">
        <f t="shared" si="18"/>
        <v>25</v>
      </c>
      <c r="BA18" s="563">
        <f t="shared" si="18"/>
        <v>26</v>
      </c>
      <c r="BB18" s="563">
        <f t="shared" si="18"/>
        <v>26</v>
      </c>
      <c r="BC18" s="563">
        <f t="shared" si="18"/>
        <v>27</v>
      </c>
      <c r="BD18" s="563">
        <f t="shared" si="18"/>
        <v>27</v>
      </c>
      <c r="BE18" s="579">
        <f t="shared" si="18"/>
        <v>28</v>
      </c>
      <c r="BF18" s="563">
        <f t="shared" si="18"/>
        <v>28</v>
      </c>
      <c r="BG18" s="563">
        <f t="shared" si="18"/>
        <v>29</v>
      </c>
      <c r="BH18" s="563">
        <f t="shared" si="18"/>
        <v>29</v>
      </c>
      <c r="BI18" s="563">
        <f t="shared" si="18"/>
        <v>30</v>
      </c>
      <c r="BJ18" s="580">
        <f t="shared" si="18"/>
        <v>30</v>
      </c>
      <c r="BK18" s="563">
        <f t="shared" si="18"/>
        <v>31</v>
      </c>
      <c r="BL18" s="563">
        <f t="shared" si="18"/>
        <v>31</v>
      </c>
      <c r="BM18" s="563">
        <f t="shared" si="18"/>
        <v>32</v>
      </c>
      <c r="BN18" s="563">
        <f t="shared" si="18"/>
        <v>32</v>
      </c>
      <c r="BO18" s="579">
        <f t="shared" si="18"/>
        <v>33</v>
      </c>
      <c r="BP18" s="563">
        <f t="shared" si="18"/>
        <v>33</v>
      </c>
      <c r="BQ18" s="563">
        <f t="shared" si="18"/>
        <v>35</v>
      </c>
      <c r="BR18" s="563">
        <f t="shared" si="18"/>
        <v>37</v>
      </c>
      <c r="BS18" s="563">
        <f t="shared" si="18"/>
        <v>39</v>
      </c>
      <c r="BT18" s="580">
        <f t="shared" si="18"/>
        <v>41</v>
      </c>
      <c r="BU18" s="563">
        <f t="shared" si="18"/>
        <v>43</v>
      </c>
      <c r="BV18" s="563">
        <f t="shared" si="18"/>
        <v>45</v>
      </c>
      <c r="BW18" s="563">
        <f t="shared" si="18"/>
        <v>47</v>
      </c>
      <c r="BX18" s="563">
        <f t="shared" si="18"/>
        <v>49</v>
      </c>
      <c r="BY18" s="579">
        <f t="shared" si="18"/>
        <v>51</v>
      </c>
      <c r="BZ18" s="563">
        <f t="shared" si="18"/>
        <v>53</v>
      </c>
      <c r="CA18" s="563">
        <f t="shared" si="18"/>
        <v>55</v>
      </c>
      <c r="CB18" s="563">
        <f t="shared" si="18"/>
        <v>57</v>
      </c>
      <c r="CC18" s="563">
        <f t="shared" si="18"/>
        <v>59</v>
      </c>
      <c r="CD18" s="580">
        <f t="shared" si="18"/>
        <v>61</v>
      </c>
      <c r="CE18" s="563">
        <f t="shared" si="18"/>
        <v>63</v>
      </c>
      <c r="CF18" s="563">
        <f t="shared" si="18"/>
        <v>65</v>
      </c>
      <c r="CG18" s="563">
        <f t="shared" si="18"/>
        <v>67</v>
      </c>
      <c r="CH18" s="563">
        <f t="shared" si="18"/>
        <v>69</v>
      </c>
      <c r="CI18" s="579">
        <f t="shared" si="18"/>
        <v>71</v>
      </c>
      <c r="CJ18" s="563">
        <f t="shared" si="18"/>
        <v>73</v>
      </c>
      <c r="CK18" s="563">
        <f t="shared" si="18"/>
        <v>75</v>
      </c>
      <c r="CL18" s="563">
        <f t="shared" si="18"/>
        <v>77</v>
      </c>
      <c r="CM18" s="563">
        <f t="shared" si="18"/>
        <v>79</v>
      </c>
      <c r="CN18" s="580">
        <f t="shared" si="18"/>
        <v>81</v>
      </c>
      <c r="CO18" s="563">
        <f t="shared" si="18"/>
        <v>83</v>
      </c>
      <c r="CP18" s="563">
        <f t="shared" si="18"/>
        <v>85</v>
      </c>
      <c r="CQ18" s="563">
        <f t="shared" si="18"/>
        <v>87</v>
      </c>
      <c r="CR18" s="563">
        <f t="shared" si="18"/>
        <v>89</v>
      </c>
      <c r="CS18" s="579">
        <f t="shared" si="18"/>
        <v>91</v>
      </c>
      <c r="CT18" s="563">
        <f t="shared" si="18"/>
        <v>93</v>
      </c>
      <c r="CU18" s="563">
        <f t="shared" si="18"/>
        <v>95</v>
      </c>
      <c r="CV18" s="563">
        <f t="shared" si="18"/>
        <v>97</v>
      </c>
      <c r="CW18" s="563">
        <f t="shared" si="18"/>
        <v>99</v>
      </c>
      <c r="CX18" s="563"/>
    </row>
    <row r="19" ht="10.5" customHeight="1">
      <c r="A19" s="543"/>
      <c r="B19" s="563">
        <f t="shared" si="4"/>
        <v>17</v>
      </c>
      <c r="C19" s="563">
        <f t="shared" ref="C19:CW19" si="19">IF(LT(IF(GT(C$2,MIN($B19,99)),C$2,MIN($B19,99)),99-FLOOR(C$2/2,1)),IF(GT(C$2,MIN($B19,99)),C$2,MIN($B19,99))-FLOOR(C$2/2,1),2*IF(GT(C$2,MIN($B19,99)),C$2,MIN($B19,99))-99)</f>
        <v>17</v>
      </c>
      <c r="D19" s="563">
        <f t="shared" si="19"/>
        <v>16</v>
      </c>
      <c r="E19" s="563">
        <f t="shared" si="19"/>
        <v>16</v>
      </c>
      <c r="F19" s="563">
        <f t="shared" si="19"/>
        <v>15</v>
      </c>
      <c r="G19" s="579">
        <f t="shared" si="19"/>
        <v>15</v>
      </c>
      <c r="H19" s="563">
        <f t="shared" si="19"/>
        <v>14</v>
      </c>
      <c r="I19" s="563">
        <f t="shared" si="19"/>
        <v>14</v>
      </c>
      <c r="J19" s="563">
        <f t="shared" si="19"/>
        <v>13</v>
      </c>
      <c r="K19" s="563">
        <f t="shared" si="19"/>
        <v>13</v>
      </c>
      <c r="L19" s="580">
        <f t="shared" si="19"/>
        <v>12</v>
      </c>
      <c r="M19" s="563">
        <f t="shared" si="19"/>
        <v>12</v>
      </c>
      <c r="N19" s="563">
        <f t="shared" si="19"/>
        <v>11</v>
      </c>
      <c r="O19" s="563">
        <f t="shared" si="19"/>
        <v>11</v>
      </c>
      <c r="P19" s="563">
        <f t="shared" si="19"/>
        <v>10</v>
      </c>
      <c r="Q19" s="579">
        <f t="shared" si="19"/>
        <v>10</v>
      </c>
      <c r="R19" s="563">
        <f t="shared" si="19"/>
        <v>9</v>
      </c>
      <c r="S19" s="563">
        <f t="shared" si="19"/>
        <v>9</v>
      </c>
      <c r="T19" s="563">
        <f t="shared" si="19"/>
        <v>9</v>
      </c>
      <c r="U19" s="563">
        <f t="shared" si="19"/>
        <v>10</v>
      </c>
      <c r="V19" s="580">
        <f t="shared" si="19"/>
        <v>10</v>
      </c>
      <c r="W19" s="563">
        <f t="shared" si="19"/>
        <v>11</v>
      </c>
      <c r="X19" s="563">
        <f t="shared" si="19"/>
        <v>11</v>
      </c>
      <c r="Y19" s="563">
        <f t="shared" si="19"/>
        <v>12</v>
      </c>
      <c r="Z19" s="563">
        <f t="shared" si="19"/>
        <v>12</v>
      </c>
      <c r="AA19" s="579">
        <f t="shared" si="19"/>
        <v>13</v>
      </c>
      <c r="AB19" s="563">
        <f t="shared" si="19"/>
        <v>13</v>
      </c>
      <c r="AC19" s="563">
        <f t="shared" si="19"/>
        <v>14</v>
      </c>
      <c r="AD19" s="563">
        <f t="shared" si="19"/>
        <v>14</v>
      </c>
      <c r="AE19" s="563">
        <f t="shared" si="19"/>
        <v>15</v>
      </c>
      <c r="AF19" s="580">
        <f t="shared" si="19"/>
        <v>15</v>
      </c>
      <c r="AG19" s="563">
        <f t="shared" si="19"/>
        <v>16</v>
      </c>
      <c r="AH19" s="563">
        <f t="shared" si="19"/>
        <v>16</v>
      </c>
      <c r="AI19" s="563">
        <f t="shared" si="19"/>
        <v>17</v>
      </c>
      <c r="AJ19" s="563">
        <f t="shared" si="19"/>
        <v>17</v>
      </c>
      <c r="AK19" s="579">
        <f t="shared" si="19"/>
        <v>18</v>
      </c>
      <c r="AL19" s="563">
        <f t="shared" si="19"/>
        <v>18</v>
      </c>
      <c r="AM19" s="563">
        <f t="shared" si="19"/>
        <v>19</v>
      </c>
      <c r="AN19" s="563">
        <f t="shared" si="19"/>
        <v>19</v>
      </c>
      <c r="AO19" s="563">
        <f t="shared" si="19"/>
        <v>20</v>
      </c>
      <c r="AP19" s="580">
        <f t="shared" si="19"/>
        <v>20</v>
      </c>
      <c r="AQ19" s="563">
        <f t="shared" si="19"/>
        <v>21</v>
      </c>
      <c r="AR19" s="563">
        <f t="shared" si="19"/>
        <v>21</v>
      </c>
      <c r="AS19" s="563">
        <f t="shared" si="19"/>
        <v>22</v>
      </c>
      <c r="AT19" s="563">
        <f t="shared" si="19"/>
        <v>22</v>
      </c>
      <c r="AU19" s="579">
        <f t="shared" si="19"/>
        <v>23</v>
      </c>
      <c r="AV19" s="563">
        <f t="shared" si="19"/>
        <v>23</v>
      </c>
      <c r="AW19" s="563">
        <f t="shared" si="19"/>
        <v>24</v>
      </c>
      <c r="AX19" s="563">
        <f t="shared" si="19"/>
        <v>24</v>
      </c>
      <c r="AY19" s="563">
        <f t="shared" si="19"/>
        <v>25</v>
      </c>
      <c r="AZ19" s="580">
        <f t="shared" si="19"/>
        <v>25</v>
      </c>
      <c r="BA19" s="563">
        <f t="shared" si="19"/>
        <v>26</v>
      </c>
      <c r="BB19" s="563">
        <f t="shared" si="19"/>
        <v>26</v>
      </c>
      <c r="BC19" s="563">
        <f t="shared" si="19"/>
        <v>27</v>
      </c>
      <c r="BD19" s="563">
        <f t="shared" si="19"/>
        <v>27</v>
      </c>
      <c r="BE19" s="579">
        <f t="shared" si="19"/>
        <v>28</v>
      </c>
      <c r="BF19" s="563">
        <f t="shared" si="19"/>
        <v>28</v>
      </c>
      <c r="BG19" s="563">
        <f t="shared" si="19"/>
        <v>29</v>
      </c>
      <c r="BH19" s="563">
        <f t="shared" si="19"/>
        <v>29</v>
      </c>
      <c r="BI19" s="563">
        <f t="shared" si="19"/>
        <v>30</v>
      </c>
      <c r="BJ19" s="580">
        <f t="shared" si="19"/>
        <v>30</v>
      </c>
      <c r="BK19" s="563">
        <f t="shared" si="19"/>
        <v>31</v>
      </c>
      <c r="BL19" s="563">
        <f t="shared" si="19"/>
        <v>31</v>
      </c>
      <c r="BM19" s="563">
        <f t="shared" si="19"/>
        <v>32</v>
      </c>
      <c r="BN19" s="563">
        <f t="shared" si="19"/>
        <v>32</v>
      </c>
      <c r="BO19" s="579">
        <f t="shared" si="19"/>
        <v>33</v>
      </c>
      <c r="BP19" s="563">
        <f t="shared" si="19"/>
        <v>33</v>
      </c>
      <c r="BQ19" s="563">
        <f t="shared" si="19"/>
        <v>35</v>
      </c>
      <c r="BR19" s="563">
        <f t="shared" si="19"/>
        <v>37</v>
      </c>
      <c r="BS19" s="563">
        <f t="shared" si="19"/>
        <v>39</v>
      </c>
      <c r="BT19" s="580">
        <f t="shared" si="19"/>
        <v>41</v>
      </c>
      <c r="BU19" s="563">
        <f t="shared" si="19"/>
        <v>43</v>
      </c>
      <c r="BV19" s="563">
        <f t="shared" si="19"/>
        <v>45</v>
      </c>
      <c r="BW19" s="563">
        <f t="shared" si="19"/>
        <v>47</v>
      </c>
      <c r="BX19" s="563">
        <f t="shared" si="19"/>
        <v>49</v>
      </c>
      <c r="BY19" s="579">
        <f t="shared" si="19"/>
        <v>51</v>
      </c>
      <c r="BZ19" s="563">
        <f t="shared" si="19"/>
        <v>53</v>
      </c>
      <c r="CA19" s="563">
        <f t="shared" si="19"/>
        <v>55</v>
      </c>
      <c r="CB19" s="563">
        <f t="shared" si="19"/>
        <v>57</v>
      </c>
      <c r="CC19" s="563">
        <f t="shared" si="19"/>
        <v>59</v>
      </c>
      <c r="CD19" s="580">
        <f t="shared" si="19"/>
        <v>61</v>
      </c>
      <c r="CE19" s="563">
        <f t="shared" si="19"/>
        <v>63</v>
      </c>
      <c r="CF19" s="563">
        <f t="shared" si="19"/>
        <v>65</v>
      </c>
      <c r="CG19" s="563">
        <f t="shared" si="19"/>
        <v>67</v>
      </c>
      <c r="CH19" s="563">
        <f t="shared" si="19"/>
        <v>69</v>
      </c>
      <c r="CI19" s="579">
        <f t="shared" si="19"/>
        <v>71</v>
      </c>
      <c r="CJ19" s="563">
        <f t="shared" si="19"/>
        <v>73</v>
      </c>
      <c r="CK19" s="563">
        <f t="shared" si="19"/>
        <v>75</v>
      </c>
      <c r="CL19" s="563">
        <f t="shared" si="19"/>
        <v>77</v>
      </c>
      <c r="CM19" s="563">
        <f t="shared" si="19"/>
        <v>79</v>
      </c>
      <c r="CN19" s="580">
        <f t="shared" si="19"/>
        <v>81</v>
      </c>
      <c r="CO19" s="563">
        <f t="shared" si="19"/>
        <v>83</v>
      </c>
      <c r="CP19" s="563">
        <f t="shared" si="19"/>
        <v>85</v>
      </c>
      <c r="CQ19" s="563">
        <f t="shared" si="19"/>
        <v>87</v>
      </c>
      <c r="CR19" s="563">
        <f t="shared" si="19"/>
        <v>89</v>
      </c>
      <c r="CS19" s="579">
        <f t="shared" si="19"/>
        <v>91</v>
      </c>
      <c r="CT19" s="563">
        <f t="shared" si="19"/>
        <v>93</v>
      </c>
      <c r="CU19" s="563">
        <f t="shared" si="19"/>
        <v>95</v>
      </c>
      <c r="CV19" s="563">
        <f t="shared" si="19"/>
        <v>97</v>
      </c>
      <c r="CW19" s="563">
        <f t="shared" si="19"/>
        <v>99</v>
      </c>
      <c r="CX19" s="563"/>
    </row>
    <row r="20" ht="10.5" customHeight="1">
      <c r="A20" s="543"/>
      <c r="B20" s="563">
        <f t="shared" si="4"/>
        <v>18</v>
      </c>
      <c r="C20" s="563">
        <f t="shared" ref="C20:CW20" si="20">IF(LT(IF(GT(C$2,MIN($B20,99)),C$2,MIN($B20,99)),99-FLOOR(C$2/2,1)),IF(GT(C$2,MIN($B20,99)),C$2,MIN($B20,99))-FLOOR(C$2/2,1),2*IF(GT(C$2,MIN($B20,99)),C$2,MIN($B20,99))-99)</f>
        <v>18</v>
      </c>
      <c r="D20" s="563">
        <f t="shared" si="20"/>
        <v>17</v>
      </c>
      <c r="E20" s="563">
        <f t="shared" si="20"/>
        <v>17</v>
      </c>
      <c r="F20" s="563">
        <f t="shared" si="20"/>
        <v>16</v>
      </c>
      <c r="G20" s="579">
        <f t="shared" si="20"/>
        <v>16</v>
      </c>
      <c r="H20" s="563">
        <f t="shared" si="20"/>
        <v>15</v>
      </c>
      <c r="I20" s="563">
        <f t="shared" si="20"/>
        <v>15</v>
      </c>
      <c r="J20" s="563">
        <f t="shared" si="20"/>
        <v>14</v>
      </c>
      <c r="K20" s="563">
        <f t="shared" si="20"/>
        <v>14</v>
      </c>
      <c r="L20" s="580">
        <f t="shared" si="20"/>
        <v>13</v>
      </c>
      <c r="M20" s="563">
        <f t="shared" si="20"/>
        <v>13</v>
      </c>
      <c r="N20" s="563">
        <f t="shared" si="20"/>
        <v>12</v>
      </c>
      <c r="O20" s="563">
        <f t="shared" si="20"/>
        <v>12</v>
      </c>
      <c r="P20" s="563">
        <f t="shared" si="20"/>
        <v>11</v>
      </c>
      <c r="Q20" s="579">
        <f t="shared" si="20"/>
        <v>11</v>
      </c>
      <c r="R20" s="563">
        <f t="shared" si="20"/>
        <v>10</v>
      </c>
      <c r="S20" s="563">
        <f t="shared" si="20"/>
        <v>10</v>
      </c>
      <c r="T20" s="563">
        <f t="shared" si="20"/>
        <v>9</v>
      </c>
      <c r="U20" s="563">
        <f t="shared" si="20"/>
        <v>10</v>
      </c>
      <c r="V20" s="580">
        <f t="shared" si="20"/>
        <v>10</v>
      </c>
      <c r="W20" s="563">
        <f t="shared" si="20"/>
        <v>11</v>
      </c>
      <c r="X20" s="563">
        <f t="shared" si="20"/>
        <v>11</v>
      </c>
      <c r="Y20" s="563">
        <f t="shared" si="20"/>
        <v>12</v>
      </c>
      <c r="Z20" s="563">
        <f t="shared" si="20"/>
        <v>12</v>
      </c>
      <c r="AA20" s="579">
        <f t="shared" si="20"/>
        <v>13</v>
      </c>
      <c r="AB20" s="563">
        <f t="shared" si="20"/>
        <v>13</v>
      </c>
      <c r="AC20" s="563">
        <f t="shared" si="20"/>
        <v>14</v>
      </c>
      <c r="AD20" s="563">
        <f t="shared" si="20"/>
        <v>14</v>
      </c>
      <c r="AE20" s="563">
        <f t="shared" si="20"/>
        <v>15</v>
      </c>
      <c r="AF20" s="580">
        <f t="shared" si="20"/>
        <v>15</v>
      </c>
      <c r="AG20" s="563">
        <f t="shared" si="20"/>
        <v>16</v>
      </c>
      <c r="AH20" s="563">
        <f t="shared" si="20"/>
        <v>16</v>
      </c>
      <c r="AI20" s="563">
        <f t="shared" si="20"/>
        <v>17</v>
      </c>
      <c r="AJ20" s="563">
        <f t="shared" si="20"/>
        <v>17</v>
      </c>
      <c r="AK20" s="579">
        <f t="shared" si="20"/>
        <v>18</v>
      </c>
      <c r="AL20" s="563">
        <f t="shared" si="20"/>
        <v>18</v>
      </c>
      <c r="AM20" s="563">
        <f t="shared" si="20"/>
        <v>19</v>
      </c>
      <c r="AN20" s="563">
        <f t="shared" si="20"/>
        <v>19</v>
      </c>
      <c r="AO20" s="563">
        <f t="shared" si="20"/>
        <v>20</v>
      </c>
      <c r="AP20" s="580">
        <f t="shared" si="20"/>
        <v>20</v>
      </c>
      <c r="AQ20" s="563">
        <f t="shared" si="20"/>
        <v>21</v>
      </c>
      <c r="AR20" s="563">
        <f t="shared" si="20"/>
        <v>21</v>
      </c>
      <c r="AS20" s="563">
        <f t="shared" si="20"/>
        <v>22</v>
      </c>
      <c r="AT20" s="563">
        <f t="shared" si="20"/>
        <v>22</v>
      </c>
      <c r="AU20" s="579">
        <f t="shared" si="20"/>
        <v>23</v>
      </c>
      <c r="AV20" s="563">
        <f t="shared" si="20"/>
        <v>23</v>
      </c>
      <c r="AW20" s="563">
        <f t="shared" si="20"/>
        <v>24</v>
      </c>
      <c r="AX20" s="563">
        <f t="shared" si="20"/>
        <v>24</v>
      </c>
      <c r="AY20" s="563">
        <f t="shared" si="20"/>
        <v>25</v>
      </c>
      <c r="AZ20" s="580">
        <f t="shared" si="20"/>
        <v>25</v>
      </c>
      <c r="BA20" s="563">
        <f t="shared" si="20"/>
        <v>26</v>
      </c>
      <c r="BB20" s="563">
        <f t="shared" si="20"/>
        <v>26</v>
      </c>
      <c r="BC20" s="563">
        <f t="shared" si="20"/>
        <v>27</v>
      </c>
      <c r="BD20" s="563">
        <f t="shared" si="20"/>
        <v>27</v>
      </c>
      <c r="BE20" s="579">
        <f t="shared" si="20"/>
        <v>28</v>
      </c>
      <c r="BF20" s="563">
        <f t="shared" si="20"/>
        <v>28</v>
      </c>
      <c r="BG20" s="563">
        <f t="shared" si="20"/>
        <v>29</v>
      </c>
      <c r="BH20" s="563">
        <f t="shared" si="20"/>
        <v>29</v>
      </c>
      <c r="BI20" s="563">
        <f t="shared" si="20"/>
        <v>30</v>
      </c>
      <c r="BJ20" s="580">
        <f t="shared" si="20"/>
        <v>30</v>
      </c>
      <c r="BK20" s="563">
        <f t="shared" si="20"/>
        <v>31</v>
      </c>
      <c r="BL20" s="563">
        <f t="shared" si="20"/>
        <v>31</v>
      </c>
      <c r="BM20" s="563">
        <f t="shared" si="20"/>
        <v>32</v>
      </c>
      <c r="BN20" s="563">
        <f t="shared" si="20"/>
        <v>32</v>
      </c>
      <c r="BO20" s="579">
        <f t="shared" si="20"/>
        <v>33</v>
      </c>
      <c r="BP20" s="563">
        <f t="shared" si="20"/>
        <v>33</v>
      </c>
      <c r="BQ20" s="563">
        <f t="shared" si="20"/>
        <v>35</v>
      </c>
      <c r="BR20" s="563">
        <f t="shared" si="20"/>
        <v>37</v>
      </c>
      <c r="BS20" s="563">
        <f t="shared" si="20"/>
        <v>39</v>
      </c>
      <c r="BT20" s="580">
        <f t="shared" si="20"/>
        <v>41</v>
      </c>
      <c r="BU20" s="563">
        <f t="shared" si="20"/>
        <v>43</v>
      </c>
      <c r="BV20" s="563">
        <f t="shared" si="20"/>
        <v>45</v>
      </c>
      <c r="BW20" s="563">
        <f t="shared" si="20"/>
        <v>47</v>
      </c>
      <c r="BX20" s="563">
        <f t="shared" si="20"/>
        <v>49</v>
      </c>
      <c r="BY20" s="579">
        <f t="shared" si="20"/>
        <v>51</v>
      </c>
      <c r="BZ20" s="563">
        <f t="shared" si="20"/>
        <v>53</v>
      </c>
      <c r="CA20" s="563">
        <f t="shared" si="20"/>
        <v>55</v>
      </c>
      <c r="CB20" s="563">
        <f t="shared" si="20"/>
        <v>57</v>
      </c>
      <c r="CC20" s="563">
        <f t="shared" si="20"/>
        <v>59</v>
      </c>
      <c r="CD20" s="580">
        <f t="shared" si="20"/>
        <v>61</v>
      </c>
      <c r="CE20" s="563">
        <f t="shared" si="20"/>
        <v>63</v>
      </c>
      <c r="CF20" s="563">
        <f t="shared" si="20"/>
        <v>65</v>
      </c>
      <c r="CG20" s="563">
        <f t="shared" si="20"/>
        <v>67</v>
      </c>
      <c r="CH20" s="563">
        <f t="shared" si="20"/>
        <v>69</v>
      </c>
      <c r="CI20" s="579">
        <f t="shared" si="20"/>
        <v>71</v>
      </c>
      <c r="CJ20" s="563">
        <f t="shared" si="20"/>
        <v>73</v>
      </c>
      <c r="CK20" s="563">
        <f t="shared" si="20"/>
        <v>75</v>
      </c>
      <c r="CL20" s="563">
        <f t="shared" si="20"/>
        <v>77</v>
      </c>
      <c r="CM20" s="563">
        <f t="shared" si="20"/>
        <v>79</v>
      </c>
      <c r="CN20" s="580">
        <f t="shared" si="20"/>
        <v>81</v>
      </c>
      <c r="CO20" s="563">
        <f t="shared" si="20"/>
        <v>83</v>
      </c>
      <c r="CP20" s="563">
        <f t="shared" si="20"/>
        <v>85</v>
      </c>
      <c r="CQ20" s="563">
        <f t="shared" si="20"/>
        <v>87</v>
      </c>
      <c r="CR20" s="563">
        <f t="shared" si="20"/>
        <v>89</v>
      </c>
      <c r="CS20" s="579">
        <f t="shared" si="20"/>
        <v>91</v>
      </c>
      <c r="CT20" s="563">
        <f t="shared" si="20"/>
        <v>93</v>
      </c>
      <c r="CU20" s="563">
        <f t="shared" si="20"/>
        <v>95</v>
      </c>
      <c r="CV20" s="563">
        <f t="shared" si="20"/>
        <v>97</v>
      </c>
      <c r="CW20" s="563">
        <f t="shared" si="20"/>
        <v>99</v>
      </c>
      <c r="CX20" s="563"/>
    </row>
    <row r="21" ht="10.5" customHeight="1">
      <c r="A21" s="543"/>
      <c r="B21" s="563">
        <f t="shared" si="4"/>
        <v>19</v>
      </c>
      <c r="C21" s="563">
        <f t="shared" ref="C21:CW21" si="21">IF(LT(IF(GT(C$2,MIN($B21,99)),C$2,MIN($B21,99)),99-FLOOR(C$2/2,1)),IF(GT(C$2,MIN($B21,99)),C$2,MIN($B21,99))-FLOOR(C$2/2,1),2*IF(GT(C$2,MIN($B21,99)),C$2,MIN($B21,99))-99)</f>
        <v>19</v>
      </c>
      <c r="D21" s="563">
        <f t="shared" si="21"/>
        <v>18</v>
      </c>
      <c r="E21" s="563">
        <f t="shared" si="21"/>
        <v>18</v>
      </c>
      <c r="F21" s="563">
        <f t="shared" si="21"/>
        <v>17</v>
      </c>
      <c r="G21" s="579">
        <f t="shared" si="21"/>
        <v>17</v>
      </c>
      <c r="H21" s="563">
        <f t="shared" si="21"/>
        <v>16</v>
      </c>
      <c r="I21" s="563">
        <f t="shared" si="21"/>
        <v>16</v>
      </c>
      <c r="J21" s="563">
        <f t="shared" si="21"/>
        <v>15</v>
      </c>
      <c r="K21" s="563">
        <f t="shared" si="21"/>
        <v>15</v>
      </c>
      <c r="L21" s="580">
        <f t="shared" si="21"/>
        <v>14</v>
      </c>
      <c r="M21" s="563">
        <f t="shared" si="21"/>
        <v>14</v>
      </c>
      <c r="N21" s="563">
        <f t="shared" si="21"/>
        <v>13</v>
      </c>
      <c r="O21" s="563">
        <f t="shared" si="21"/>
        <v>13</v>
      </c>
      <c r="P21" s="563">
        <f t="shared" si="21"/>
        <v>12</v>
      </c>
      <c r="Q21" s="579">
        <f t="shared" si="21"/>
        <v>12</v>
      </c>
      <c r="R21" s="563">
        <f t="shared" si="21"/>
        <v>11</v>
      </c>
      <c r="S21" s="563">
        <f t="shared" si="21"/>
        <v>11</v>
      </c>
      <c r="T21" s="563">
        <f t="shared" si="21"/>
        <v>10</v>
      </c>
      <c r="U21" s="563">
        <f t="shared" si="21"/>
        <v>10</v>
      </c>
      <c r="V21" s="580">
        <f t="shared" si="21"/>
        <v>10</v>
      </c>
      <c r="W21" s="563">
        <f t="shared" si="21"/>
        <v>11</v>
      </c>
      <c r="X21" s="563">
        <f t="shared" si="21"/>
        <v>11</v>
      </c>
      <c r="Y21" s="563">
        <f t="shared" si="21"/>
        <v>12</v>
      </c>
      <c r="Z21" s="563">
        <f t="shared" si="21"/>
        <v>12</v>
      </c>
      <c r="AA21" s="579">
        <f t="shared" si="21"/>
        <v>13</v>
      </c>
      <c r="AB21" s="563">
        <f t="shared" si="21"/>
        <v>13</v>
      </c>
      <c r="AC21" s="563">
        <f t="shared" si="21"/>
        <v>14</v>
      </c>
      <c r="AD21" s="563">
        <f t="shared" si="21"/>
        <v>14</v>
      </c>
      <c r="AE21" s="563">
        <f t="shared" si="21"/>
        <v>15</v>
      </c>
      <c r="AF21" s="580">
        <f t="shared" si="21"/>
        <v>15</v>
      </c>
      <c r="AG21" s="563">
        <f t="shared" si="21"/>
        <v>16</v>
      </c>
      <c r="AH21" s="563">
        <f t="shared" si="21"/>
        <v>16</v>
      </c>
      <c r="AI21" s="563">
        <f t="shared" si="21"/>
        <v>17</v>
      </c>
      <c r="AJ21" s="563">
        <f t="shared" si="21"/>
        <v>17</v>
      </c>
      <c r="AK21" s="579">
        <f t="shared" si="21"/>
        <v>18</v>
      </c>
      <c r="AL21" s="563">
        <f t="shared" si="21"/>
        <v>18</v>
      </c>
      <c r="AM21" s="563">
        <f t="shared" si="21"/>
        <v>19</v>
      </c>
      <c r="AN21" s="563">
        <f t="shared" si="21"/>
        <v>19</v>
      </c>
      <c r="AO21" s="563">
        <f t="shared" si="21"/>
        <v>20</v>
      </c>
      <c r="AP21" s="580">
        <f t="shared" si="21"/>
        <v>20</v>
      </c>
      <c r="AQ21" s="563">
        <f t="shared" si="21"/>
        <v>21</v>
      </c>
      <c r="AR21" s="563">
        <f t="shared" si="21"/>
        <v>21</v>
      </c>
      <c r="AS21" s="563">
        <f t="shared" si="21"/>
        <v>22</v>
      </c>
      <c r="AT21" s="563">
        <f t="shared" si="21"/>
        <v>22</v>
      </c>
      <c r="AU21" s="579">
        <f t="shared" si="21"/>
        <v>23</v>
      </c>
      <c r="AV21" s="563">
        <f t="shared" si="21"/>
        <v>23</v>
      </c>
      <c r="AW21" s="563">
        <f t="shared" si="21"/>
        <v>24</v>
      </c>
      <c r="AX21" s="563">
        <f t="shared" si="21"/>
        <v>24</v>
      </c>
      <c r="AY21" s="563">
        <f t="shared" si="21"/>
        <v>25</v>
      </c>
      <c r="AZ21" s="580">
        <f t="shared" si="21"/>
        <v>25</v>
      </c>
      <c r="BA21" s="563">
        <f t="shared" si="21"/>
        <v>26</v>
      </c>
      <c r="BB21" s="563">
        <f t="shared" si="21"/>
        <v>26</v>
      </c>
      <c r="BC21" s="563">
        <f t="shared" si="21"/>
        <v>27</v>
      </c>
      <c r="BD21" s="563">
        <f t="shared" si="21"/>
        <v>27</v>
      </c>
      <c r="BE21" s="579">
        <f t="shared" si="21"/>
        <v>28</v>
      </c>
      <c r="BF21" s="563">
        <f t="shared" si="21"/>
        <v>28</v>
      </c>
      <c r="BG21" s="563">
        <f t="shared" si="21"/>
        <v>29</v>
      </c>
      <c r="BH21" s="563">
        <f t="shared" si="21"/>
        <v>29</v>
      </c>
      <c r="BI21" s="563">
        <f t="shared" si="21"/>
        <v>30</v>
      </c>
      <c r="BJ21" s="580">
        <f t="shared" si="21"/>
        <v>30</v>
      </c>
      <c r="BK21" s="563">
        <f t="shared" si="21"/>
        <v>31</v>
      </c>
      <c r="BL21" s="563">
        <f t="shared" si="21"/>
        <v>31</v>
      </c>
      <c r="BM21" s="563">
        <f t="shared" si="21"/>
        <v>32</v>
      </c>
      <c r="BN21" s="563">
        <f t="shared" si="21"/>
        <v>32</v>
      </c>
      <c r="BO21" s="579">
        <f t="shared" si="21"/>
        <v>33</v>
      </c>
      <c r="BP21" s="563">
        <f t="shared" si="21"/>
        <v>33</v>
      </c>
      <c r="BQ21" s="563">
        <f t="shared" si="21"/>
        <v>35</v>
      </c>
      <c r="BR21" s="563">
        <f t="shared" si="21"/>
        <v>37</v>
      </c>
      <c r="BS21" s="563">
        <f t="shared" si="21"/>
        <v>39</v>
      </c>
      <c r="BT21" s="580">
        <f t="shared" si="21"/>
        <v>41</v>
      </c>
      <c r="BU21" s="563">
        <f t="shared" si="21"/>
        <v>43</v>
      </c>
      <c r="BV21" s="563">
        <f t="shared" si="21"/>
        <v>45</v>
      </c>
      <c r="BW21" s="563">
        <f t="shared" si="21"/>
        <v>47</v>
      </c>
      <c r="BX21" s="563">
        <f t="shared" si="21"/>
        <v>49</v>
      </c>
      <c r="BY21" s="579">
        <f t="shared" si="21"/>
        <v>51</v>
      </c>
      <c r="BZ21" s="563">
        <f t="shared" si="21"/>
        <v>53</v>
      </c>
      <c r="CA21" s="563">
        <f t="shared" si="21"/>
        <v>55</v>
      </c>
      <c r="CB21" s="563">
        <f t="shared" si="21"/>
        <v>57</v>
      </c>
      <c r="CC21" s="563">
        <f t="shared" si="21"/>
        <v>59</v>
      </c>
      <c r="CD21" s="580">
        <f t="shared" si="21"/>
        <v>61</v>
      </c>
      <c r="CE21" s="563">
        <f t="shared" si="21"/>
        <v>63</v>
      </c>
      <c r="CF21" s="563">
        <f t="shared" si="21"/>
        <v>65</v>
      </c>
      <c r="CG21" s="563">
        <f t="shared" si="21"/>
        <v>67</v>
      </c>
      <c r="CH21" s="563">
        <f t="shared" si="21"/>
        <v>69</v>
      </c>
      <c r="CI21" s="579">
        <f t="shared" si="21"/>
        <v>71</v>
      </c>
      <c r="CJ21" s="563">
        <f t="shared" si="21"/>
        <v>73</v>
      </c>
      <c r="CK21" s="563">
        <f t="shared" si="21"/>
        <v>75</v>
      </c>
      <c r="CL21" s="563">
        <f t="shared" si="21"/>
        <v>77</v>
      </c>
      <c r="CM21" s="563">
        <f t="shared" si="21"/>
        <v>79</v>
      </c>
      <c r="CN21" s="580">
        <f t="shared" si="21"/>
        <v>81</v>
      </c>
      <c r="CO21" s="563">
        <f t="shared" si="21"/>
        <v>83</v>
      </c>
      <c r="CP21" s="563">
        <f t="shared" si="21"/>
        <v>85</v>
      </c>
      <c r="CQ21" s="563">
        <f t="shared" si="21"/>
        <v>87</v>
      </c>
      <c r="CR21" s="563">
        <f t="shared" si="21"/>
        <v>89</v>
      </c>
      <c r="CS21" s="579">
        <f t="shared" si="21"/>
        <v>91</v>
      </c>
      <c r="CT21" s="563">
        <f t="shared" si="21"/>
        <v>93</v>
      </c>
      <c r="CU21" s="563">
        <f t="shared" si="21"/>
        <v>95</v>
      </c>
      <c r="CV21" s="563">
        <f t="shared" si="21"/>
        <v>97</v>
      </c>
      <c r="CW21" s="563">
        <f t="shared" si="21"/>
        <v>99</v>
      </c>
      <c r="CX21" s="563"/>
    </row>
    <row r="22" ht="10.5" customHeight="1">
      <c r="A22" s="543"/>
      <c r="B22" s="563">
        <f t="shared" si="4"/>
        <v>20</v>
      </c>
      <c r="C22" s="682">
        <f t="shared" ref="C22:CW22" si="22">IF(LT(IF(GT(C$2,MIN($B22,99)),C$2,MIN($B22,99)),99-FLOOR(C$2/2,1)),IF(GT(C$2,MIN($B22,99)),C$2,MIN($B22,99))-FLOOR(C$2/2,1),2*IF(GT(C$2,MIN($B22,99)),C$2,MIN($B22,99))-99)</f>
        <v>20</v>
      </c>
      <c r="D22" s="682">
        <f t="shared" si="22"/>
        <v>19</v>
      </c>
      <c r="E22" s="682">
        <f t="shared" si="22"/>
        <v>19</v>
      </c>
      <c r="F22" s="682">
        <f t="shared" si="22"/>
        <v>18</v>
      </c>
      <c r="G22" s="683">
        <f t="shared" si="22"/>
        <v>18</v>
      </c>
      <c r="H22" s="682">
        <f t="shared" si="22"/>
        <v>17</v>
      </c>
      <c r="I22" s="682">
        <f t="shared" si="22"/>
        <v>17</v>
      </c>
      <c r="J22" s="682">
        <f t="shared" si="22"/>
        <v>16</v>
      </c>
      <c r="K22" s="682">
        <f t="shared" si="22"/>
        <v>16</v>
      </c>
      <c r="L22" s="684">
        <f t="shared" si="22"/>
        <v>15</v>
      </c>
      <c r="M22" s="682">
        <f t="shared" si="22"/>
        <v>15</v>
      </c>
      <c r="N22" s="682">
        <f t="shared" si="22"/>
        <v>14</v>
      </c>
      <c r="O22" s="682">
        <f t="shared" si="22"/>
        <v>14</v>
      </c>
      <c r="P22" s="682">
        <f t="shared" si="22"/>
        <v>13</v>
      </c>
      <c r="Q22" s="683">
        <f t="shared" si="22"/>
        <v>13</v>
      </c>
      <c r="R22" s="682">
        <f t="shared" si="22"/>
        <v>12</v>
      </c>
      <c r="S22" s="682">
        <f t="shared" si="22"/>
        <v>12</v>
      </c>
      <c r="T22" s="682">
        <f t="shared" si="22"/>
        <v>11</v>
      </c>
      <c r="U22" s="682">
        <f t="shared" si="22"/>
        <v>11</v>
      </c>
      <c r="V22" s="684">
        <f t="shared" si="22"/>
        <v>10</v>
      </c>
      <c r="W22" s="682">
        <f t="shared" si="22"/>
        <v>11</v>
      </c>
      <c r="X22" s="682">
        <f t="shared" si="22"/>
        <v>11</v>
      </c>
      <c r="Y22" s="682">
        <f t="shared" si="22"/>
        <v>12</v>
      </c>
      <c r="Z22" s="682">
        <f t="shared" si="22"/>
        <v>12</v>
      </c>
      <c r="AA22" s="683">
        <f t="shared" si="22"/>
        <v>13</v>
      </c>
      <c r="AB22" s="682">
        <f t="shared" si="22"/>
        <v>13</v>
      </c>
      <c r="AC22" s="682">
        <f t="shared" si="22"/>
        <v>14</v>
      </c>
      <c r="AD22" s="682">
        <f t="shared" si="22"/>
        <v>14</v>
      </c>
      <c r="AE22" s="682">
        <f t="shared" si="22"/>
        <v>15</v>
      </c>
      <c r="AF22" s="684">
        <f t="shared" si="22"/>
        <v>15</v>
      </c>
      <c r="AG22" s="682">
        <f t="shared" si="22"/>
        <v>16</v>
      </c>
      <c r="AH22" s="682">
        <f t="shared" si="22"/>
        <v>16</v>
      </c>
      <c r="AI22" s="682">
        <f t="shared" si="22"/>
        <v>17</v>
      </c>
      <c r="AJ22" s="682">
        <f t="shared" si="22"/>
        <v>17</v>
      </c>
      <c r="AK22" s="683">
        <f t="shared" si="22"/>
        <v>18</v>
      </c>
      <c r="AL22" s="682">
        <f t="shared" si="22"/>
        <v>18</v>
      </c>
      <c r="AM22" s="682">
        <f t="shared" si="22"/>
        <v>19</v>
      </c>
      <c r="AN22" s="682">
        <f t="shared" si="22"/>
        <v>19</v>
      </c>
      <c r="AO22" s="682">
        <f t="shared" si="22"/>
        <v>20</v>
      </c>
      <c r="AP22" s="684">
        <f t="shared" si="22"/>
        <v>20</v>
      </c>
      <c r="AQ22" s="682">
        <f t="shared" si="22"/>
        <v>21</v>
      </c>
      <c r="AR22" s="682">
        <f t="shared" si="22"/>
        <v>21</v>
      </c>
      <c r="AS22" s="682">
        <f t="shared" si="22"/>
        <v>22</v>
      </c>
      <c r="AT22" s="682">
        <f t="shared" si="22"/>
        <v>22</v>
      </c>
      <c r="AU22" s="683">
        <f t="shared" si="22"/>
        <v>23</v>
      </c>
      <c r="AV22" s="682">
        <f t="shared" si="22"/>
        <v>23</v>
      </c>
      <c r="AW22" s="682">
        <f t="shared" si="22"/>
        <v>24</v>
      </c>
      <c r="AX22" s="682">
        <f t="shared" si="22"/>
        <v>24</v>
      </c>
      <c r="AY22" s="682">
        <f t="shared" si="22"/>
        <v>25</v>
      </c>
      <c r="AZ22" s="684">
        <f t="shared" si="22"/>
        <v>25</v>
      </c>
      <c r="BA22" s="682">
        <f t="shared" si="22"/>
        <v>26</v>
      </c>
      <c r="BB22" s="682">
        <f t="shared" si="22"/>
        <v>26</v>
      </c>
      <c r="BC22" s="682">
        <f t="shared" si="22"/>
        <v>27</v>
      </c>
      <c r="BD22" s="682">
        <f t="shared" si="22"/>
        <v>27</v>
      </c>
      <c r="BE22" s="683">
        <f t="shared" si="22"/>
        <v>28</v>
      </c>
      <c r="BF22" s="682">
        <f t="shared" si="22"/>
        <v>28</v>
      </c>
      <c r="BG22" s="682">
        <f t="shared" si="22"/>
        <v>29</v>
      </c>
      <c r="BH22" s="682">
        <f t="shared" si="22"/>
        <v>29</v>
      </c>
      <c r="BI22" s="682">
        <f t="shared" si="22"/>
        <v>30</v>
      </c>
      <c r="BJ22" s="684">
        <f t="shared" si="22"/>
        <v>30</v>
      </c>
      <c r="BK22" s="682">
        <f t="shared" si="22"/>
        <v>31</v>
      </c>
      <c r="BL22" s="682">
        <f t="shared" si="22"/>
        <v>31</v>
      </c>
      <c r="BM22" s="682">
        <f t="shared" si="22"/>
        <v>32</v>
      </c>
      <c r="BN22" s="682">
        <f t="shared" si="22"/>
        <v>32</v>
      </c>
      <c r="BO22" s="683">
        <f t="shared" si="22"/>
        <v>33</v>
      </c>
      <c r="BP22" s="682">
        <f t="shared" si="22"/>
        <v>33</v>
      </c>
      <c r="BQ22" s="682">
        <f t="shared" si="22"/>
        <v>35</v>
      </c>
      <c r="BR22" s="682">
        <f t="shared" si="22"/>
        <v>37</v>
      </c>
      <c r="BS22" s="682">
        <f t="shared" si="22"/>
        <v>39</v>
      </c>
      <c r="BT22" s="684">
        <f t="shared" si="22"/>
        <v>41</v>
      </c>
      <c r="BU22" s="682">
        <f t="shared" si="22"/>
        <v>43</v>
      </c>
      <c r="BV22" s="682">
        <f t="shared" si="22"/>
        <v>45</v>
      </c>
      <c r="BW22" s="682">
        <f t="shared" si="22"/>
        <v>47</v>
      </c>
      <c r="BX22" s="682">
        <f t="shared" si="22"/>
        <v>49</v>
      </c>
      <c r="BY22" s="683">
        <f t="shared" si="22"/>
        <v>51</v>
      </c>
      <c r="BZ22" s="682">
        <f t="shared" si="22"/>
        <v>53</v>
      </c>
      <c r="CA22" s="682">
        <f t="shared" si="22"/>
        <v>55</v>
      </c>
      <c r="CB22" s="682">
        <f t="shared" si="22"/>
        <v>57</v>
      </c>
      <c r="CC22" s="682">
        <f t="shared" si="22"/>
        <v>59</v>
      </c>
      <c r="CD22" s="684">
        <f t="shared" si="22"/>
        <v>61</v>
      </c>
      <c r="CE22" s="682">
        <f t="shared" si="22"/>
        <v>63</v>
      </c>
      <c r="CF22" s="682">
        <f t="shared" si="22"/>
        <v>65</v>
      </c>
      <c r="CG22" s="682">
        <f t="shared" si="22"/>
        <v>67</v>
      </c>
      <c r="CH22" s="682">
        <f t="shared" si="22"/>
        <v>69</v>
      </c>
      <c r="CI22" s="683">
        <f t="shared" si="22"/>
        <v>71</v>
      </c>
      <c r="CJ22" s="682">
        <f t="shared" si="22"/>
        <v>73</v>
      </c>
      <c r="CK22" s="682">
        <f t="shared" si="22"/>
        <v>75</v>
      </c>
      <c r="CL22" s="682">
        <f t="shared" si="22"/>
        <v>77</v>
      </c>
      <c r="CM22" s="682">
        <f t="shared" si="22"/>
        <v>79</v>
      </c>
      <c r="CN22" s="684">
        <f t="shared" si="22"/>
        <v>81</v>
      </c>
      <c r="CO22" s="682">
        <f t="shared" si="22"/>
        <v>83</v>
      </c>
      <c r="CP22" s="682">
        <f t="shared" si="22"/>
        <v>85</v>
      </c>
      <c r="CQ22" s="682">
        <f t="shared" si="22"/>
        <v>87</v>
      </c>
      <c r="CR22" s="682">
        <f t="shared" si="22"/>
        <v>89</v>
      </c>
      <c r="CS22" s="683">
        <f t="shared" si="22"/>
        <v>91</v>
      </c>
      <c r="CT22" s="682">
        <f t="shared" si="22"/>
        <v>93</v>
      </c>
      <c r="CU22" s="682">
        <f t="shared" si="22"/>
        <v>95</v>
      </c>
      <c r="CV22" s="682">
        <f t="shared" si="22"/>
        <v>97</v>
      </c>
      <c r="CW22" s="682">
        <f t="shared" si="22"/>
        <v>99</v>
      </c>
      <c r="CX22" s="563"/>
    </row>
    <row r="23" ht="10.5" customHeight="1">
      <c r="A23" s="543"/>
      <c r="B23" s="563">
        <f t="shared" si="4"/>
        <v>21</v>
      </c>
      <c r="C23" s="563">
        <f t="shared" ref="C23:CW23" si="23">IF(LT(IF(GT(C$2,MIN($B23,99)),C$2,MIN($B23,99)),99-FLOOR(C$2/2,1)),IF(GT(C$2,MIN($B23,99)),C$2,MIN($B23,99))-FLOOR(C$2/2,1),2*IF(GT(C$2,MIN($B23,99)),C$2,MIN($B23,99))-99)</f>
        <v>21</v>
      </c>
      <c r="D23" s="563">
        <f t="shared" si="23"/>
        <v>20</v>
      </c>
      <c r="E23" s="563">
        <f t="shared" si="23"/>
        <v>20</v>
      </c>
      <c r="F23" s="563">
        <f t="shared" si="23"/>
        <v>19</v>
      </c>
      <c r="G23" s="579">
        <f t="shared" si="23"/>
        <v>19</v>
      </c>
      <c r="H23" s="563">
        <f t="shared" si="23"/>
        <v>18</v>
      </c>
      <c r="I23" s="563">
        <f t="shared" si="23"/>
        <v>18</v>
      </c>
      <c r="J23" s="563">
        <f t="shared" si="23"/>
        <v>17</v>
      </c>
      <c r="K23" s="563">
        <f t="shared" si="23"/>
        <v>17</v>
      </c>
      <c r="L23" s="580">
        <f t="shared" si="23"/>
        <v>16</v>
      </c>
      <c r="M23" s="563">
        <f t="shared" si="23"/>
        <v>16</v>
      </c>
      <c r="N23" s="563">
        <f t="shared" si="23"/>
        <v>15</v>
      </c>
      <c r="O23" s="563">
        <f t="shared" si="23"/>
        <v>15</v>
      </c>
      <c r="P23" s="563">
        <f t="shared" si="23"/>
        <v>14</v>
      </c>
      <c r="Q23" s="579">
        <f t="shared" si="23"/>
        <v>14</v>
      </c>
      <c r="R23" s="563">
        <f t="shared" si="23"/>
        <v>13</v>
      </c>
      <c r="S23" s="563">
        <f t="shared" si="23"/>
        <v>13</v>
      </c>
      <c r="T23" s="563">
        <f t="shared" si="23"/>
        <v>12</v>
      </c>
      <c r="U23" s="563">
        <f t="shared" si="23"/>
        <v>12</v>
      </c>
      <c r="V23" s="580">
        <f t="shared" si="23"/>
        <v>11</v>
      </c>
      <c r="W23" s="563">
        <f t="shared" si="23"/>
        <v>11</v>
      </c>
      <c r="X23" s="563">
        <f t="shared" si="23"/>
        <v>11</v>
      </c>
      <c r="Y23" s="563">
        <f t="shared" si="23"/>
        <v>12</v>
      </c>
      <c r="Z23" s="563">
        <f t="shared" si="23"/>
        <v>12</v>
      </c>
      <c r="AA23" s="579">
        <f t="shared" si="23"/>
        <v>13</v>
      </c>
      <c r="AB23" s="563">
        <f t="shared" si="23"/>
        <v>13</v>
      </c>
      <c r="AC23" s="563">
        <f t="shared" si="23"/>
        <v>14</v>
      </c>
      <c r="AD23" s="563">
        <f t="shared" si="23"/>
        <v>14</v>
      </c>
      <c r="AE23" s="563">
        <f t="shared" si="23"/>
        <v>15</v>
      </c>
      <c r="AF23" s="580">
        <f t="shared" si="23"/>
        <v>15</v>
      </c>
      <c r="AG23" s="563">
        <f t="shared" si="23"/>
        <v>16</v>
      </c>
      <c r="AH23" s="563">
        <f t="shared" si="23"/>
        <v>16</v>
      </c>
      <c r="AI23" s="563">
        <f t="shared" si="23"/>
        <v>17</v>
      </c>
      <c r="AJ23" s="563">
        <f t="shared" si="23"/>
        <v>17</v>
      </c>
      <c r="AK23" s="579">
        <f t="shared" si="23"/>
        <v>18</v>
      </c>
      <c r="AL23" s="563">
        <f t="shared" si="23"/>
        <v>18</v>
      </c>
      <c r="AM23" s="563">
        <f t="shared" si="23"/>
        <v>19</v>
      </c>
      <c r="AN23" s="563">
        <f t="shared" si="23"/>
        <v>19</v>
      </c>
      <c r="AO23" s="563">
        <f t="shared" si="23"/>
        <v>20</v>
      </c>
      <c r="AP23" s="580">
        <f t="shared" si="23"/>
        <v>20</v>
      </c>
      <c r="AQ23" s="563">
        <f t="shared" si="23"/>
        <v>21</v>
      </c>
      <c r="AR23" s="563">
        <f t="shared" si="23"/>
        <v>21</v>
      </c>
      <c r="AS23" s="563">
        <f t="shared" si="23"/>
        <v>22</v>
      </c>
      <c r="AT23" s="563">
        <f t="shared" si="23"/>
        <v>22</v>
      </c>
      <c r="AU23" s="579">
        <f t="shared" si="23"/>
        <v>23</v>
      </c>
      <c r="AV23" s="563">
        <f t="shared" si="23"/>
        <v>23</v>
      </c>
      <c r="AW23" s="563">
        <f t="shared" si="23"/>
        <v>24</v>
      </c>
      <c r="AX23" s="563">
        <f t="shared" si="23"/>
        <v>24</v>
      </c>
      <c r="AY23" s="563">
        <f t="shared" si="23"/>
        <v>25</v>
      </c>
      <c r="AZ23" s="580">
        <f t="shared" si="23"/>
        <v>25</v>
      </c>
      <c r="BA23" s="563">
        <f t="shared" si="23"/>
        <v>26</v>
      </c>
      <c r="BB23" s="563">
        <f t="shared" si="23"/>
        <v>26</v>
      </c>
      <c r="BC23" s="563">
        <f t="shared" si="23"/>
        <v>27</v>
      </c>
      <c r="BD23" s="563">
        <f t="shared" si="23"/>
        <v>27</v>
      </c>
      <c r="BE23" s="579">
        <f t="shared" si="23"/>
        <v>28</v>
      </c>
      <c r="BF23" s="563">
        <f t="shared" si="23"/>
        <v>28</v>
      </c>
      <c r="BG23" s="563">
        <f t="shared" si="23"/>
        <v>29</v>
      </c>
      <c r="BH23" s="563">
        <f t="shared" si="23"/>
        <v>29</v>
      </c>
      <c r="BI23" s="563">
        <f t="shared" si="23"/>
        <v>30</v>
      </c>
      <c r="BJ23" s="580">
        <f t="shared" si="23"/>
        <v>30</v>
      </c>
      <c r="BK23" s="563">
        <f t="shared" si="23"/>
        <v>31</v>
      </c>
      <c r="BL23" s="563">
        <f t="shared" si="23"/>
        <v>31</v>
      </c>
      <c r="BM23" s="563">
        <f t="shared" si="23"/>
        <v>32</v>
      </c>
      <c r="BN23" s="563">
        <f t="shared" si="23"/>
        <v>32</v>
      </c>
      <c r="BO23" s="579">
        <f t="shared" si="23"/>
        <v>33</v>
      </c>
      <c r="BP23" s="563">
        <f t="shared" si="23"/>
        <v>33</v>
      </c>
      <c r="BQ23" s="563">
        <f t="shared" si="23"/>
        <v>35</v>
      </c>
      <c r="BR23" s="563">
        <f t="shared" si="23"/>
        <v>37</v>
      </c>
      <c r="BS23" s="563">
        <f t="shared" si="23"/>
        <v>39</v>
      </c>
      <c r="BT23" s="580">
        <f t="shared" si="23"/>
        <v>41</v>
      </c>
      <c r="BU23" s="563">
        <f t="shared" si="23"/>
        <v>43</v>
      </c>
      <c r="BV23" s="563">
        <f t="shared" si="23"/>
        <v>45</v>
      </c>
      <c r="BW23" s="563">
        <f t="shared" si="23"/>
        <v>47</v>
      </c>
      <c r="BX23" s="563">
        <f t="shared" si="23"/>
        <v>49</v>
      </c>
      <c r="BY23" s="579">
        <f t="shared" si="23"/>
        <v>51</v>
      </c>
      <c r="BZ23" s="563">
        <f t="shared" si="23"/>
        <v>53</v>
      </c>
      <c r="CA23" s="563">
        <f t="shared" si="23"/>
        <v>55</v>
      </c>
      <c r="CB23" s="563">
        <f t="shared" si="23"/>
        <v>57</v>
      </c>
      <c r="CC23" s="563">
        <f t="shared" si="23"/>
        <v>59</v>
      </c>
      <c r="CD23" s="580">
        <f t="shared" si="23"/>
        <v>61</v>
      </c>
      <c r="CE23" s="563">
        <f t="shared" si="23"/>
        <v>63</v>
      </c>
      <c r="CF23" s="563">
        <f t="shared" si="23"/>
        <v>65</v>
      </c>
      <c r="CG23" s="563">
        <f t="shared" si="23"/>
        <v>67</v>
      </c>
      <c r="CH23" s="563">
        <f t="shared" si="23"/>
        <v>69</v>
      </c>
      <c r="CI23" s="579">
        <f t="shared" si="23"/>
        <v>71</v>
      </c>
      <c r="CJ23" s="563">
        <f t="shared" si="23"/>
        <v>73</v>
      </c>
      <c r="CK23" s="563">
        <f t="shared" si="23"/>
        <v>75</v>
      </c>
      <c r="CL23" s="563">
        <f t="shared" si="23"/>
        <v>77</v>
      </c>
      <c r="CM23" s="563">
        <f t="shared" si="23"/>
        <v>79</v>
      </c>
      <c r="CN23" s="580">
        <f t="shared" si="23"/>
        <v>81</v>
      </c>
      <c r="CO23" s="563">
        <f t="shared" si="23"/>
        <v>83</v>
      </c>
      <c r="CP23" s="563">
        <f t="shared" si="23"/>
        <v>85</v>
      </c>
      <c r="CQ23" s="563">
        <f t="shared" si="23"/>
        <v>87</v>
      </c>
      <c r="CR23" s="563">
        <f t="shared" si="23"/>
        <v>89</v>
      </c>
      <c r="CS23" s="579">
        <f t="shared" si="23"/>
        <v>91</v>
      </c>
      <c r="CT23" s="563">
        <f t="shared" si="23"/>
        <v>93</v>
      </c>
      <c r="CU23" s="563">
        <f t="shared" si="23"/>
        <v>95</v>
      </c>
      <c r="CV23" s="563">
        <f t="shared" si="23"/>
        <v>97</v>
      </c>
      <c r="CW23" s="563">
        <f t="shared" si="23"/>
        <v>99</v>
      </c>
      <c r="CX23" s="563"/>
    </row>
    <row r="24" ht="10.5" customHeight="1">
      <c r="A24" s="543"/>
      <c r="B24" s="563">
        <f t="shared" si="4"/>
        <v>22</v>
      </c>
      <c r="C24" s="563">
        <f t="shared" ref="C24:CW24" si="24">IF(LT(IF(GT(C$2,MIN($B24,99)),C$2,MIN($B24,99)),99-FLOOR(C$2/2,1)),IF(GT(C$2,MIN($B24,99)),C$2,MIN($B24,99))-FLOOR(C$2/2,1),2*IF(GT(C$2,MIN($B24,99)),C$2,MIN($B24,99))-99)</f>
        <v>22</v>
      </c>
      <c r="D24" s="563">
        <f t="shared" si="24"/>
        <v>21</v>
      </c>
      <c r="E24" s="563">
        <f t="shared" si="24"/>
        <v>21</v>
      </c>
      <c r="F24" s="563">
        <f t="shared" si="24"/>
        <v>20</v>
      </c>
      <c r="G24" s="579">
        <f t="shared" si="24"/>
        <v>20</v>
      </c>
      <c r="H24" s="563">
        <f t="shared" si="24"/>
        <v>19</v>
      </c>
      <c r="I24" s="563">
        <f t="shared" si="24"/>
        <v>19</v>
      </c>
      <c r="J24" s="563">
        <f t="shared" si="24"/>
        <v>18</v>
      </c>
      <c r="K24" s="563">
        <f t="shared" si="24"/>
        <v>18</v>
      </c>
      <c r="L24" s="580">
        <f t="shared" si="24"/>
        <v>17</v>
      </c>
      <c r="M24" s="563">
        <f t="shared" si="24"/>
        <v>17</v>
      </c>
      <c r="N24" s="563">
        <f t="shared" si="24"/>
        <v>16</v>
      </c>
      <c r="O24" s="563">
        <f t="shared" si="24"/>
        <v>16</v>
      </c>
      <c r="P24" s="563">
        <f t="shared" si="24"/>
        <v>15</v>
      </c>
      <c r="Q24" s="579">
        <f t="shared" si="24"/>
        <v>15</v>
      </c>
      <c r="R24" s="563">
        <f t="shared" si="24"/>
        <v>14</v>
      </c>
      <c r="S24" s="563">
        <f t="shared" si="24"/>
        <v>14</v>
      </c>
      <c r="T24" s="563">
        <f t="shared" si="24"/>
        <v>13</v>
      </c>
      <c r="U24" s="563">
        <f t="shared" si="24"/>
        <v>13</v>
      </c>
      <c r="V24" s="580">
        <f t="shared" si="24"/>
        <v>12</v>
      </c>
      <c r="W24" s="563">
        <f t="shared" si="24"/>
        <v>12</v>
      </c>
      <c r="X24" s="563">
        <f t="shared" si="24"/>
        <v>11</v>
      </c>
      <c r="Y24" s="563">
        <f t="shared" si="24"/>
        <v>12</v>
      </c>
      <c r="Z24" s="563">
        <f t="shared" si="24"/>
        <v>12</v>
      </c>
      <c r="AA24" s="579">
        <f t="shared" si="24"/>
        <v>13</v>
      </c>
      <c r="AB24" s="563">
        <f t="shared" si="24"/>
        <v>13</v>
      </c>
      <c r="AC24" s="563">
        <f t="shared" si="24"/>
        <v>14</v>
      </c>
      <c r="AD24" s="563">
        <f t="shared" si="24"/>
        <v>14</v>
      </c>
      <c r="AE24" s="563">
        <f t="shared" si="24"/>
        <v>15</v>
      </c>
      <c r="AF24" s="580">
        <f t="shared" si="24"/>
        <v>15</v>
      </c>
      <c r="AG24" s="563">
        <f t="shared" si="24"/>
        <v>16</v>
      </c>
      <c r="AH24" s="563">
        <f t="shared" si="24"/>
        <v>16</v>
      </c>
      <c r="AI24" s="563">
        <f t="shared" si="24"/>
        <v>17</v>
      </c>
      <c r="AJ24" s="563">
        <f t="shared" si="24"/>
        <v>17</v>
      </c>
      <c r="AK24" s="579">
        <f t="shared" si="24"/>
        <v>18</v>
      </c>
      <c r="AL24" s="563">
        <f t="shared" si="24"/>
        <v>18</v>
      </c>
      <c r="AM24" s="563">
        <f t="shared" si="24"/>
        <v>19</v>
      </c>
      <c r="AN24" s="563">
        <f t="shared" si="24"/>
        <v>19</v>
      </c>
      <c r="AO24" s="563">
        <f t="shared" si="24"/>
        <v>20</v>
      </c>
      <c r="AP24" s="580">
        <f t="shared" si="24"/>
        <v>20</v>
      </c>
      <c r="AQ24" s="563">
        <f t="shared" si="24"/>
        <v>21</v>
      </c>
      <c r="AR24" s="563">
        <f t="shared" si="24"/>
        <v>21</v>
      </c>
      <c r="AS24" s="563">
        <f t="shared" si="24"/>
        <v>22</v>
      </c>
      <c r="AT24" s="563">
        <f t="shared" si="24"/>
        <v>22</v>
      </c>
      <c r="AU24" s="579">
        <f t="shared" si="24"/>
        <v>23</v>
      </c>
      <c r="AV24" s="563">
        <f t="shared" si="24"/>
        <v>23</v>
      </c>
      <c r="AW24" s="563">
        <f t="shared" si="24"/>
        <v>24</v>
      </c>
      <c r="AX24" s="563">
        <f t="shared" si="24"/>
        <v>24</v>
      </c>
      <c r="AY24" s="563">
        <f t="shared" si="24"/>
        <v>25</v>
      </c>
      <c r="AZ24" s="580">
        <f t="shared" si="24"/>
        <v>25</v>
      </c>
      <c r="BA24" s="563">
        <f t="shared" si="24"/>
        <v>26</v>
      </c>
      <c r="BB24" s="563">
        <f t="shared" si="24"/>
        <v>26</v>
      </c>
      <c r="BC24" s="563">
        <f t="shared" si="24"/>
        <v>27</v>
      </c>
      <c r="BD24" s="563">
        <f t="shared" si="24"/>
        <v>27</v>
      </c>
      <c r="BE24" s="579">
        <f t="shared" si="24"/>
        <v>28</v>
      </c>
      <c r="BF24" s="563">
        <f t="shared" si="24"/>
        <v>28</v>
      </c>
      <c r="BG24" s="563">
        <f t="shared" si="24"/>
        <v>29</v>
      </c>
      <c r="BH24" s="563">
        <f t="shared" si="24"/>
        <v>29</v>
      </c>
      <c r="BI24" s="563">
        <f t="shared" si="24"/>
        <v>30</v>
      </c>
      <c r="BJ24" s="580">
        <f t="shared" si="24"/>
        <v>30</v>
      </c>
      <c r="BK24" s="563">
        <f t="shared" si="24"/>
        <v>31</v>
      </c>
      <c r="BL24" s="563">
        <f t="shared" si="24"/>
        <v>31</v>
      </c>
      <c r="BM24" s="563">
        <f t="shared" si="24"/>
        <v>32</v>
      </c>
      <c r="BN24" s="563">
        <f t="shared" si="24"/>
        <v>32</v>
      </c>
      <c r="BO24" s="579">
        <f t="shared" si="24"/>
        <v>33</v>
      </c>
      <c r="BP24" s="563">
        <f t="shared" si="24"/>
        <v>33</v>
      </c>
      <c r="BQ24" s="563">
        <f t="shared" si="24"/>
        <v>35</v>
      </c>
      <c r="BR24" s="563">
        <f t="shared" si="24"/>
        <v>37</v>
      </c>
      <c r="BS24" s="563">
        <f t="shared" si="24"/>
        <v>39</v>
      </c>
      <c r="BT24" s="580">
        <f t="shared" si="24"/>
        <v>41</v>
      </c>
      <c r="BU24" s="563">
        <f t="shared" si="24"/>
        <v>43</v>
      </c>
      <c r="BV24" s="563">
        <f t="shared" si="24"/>
        <v>45</v>
      </c>
      <c r="BW24" s="563">
        <f t="shared" si="24"/>
        <v>47</v>
      </c>
      <c r="BX24" s="563">
        <f t="shared" si="24"/>
        <v>49</v>
      </c>
      <c r="BY24" s="579">
        <f t="shared" si="24"/>
        <v>51</v>
      </c>
      <c r="BZ24" s="563">
        <f t="shared" si="24"/>
        <v>53</v>
      </c>
      <c r="CA24" s="563">
        <f t="shared" si="24"/>
        <v>55</v>
      </c>
      <c r="CB24" s="563">
        <f t="shared" si="24"/>
        <v>57</v>
      </c>
      <c r="CC24" s="563">
        <f t="shared" si="24"/>
        <v>59</v>
      </c>
      <c r="CD24" s="580">
        <f t="shared" si="24"/>
        <v>61</v>
      </c>
      <c r="CE24" s="563">
        <f t="shared" si="24"/>
        <v>63</v>
      </c>
      <c r="CF24" s="563">
        <f t="shared" si="24"/>
        <v>65</v>
      </c>
      <c r="CG24" s="563">
        <f t="shared" si="24"/>
        <v>67</v>
      </c>
      <c r="CH24" s="563">
        <f t="shared" si="24"/>
        <v>69</v>
      </c>
      <c r="CI24" s="579">
        <f t="shared" si="24"/>
        <v>71</v>
      </c>
      <c r="CJ24" s="563">
        <f t="shared" si="24"/>
        <v>73</v>
      </c>
      <c r="CK24" s="563">
        <f t="shared" si="24"/>
        <v>75</v>
      </c>
      <c r="CL24" s="563">
        <f t="shared" si="24"/>
        <v>77</v>
      </c>
      <c r="CM24" s="563">
        <f t="shared" si="24"/>
        <v>79</v>
      </c>
      <c r="CN24" s="580">
        <f t="shared" si="24"/>
        <v>81</v>
      </c>
      <c r="CO24" s="563">
        <f t="shared" si="24"/>
        <v>83</v>
      </c>
      <c r="CP24" s="563">
        <f t="shared" si="24"/>
        <v>85</v>
      </c>
      <c r="CQ24" s="563">
        <f t="shared" si="24"/>
        <v>87</v>
      </c>
      <c r="CR24" s="563">
        <f t="shared" si="24"/>
        <v>89</v>
      </c>
      <c r="CS24" s="579">
        <f t="shared" si="24"/>
        <v>91</v>
      </c>
      <c r="CT24" s="563">
        <f t="shared" si="24"/>
        <v>93</v>
      </c>
      <c r="CU24" s="563">
        <f t="shared" si="24"/>
        <v>95</v>
      </c>
      <c r="CV24" s="563">
        <f t="shared" si="24"/>
        <v>97</v>
      </c>
      <c r="CW24" s="563">
        <f t="shared" si="24"/>
        <v>99</v>
      </c>
      <c r="CX24" s="563"/>
    </row>
    <row r="25" ht="10.5" customHeight="1">
      <c r="A25" s="543"/>
      <c r="B25" s="563">
        <f t="shared" si="4"/>
        <v>23</v>
      </c>
      <c r="C25" s="563">
        <f t="shared" ref="C25:CW25" si="25">IF(LT(IF(GT(C$2,MIN($B25,99)),C$2,MIN($B25,99)),99-FLOOR(C$2/2,1)),IF(GT(C$2,MIN($B25,99)),C$2,MIN($B25,99))-FLOOR(C$2/2,1),2*IF(GT(C$2,MIN($B25,99)),C$2,MIN($B25,99))-99)</f>
        <v>23</v>
      </c>
      <c r="D25" s="563">
        <f t="shared" si="25"/>
        <v>22</v>
      </c>
      <c r="E25" s="563">
        <f t="shared" si="25"/>
        <v>22</v>
      </c>
      <c r="F25" s="563">
        <f t="shared" si="25"/>
        <v>21</v>
      </c>
      <c r="G25" s="579">
        <f t="shared" si="25"/>
        <v>21</v>
      </c>
      <c r="H25" s="563">
        <f t="shared" si="25"/>
        <v>20</v>
      </c>
      <c r="I25" s="563">
        <f t="shared" si="25"/>
        <v>20</v>
      </c>
      <c r="J25" s="563">
        <f t="shared" si="25"/>
        <v>19</v>
      </c>
      <c r="K25" s="563">
        <f t="shared" si="25"/>
        <v>19</v>
      </c>
      <c r="L25" s="580">
        <f t="shared" si="25"/>
        <v>18</v>
      </c>
      <c r="M25" s="563">
        <f t="shared" si="25"/>
        <v>18</v>
      </c>
      <c r="N25" s="563">
        <f t="shared" si="25"/>
        <v>17</v>
      </c>
      <c r="O25" s="563">
        <f t="shared" si="25"/>
        <v>17</v>
      </c>
      <c r="P25" s="563">
        <f t="shared" si="25"/>
        <v>16</v>
      </c>
      <c r="Q25" s="579">
        <f t="shared" si="25"/>
        <v>16</v>
      </c>
      <c r="R25" s="563">
        <f t="shared" si="25"/>
        <v>15</v>
      </c>
      <c r="S25" s="563">
        <f t="shared" si="25"/>
        <v>15</v>
      </c>
      <c r="T25" s="563">
        <f t="shared" si="25"/>
        <v>14</v>
      </c>
      <c r="U25" s="563">
        <f t="shared" si="25"/>
        <v>14</v>
      </c>
      <c r="V25" s="580">
        <f t="shared" si="25"/>
        <v>13</v>
      </c>
      <c r="W25" s="563">
        <f t="shared" si="25"/>
        <v>13</v>
      </c>
      <c r="X25" s="563">
        <f t="shared" si="25"/>
        <v>12</v>
      </c>
      <c r="Y25" s="563">
        <f t="shared" si="25"/>
        <v>12</v>
      </c>
      <c r="Z25" s="563">
        <f t="shared" si="25"/>
        <v>12</v>
      </c>
      <c r="AA25" s="579">
        <f t="shared" si="25"/>
        <v>13</v>
      </c>
      <c r="AB25" s="563">
        <f t="shared" si="25"/>
        <v>13</v>
      </c>
      <c r="AC25" s="563">
        <f t="shared" si="25"/>
        <v>14</v>
      </c>
      <c r="AD25" s="563">
        <f t="shared" si="25"/>
        <v>14</v>
      </c>
      <c r="AE25" s="563">
        <f t="shared" si="25"/>
        <v>15</v>
      </c>
      <c r="AF25" s="580">
        <f t="shared" si="25"/>
        <v>15</v>
      </c>
      <c r="AG25" s="563">
        <f t="shared" si="25"/>
        <v>16</v>
      </c>
      <c r="AH25" s="563">
        <f t="shared" si="25"/>
        <v>16</v>
      </c>
      <c r="AI25" s="563">
        <f t="shared" si="25"/>
        <v>17</v>
      </c>
      <c r="AJ25" s="563">
        <f t="shared" si="25"/>
        <v>17</v>
      </c>
      <c r="AK25" s="579">
        <f t="shared" si="25"/>
        <v>18</v>
      </c>
      <c r="AL25" s="563">
        <f t="shared" si="25"/>
        <v>18</v>
      </c>
      <c r="AM25" s="563">
        <f t="shared" si="25"/>
        <v>19</v>
      </c>
      <c r="AN25" s="563">
        <f t="shared" si="25"/>
        <v>19</v>
      </c>
      <c r="AO25" s="563">
        <f t="shared" si="25"/>
        <v>20</v>
      </c>
      <c r="AP25" s="580">
        <f t="shared" si="25"/>
        <v>20</v>
      </c>
      <c r="AQ25" s="563">
        <f t="shared" si="25"/>
        <v>21</v>
      </c>
      <c r="AR25" s="563">
        <f t="shared" si="25"/>
        <v>21</v>
      </c>
      <c r="AS25" s="563">
        <f t="shared" si="25"/>
        <v>22</v>
      </c>
      <c r="AT25" s="563">
        <f t="shared" si="25"/>
        <v>22</v>
      </c>
      <c r="AU25" s="579">
        <f t="shared" si="25"/>
        <v>23</v>
      </c>
      <c r="AV25" s="563">
        <f t="shared" si="25"/>
        <v>23</v>
      </c>
      <c r="AW25" s="563">
        <f t="shared" si="25"/>
        <v>24</v>
      </c>
      <c r="AX25" s="563">
        <f t="shared" si="25"/>
        <v>24</v>
      </c>
      <c r="AY25" s="563">
        <f t="shared" si="25"/>
        <v>25</v>
      </c>
      <c r="AZ25" s="580">
        <f t="shared" si="25"/>
        <v>25</v>
      </c>
      <c r="BA25" s="563">
        <f t="shared" si="25"/>
        <v>26</v>
      </c>
      <c r="BB25" s="563">
        <f t="shared" si="25"/>
        <v>26</v>
      </c>
      <c r="BC25" s="563">
        <f t="shared" si="25"/>
        <v>27</v>
      </c>
      <c r="BD25" s="563">
        <f t="shared" si="25"/>
        <v>27</v>
      </c>
      <c r="BE25" s="579">
        <f t="shared" si="25"/>
        <v>28</v>
      </c>
      <c r="BF25" s="563">
        <f t="shared" si="25"/>
        <v>28</v>
      </c>
      <c r="BG25" s="563">
        <f t="shared" si="25"/>
        <v>29</v>
      </c>
      <c r="BH25" s="563">
        <f t="shared" si="25"/>
        <v>29</v>
      </c>
      <c r="BI25" s="563">
        <f t="shared" si="25"/>
        <v>30</v>
      </c>
      <c r="BJ25" s="580">
        <f t="shared" si="25"/>
        <v>30</v>
      </c>
      <c r="BK25" s="563">
        <f t="shared" si="25"/>
        <v>31</v>
      </c>
      <c r="BL25" s="563">
        <f t="shared" si="25"/>
        <v>31</v>
      </c>
      <c r="BM25" s="563">
        <f t="shared" si="25"/>
        <v>32</v>
      </c>
      <c r="BN25" s="563">
        <f t="shared" si="25"/>
        <v>32</v>
      </c>
      <c r="BO25" s="579">
        <f t="shared" si="25"/>
        <v>33</v>
      </c>
      <c r="BP25" s="563">
        <f t="shared" si="25"/>
        <v>33</v>
      </c>
      <c r="BQ25" s="563">
        <f t="shared" si="25"/>
        <v>35</v>
      </c>
      <c r="BR25" s="563">
        <f t="shared" si="25"/>
        <v>37</v>
      </c>
      <c r="BS25" s="563">
        <f t="shared" si="25"/>
        <v>39</v>
      </c>
      <c r="BT25" s="580">
        <f t="shared" si="25"/>
        <v>41</v>
      </c>
      <c r="BU25" s="563">
        <f t="shared" si="25"/>
        <v>43</v>
      </c>
      <c r="BV25" s="563">
        <f t="shared" si="25"/>
        <v>45</v>
      </c>
      <c r="BW25" s="563">
        <f t="shared" si="25"/>
        <v>47</v>
      </c>
      <c r="BX25" s="563">
        <f t="shared" si="25"/>
        <v>49</v>
      </c>
      <c r="BY25" s="579">
        <f t="shared" si="25"/>
        <v>51</v>
      </c>
      <c r="BZ25" s="563">
        <f t="shared" si="25"/>
        <v>53</v>
      </c>
      <c r="CA25" s="563">
        <f t="shared" si="25"/>
        <v>55</v>
      </c>
      <c r="CB25" s="563">
        <f t="shared" si="25"/>
        <v>57</v>
      </c>
      <c r="CC25" s="563">
        <f t="shared" si="25"/>
        <v>59</v>
      </c>
      <c r="CD25" s="580">
        <f t="shared" si="25"/>
        <v>61</v>
      </c>
      <c r="CE25" s="563">
        <f t="shared" si="25"/>
        <v>63</v>
      </c>
      <c r="CF25" s="563">
        <f t="shared" si="25"/>
        <v>65</v>
      </c>
      <c r="CG25" s="563">
        <f t="shared" si="25"/>
        <v>67</v>
      </c>
      <c r="CH25" s="563">
        <f t="shared" si="25"/>
        <v>69</v>
      </c>
      <c r="CI25" s="579">
        <f t="shared" si="25"/>
        <v>71</v>
      </c>
      <c r="CJ25" s="563">
        <f t="shared" si="25"/>
        <v>73</v>
      </c>
      <c r="CK25" s="563">
        <f t="shared" si="25"/>
        <v>75</v>
      </c>
      <c r="CL25" s="563">
        <f t="shared" si="25"/>
        <v>77</v>
      </c>
      <c r="CM25" s="563">
        <f t="shared" si="25"/>
        <v>79</v>
      </c>
      <c r="CN25" s="580">
        <f t="shared" si="25"/>
        <v>81</v>
      </c>
      <c r="CO25" s="563">
        <f t="shared" si="25"/>
        <v>83</v>
      </c>
      <c r="CP25" s="563">
        <f t="shared" si="25"/>
        <v>85</v>
      </c>
      <c r="CQ25" s="563">
        <f t="shared" si="25"/>
        <v>87</v>
      </c>
      <c r="CR25" s="563">
        <f t="shared" si="25"/>
        <v>89</v>
      </c>
      <c r="CS25" s="579">
        <f t="shared" si="25"/>
        <v>91</v>
      </c>
      <c r="CT25" s="563">
        <f t="shared" si="25"/>
        <v>93</v>
      </c>
      <c r="CU25" s="563">
        <f t="shared" si="25"/>
        <v>95</v>
      </c>
      <c r="CV25" s="563">
        <f t="shared" si="25"/>
        <v>97</v>
      </c>
      <c r="CW25" s="563">
        <f t="shared" si="25"/>
        <v>99</v>
      </c>
      <c r="CX25" s="563"/>
    </row>
    <row r="26" ht="10.5" customHeight="1">
      <c r="A26" s="543"/>
      <c r="B26" s="563">
        <f t="shared" si="4"/>
        <v>24</v>
      </c>
      <c r="C26" s="563">
        <f t="shared" ref="C26:CW26" si="26">IF(LT(IF(GT(C$2,MIN($B26,99)),C$2,MIN($B26,99)),99-FLOOR(C$2/2,1)),IF(GT(C$2,MIN($B26,99)),C$2,MIN($B26,99))-FLOOR(C$2/2,1),2*IF(GT(C$2,MIN($B26,99)),C$2,MIN($B26,99))-99)</f>
        <v>24</v>
      </c>
      <c r="D26" s="563">
        <f t="shared" si="26"/>
        <v>23</v>
      </c>
      <c r="E26" s="563">
        <f t="shared" si="26"/>
        <v>23</v>
      </c>
      <c r="F26" s="563">
        <f t="shared" si="26"/>
        <v>22</v>
      </c>
      <c r="G26" s="579">
        <f t="shared" si="26"/>
        <v>22</v>
      </c>
      <c r="H26" s="563">
        <f t="shared" si="26"/>
        <v>21</v>
      </c>
      <c r="I26" s="563">
        <f t="shared" si="26"/>
        <v>21</v>
      </c>
      <c r="J26" s="563">
        <f t="shared" si="26"/>
        <v>20</v>
      </c>
      <c r="K26" s="563">
        <f t="shared" si="26"/>
        <v>20</v>
      </c>
      <c r="L26" s="580">
        <f t="shared" si="26"/>
        <v>19</v>
      </c>
      <c r="M26" s="563">
        <f t="shared" si="26"/>
        <v>19</v>
      </c>
      <c r="N26" s="563">
        <f t="shared" si="26"/>
        <v>18</v>
      </c>
      <c r="O26" s="563">
        <f t="shared" si="26"/>
        <v>18</v>
      </c>
      <c r="P26" s="563">
        <f t="shared" si="26"/>
        <v>17</v>
      </c>
      <c r="Q26" s="579">
        <f t="shared" si="26"/>
        <v>17</v>
      </c>
      <c r="R26" s="563">
        <f t="shared" si="26"/>
        <v>16</v>
      </c>
      <c r="S26" s="563">
        <f t="shared" si="26"/>
        <v>16</v>
      </c>
      <c r="T26" s="563">
        <f t="shared" si="26"/>
        <v>15</v>
      </c>
      <c r="U26" s="563">
        <f t="shared" si="26"/>
        <v>15</v>
      </c>
      <c r="V26" s="580">
        <f t="shared" si="26"/>
        <v>14</v>
      </c>
      <c r="W26" s="563">
        <f t="shared" si="26"/>
        <v>14</v>
      </c>
      <c r="X26" s="563">
        <f t="shared" si="26"/>
        <v>13</v>
      </c>
      <c r="Y26" s="563">
        <f t="shared" si="26"/>
        <v>13</v>
      </c>
      <c r="Z26" s="563">
        <f t="shared" si="26"/>
        <v>12</v>
      </c>
      <c r="AA26" s="579">
        <f t="shared" si="26"/>
        <v>13</v>
      </c>
      <c r="AB26" s="563">
        <f t="shared" si="26"/>
        <v>13</v>
      </c>
      <c r="AC26" s="563">
        <f t="shared" si="26"/>
        <v>14</v>
      </c>
      <c r="AD26" s="563">
        <f t="shared" si="26"/>
        <v>14</v>
      </c>
      <c r="AE26" s="563">
        <f t="shared" si="26"/>
        <v>15</v>
      </c>
      <c r="AF26" s="580">
        <f t="shared" si="26"/>
        <v>15</v>
      </c>
      <c r="AG26" s="563">
        <f t="shared" si="26"/>
        <v>16</v>
      </c>
      <c r="AH26" s="563">
        <f t="shared" si="26"/>
        <v>16</v>
      </c>
      <c r="AI26" s="563">
        <f t="shared" si="26"/>
        <v>17</v>
      </c>
      <c r="AJ26" s="563">
        <f t="shared" si="26"/>
        <v>17</v>
      </c>
      <c r="AK26" s="579">
        <f t="shared" si="26"/>
        <v>18</v>
      </c>
      <c r="AL26" s="563">
        <f t="shared" si="26"/>
        <v>18</v>
      </c>
      <c r="AM26" s="563">
        <f t="shared" si="26"/>
        <v>19</v>
      </c>
      <c r="AN26" s="563">
        <f t="shared" si="26"/>
        <v>19</v>
      </c>
      <c r="AO26" s="563">
        <f t="shared" si="26"/>
        <v>20</v>
      </c>
      <c r="AP26" s="580">
        <f t="shared" si="26"/>
        <v>20</v>
      </c>
      <c r="AQ26" s="563">
        <f t="shared" si="26"/>
        <v>21</v>
      </c>
      <c r="AR26" s="563">
        <f t="shared" si="26"/>
        <v>21</v>
      </c>
      <c r="AS26" s="563">
        <f t="shared" si="26"/>
        <v>22</v>
      </c>
      <c r="AT26" s="563">
        <f t="shared" si="26"/>
        <v>22</v>
      </c>
      <c r="AU26" s="579">
        <f t="shared" si="26"/>
        <v>23</v>
      </c>
      <c r="AV26" s="563">
        <f t="shared" si="26"/>
        <v>23</v>
      </c>
      <c r="AW26" s="563">
        <f t="shared" si="26"/>
        <v>24</v>
      </c>
      <c r="AX26" s="563">
        <f t="shared" si="26"/>
        <v>24</v>
      </c>
      <c r="AY26" s="563">
        <f t="shared" si="26"/>
        <v>25</v>
      </c>
      <c r="AZ26" s="580">
        <f t="shared" si="26"/>
        <v>25</v>
      </c>
      <c r="BA26" s="563">
        <f t="shared" si="26"/>
        <v>26</v>
      </c>
      <c r="BB26" s="563">
        <f t="shared" si="26"/>
        <v>26</v>
      </c>
      <c r="BC26" s="563">
        <f t="shared" si="26"/>
        <v>27</v>
      </c>
      <c r="BD26" s="563">
        <f t="shared" si="26"/>
        <v>27</v>
      </c>
      <c r="BE26" s="579">
        <f t="shared" si="26"/>
        <v>28</v>
      </c>
      <c r="BF26" s="563">
        <f t="shared" si="26"/>
        <v>28</v>
      </c>
      <c r="BG26" s="563">
        <f t="shared" si="26"/>
        <v>29</v>
      </c>
      <c r="BH26" s="563">
        <f t="shared" si="26"/>
        <v>29</v>
      </c>
      <c r="BI26" s="563">
        <f t="shared" si="26"/>
        <v>30</v>
      </c>
      <c r="BJ26" s="580">
        <f t="shared" si="26"/>
        <v>30</v>
      </c>
      <c r="BK26" s="563">
        <f t="shared" si="26"/>
        <v>31</v>
      </c>
      <c r="BL26" s="563">
        <f t="shared" si="26"/>
        <v>31</v>
      </c>
      <c r="BM26" s="563">
        <f t="shared" si="26"/>
        <v>32</v>
      </c>
      <c r="BN26" s="563">
        <f t="shared" si="26"/>
        <v>32</v>
      </c>
      <c r="BO26" s="579">
        <f t="shared" si="26"/>
        <v>33</v>
      </c>
      <c r="BP26" s="563">
        <f t="shared" si="26"/>
        <v>33</v>
      </c>
      <c r="BQ26" s="563">
        <f t="shared" si="26"/>
        <v>35</v>
      </c>
      <c r="BR26" s="563">
        <f t="shared" si="26"/>
        <v>37</v>
      </c>
      <c r="BS26" s="563">
        <f t="shared" si="26"/>
        <v>39</v>
      </c>
      <c r="BT26" s="580">
        <f t="shared" si="26"/>
        <v>41</v>
      </c>
      <c r="BU26" s="563">
        <f t="shared" si="26"/>
        <v>43</v>
      </c>
      <c r="BV26" s="563">
        <f t="shared" si="26"/>
        <v>45</v>
      </c>
      <c r="BW26" s="563">
        <f t="shared" si="26"/>
        <v>47</v>
      </c>
      <c r="BX26" s="563">
        <f t="shared" si="26"/>
        <v>49</v>
      </c>
      <c r="BY26" s="579">
        <f t="shared" si="26"/>
        <v>51</v>
      </c>
      <c r="BZ26" s="563">
        <f t="shared" si="26"/>
        <v>53</v>
      </c>
      <c r="CA26" s="563">
        <f t="shared" si="26"/>
        <v>55</v>
      </c>
      <c r="CB26" s="563">
        <f t="shared" si="26"/>
        <v>57</v>
      </c>
      <c r="CC26" s="563">
        <f t="shared" si="26"/>
        <v>59</v>
      </c>
      <c r="CD26" s="580">
        <f t="shared" si="26"/>
        <v>61</v>
      </c>
      <c r="CE26" s="563">
        <f t="shared" si="26"/>
        <v>63</v>
      </c>
      <c r="CF26" s="563">
        <f t="shared" si="26"/>
        <v>65</v>
      </c>
      <c r="CG26" s="563">
        <f t="shared" si="26"/>
        <v>67</v>
      </c>
      <c r="CH26" s="563">
        <f t="shared" si="26"/>
        <v>69</v>
      </c>
      <c r="CI26" s="579">
        <f t="shared" si="26"/>
        <v>71</v>
      </c>
      <c r="CJ26" s="563">
        <f t="shared" si="26"/>
        <v>73</v>
      </c>
      <c r="CK26" s="563">
        <f t="shared" si="26"/>
        <v>75</v>
      </c>
      <c r="CL26" s="563">
        <f t="shared" si="26"/>
        <v>77</v>
      </c>
      <c r="CM26" s="563">
        <f t="shared" si="26"/>
        <v>79</v>
      </c>
      <c r="CN26" s="580">
        <f t="shared" si="26"/>
        <v>81</v>
      </c>
      <c r="CO26" s="563">
        <f t="shared" si="26"/>
        <v>83</v>
      </c>
      <c r="CP26" s="563">
        <f t="shared" si="26"/>
        <v>85</v>
      </c>
      <c r="CQ26" s="563">
        <f t="shared" si="26"/>
        <v>87</v>
      </c>
      <c r="CR26" s="563">
        <f t="shared" si="26"/>
        <v>89</v>
      </c>
      <c r="CS26" s="579">
        <f t="shared" si="26"/>
        <v>91</v>
      </c>
      <c r="CT26" s="563">
        <f t="shared" si="26"/>
        <v>93</v>
      </c>
      <c r="CU26" s="563">
        <f t="shared" si="26"/>
        <v>95</v>
      </c>
      <c r="CV26" s="563">
        <f t="shared" si="26"/>
        <v>97</v>
      </c>
      <c r="CW26" s="563">
        <f t="shared" si="26"/>
        <v>99</v>
      </c>
      <c r="CX26" s="563"/>
    </row>
    <row r="27" ht="10.5" customHeight="1">
      <c r="A27" s="543"/>
      <c r="B27" s="563">
        <f t="shared" si="4"/>
        <v>25</v>
      </c>
      <c r="C27" s="640">
        <f t="shared" ref="C27:CW27" si="27">IF(LT(IF(GT(C$2,MIN($B27,99)),C$2,MIN($B27,99)),99-FLOOR(C$2/2,1)),IF(GT(C$2,MIN($B27,99)),C$2,MIN($B27,99))-FLOOR(C$2/2,1),2*IF(GT(C$2,MIN($B27,99)),C$2,MIN($B27,99))-99)</f>
        <v>25</v>
      </c>
      <c r="D27" s="640">
        <f t="shared" si="27"/>
        <v>24</v>
      </c>
      <c r="E27" s="640">
        <f t="shared" si="27"/>
        <v>24</v>
      </c>
      <c r="F27" s="640">
        <f t="shared" si="27"/>
        <v>23</v>
      </c>
      <c r="G27" s="641">
        <f t="shared" si="27"/>
        <v>23</v>
      </c>
      <c r="H27" s="640">
        <f t="shared" si="27"/>
        <v>22</v>
      </c>
      <c r="I27" s="640">
        <f t="shared" si="27"/>
        <v>22</v>
      </c>
      <c r="J27" s="640">
        <f t="shared" si="27"/>
        <v>21</v>
      </c>
      <c r="K27" s="640">
        <f t="shared" si="27"/>
        <v>21</v>
      </c>
      <c r="L27" s="643">
        <f t="shared" si="27"/>
        <v>20</v>
      </c>
      <c r="M27" s="640">
        <f t="shared" si="27"/>
        <v>20</v>
      </c>
      <c r="N27" s="640">
        <f t="shared" si="27"/>
        <v>19</v>
      </c>
      <c r="O27" s="640">
        <f t="shared" si="27"/>
        <v>19</v>
      </c>
      <c r="P27" s="640">
        <f t="shared" si="27"/>
        <v>18</v>
      </c>
      <c r="Q27" s="641">
        <f t="shared" si="27"/>
        <v>18</v>
      </c>
      <c r="R27" s="640">
        <f t="shared" si="27"/>
        <v>17</v>
      </c>
      <c r="S27" s="640">
        <f t="shared" si="27"/>
        <v>17</v>
      </c>
      <c r="T27" s="640">
        <f t="shared" si="27"/>
        <v>16</v>
      </c>
      <c r="U27" s="640">
        <f t="shared" si="27"/>
        <v>16</v>
      </c>
      <c r="V27" s="643">
        <f t="shared" si="27"/>
        <v>15</v>
      </c>
      <c r="W27" s="640">
        <f t="shared" si="27"/>
        <v>15</v>
      </c>
      <c r="X27" s="640">
        <f t="shared" si="27"/>
        <v>14</v>
      </c>
      <c r="Y27" s="640">
        <f t="shared" si="27"/>
        <v>14</v>
      </c>
      <c r="Z27" s="640">
        <f t="shared" si="27"/>
        <v>13</v>
      </c>
      <c r="AA27" s="641">
        <f t="shared" si="27"/>
        <v>13</v>
      </c>
      <c r="AB27" s="640">
        <f t="shared" si="27"/>
        <v>13</v>
      </c>
      <c r="AC27" s="640">
        <f t="shared" si="27"/>
        <v>14</v>
      </c>
      <c r="AD27" s="640">
        <f t="shared" si="27"/>
        <v>14</v>
      </c>
      <c r="AE27" s="640">
        <f t="shared" si="27"/>
        <v>15</v>
      </c>
      <c r="AF27" s="643">
        <f t="shared" si="27"/>
        <v>15</v>
      </c>
      <c r="AG27" s="640">
        <f t="shared" si="27"/>
        <v>16</v>
      </c>
      <c r="AH27" s="640">
        <f t="shared" si="27"/>
        <v>16</v>
      </c>
      <c r="AI27" s="640">
        <f t="shared" si="27"/>
        <v>17</v>
      </c>
      <c r="AJ27" s="640">
        <f t="shared" si="27"/>
        <v>17</v>
      </c>
      <c r="AK27" s="641">
        <f t="shared" si="27"/>
        <v>18</v>
      </c>
      <c r="AL27" s="640">
        <f t="shared" si="27"/>
        <v>18</v>
      </c>
      <c r="AM27" s="640">
        <f t="shared" si="27"/>
        <v>19</v>
      </c>
      <c r="AN27" s="640">
        <f t="shared" si="27"/>
        <v>19</v>
      </c>
      <c r="AO27" s="640">
        <f t="shared" si="27"/>
        <v>20</v>
      </c>
      <c r="AP27" s="643">
        <f t="shared" si="27"/>
        <v>20</v>
      </c>
      <c r="AQ27" s="640">
        <f t="shared" si="27"/>
        <v>21</v>
      </c>
      <c r="AR27" s="640">
        <f t="shared" si="27"/>
        <v>21</v>
      </c>
      <c r="AS27" s="640">
        <f t="shared" si="27"/>
        <v>22</v>
      </c>
      <c r="AT27" s="640">
        <f t="shared" si="27"/>
        <v>22</v>
      </c>
      <c r="AU27" s="641">
        <f t="shared" si="27"/>
        <v>23</v>
      </c>
      <c r="AV27" s="640">
        <f t="shared" si="27"/>
        <v>23</v>
      </c>
      <c r="AW27" s="640">
        <f t="shared" si="27"/>
        <v>24</v>
      </c>
      <c r="AX27" s="640">
        <f t="shared" si="27"/>
        <v>24</v>
      </c>
      <c r="AY27" s="640">
        <f t="shared" si="27"/>
        <v>25</v>
      </c>
      <c r="AZ27" s="643">
        <f t="shared" si="27"/>
        <v>25</v>
      </c>
      <c r="BA27" s="640">
        <f t="shared" si="27"/>
        <v>26</v>
      </c>
      <c r="BB27" s="640">
        <f t="shared" si="27"/>
        <v>26</v>
      </c>
      <c r="BC27" s="640">
        <f t="shared" si="27"/>
        <v>27</v>
      </c>
      <c r="BD27" s="640">
        <f t="shared" si="27"/>
        <v>27</v>
      </c>
      <c r="BE27" s="641">
        <f t="shared" si="27"/>
        <v>28</v>
      </c>
      <c r="BF27" s="640">
        <f t="shared" si="27"/>
        <v>28</v>
      </c>
      <c r="BG27" s="640">
        <f t="shared" si="27"/>
        <v>29</v>
      </c>
      <c r="BH27" s="640">
        <f t="shared" si="27"/>
        <v>29</v>
      </c>
      <c r="BI27" s="640">
        <f t="shared" si="27"/>
        <v>30</v>
      </c>
      <c r="BJ27" s="643">
        <f t="shared" si="27"/>
        <v>30</v>
      </c>
      <c r="BK27" s="640">
        <f t="shared" si="27"/>
        <v>31</v>
      </c>
      <c r="BL27" s="640">
        <f t="shared" si="27"/>
        <v>31</v>
      </c>
      <c r="BM27" s="640">
        <f t="shared" si="27"/>
        <v>32</v>
      </c>
      <c r="BN27" s="640">
        <f t="shared" si="27"/>
        <v>32</v>
      </c>
      <c r="BO27" s="641">
        <f t="shared" si="27"/>
        <v>33</v>
      </c>
      <c r="BP27" s="640">
        <f t="shared" si="27"/>
        <v>33</v>
      </c>
      <c r="BQ27" s="640">
        <f t="shared" si="27"/>
        <v>35</v>
      </c>
      <c r="BR27" s="640">
        <f t="shared" si="27"/>
        <v>37</v>
      </c>
      <c r="BS27" s="640">
        <f t="shared" si="27"/>
        <v>39</v>
      </c>
      <c r="BT27" s="643">
        <f t="shared" si="27"/>
        <v>41</v>
      </c>
      <c r="BU27" s="640">
        <f t="shared" si="27"/>
        <v>43</v>
      </c>
      <c r="BV27" s="640">
        <f t="shared" si="27"/>
        <v>45</v>
      </c>
      <c r="BW27" s="640">
        <f t="shared" si="27"/>
        <v>47</v>
      </c>
      <c r="BX27" s="640">
        <f t="shared" si="27"/>
        <v>49</v>
      </c>
      <c r="BY27" s="641">
        <f t="shared" si="27"/>
        <v>51</v>
      </c>
      <c r="BZ27" s="640">
        <f t="shared" si="27"/>
        <v>53</v>
      </c>
      <c r="CA27" s="640">
        <f t="shared" si="27"/>
        <v>55</v>
      </c>
      <c r="CB27" s="640">
        <f t="shared" si="27"/>
        <v>57</v>
      </c>
      <c r="CC27" s="640">
        <f t="shared" si="27"/>
        <v>59</v>
      </c>
      <c r="CD27" s="643">
        <f t="shared" si="27"/>
        <v>61</v>
      </c>
      <c r="CE27" s="640">
        <f t="shared" si="27"/>
        <v>63</v>
      </c>
      <c r="CF27" s="640">
        <f t="shared" si="27"/>
        <v>65</v>
      </c>
      <c r="CG27" s="640">
        <f t="shared" si="27"/>
        <v>67</v>
      </c>
      <c r="CH27" s="640">
        <f t="shared" si="27"/>
        <v>69</v>
      </c>
      <c r="CI27" s="641">
        <f t="shared" si="27"/>
        <v>71</v>
      </c>
      <c r="CJ27" s="640">
        <f t="shared" si="27"/>
        <v>73</v>
      </c>
      <c r="CK27" s="640">
        <f t="shared" si="27"/>
        <v>75</v>
      </c>
      <c r="CL27" s="640">
        <f t="shared" si="27"/>
        <v>77</v>
      </c>
      <c r="CM27" s="640">
        <f t="shared" si="27"/>
        <v>79</v>
      </c>
      <c r="CN27" s="643">
        <f t="shared" si="27"/>
        <v>81</v>
      </c>
      <c r="CO27" s="640">
        <f t="shared" si="27"/>
        <v>83</v>
      </c>
      <c r="CP27" s="640">
        <f t="shared" si="27"/>
        <v>85</v>
      </c>
      <c r="CQ27" s="640">
        <f t="shared" si="27"/>
        <v>87</v>
      </c>
      <c r="CR27" s="640">
        <f t="shared" si="27"/>
        <v>89</v>
      </c>
      <c r="CS27" s="641">
        <f t="shared" si="27"/>
        <v>91</v>
      </c>
      <c r="CT27" s="640">
        <f t="shared" si="27"/>
        <v>93</v>
      </c>
      <c r="CU27" s="640">
        <f t="shared" si="27"/>
        <v>95</v>
      </c>
      <c r="CV27" s="640">
        <f t="shared" si="27"/>
        <v>97</v>
      </c>
      <c r="CW27" s="640">
        <f t="shared" si="27"/>
        <v>99</v>
      </c>
      <c r="CX27" s="563"/>
    </row>
    <row r="28" ht="10.5" customHeight="1">
      <c r="A28" s="543"/>
      <c r="B28" s="563">
        <f t="shared" si="4"/>
        <v>26</v>
      </c>
      <c r="C28" s="563">
        <f t="shared" ref="C28:CW28" si="28">IF(LT(IF(GT(C$2,MIN($B28,99)),C$2,MIN($B28,99)),99-FLOOR(C$2/2,1)),IF(GT(C$2,MIN($B28,99)),C$2,MIN($B28,99))-FLOOR(C$2/2,1),2*IF(GT(C$2,MIN($B28,99)),C$2,MIN($B28,99))-99)</f>
        <v>26</v>
      </c>
      <c r="D28" s="563">
        <f t="shared" si="28"/>
        <v>25</v>
      </c>
      <c r="E28" s="563">
        <f t="shared" si="28"/>
        <v>25</v>
      </c>
      <c r="F28" s="563">
        <f t="shared" si="28"/>
        <v>24</v>
      </c>
      <c r="G28" s="579">
        <f t="shared" si="28"/>
        <v>24</v>
      </c>
      <c r="H28" s="563">
        <f t="shared" si="28"/>
        <v>23</v>
      </c>
      <c r="I28" s="563">
        <f t="shared" si="28"/>
        <v>23</v>
      </c>
      <c r="J28" s="563">
        <f t="shared" si="28"/>
        <v>22</v>
      </c>
      <c r="K28" s="563">
        <f t="shared" si="28"/>
        <v>22</v>
      </c>
      <c r="L28" s="580">
        <f t="shared" si="28"/>
        <v>21</v>
      </c>
      <c r="M28" s="563">
        <f t="shared" si="28"/>
        <v>21</v>
      </c>
      <c r="N28" s="563">
        <f t="shared" si="28"/>
        <v>20</v>
      </c>
      <c r="O28" s="563">
        <f t="shared" si="28"/>
        <v>20</v>
      </c>
      <c r="P28" s="563">
        <f t="shared" si="28"/>
        <v>19</v>
      </c>
      <c r="Q28" s="579">
        <f t="shared" si="28"/>
        <v>19</v>
      </c>
      <c r="R28" s="563">
        <f t="shared" si="28"/>
        <v>18</v>
      </c>
      <c r="S28" s="563">
        <f t="shared" si="28"/>
        <v>18</v>
      </c>
      <c r="T28" s="563">
        <f t="shared" si="28"/>
        <v>17</v>
      </c>
      <c r="U28" s="563">
        <f t="shared" si="28"/>
        <v>17</v>
      </c>
      <c r="V28" s="580">
        <f t="shared" si="28"/>
        <v>16</v>
      </c>
      <c r="W28" s="563">
        <f t="shared" si="28"/>
        <v>16</v>
      </c>
      <c r="X28" s="563">
        <f t="shared" si="28"/>
        <v>15</v>
      </c>
      <c r="Y28" s="563">
        <f t="shared" si="28"/>
        <v>15</v>
      </c>
      <c r="Z28" s="563">
        <f t="shared" si="28"/>
        <v>14</v>
      </c>
      <c r="AA28" s="579">
        <f t="shared" si="28"/>
        <v>14</v>
      </c>
      <c r="AB28" s="563">
        <f t="shared" si="28"/>
        <v>13</v>
      </c>
      <c r="AC28" s="563">
        <f t="shared" si="28"/>
        <v>14</v>
      </c>
      <c r="AD28" s="563">
        <f t="shared" si="28"/>
        <v>14</v>
      </c>
      <c r="AE28" s="563">
        <f t="shared" si="28"/>
        <v>15</v>
      </c>
      <c r="AF28" s="580">
        <f t="shared" si="28"/>
        <v>15</v>
      </c>
      <c r="AG28" s="563">
        <f t="shared" si="28"/>
        <v>16</v>
      </c>
      <c r="AH28" s="563">
        <f t="shared" si="28"/>
        <v>16</v>
      </c>
      <c r="AI28" s="563">
        <f t="shared" si="28"/>
        <v>17</v>
      </c>
      <c r="AJ28" s="563">
        <f t="shared" si="28"/>
        <v>17</v>
      </c>
      <c r="AK28" s="579">
        <f t="shared" si="28"/>
        <v>18</v>
      </c>
      <c r="AL28" s="563">
        <f t="shared" si="28"/>
        <v>18</v>
      </c>
      <c r="AM28" s="563">
        <f t="shared" si="28"/>
        <v>19</v>
      </c>
      <c r="AN28" s="563">
        <f t="shared" si="28"/>
        <v>19</v>
      </c>
      <c r="AO28" s="563">
        <f t="shared" si="28"/>
        <v>20</v>
      </c>
      <c r="AP28" s="580">
        <f t="shared" si="28"/>
        <v>20</v>
      </c>
      <c r="AQ28" s="563">
        <f t="shared" si="28"/>
        <v>21</v>
      </c>
      <c r="AR28" s="563">
        <f t="shared" si="28"/>
        <v>21</v>
      </c>
      <c r="AS28" s="563">
        <f t="shared" si="28"/>
        <v>22</v>
      </c>
      <c r="AT28" s="563">
        <f t="shared" si="28"/>
        <v>22</v>
      </c>
      <c r="AU28" s="579">
        <f t="shared" si="28"/>
        <v>23</v>
      </c>
      <c r="AV28" s="563">
        <f t="shared" si="28"/>
        <v>23</v>
      </c>
      <c r="AW28" s="563">
        <f t="shared" si="28"/>
        <v>24</v>
      </c>
      <c r="AX28" s="563">
        <f t="shared" si="28"/>
        <v>24</v>
      </c>
      <c r="AY28" s="563">
        <f t="shared" si="28"/>
        <v>25</v>
      </c>
      <c r="AZ28" s="580">
        <f t="shared" si="28"/>
        <v>25</v>
      </c>
      <c r="BA28" s="563">
        <f t="shared" si="28"/>
        <v>26</v>
      </c>
      <c r="BB28" s="563">
        <f t="shared" si="28"/>
        <v>26</v>
      </c>
      <c r="BC28" s="563">
        <f t="shared" si="28"/>
        <v>27</v>
      </c>
      <c r="BD28" s="563">
        <f t="shared" si="28"/>
        <v>27</v>
      </c>
      <c r="BE28" s="579">
        <f t="shared" si="28"/>
        <v>28</v>
      </c>
      <c r="BF28" s="563">
        <f t="shared" si="28"/>
        <v>28</v>
      </c>
      <c r="BG28" s="563">
        <f t="shared" si="28"/>
        <v>29</v>
      </c>
      <c r="BH28" s="563">
        <f t="shared" si="28"/>
        <v>29</v>
      </c>
      <c r="BI28" s="563">
        <f t="shared" si="28"/>
        <v>30</v>
      </c>
      <c r="BJ28" s="580">
        <f t="shared" si="28"/>
        <v>30</v>
      </c>
      <c r="BK28" s="563">
        <f t="shared" si="28"/>
        <v>31</v>
      </c>
      <c r="BL28" s="563">
        <f t="shared" si="28"/>
        <v>31</v>
      </c>
      <c r="BM28" s="563">
        <f t="shared" si="28"/>
        <v>32</v>
      </c>
      <c r="BN28" s="563">
        <f t="shared" si="28"/>
        <v>32</v>
      </c>
      <c r="BO28" s="579">
        <f t="shared" si="28"/>
        <v>33</v>
      </c>
      <c r="BP28" s="563">
        <f t="shared" si="28"/>
        <v>33</v>
      </c>
      <c r="BQ28" s="563">
        <f t="shared" si="28"/>
        <v>35</v>
      </c>
      <c r="BR28" s="563">
        <f t="shared" si="28"/>
        <v>37</v>
      </c>
      <c r="BS28" s="563">
        <f t="shared" si="28"/>
        <v>39</v>
      </c>
      <c r="BT28" s="580">
        <f t="shared" si="28"/>
        <v>41</v>
      </c>
      <c r="BU28" s="563">
        <f t="shared" si="28"/>
        <v>43</v>
      </c>
      <c r="BV28" s="563">
        <f t="shared" si="28"/>
        <v>45</v>
      </c>
      <c r="BW28" s="563">
        <f t="shared" si="28"/>
        <v>47</v>
      </c>
      <c r="BX28" s="563">
        <f t="shared" si="28"/>
        <v>49</v>
      </c>
      <c r="BY28" s="579">
        <f t="shared" si="28"/>
        <v>51</v>
      </c>
      <c r="BZ28" s="563">
        <f t="shared" si="28"/>
        <v>53</v>
      </c>
      <c r="CA28" s="563">
        <f t="shared" si="28"/>
        <v>55</v>
      </c>
      <c r="CB28" s="563">
        <f t="shared" si="28"/>
        <v>57</v>
      </c>
      <c r="CC28" s="563">
        <f t="shared" si="28"/>
        <v>59</v>
      </c>
      <c r="CD28" s="580">
        <f t="shared" si="28"/>
        <v>61</v>
      </c>
      <c r="CE28" s="563">
        <f t="shared" si="28"/>
        <v>63</v>
      </c>
      <c r="CF28" s="563">
        <f t="shared" si="28"/>
        <v>65</v>
      </c>
      <c r="CG28" s="563">
        <f t="shared" si="28"/>
        <v>67</v>
      </c>
      <c r="CH28" s="563">
        <f t="shared" si="28"/>
        <v>69</v>
      </c>
      <c r="CI28" s="579">
        <f t="shared" si="28"/>
        <v>71</v>
      </c>
      <c r="CJ28" s="563">
        <f t="shared" si="28"/>
        <v>73</v>
      </c>
      <c r="CK28" s="563">
        <f t="shared" si="28"/>
        <v>75</v>
      </c>
      <c r="CL28" s="563">
        <f t="shared" si="28"/>
        <v>77</v>
      </c>
      <c r="CM28" s="563">
        <f t="shared" si="28"/>
        <v>79</v>
      </c>
      <c r="CN28" s="580">
        <f t="shared" si="28"/>
        <v>81</v>
      </c>
      <c r="CO28" s="563">
        <f t="shared" si="28"/>
        <v>83</v>
      </c>
      <c r="CP28" s="563">
        <f t="shared" si="28"/>
        <v>85</v>
      </c>
      <c r="CQ28" s="563">
        <f t="shared" si="28"/>
        <v>87</v>
      </c>
      <c r="CR28" s="563">
        <f t="shared" si="28"/>
        <v>89</v>
      </c>
      <c r="CS28" s="579">
        <f t="shared" si="28"/>
        <v>91</v>
      </c>
      <c r="CT28" s="563">
        <f t="shared" si="28"/>
        <v>93</v>
      </c>
      <c r="CU28" s="563">
        <f t="shared" si="28"/>
        <v>95</v>
      </c>
      <c r="CV28" s="563">
        <f t="shared" si="28"/>
        <v>97</v>
      </c>
      <c r="CW28" s="563">
        <f t="shared" si="28"/>
        <v>99</v>
      </c>
      <c r="CX28" s="563"/>
    </row>
    <row r="29" ht="10.5" customHeight="1">
      <c r="A29" s="543"/>
      <c r="B29" s="563">
        <f t="shared" si="4"/>
        <v>27</v>
      </c>
      <c r="C29" s="563">
        <f t="shared" ref="C29:CW29" si="29">IF(LT(IF(GT(C$2,MIN($B29,99)),C$2,MIN($B29,99)),99-FLOOR(C$2/2,1)),IF(GT(C$2,MIN($B29,99)),C$2,MIN($B29,99))-FLOOR(C$2/2,1),2*IF(GT(C$2,MIN($B29,99)),C$2,MIN($B29,99))-99)</f>
        <v>27</v>
      </c>
      <c r="D29" s="563">
        <f t="shared" si="29"/>
        <v>26</v>
      </c>
      <c r="E29" s="563">
        <f t="shared" si="29"/>
        <v>26</v>
      </c>
      <c r="F29" s="563">
        <f t="shared" si="29"/>
        <v>25</v>
      </c>
      <c r="G29" s="579">
        <f t="shared" si="29"/>
        <v>25</v>
      </c>
      <c r="H29" s="563">
        <f t="shared" si="29"/>
        <v>24</v>
      </c>
      <c r="I29" s="563">
        <f t="shared" si="29"/>
        <v>24</v>
      </c>
      <c r="J29" s="563">
        <f t="shared" si="29"/>
        <v>23</v>
      </c>
      <c r="K29" s="563">
        <f t="shared" si="29"/>
        <v>23</v>
      </c>
      <c r="L29" s="580">
        <f t="shared" si="29"/>
        <v>22</v>
      </c>
      <c r="M29" s="563">
        <f t="shared" si="29"/>
        <v>22</v>
      </c>
      <c r="N29" s="563">
        <f t="shared" si="29"/>
        <v>21</v>
      </c>
      <c r="O29" s="563">
        <f t="shared" si="29"/>
        <v>21</v>
      </c>
      <c r="P29" s="563">
        <f t="shared" si="29"/>
        <v>20</v>
      </c>
      <c r="Q29" s="579">
        <f t="shared" si="29"/>
        <v>20</v>
      </c>
      <c r="R29" s="563">
        <f t="shared" si="29"/>
        <v>19</v>
      </c>
      <c r="S29" s="563">
        <f t="shared" si="29"/>
        <v>19</v>
      </c>
      <c r="T29" s="563">
        <f t="shared" si="29"/>
        <v>18</v>
      </c>
      <c r="U29" s="563">
        <f t="shared" si="29"/>
        <v>18</v>
      </c>
      <c r="V29" s="580">
        <f t="shared" si="29"/>
        <v>17</v>
      </c>
      <c r="W29" s="563">
        <f t="shared" si="29"/>
        <v>17</v>
      </c>
      <c r="X29" s="563">
        <f t="shared" si="29"/>
        <v>16</v>
      </c>
      <c r="Y29" s="563">
        <f t="shared" si="29"/>
        <v>16</v>
      </c>
      <c r="Z29" s="563">
        <f t="shared" si="29"/>
        <v>15</v>
      </c>
      <c r="AA29" s="579">
        <f t="shared" si="29"/>
        <v>15</v>
      </c>
      <c r="AB29" s="563">
        <f t="shared" si="29"/>
        <v>14</v>
      </c>
      <c r="AC29" s="563">
        <f t="shared" si="29"/>
        <v>14</v>
      </c>
      <c r="AD29" s="563">
        <f t="shared" si="29"/>
        <v>14</v>
      </c>
      <c r="AE29" s="563">
        <f t="shared" si="29"/>
        <v>15</v>
      </c>
      <c r="AF29" s="580">
        <f t="shared" si="29"/>
        <v>15</v>
      </c>
      <c r="AG29" s="563">
        <f t="shared" si="29"/>
        <v>16</v>
      </c>
      <c r="AH29" s="563">
        <f t="shared" si="29"/>
        <v>16</v>
      </c>
      <c r="AI29" s="563">
        <f t="shared" si="29"/>
        <v>17</v>
      </c>
      <c r="AJ29" s="563">
        <f t="shared" si="29"/>
        <v>17</v>
      </c>
      <c r="AK29" s="579">
        <f t="shared" si="29"/>
        <v>18</v>
      </c>
      <c r="AL29" s="563">
        <f t="shared" si="29"/>
        <v>18</v>
      </c>
      <c r="AM29" s="563">
        <f t="shared" si="29"/>
        <v>19</v>
      </c>
      <c r="AN29" s="563">
        <f t="shared" si="29"/>
        <v>19</v>
      </c>
      <c r="AO29" s="563">
        <f t="shared" si="29"/>
        <v>20</v>
      </c>
      <c r="AP29" s="580">
        <f t="shared" si="29"/>
        <v>20</v>
      </c>
      <c r="AQ29" s="563">
        <f t="shared" si="29"/>
        <v>21</v>
      </c>
      <c r="AR29" s="563">
        <f t="shared" si="29"/>
        <v>21</v>
      </c>
      <c r="AS29" s="563">
        <f t="shared" si="29"/>
        <v>22</v>
      </c>
      <c r="AT29" s="563">
        <f t="shared" si="29"/>
        <v>22</v>
      </c>
      <c r="AU29" s="579">
        <f t="shared" si="29"/>
        <v>23</v>
      </c>
      <c r="AV29" s="563">
        <f t="shared" si="29"/>
        <v>23</v>
      </c>
      <c r="AW29" s="563">
        <f t="shared" si="29"/>
        <v>24</v>
      </c>
      <c r="AX29" s="563">
        <f t="shared" si="29"/>
        <v>24</v>
      </c>
      <c r="AY29" s="563">
        <f t="shared" si="29"/>
        <v>25</v>
      </c>
      <c r="AZ29" s="580">
        <f t="shared" si="29"/>
        <v>25</v>
      </c>
      <c r="BA29" s="563">
        <f t="shared" si="29"/>
        <v>26</v>
      </c>
      <c r="BB29" s="563">
        <f t="shared" si="29"/>
        <v>26</v>
      </c>
      <c r="BC29" s="563">
        <f t="shared" si="29"/>
        <v>27</v>
      </c>
      <c r="BD29" s="563">
        <f t="shared" si="29"/>
        <v>27</v>
      </c>
      <c r="BE29" s="579">
        <f t="shared" si="29"/>
        <v>28</v>
      </c>
      <c r="BF29" s="563">
        <f t="shared" si="29"/>
        <v>28</v>
      </c>
      <c r="BG29" s="563">
        <f t="shared" si="29"/>
        <v>29</v>
      </c>
      <c r="BH29" s="563">
        <f t="shared" si="29"/>
        <v>29</v>
      </c>
      <c r="BI29" s="563">
        <f t="shared" si="29"/>
        <v>30</v>
      </c>
      <c r="BJ29" s="580">
        <f t="shared" si="29"/>
        <v>30</v>
      </c>
      <c r="BK29" s="563">
        <f t="shared" si="29"/>
        <v>31</v>
      </c>
      <c r="BL29" s="563">
        <f t="shared" si="29"/>
        <v>31</v>
      </c>
      <c r="BM29" s="563">
        <f t="shared" si="29"/>
        <v>32</v>
      </c>
      <c r="BN29" s="563">
        <f t="shared" si="29"/>
        <v>32</v>
      </c>
      <c r="BO29" s="579">
        <f t="shared" si="29"/>
        <v>33</v>
      </c>
      <c r="BP29" s="563">
        <f t="shared" si="29"/>
        <v>33</v>
      </c>
      <c r="BQ29" s="563">
        <f t="shared" si="29"/>
        <v>35</v>
      </c>
      <c r="BR29" s="563">
        <f t="shared" si="29"/>
        <v>37</v>
      </c>
      <c r="BS29" s="563">
        <f t="shared" si="29"/>
        <v>39</v>
      </c>
      <c r="BT29" s="580">
        <f t="shared" si="29"/>
        <v>41</v>
      </c>
      <c r="BU29" s="563">
        <f t="shared" si="29"/>
        <v>43</v>
      </c>
      <c r="BV29" s="563">
        <f t="shared" si="29"/>
        <v>45</v>
      </c>
      <c r="BW29" s="563">
        <f t="shared" si="29"/>
        <v>47</v>
      </c>
      <c r="BX29" s="563">
        <f t="shared" si="29"/>
        <v>49</v>
      </c>
      <c r="BY29" s="579">
        <f t="shared" si="29"/>
        <v>51</v>
      </c>
      <c r="BZ29" s="563">
        <f t="shared" si="29"/>
        <v>53</v>
      </c>
      <c r="CA29" s="563">
        <f t="shared" si="29"/>
        <v>55</v>
      </c>
      <c r="CB29" s="563">
        <f t="shared" si="29"/>
        <v>57</v>
      </c>
      <c r="CC29" s="563">
        <f t="shared" si="29"/>
        <v>59</v>
      </c>
      <c r="CD29" s="580">
        <f t="shared" si="29"/>
        <v>61</v>
      </c>
      <c r="CE29" s="563">
        <f t="shared" si="29"/>
        <v>63</v>
      </c>
      <c r="CF29" s="563">
        <f t="shared" si="29"/>
        <v>65</v>
      </c>
      <c r="CG29" s="563">
        <f t="shared" si="29"/>
        <v>67</v>
      </c>
      <c r="CH29" s="563">
        <f t="shared" si="29"/>
        <v>69</v>
      </c>
      <c r="CI29" s="579">
        <f t="shared" si="29"/>
        <v>71</v>
      </c>
      <c r="CJ29" s="563">
        <f t="shared" si="29"/>
        <v>73</v>
      </c>
      <c r="CK29" s="563">
        <f t="shared" si="29"/>
        <v>75</v>
      </c>
      <c r="CL29" s="563">
        <f t="shared" si="29"/>
        <v>77</v>
      </c>
      <c r="CM29" s="563">
        <f t="shared" si="29"/>
        <v>79</v>
      </c>
      <c r="CN29" s="580">
        <f t="shared" si="29"/>
        <v>81</v>
      </c>
      <c r="CO29" s="563">
        <f t="shared" si="29"/>
        <v>83</v>
      </c>
      <c r="CP29" s="563">
        <f t="shared" si="29"/>
        <v>85</v>
      </c>
      <c r="CQ29" s="563">
        <f t="shared" si="29"/>
        <v>87</v>
      </c>
      <c r="CR29" s="563">
        <f t="shared" si="29"/>
        <v>89</v>
      </c>
      <c r="CS29" s="579">
        <f t="shared" si="29"/>
        <v>91</v>
      </c>
      <c r="CT29" s="563">
        <f t="shared" si="29"/>
        <v>93</v>
      </c>
      <c r="CU29" s="563">
        <f t="shared" si="29"/>
        <v>95</v>
      </c>
      <c r="CV29" s="563">
        <f t="shared" si="29"/>
        <v>97</v>
      </c>
      <c r="CW29" s="563">
        <f t="shared" si="29"/>
        <v>99</v>
      </c>
      <c r="CX29" s="563"/>
    </row>
    <row r="30" ht="10.5" customHeight="1">
      <c r="A30" s="543"/>
      <c r="B30" s="563">
        <f t="shared" si="4"/>
        <v>28</v>
      </c>
      <c r="C30" s="563">
        <f t="shared" ref="C30:CW30" si="30">IF(LT(IF(GT(C$2,MIN($B30,99)),C$2,MIN($B30,99)),99-FLOOR(C$2/2,1)),IF(GT(C$2,MIN($B30,99)),C$2,MIN($B30,99))-FLOOR(C$2/2,1),2*IF(GT(C$2,MIN($B30,99)),C$2,MIN($B30,99))-99)</f>
        <v>28</v>
      </c>
      <c r="D30" s="563">
        <f t="shared" si="30"/>
        <v>27</v>
      </c>
      <c r="E30" s="563">
        <f t="shared" si="30"/>
        <v>27</v>
      </c>
      <c r="F30" s="563">
        <f t="shared" si="30"/>
        <v>26</v>
      </c>
      <c r="G30" s="579">
        <f t="shared" si="30"/>
        <v>26</v>
      </c>
      <c r="H30" s="563">
        <f t="shared" si="30"/>
        <v>25</v>
      </c>
      <c r="I30" s="563">
        <f t="shared" si="30"/>
        <v>25</v>
      </c>
      <c r="J30" s="563">
        <f t="shared" si="30"/>
        <v>24</v>
      </c>
      <c r="K30" s="563">
        <f t="shared" si="30"/>
        <v>24</v>
      </c>
      <c r="L30" s="580">
        <f t="shared" si="30"/>
        <v>23</v>
      </c>
      <c r="M30" s="563">
        <f t="shared" si="30"/>
        <v>23</v>
      </c>
      <c r="N30" s="563">
        <f t="shared" si="30"/>
        <v>22</v>
      </c>
      <c r="O30" s="563">
        <f t="shared" si="30"/>
        <v>22</v>
      </c>
      <c r="P30" s="563">
        <f t="shared" si="30"/>
        <v>21</v>
      </c>
      <c r="Q30" s="579">
        <f t="shared" si="30"/>
        <v>21</v>
      </c>
      <c r="R30" s="563">
        <f t="shared" si="30"/>
        <v>20</v>
      </c>
      <c r="S30" s="563">
        <f t="shared" si="30"/>
        <v>20</v>
      </c>
      <c r="T30" s="563">
        <f t="shared" si="30"/>
        <v>19</v>
      </c>
      <c r="U30" s="563">
        <f t="shared" si="30"/>
        <v>19</v>
      </c>
      <c r="V30" s="580">
        <f t="shared" si="30"/>
        <v>18</v>
      </c>
      <c r="W30" s="563">
        <f t="shared" si="30"/>
        <v>18</v>
      </c>
      <c r="X30" s="563">
        <f t="shared" si="30"/>
        <v>17</v>
      </c>
      <c r="Y30" s="563">
        <f t="shared" si="30"/>
        <v>17</v>
      </c>
      <c r="Z30" s="563">
        <f t="shared" si="30"/>
        <v>16</v>
      </c>
      <c r="AA30" s="579">
        <f t="shared" si="30"/>
        <v>16</v>
      </c>
      <c r="AB30" s="563">
        <f t="shared" si="30"/>
        <v>15</v>
      </c>
      <c r="AC30" s="563">
        <f t="shared" si="30"/>
        <v>15</v>
      </c>
      <c r="AD30" s="563">
        <f t="shared" si="30"/>
        <v>14</v>
      </c>
      <c r="AE30" s="563">
        <f t="shared" si="30"/>
        <v>15</v>
      </c>
      <c r="AF30" s="580">
        <f t="shared" si="30"/>
        <v>15</v>
      </c>
      <c r="AG30" s="563">
        <f t="shared" si="30"/>
        <v>16</v>
      </c>
      <c r="AH30" s="563">
        <f t="shared" si="30"/>
        <v>16</v>
      </c>
      <c r="AI30" s="563">
        <f t="shared" si="30"/>
        <v>17</v>
      </c>
      <c r="AJ30" s="563">
        <f t="shared" si="30"/>
        <v>17</v>
      </c>
      <c r="AK30" s="579">
        <f t="shared" si="30"/>
        <v>18</v>
      </c>
      <c r="AL30" s="563">
        <f t="shared" si="30"/>
        <v>18</v>
      </c>
      <c r="AM30" s="563">
        <f t="shared" si="30"/>
        <v>19</v>
      </c>
      <c r="AN30" s="563">
        <f t="shared" si="30"/>
        <v>19</v>
      </c>
      <c r="AO30" s="563">
        <f t="shared" si="30"/>
        <v>20</v>
      </c>
      <c r="AP30" s="580">
        <f t="shared" si="30"/>
        <v>20</v>
      </c>
      <c r="AQ30" s="563">
        <f t="shared" si="30"/>
        <v>21</v>
      </c>
      <c r="AR30" s="563">
        <f t="shared" si="30"/>
        <v>21</v>
      </c>
      <c r="AS30" s="563">
        <f t="shared" si="30"/>
        <v>22</v>
      </c>
      <c r="AT30" s="563">
        <f t="shared" si="30"/>
        <v>22</v>
      </c>
      <c r="AU30" s="579">
        <f t="shared" si="30"/>
        <v>23</v>
      </c>
      <c r="AV30" s="563">
        <f t="shared" si="30"/>
        <v>23</v>
      </c>
      <c r="AW30" s="563">
        <f t="shared" si="30"/>
        <v>24</v>
      </c>
      <c r="AX30" s="563">
        <f t="shared" si="30"/>
        <v>24</v>
      </c>
      <c r="AY30" s="563">
        <f t="shared" si="30"/>
        <v>25</v>
      </c>
      <c r="AZ30" s="580">
        <f t="shared" si="30"/>
        <v>25</v>
      </c>
      <c r="BA30" s="563">
        <f t="shared" si="30"/>
        <v>26</v>
      </c>
      <c r="BB30" s="563">
        <f t="shared" si="30"/>
        <v>26</v>
      </c>
      <c r="BC30" s="563">
        <f t="shared" si="30"/>
        <v>27</v>
      </c>
      <c r="BD30" s="563">
        <f t="shared" si="30"/>
        <v>27</v>
      </c>
      <c r="BE30" s="579">
        <f t="shared" si="30"/>
        <v>28</v>
      </c>
      <c r="BF30" s="563">
        <f t="shared" si="30"/>
        <v>28</v>
      </c>
      <c r="BG30" s="563">
        <f t="shared" si="30"/>
        <v>29</v>
      </c>
      <c r="BH30" s="563">
        <f t="shared" si="30"/>
        <v>29</v>
      </c>
      <c r="BI30" s="563">
        <f t="shared" si="30"/>
        <v>30</v>
      </c>
      <c r="BJ30" s="580">
        <f t="shared" si="30"/>
        <v>30</v>
      </c>
      <c r="BK30" s="563">
        <f t="shared" si="30"/>
        <v>31</v>
      </c>
      <c r="BL30" s="563">
        <f t="shared" si="30"/>
        <v>31</v>
      </c>
      <c r="BM30" s="563">
        <f t="shared" si="30"/>
        <v>32</v>
      </c>
      <c r="BN30" s="563">
        <f t="shared" si="30"/>
        <v>32</v>
      </c>
      <c r="BO30" s="579">
        <f t="shared" si="30"/>
        <v>33</v>
      </c>
      <c r="BP30" s="563">
        <f t="shared" si="30"/>
        <v>33</v>
      </c>
      <c r="BQ30" s="563">
        <f t="shared" si="30"/>
        <v>35</v>
      </c>
      <c r="BR30" s="563">
        <f t="shared" si="30"/>
        <v>37</v>
      </c>
      <c r="BS30" s="563">
        <f t="shared" si="30"/>
        <v>39</v>
      </c>
      <c r="BT30" s="580">
        <f t="shared" si="30"/>
        <v>41</v>
      </c>
      <c r="BU30" s="563">
        <f t="shared" si="30"/>
        <v>43</v>
      </c>
      <c r="BV30" s="563">
        <f t="shared" si="30"/>
        <v>45</v>
      </c>
      <c r="BW30" s="563">
        <f t="shared" si="30"/>
        <v>47</v>
      </c>
      <c r="BX30" s="563">
        <f t="shared" si="30"/>
        <v>49</v>
      </c>
      <c r="BY30" s="579">
        <f t="shared" si="30"/>
        <v>51</v>
      </c>
      <c r="BZ30" s="563">
        <f t="shared" si="30"/>
        <v>53</v>
      </c>
      <c r="CA30" s="563">
        <f t="shared" si="30"/>
        <v>55</v>
      </c>
      <c r="CB30" s="563">
        <f t="shared" si="30"/>
        <v>57</v>
      </c>
      <c r="CC30" s="563">
        <f t="shared" si="30"/>
        <v>59</v>
      </c>
      <c r="CD30" s="580">
        <f t="shared" si="30"/>
        <v>61</v>
      </c>
      <c r="CE30" s="563">
        <f t="shared" si="30"/>
        <v>63</v>
      </c>
      <c r="CF30" s="563">
        <f t="shared" si="30"/>
        <v>65</v>
      </c>
      <c r="CG30" s="563">
        <f t="shared" si="30"/>
        <v>67</v>
      </c>
      <c r="CH30" s="563">
        <f t="shared" si="30"/>
        <v>69</v>
      </c>
      <c r="CI30" s="579">
        <f t="shared" si="30"/>
        <v>71</v>
      </c>
      <c r="CJ30" s="563">
        <f t="shared" si="30"/>
        <v>73</v>
      </c>
      <c r="CK30" s="563">
        <f t="shared" si="30"/>
        <v>75</v>
      </c>
      <c r="CL30" s="563">
        <f t="shared" si="30"/>
        <v>77</v>
      </c>
      <c r="CM30" s="563">
        <f t="shared" si="30"/>
        <v>79</v>
      </c>
      <c r="CN30" s="580">
        <f t="shared" si="30"/>
        <v>81</v>
      </c>
      <c r="CO30" s="563">
        <f t="shared" si="30"/>
        <v>83</v>
      </c>
      <c r="CP30" s="563">
        <f t="shared" si="30"/>
        <v>85</v>
      </c>
      <c r="CQ30" s="563">
        <f t="shared" si="30"/>
        <v>87</v>
      </c>
      <c r="CR30" s="563">
        <f t="shared" si="30"/>
        <v>89</v>
      </c>
      <c r="CS30" s="579">
        <f t="shared" si="30"/>
        <v>91</v>
      </c>
      <c r="CT30" s="563">
        <f t="shared" si="30"/>
        <v>93</v>
      </c>
      <c r="CU30" s="563">
        <f t="shared" si="30"/>
        <v>95</v>
      </c>
      <c r="CV30" s="563">
        <f t="shared" si="30"/>
        <v>97</v>
      </c>
      <c r="CW30" s="563">
        <f t="shared" si="30"/>
        <v>99</v>
      </c>
      <c r="CX30" s="563"/>
    </row>
    <row r="31" ht="10.5" customHeight="1">
      <c r="A31" s="543"/>
      <c r="B31" s="563">
        <f t="shared" si="4"/>
        <v>29</v>
      </c>
      <c r="C31" s="563">
        <f t="shared" ref="C31:CW31" si="31">IF(LT(IF(GT(C$2,MIN($B31,99)),C$2,MIN($B31,99)),99-FLOOR(C$2/2,1)),IF(GT(C$2,MIN($B31,99)),C$2,MIN($B31,99))-FLOOR(C$2/2,1),2*IF(GT(C$2,MIN($B31,99)),C$2,MIN($B31,99))-99)</f>
        <v>29</v>
      </c>
      <c r="D31" s="563">
        <f t="shared" si="31"/>
        <v>28</v>
      </c>
      <c r="E31" s="563">
        <f t="shared" si="31"/>
        <v>28</v>
      </c>
      <c r="F31" s="563">
        <f t="shared" si="31"/>
        <v>27</v>
      </c>
      <c r="G31" s="579">
        <f t="shared" si="31"/>
        <v>27</v>
      </c>
      <c r="H31" s="563">
        <f t="shared" si="31"/>
        <v>26</v>
      </c>
      <c r="I31" s="563">
        <f t="shared" si="31"/>
        <v>26</v>
      </c>
      <c r="J31" s="563">
        <f t="shared" si="31"/>
        <v>25</v>
      </c>
      <c r="K31" s="563">
        <f t="shared" si="31"/>
        <v>25</v>
      </c>
      <c r="L31" s="580">
        <f t="shared" si="31"/>
        <v>24</v>
      </c>
      <c r="M31" s="563">
        <f t="shared" si="31"/>
        <v>24</v>
      </c>
      <c r="N31" s="563">
        <f t="shared" si="31"/>
        <v>23</v>
      </c>
      <c r="O31" s="563">
        <f t="shared" si="31"/>
        <v>23</v>
      </c>
      <c r="P31" s="563">
        <f t="shared" si="31"/>
        <v>22</v>
      </c>
      <c r="Q31" s="579">
        <f t="shared" si="31"/>
        <v>22</v>
      </c>
      <c r="R31" s="563">
        <f t="shared" si="31"/>
        <v>21</v>
      </c>
      <c r="S31" s="563">
        <f t="shared" si="31"/>
        <v>21</v>
      </c>
      <c r="T31" s="563">
        <f t="shared" si="31"/>
        <v>20</v>
      </c>
      <c r="U31" s="563">
        <f t="shared" si="31"/>
        <v>20</v>
      </c>
      <c r="V31" s="580">
        <f t="shared" si="31"/>
        <v>19</v>
      </c>
      <c r="W31" s="563">
        <f t="shared" si="31"/>
        <v>19</v>
      </c>
      <c r="X31" s="563">
        <f t="shared" si="31"/>
        <v>18</v>
      </c>
      <c r="Y31" s="563">
        <f t="shared" si="31"/>
        <v>18</v>
      </c>
      <c r="Z31" s="563">
        <f t="shared" si="31"/>
        <v>17</v>
      </c>
      <c r="AA31" s="579">
        <f t="shared" si="31"/>
        <v>17</v>
      </c>
      <c r="AB31" s="563">
        <f t="shared" si="31"/>
        <v>16</v>
      </c>
      <c r="AC31" s="563">
        <f t="shared" si="31"/>
        <v>16</v>
      </c>
      <c r="AD31" s="563">
        <f t="shared" si="31"/>
        <v>15</v>
      </c>
      <c r="AE31" s="563">
        <f t="shared" si="31"/>
        <v>15</v>
      </c>
      <c r="AF31" s="580">
        <f t="shared" si="31"/>
        <v>15</v>
      </c>
      <c r="AG31" s="563">
        <f t="shared" si="31"/>
        <v>16</v>
      </c>
      <c r="AH31" s="563">
        <f t="shared" si="31"/>
        <v>16</v>
      </c>
      <c r="AI31" s="563">
        <f t="shared" si="31"/>
        <v>17</v>
      </c>
      <c r="AJ31" s="563">
        <f t="shared" si="31"/>
        <v>17</v>
      </c>
      <c r="AK31" s="579">
        <f t="shared" si="31"/>
        <v>18</v>
      </c>
      <c r="AL31" s="563">
        <f t="shared" si="31"/>
        <v>18</v>
      </c>
      <c r="AM31" s="563">
        <f t="shared" si="31"/>
        <v>19</v>
      </c>
      <c r="AN31" s="563">
        <f t="shared" si="31"/>
        <v>19</v>
      </c>
      <c r="AO31" s="563">
        <f t="shared" si="31"/>
        <v>20</v>
      </c>
      <c r="AP31" s="580">
        <f t="shared" si="31"/>
        <v>20</v>
      </c>
      <c r="AQ31" s="563">
        <f t="shared" si="31"/>
        <v>21</v>
      </c>
      <c r="AR31" s="563">
        <f t="shared" si="31"/>
        <v>21</v>
      </c>
      <c r="AS31" s="563">
        <f t="shared" si="31"/>
        <v>22</v>
      </c>
      <c r="AT31" s="563">
        <f t="shared" si="31"/>
        <v>22</v>
      </c>
      <c r="AU31" s="579">
        <f t="shared" si="31"/>
        <v>23</v>
      </c>
      <c r="AV31" s="563">
        <f t="shared" si="31"/>
        <v>23</v>
      </c>
      <c r="AW31" s="563">
        <f t="shared" si="31"/>
        <v>24</v>
      </c>
      <c r="AX31" s="563">
        <f t="shared" si="31"/>
        <v>24</v>
      </c>
      <c r="AY31" s="563">
        <f t="shared" si="31"/>
        <v>25</v>
      </c>
      <c r="AZ31" s="580">
        <f t="shared" si="31"/>
        <v>25</v>
      </c>
      <c r="BA31" s="563">
        <f t="shared" si="31"/>
        <v>26</v>
      </c>
      <c r="BB31" s="563">
        <f t="shared" si="31"/>
        <v>26</v>
      </c>
      <c r="BC31" s="563">
        <f t="shared" si="31"/>
        <v>27</v>
      </c>
      <c r="BD31" s="563">
        <f t="shared" si="31"/>
        <v>27</v>
      </c>
      <c r="BE31" s="579">
        <f t="shared" si="31"/>
        <v>28</v>
      </c>
      <c r="BF31" s="563">
        <f t="shared" si="31"/>
        <v>28</v>
      </c>
      <c r="BG31" s="563">
        <f t="shared" si="31"/>
        <v>29</v>
      </c>
      <c r="BH31" s="563">
        <f t="shared" si="31"/>
        <v>29</v>
      </c>
      <c r="BI31" s="563">
        <f t="shared" si="31"/>
        <v>30</v>
      </c>
      <c r="BJ31" s="580">
        <f t="shared" si="31"/>
        <v>30</v>
      </c>
      <c r="BK31" s="563">
        <f t="shared" si="31"/>
        <v>31</v>
      </c>
      <c r="BL31" s="563">
        <f t="shared" si="31"/>
        <v>31</v>
      </c>
      <c r="BM31" s="563">
        <f t="shared" si="31"/>
        <v>32</v>
      </c>
      <c r="BN31" s="563">
        <f t="shared" si="31"/>
        <v>32</v>
      </c>
      <c r="BO31" s="579">
        <f t="shared" si="31"/>
        <v>33</v>
      </c>
      <c r="BP31" s="563">
        <f t="shared" si="31"/>
        <v>33</v>
      </c>
      <c r="BQ31" s="563">
        <f t="shared" si="31"/>
        <v>35</v>
      </c>
      <c r="BR31" s="563">
        <f t="shared" si="31"/>
        <v>37</v>
      </c>
      <c r="BS31" s="563">
        <f t="shared" si="31"/>
        <v>39</v>
      </c>
      <c r="BT31" s="580">
        <f t="shared" si="31"/>
        <v>41</v>
      </c>
      <c r="BU31" s="563">
        <f t="shared" si="31"/>
        <v>43</v>
      </c>
      <c r="BV31" s="563">
        <f t="shared" si="31"/>
        <v>45</v>
      </c>
      <c r="BW31" s="563">
        <f t="shared" si="31"/>
        <v>47</v>
      </c>
      <c r="BX31" s="563">
        <f t="shared" si="31"/>
        <v>49</v>
      </c>
      <c r="BY31" s="579">
        <f t="shared" si="31"/>
        <v>51</v>
      </c>
      <c r="BZ31" s="563">
        <f t="shared" si="31"/>
        <v>53</v>
      </c>
      <c r="CA31" s="563">
        <f t="shared" si="31"/>
        <v>55</v>
      </c>
      <c r="CB31" s="563">
        <f t="shared" si="31"/>
        <v>57</v>
      </c>
      <c r="CC31" s="563">
        <f t="shared" si="31"/>
        <v>59</v>
      </c>
      <c r="CD31" s="580">
        <f t="shared" si="31"/>
        <v>61</v>
      </c>
      <c r="CE31" s="563">
        <f t="shared" si="31"/>
        <v>63</v>
      </c>
      <c r="CF31" s="563">
        <f t="shared" si="31"/>
        <v>65</v>
      </c>
      <c r="CG31" s="563">
        <f t="shared" si="31"/>
        <v>67</v>
      </c>
      <c r="CH31" s="563">
        <f t="shared" si="31"/>
        <v>69</v>
      </c>
      <c r="CI31" s="579">
        <f t="shared" si="31"/>
        <v>71</v>
      </c>
      <c r="CJ31" s="563">
        <f t="shared" si="31"/>
        <v>73</v>
      </c>
      <c r="CK31" s="563">
        <f t="shared" si="31"/>
        <v>75</v>
      </c>
      <c r="CL31" s="563">
        <f t="shared" si="31"/>
        <v>77</v>
      </c>
      <c r="CM31" s="563">
        <f t="shared" si="31"/>
        <v>79</v>
      </c>
      <c r="CN31" s="580">
        <f t="shared" si="31"/>
        <v>81</v>
      </c>
      <c r="CO31" s="563">
        <f t="shared" si="31"/>
        <v>83</v>
      </c>
      <c r="CP31" s="563">
        <f t="shared" si="31"/>
        <v>85</v>
      </c>
      <c r="CQ31" s="563">
        <f t="shared" si="31"/>
        <v>87</v>
      </c>
      <c r="CR31" s="563">
        <f t="shared" si="31"/>
        <v>89</v>
      </c>
      <c r="CS31" s="579">
        <f t="shared" si="31"/>
        <v>91</v>
      </c>
      <c r="CT31" s="563">
        <f t="shared" si="31"/>
        <v>93</v>
      </c>
      <c r="CU31" s="563">
        <f t="shared" si="31"/>
        <v>95</v>
      </c>
      <c r="CV31" s="563">
        <f t="shared" si="31"/>
        <v>97</v>
      </c>
      <c r="CW31" s="563">
        <f t="shared" si="31"/>
        <v>99</v>
      </c>
      <c r="CX31" s="563"/>
    </row>
    <row r="32" ht="10.5" customHeight="1">
      <c r="A32" s="543"/>
      <c r="B32" s="563">
        <f t="shared" si="4"/>
        <v>30</v>
      </c>
      <c r="C32" s="682">
        <f t="shared" ref="C32:CW32" si="32">IF(LT(IF(GT(C$2,MIN($B32,99)),C$2,MIN($B32,99)),99-FLOOR(C$2/2,1)),IF(GT(C$2,MIN($B32,99)),C$2,MIN($B32,99))-FLOOR(C$2/2,1),2*IF(GT(C$2,MIN($B32,99)),C$2,MIN($B32,99))-99)</f>
        <v>30</v>
      </c>
      <c r="D32" s="682">
        <f t="shared" si="32"/>
        <v>29</v>
      </c>
      <c r="E32" s="682">
        <f t="shared" si="32"/>
        <v>29</v>
      </c>
      <c r="F32" s="682">
        <f t="shared" si="32"/>
        <v>28</v>
      </c>
      <c r="G32" s="683">
        <f t="shared" si="32"/>
        <v>28</v>
      </c>
      <c r="H32" s="682">
        <f t="shared" si="32"/>
        <v>27</v>
      </c>
      <c r="I32" s="682">
        <f t="shared" si="32"/>
        <v>27</v>
      </c>
      <c r="J32" s="682">
        <f t="shared" si="32"/>
        <v>26</v>
      </c>
      <c r="K32" s="682">
        <f t="shared" si="32"/>
        <v>26</v>
      </c>
      <c r="L32" s="684">
        <f t="shared" si="32"/>
        <v>25</v>
      </c>
      <c r="M32" s="682">
        <f t="shared" si="32"/>
        <v>25</v>
      </c>
      <c r="N32" s="682">
        <f t="shared" si="32"/>
        <v>24</v>
      </c>
      <c r="O32" s="682">
        <f t="shared" si="32"/>
        <v>24</v>
      </c>
      <c r="P32" s="682">
        <f t="shared" si="32"/>
        <v>23</v>
      </c>
      <c r="Q32" s="683">
        <f t="shared" si="32"/>
        <v>23</v>
      </c>
      <c r="R32" s="682">
        <f t="shared" si="32"/>
        <v>22</v>
      </c>
      <c r="S32" s="682">
        <f t="shared" si="32"/>
        <v>22</v>
      </c>
      <c r="T32" s="682">
        <f t="shared" si="32"/>
        <v>21</v>
      </c>
      <c r="U32" s="682">
        <f t="shared" si="32"/>
        <v>21</v>
      </c>
      <c r="V32" s="684">
        <f t="shared" si="32"/>
        <v>20</v>
      </c>
      <c r="W32" s="682">
        <f t="shared" si="32"/>
        <v>20</v>
      </c>
      <c r="X32" s="682">
        <f t="shared" si="32"/>
        <v>19</v>
      </c>
      <c r="Y32" s="682">
        <f t="shared" si="32"/>
        <v>19</v>
      </c>
      <c r="Z32" s="682">
        <f t="shared" si="32"/>
        <v>18</v>
      </c>
      <c r="AA32" s="683">
        <f t="shared" si="32"/>
        <v>18</v>
      </c>
      <c r="AB32" s="682">
        <f t="shared" si="32"/>
        <v>17</v>
      </c>
      <c r="AC32" s="682">
        <f t="shared" si="32"/>
        <v>17</v>
      </c>
      <c r="AD32" s="682">
        <f t="shared" si="32"/>
        <v>16</v>
      </c>
      <c r="AE32" s="682">
        <f t="shared" si="32"/>
        <v>16</v>
      </c>
      <c r="AF32" s="684">
        <f t="shared" si="32"/>
        <v>15</v>
      </c>
      <c r="AG32" s="682">
        <f t="shared" si="32"/>
        <v>16</v>
      </c>
      <c r="AH32" s="682">
        <f t="shared" si="32"/>
        <v>16</v>
      </c>
      <c r="AI32" s="682">
        <f t="shared" si="32"/>
        <v>17</v>
      </c>
      <c r="AJ32" s="682">
        <f t="shared" si="32"/>
        <v>17</v>
      </c>
      <c r="AK32" s="683">
        <f t="shared" si="32"/>
        <v>18</v>
      </c>
      <c r="AL32" s="682">
        <f t="shared" si="32"/>
        <v>18</v>
      </c>
      <c r="AM32" s="682">
        <f t="shared" si="32"/>
        <v>19</v>
      </c>
      <c r="AN32" s="682">
        <f t="shared" si="32"/>
        <v>19</v>
      </c>
      <c r="AO32" s="682">
        <f t="shared" si="32"/>
        <v>20</v>
      </c>
      <c r="AP32" s="684">
        <f t="shared" si="32"/>
        <v>20</v>
      </c>
      <c r="AQ32" s="682">
        <f t="shared" si="32"/>
        <v>21</v>
      </c>
      <c r="AR32" s="682">
        <f t="shared" si="32"/>
        <v>21</v>
      </c>
      <c r="AS32" s="682">
        <f t="shared" si="32"/>
        <v>22</v>
      </c>
      <c r="AT32" s="682">
        <f t="shared" si="32"/>
        <v>22</v>
      </c>
      <c r="AU32" s="683">
        <f t="shared" si="32"/>
        <v>23</v>
      </c>
      <c r="AV32" s="682">
        <f t="shared" si="32"/>
        <v>23</v>
      </c>
      <c r="AW32" s="682">
        <f t="shared" si="32"/>
        <v>24</v>
      </c>
      <c r="AX32" s="682">
        <f t="shared" si="32"/>
        <v>24</v>
      </c>
      <c r="AY32" s="682">
        <f t="shared" si="32"/>
        <v>25</v>
      </c>
      <c r="AZ32" s="684">
        <f t="shared" si="32"/>
        <v>25</v>
      </c>
      <c r="BA32" s="682">
        <f t="shared" si="32"/>
        <v>26</v>
      </c>
      <c r="BB32" s="682">
        <f t="shared" si="32"/>
        <v>26</v>
      </c>
      <c r="BC32" s="682">
        <f t="shared" si="32"/>
        <v>27</v>
      </c>
      <c r="BD32" s="682">
        <f t="shared" si="32"/>
        <v>27</v>
      </c>
      <c r="BE32" s="683">
        <f t="shared" si="32"/>
        <v>28</v>
      </c>
      <c r="BF32" s="682">
        <f t="shared" si="32"/>
        <v>28</v>
      </c>
      <c r="BG32" s="682">
        <f t="shared" si="32"/>
        <v>29</v>
      </c>
      <c r="BH32" s="682">
        <f t="shared" si="32"/>
        <v>29</v>
      </c>
      <c r="BI32" s="682">
        <f t="shared" si="32"/>
        <v>30</v>
      </c>
      <c r="BJ32" s="684">
        <f t="shared" si="32"/>
        <v>30</v>
      </c>
      <c r="BK32" s="682">
        <f t="shared" si="32"/>
        <v>31</v>
      </c>
      <c r="BL32" s="682">
        <f t="shared" si="32"/>
        <v>31</v>
      </c>
      <c r="BM32" s="682">
        <f t="shared" si="32"/>
        <v>32</v>
      </c>
      <c r="BN32" s="682">
        <f t="shared" si="32"/>
        <v>32</v>
      </c>
      <c r="BO32" s="683">
        <f t="shared" si="32"/>
        <v>33</v>
      </c>
      <c r="BP32" s="682">
        <f t="shared" si="32"/>
        <v>33</v>
      </c>
      <c r="BQ32" s="682">
        <f t="shared" si="32"/>
        <v>35</v>
      </c>
      <c r="BR32" s="682">
        <f t="shared" si="32"/>
        <v>37</v>
      </c>
      <c r="BS32" s="682">
        <f t="shared" si="32"/>
        <v>39</v>
      </c>
      <c r="BT32" s="684">
        <f t="shared" si="32"/>
        <v>41</v>
      </c>
      <c r="BU32" s="682">
        <f t="shared" si="32"/>
        <v>43</v>
      </c>
      <c r="BV32" s="682">
        <f t="shared" si="32"/>
        <v>45</v>
      </c>
      <c r="BW32" s="682">
        <f t="shared" si="32"/>
        <v>47</v>
      </c>
      <c r="BX32" s="682">
        <f t="shared" si="32"/>
        <v>49</v>
      </c>
      <c r="BY32" s="683">
        <f t="shared" si="32"/>
        <v>51</v>
      </c>
      <c r="BZ32" s="682">
        <f t="shared" si="32"/>
        <v>53</v>
      </c>
      <c r="CA32" s="682">
        <f t="shared" si="32"/>
        <v>55</v>
      </c>
      <c r="CB32" s="682">
        <f t="shared" si="32"/>
        <v>57</v>
      </c>
      <c r="CC32" s="682">
        <f t="shared" si="32"/>
        <v>59</v>
      </c>
      <c r="CD32" s="684">
        <f t="shared" si="32"/>
        <v>61</v>
      </c>
      <c r="CE32" s="682">
        <f t="shared" si="32"/>
        <v>63</v>
      </c>
      <c r="CF32" s="682">
        <f t="shared" si="32"/>
        <v>65</v>
      </c>
      <c r="CG32" s="682">
        <f t="shared" si="32"/>
        <v>67</v>
      </c>
      <c r="CH32" s="682">
        <f t="shared" si="32"/>
        <v>69</v>
      </c>
      <c r="CI32" s="683">
        <f t="shared" si="32"/>
        <v>71</v>
      </c>
      <c r="CJ32" s="682">
        <f t="shared" si="32"/>
        <v>73</v>
      </c>
      <c r="CK32" s="682">
        <f t="shared" si="32"/>
        <v>75</v>
      </c>
      <c r="CL32" s="682">
        <f t="shared" si="32"/>
        <v>77</v>
      </c>
      <c r="CM32" s="682">
        <f t="shared" si="32"/>
        <v>79</v>
      </c>
      <c r="CN32" s="684">
        <f t="shared" si="32"/>
        <v>81</v>
      </c>
      <c r="CO32" s="682">
        <f t="shared" si="32"/>
        <v>83</v>
      </c>
      <c r="CP32" s="682">
        <f t="shared" si="32"/>
        <v>85</v>
      </c>
      <c r="CQ32" s="682">
        <f t="shared" si="32"/>
        <v>87</v>
      </c>
      <c r="CR32" s="682">
        <f t="shared" si="32"/>
        <v>89</v>
      </c>
      <c r="CS32" s="683">
        <f t="shared" si="32"/>
        <v>91</v>
      </c>
      <c r="CT32" s="682">
        <f t="shared" si="32"/>
        <v>93</v>
      </c>
      <c r="CU32" s="682">
        <f t="shared" si="32"/>
        <v>95</v>
      </c>
      <c r="CV32" s="682">
        <f t="shared" si="32"/>
        <v>97</v>
      </c>
      <c r="CW32" s="682">
        <f t="shared" si="32"/>
        <v>99</v>
      </c>
      <c r="CX32" s="563"/>
    </row>
    <row r="33" ht="10.5" customHeight="1">
      <c r="A33" s="543"/>
      <c r="B33" s="563">
        <f t="shared" si="4"/>
        <v>31</v>
      </c>
      <c r="C33" s="563">
        <f t="shared" ref="C33:CW33" si="33">IF(LT(IF(GT(C$2,MIN($B33,99)),C$2,MIN($B33,99)),99-FLOOR(C$2/2,1)),IF(GT(C$2,MIN($B33,99)),C$2,MIN($B33,99))-FLOOR(C$2/2,1),2*IF(GT(C$2,MIN($B33,99)),C$2,MIN($B33,99))-99)</f>
        <v>31</v>
      </c>
      <c r="D33" s="563">
        <f t="shared" si="33"/>
        <v>30</v>
      </c>
      <c r="E33" s="563">
        <f t="shared" si="33"/>
        <v>30</v>
      </c>
      <c r="F33" s="563">
        <f t="shared" si="33"/>
        <v>29</v>
      </c>
      <c r="G33" s="579">
        <f t="shared" si="33"/>
        <v>29</v>
      </c>
      <c r="H33" s="563">
        <f t="shared" si="33"/>
        <v>28</v>
      </c>
      <c r="I33" s="563">
        <f t="shared" si="33"/>
        <v>28</v>
      </c>
      <c r="J33" s="563">
        <f t="shared" si="33"/>
        <v>27</v>
      </c>
      <c r="K33" s="563">
        <f t="shared" si="33"/>
        <v>27</v>
      </c>
      <c r="L33" s="580">
        <f t="shared" si="33"/>
        <v>26</v>
      </c>
      <c r="M33" s="563">
        <f t="shared" si="33"/>
        <v>26</v>
      </c>
      <c r="N33" s="563">
        <f t="shared" si="33"/>
        <v>25</v>
      </c>
      <c r="O33" s="563">
        <f t="shared" si="33"/>
        <v>25</v>
      </c>
      <c r="P33" s="563">
        <f t="shared" si="33"/>
        <v>24</v>
      </c>
      <c r="Q33" s="579">
        <f t="shared" si="33"/>
        <v>24</v>
      </c>
      <c r="R33" s="563">
        <f t="shared" si="33"/>
        <v>23</v>
      </c>
      <c r="S33" s="563">
        <f t="shared" si="33"/>
        <v>23</v>
      </c>
      <c r="T33" s="563">
        <f t="shared" si="33"/>
        <v>22</v>
      </c>
      <c r="U33" s="563">
        <f t="shared" si="33"/>
        <v>22</v>
      </c>
      <c r="V33" s="580">
        <f t="shared" si="33"/>
        <v>21</v>
      </c>
      <c r="W33" s="563">
        <f t="shared" si="33"/>
        <v>21</v>
      </c>
      <c r="X33" s="563">
        <f t="shared" si="33"/>
        <v>20</v>
      </c>
      <c r="Y33" s="563">
        <f t="shared" si="33"/>
        <v>20</v>
      </c>
      <c r="Z33" s="563">
        <f t="shared" si="33"/>
        <v>19</v>
      </c>
      <c r="AA33" s="579">
        <f t="shared" si="33"/>
        <v>19</v>
      </c>
      <c r="AB33" s="563">
        <f t="shared" si="33"/>
        <v>18</v>
      </c>
      <c r="AC33" s="563">
        <f t="shared" si="33"/>
        <v>18</v>
      </c>
      <c r="AD33" s="563">
        <f t="shared" si="33"/>
        <v>17</v>
      </c>
      <c r="AE33" s="563">
        <f t="shared" si="33"/>
        <v>17</v>
      </c>
      <c r="AF33" s="580">
        <f t="shared" si="33"/>
        <v>16</v>
      </c>
      <c r="AG33" s="563">
        <f t="shared" si="33"/>
        <v>16</v>
      </c>
      <c r="AH33" s="563">
        <f t="shared" si="33"/>
        <v>16</v>
      </c>
      <c r="AI33" s="563">
        <f t="shared" si="33"/>
        <v>17</v>
      </c>
      <c r="AJ33" s="563">
        <f t="shared" si="33"/>
        <v>17</v>
      </c>
      <c r="AK33" s="579">
        <f t="shared" si="33"/>
        <v>18</v>
      </c>
      <c r="AL33" s="563">
        <f t="shared" si="33"/>
        <v>18</v>
      </c>
      <c r="AM33" s="563">
        <f t="shared" si="33"/>
        <v>19</v>
      </c>
      <c r="AN33" s="563">
        <f t="shared" si="33"/>
        <v>19</v>
      </c>
      <c r="AO33" s="563">
        <f t="shared" si="33"/>
        <v>20</v>
      </c>
      <c r="AP33" s="580">
        <f t="shared" si="33"/>
        <v>20</v>
      </c>
      <c r="AQ33" s="563">
        <f t="shared" si="33"/>
        <v>21</v>
      </c>
      <c r="AR33" s="563">
        <f t="shared" si="33"/>
        <v>21</v>
      </c>
      <c r="AS33" s="563">
        <f t="shared" si="33"/>
        <v>22</v>
      </c>
      <c r="AT33" s="563">
        <f t="shared" si="33"/>
        <v>22</v>
      </c>
      <c r="AU33" s="579">
        <f t="shared" si="33"/>
        <v>23</v>
      </c>
      <c r="AV33" s="563">
        <f t="shared" si="33"/>
        <v>23</v>
      </c>
      <c r="AW33" s="563">
        <f t="shared" si="33"/>
        <v>24</v>
      </c>
      <c r="AX33" s="563">
        <f t="shared" si="33"/>
        <v>24</v>
      </c>
      <c r="AY33" s="563">
        <f t="shared" si="33"/>
        <v>25</v>
      </c>
      <c r="AZ33" s="580">
        <f t="shared" si="33"/>
        <v>25</v>
      </c>
      <c r="BA33" s="563">
        <f t="shared" si="33"/>
        <v>26</v>
      </c>
      <c r="BB33" s="563">
        <f t="shared" si="33"/>
        <v>26</v>
      </c>
      <c r="BC33" s="563">
        <f t="shared" si="33"/>
        <v>27</v>
      </c>
      <c r="BD33" s="563">
        <f t="shared" si="33"/>
        <v>27</v>
      </c>
      <c r="BE33" s="579">
        <f t="shared" si="33"/>
        <v>28</v>
      </c>
      <c r="BF33" s="563">
        <f t="shared" si="33"/>
        <v>28</v>
      </c>
      <c r="BG33" s="563">
        <f t="shared" si="33"/>
        <v>29</v>
      </c>
      <c r="BH33" s="563">
        <f t="shared" si="33"/>
        <v>29</v>
      </c>
      <c r="BI33" s="563">
        <f t="shared" si="33"/>
        <v>30</v>
      </c>
      <c r="BJ33" s="580">
        <f t="shared" si="33"/>
        <v>30</v>
      </c>
      <c r="BK33" s="563">
        <f t="shared" si="33"/>
        <v>31</v>
      </c>
      <c r="BL33" s="563">
        <f t="shared" si="33"/>
        <v>31</v>
      </c>
      <c r="BM33" s="563">
        <f t="shared" si="33"/>
        <v>32</v>
      </c>
      <c r="BN33" s="563">
        <f t="shared" si="33"/>
        <v>32</v>
      </c>
      <c r="BO33" s="579">
        <f t="shared" si="33"/>
        <v>33</v>
      </c>
      <c r="BP33" s="563">
        <f t="shared" si="33"/>
        <v>33</v>
      </c>
      <c r="BQ33" s="563">
        <f t="shared" si="33"/>
        <v>35</v>
      </c>
      <c r="BR33" s="563">
        <f t="shared" si="33"/>
        <v>37</v>
      </c>
      <c r="BS33" s="563">
        <f t="shared" si="33"/>
        <v>39</v>
      </c>
      <c r="BT33" s="580">
        <f t="shared" si="33"/>
        <v>41</v>
      </c>
      <c r="BU33" s="563">
        <f t="shared" si="33"/>
        <v>43</v>
      </c>
      <c r="BV33" s="563">
        <f t="shared" si="33"/>
        <v>45</v>
      </c>
      <c r="BW33" s="563">
        <f t="shared" si="33"/>
        <v>47</v>
      </c>
      <c r="BX33" s="563">
        <f t="shared" si="33"/>
        <v>49</v>
      </c>
      <c r="BY33" s="579">
        <f t="shared" si="33"/>
        <v>51</v>
      </c>
      <c r="BZ33" s="563">
        <f t="shared" si="33"/>
        <v>53</v>
      </c>
      <c r="CA33" s="563">
        <f t="shared" si="33"/>
        <v>55</v>
      </c>
      <c r="CB33" s="563">
        <f t="shared" si="33"/>
        <v>57</v>
      </c>
      <c r="CC33" s="563">
        <f t="shared" si="33"/>
        <v>59</v>
      </c>
      <c r="CD33" s="580">
        <f t="shared" si="33"/>
        <v>61</v>
      </c>
      <c r="CE33" s="563">
        <f t="shared" si="33"/>
        <v>63</v>
      </c>
      <c r="CF33" s="563">
        <f t="shared" si="33"/>
        <v>65</v>
      </c>
      <c r="CG33" s="563">
        <f t="shared" si="33"/>
        <v>67</v>
      </c>
      <c r="CH33" s="563">
        <f t="shared" si="33"/>
        <v>69</v>
      </c>
      <c r="CI33" s="579">
        <f t="shared" si="33"/>
        <v>71</v>
      </c>
      <c r="CJ33" s="563">
        <f t="shared" si="33"/>
        <v>73</v>
      </c>
      <c r="CK33" s="563">
        <f t="shared" si="33"/>
        <v>75</v>
      </c>
      <c r="CL33" s="563">
        <f t="shared" si="33"/>
        <v>77</v>
      </c>
      <c r="CM33" s="563">
        <f t="shared" si="33"/>
        <v>79</v>
      </c>
      <c r="CN33" s="580">
        <f t="shared" si="33"/>
        <v>81</v>
      </c>
      <c r="CO33" s="563">
        <f t="shared" si="33"/>
        <v>83</v>
      </c>
      <c r="CP33" s="563">
        <f t="shared" si="33"/>
        <v>85</v>
      </c>
      <c r="CQ33" s="563">
        <f t="shared" si="33"/>
        <v>87</v>
      </c>
      <c r="CR33" s="563">
        <f t="shared" si="33"/>
        <v>89</v>
      </c>
      <c r="CS33" s="579">
        <f t="shared" si="33"/>
        <v>91</v>
      </c>
      <c r="CT33" s="563">
        <f t="shared" si="33"/>
        <v>93</v>
      </c>
      <c r="CU33" s="563">
        <f t="shared" si="33"/>
        <v>95</v>
      </c>
      <c r="CV33" s="563">
        <f t="shared" si="33"/>
        <v>97</v>
      </c>
      <c r="CW33" s="563">
        <f t="shared" si="33"/>
        <v>99</v>
      </c>
      <c r="CX33" s="563"/>
    </row>
    <row r="34" ht="10.5" customHeight="1">
      <c r="A34" s="543"/>
      <c r="B34" s="563">
        <f t="shared" si="4"/>
        <v>32</v>
      </c>
      <c r="C34" s="563">
        <f t="shared" ref="C34:CW34" si="34">IF(LT(IF(GT(C$2,MIN($B34,99)),C$2,MIN($B34,99)),99-FLOOR(C$2/2,1)),IF(GT(C$2,MIN($B34,99)),C$2,MIN($B34,99))-FLOOR(C$2/2,1),2*IF(GT(C$2,MIN($B34,99)),C$2,MIN($B34,99))-99)</f>
        <v>32</v>
      </c>
      <c r="D34" s="563">
        <f t="shared" si="34"/>
        <v>31</v>
      </c>
      <c r="E34" s="563">
        <f t="shared" si="34"/>
        <v>31</v>
      </c>
      <c r="F34" s="563">
        <f t="shared" si="34"/>
        <v>30</v>
      </c>
      <c r="G34" s="579">
        <f t="shared" si="34"/>
        <v>30</v>
      </c>
      <c r="H34" s="563">
        <f t="shared" si="34"/>
        <v>29</v>
      </c>
      <c r="I34" s="563">
        <f t="shared" si="34"/>
        <v>29</v>
      </c>
      <c r="J34" s="563">
        <f t="shared" si="34"/>
        <v>28</v>
      </c>
      <c r="K34" s="563">
        <f t="shared" si="34"/>
        <v>28</v>
      </c>
      <c r="L34" s="580">
        <f t="shared" si="34"/>
        <v>27</v>
      </c>
      <c r="M34" s="563">
        <f t="shared" si="34"/>
        <v>27</v>
      </c>
      <c r="N34" s="563">
        <f t="shared" si="34"/>
        <v>26</v>
      </c>
      <c r="O34" s="563">
        <f t="shared" si="34"/>
        <v>26</v>
      </c>
      <c r="P34" s="563">
        <f t="shared" si="34"/>
        <v>25</v>
      </c>
      <c r="Q34" s="579">
        <f t="shared" si="34"/>
        <v>25</v>
      </c>
      <c r="R34" s="563">
        <f t="shared" si="34"/>
        <v>24</v>
      </c>
      <c r="S34" s="563">
        <f t="shared" si="34"/>
        <v>24</v>
      </c>
      <c r="T34" s="563">
        <f t="shared" si="34"/>
        <v>23</v>
      </c>
      <c r="U34" s="563">
        <f t="shared" si="34"/>
        <v>23</v>
      </c>
      <c r="V34" s="580">
        <f t="shared" si="34"/>
        <v>22</v>
      </c>
      <c r="W34" s="563">
        <f t="shared" si="34"/>
        <v>22</v>
      </c>
      <c r="X34" s="563">
        <f t="shared" si="34"/>
        <v>21</v>
      </c>
      <c r="Y34" s="563">
        <f t="shared" si="34"/>
        <v>21</v>
      </c>
      <c r="Z34" s="563">
        <f t="shared" si="34"/>
        <v>20</v>
      </c>
      <c r="AA34" s="579">
        <f t="shared" si="34"/>
        <v>20</v>
      </c>
      <c r="AB34" s="563">
        <f t="shared" si="34"/>
        <v>19</v>
      </c>
      <c r="AC34" s="563">
        <f t="shared" si="34"/>
        <v>19</v>
      </c>
      <c r="AD34" s="563">
        <f t="shared" si="34"/>
        <v>18</v>
      </c>
      <c r="AE34" s="563">
        <f t="shared" si="34"/>
        <v>18</v>
      </c>
      <c r="AF34" s="580">
        <f t="shared" si="34"/>
        <v>17</v>
      </c>
      <c r="AG34" s="563">
        <f t="shared" si="34"/>
        <v>17</v>
      </c>
      <c r="AH34" s="563">
        <f t="shared" si="34"/>
        <v>16</v>
      </c>
      <c r="AI34" s="563">
        <f t="shared" si="34"/>
        <v>17</v>
      </c>
      <c r="AJ34" s="563">
        <f t="shared" si="34"/>
        <v>17</v>
      </c>
      <c r="AK34" s="579">
        <f t="shared" si="34"/>
        <v>18</v>
      </c>
      <c r="AL34" s="563">
        <f t="shared" si="34"/>
        <v>18</v>
      </c>
      <c r="AM34" s="563">
        <f t="shared" si="34"/>
        <v>19</v>
      </c>
      <c r="AN34" s="563">
        <f t="shared" si="34"/>
        <v>19</v>
      </c>
      <c r="AO34" s="563">
        <f t="shared" si="34"/>
        <v>20</v>
      </c>
      <c r="AP34" s="580">
        <f t="shared" si="34"/>
        <v>20</v>
      </c>
      <c r="AQ34" s="563">
        <f t="shared" si="34"/>
        <v>21</v>
      </c>
      <c r="AR34" s="563">
        <f t="shared" si="34"/>
        <v>21</v>
      </c>
      <c r="AS34" s="563">
        <f t="shared" si="34"/>
        <v>22</v>
      </c>
      <c r="AT34" s="563">
        <f t="shared" si="34"/>
        <v>22</v>
      </c>
      <c r="AU34" s="579">
        <f t="shared" si="34"/>
        <v>23</v>
      </c>
      <c r="AV34" s="563">
        <f t="shared" si="34"/>
        <v>23</v>
      </c>
      <c r="AW34" s="563">
        <f t="shared" si="34"/>
        <v>24</v>
      </c>
      <c r="AX34" s="563">
        <f t="shared" si="34"/>
        <v>24</v>
      </c>
      <c r="AY34" s="563">
        <f t="shared" si="34"/>
        <v>25</v>
      </c>
      <c r="AZ34" s="580">
        <f t="shared" si="34"/>
        <v>25</v>
      </c>
      <c r="BA34" s="563">
        <f t="shared" si="34"/>
        <v>26</v>
      </c>
      <c r="BB34" s="563">
        <f t="shared" si="34"/>
        <v>26</v>
      </c>
      <c r="BC34" s="563">
        <f t="shared" si="34"/>
        <v>27</v>
      </c>
      <c r="BD34" s="563">
        <f t="shared" si="34"/>
        <v>27</v>
      </c>
      <c r="BE34" s="579">
        <f t="shared" si="34"/>
        <v>28</v>
      </c>
      <c r="BF34" s="563">
        <f t="shared" si="34"/>
        <v>28</v>
      </c>
      <c r="BG34" s="563">
        <f t="shared" si="34"/>
        <v>29</v>
      </c>
      <c r="BH34" s="563">
        <f t="shared" si="34"/>
        <v>29</v>
      </c>
      <c r="BI34" s="563">
        <f t="shared" si="34"/>
        <v>30</v>
      </c>
      <c r="BJ34" s="580">
        <f t="shared" si="34"/>
        <v>30</v>
      </c>
      <c r="BK34" s="563">
        <f t="shared" si="34"/>
        <v>31</v>
      </c>
      <c r="BL34" s="563">
        <f t="shared" si="34"/>
        <v>31</v>
      </c>
      <c r="BM34" s="563">
        <f t="shared" si="34"/>
        <v>32</v>
      </c>
      <c r="BN34" s="563">
        <f t="shared" si="34"/>
        <v>32</v>
      </c>
      <c r="BO34" s="579">
        <f t="shared" si="34"/>
        <v>33</v>
      </c>
      <c r="BP34" s="563">
        <f t="shared" si="34"/>
        <v>33</v>
      </c>
      <c r="BQ34" s="563">
        <f t="shared" si="34"/>
        <v>35</v>
      </c>
      <c r="BR34" s="563">
        <f t="shared" si="34"/>
        <v>37</v>
      </c>
      <c r="BS34" s="563">
        <f t="shared" si="34"/>
        <v>39</v>
      </c>
      <c r="BT34" s="580">
        <f t="shared" si="34"/>
        <v>41</v>
      </c>
      <c r="BU34" s="563">
        <f t="shared" si="34"/>
        <v>43</v>
      </c>
      <c r="BV34" s="563">
        <f t="shared" si="34"/>
        <v>45</v>
      </c>
      <c r="BW34" s="563">
        <f t="shared" si="34"/>
        <v>47</v>
      </c>
      <c r="BX34" s="563">
        <f t="shared" si="34"/>
        <v>49</v>
      </c>
      <c r="BY34" s="579">
        <f t="shared" si="34"/>
        <v>51</v>
      </c>
      <c r="BZ34" s="563">
        <f t="shared" si="34"/>
        <v>53</v>
      </c>
      <c r="CA34" s="563">
        <f t="shared" si="34"/>
        <v>55</v>
      </c>
      <c r="CB34" s="563">
        <f t="shared" si="34"/>
        <v>57</v>
      </c>
      <c r="CC34" s="563">
        <f t="shared" si="34"/>
        <v>59</v>
      </c>
      <c r="CD34" s="580">
        <f t="shared" si="34"/>
        <v>61</v>
      </c>
      <c r="CE34" s="563">
        <f t="shared" si="34"/>
        <v>63</v>
      </c>
      <c r="CF34" s="563">
        <f t="shared" si="34"/>
        <v>65</v>
      </c>
      <c r="CG34" s="563">
        <f t="shared" si="34"/>
        <v>67</v>
      </c>
      <c r="CH34" s="563">
        <f t="shared" si="34"/>
        <v>69</v>
      </c>
      <c r="CI34" s="579">
        <f t="shared" si="34"/>
        <v>71</v>
      </c>
      <c r="CJ34" s="563">
        <f t="shared" si="34"/>
        <v>73</v>
      </c>
      <c r="CK34" s="563">
        <f t="shared" si="34"/>
        <v>75</v>
      </c>
      <c r="CL34" s="563">
        <f t="shared" si="34"/>
        <v>77</v>
      </c>
      <c r="CM34" s="563">
        <f t="shared" si="34"/>
        <v>79</v>
      </c>
      <c r="CN34" s="580">
        <f t="shared" si="34"/>
        <v>81</v>
      </c>
      <c r="CO34" s="563">
        <f t="shared" si="34"/>
        <v>83</v>
      </c>
      <c r="CP34" s="563">
        <f t="shared" si="34"/>
        <v>85</v>
      </c>
      <c r="CQ34" s="563">
        <f t="shared" si="34"/>
        <v>87</v>
      </c>
      <c r="CR34" s="563">
        <f t="shared" si="34"/>
        <v>89</v>
      </c>
      <c r="CS34" s="579">
        <f t="shared" si="34"/>
        <v>91</v>
      </c>
      <c r="CT34" s="563">
        <f t="shared" si="34"/>
        <v>93</v>
      </c>
      <c r="CU34" s="563">
        <f t="shared" si="34"/>
        <v>95</v>
      </c>
      <c r="CV34" s="563">
        <f t="shared" si="34"/>
        <v>97</v>
      </c>
      <c r="CW34" s="563">
        <f t="shared" si="34"/>
        <v>99</v>
      </c>
      <c r="CX34" s="563"/>
    </row>
    <row r="35" ht="10.5" customHeight="1">
      <c r="A35" s="543"/>
      <c r="B35" s="563">
        <f t="shared" si="4"/>
        <v>33</v>
      </c>
      <c r="C35" s="563">
        <f t="shared" ref="C35:CW35" si="35">IF(LT(IF(GT(C$2,MIN($B35,99)),C$2,MIN($B35,99)),99-FLOOR(C$2/2,1)),IF(GT(C$2,MIN($B35,99)),C$2,MIN($B35,99))-FLOOR(C$2/2,1),2*IF(GT(C$2,MIN($B35,99)),C$2,MIN($B35,99))-99)</f>
        <v>33</v>
      </c>
      <c r="D35" s="563">
        <f t="shared" si="35"/>
        <v>32</v>
      </c>
      <c r="E35" s="563">
        <f t="shared" si="35"/>
        <v>32</v>
      </c>
      <c r="F35" s="563">
        <f t="shared" si="35"/>
        <v>31</v>
      </c>
      <c r="G35" s="579">
        <f t="shared" si="35"/>
        <v>31</v>
      </c>
      <c r="H35" s="563">
        <f t="shared" si="35"/>
        <v>30</v>
      </c>
      <c r="I35" s="563">
        <f t="shared" si="35"/>
        <v>30</v>
      </c>
      <c r="J35" s="563">
        <f t="shared" si="35"/>
        <v>29</v>
      </c>
      <c r="K35" s="563">
        <f t="shared" si="35"/>
        <v>29</v>
      </c>
      <c r="L35" s="580">
        <f t="shared" si="35"/>
        <v>28</v>
      </c>
      <c r="M35" s="563">
        <f t="shared" si="35"/>
        <v>28</v>
      </c>
      <c r="N35" s="563">
        <f t="shared" si="35"/>
        <v>27</v>
      </c>
      <c r="O35" s="563">
        <f t="shared" si="35"/>
        <v>27</v>
      </c>
      <c r="P35" s="563">
        <f t="shared" si="35"/>
        <v>26</v>
      </c>
      <c r="Q35" s="579">
        <f t="shared" si="35"/>
        <v>26</v>
      </c>
      <c r="R35" s="563">
        <f t="shared" si="35"/>
        <v>25</v>
      </c>
      <c r="S35" s="563">
        <f t="shared" si="35"/>
        <v>25</v>
      </c>
      <c r="T35" s="563">
        <f t="shared" si="35"/>
        <v>24</v>
      </c>
      <c r="U35" s="563">
        <f t="shared" si="35"/>
        <v>24</v>
      </c>
      <c r="V35" s="580">
        <f t="shared" si="35"/>
        <v>23</v>
      </c>
      <c r="W35" s="563">
        <f t="shared" si="35"/>
        <v>23</v>
      </c>
      <c r="X35" s="563">
        <f t="shared" si="35"/>
        <v>22</v>
      </c>
      <c r="Y35" s="563">
        <f t="shared" si="35"/>
        <v>22</v>
      </c>
      <c r="Z35" s="563">
        <f t="shared" si="35"/>
        <v>21</v>
      </c>
      <c r="AA35" s="579">
        <f t="shared" si="35"/>
        <v>21</v>
      </c>
      <c r="AB35" s="563">
        <f t="shared" si="35"/>
        <v>20</v>
      </c>
      <c r="AC35" s="563">
        <f t="shared" si="35"/>
        <v>20</v>
      </c>
      <c r="AD35" s="563">
        <f t="shared" si="35"/>
        <v>19</v>
      </c>
      <c r="AE35" s="563">
        <f t="shared" si="35"/>
        <v>19</v>
      </c>
      <c r="AF35" s="580">
        <f t="shared" si="35"/>
        <v>18</v>
      </c>
      <c r="AG35" s="563">
        <f t="shared" si="35"/>
        <v>18</v>
      </c>
      <c r="AH35" s="563">
        <f t="shared" si="35"/>
        <v>17</v>
      </c>
      <c r="AI35" s="563">
        <f t="shared" si="35"/>
        <v>17</v>
      </c>
      <c r="AJ35" s="563">
        <f t="shared" si="35"/>
        <v>17</v>
      </c>
      <c r="AK35" s="579">
        <f t="shared" si="35"/>
        <v>18</v>
      </c>
      <c r="AL35" s="563">
        <f t="shared" si="35"/>
        <v>18</v>
      </c>
      <c r="AM35" s="563">
        <f t="shared" si="35"/>
        <v>19</v>
      </c>
      <c r="AN35" s="563">
        <f t="shared" si="35"/>
        <v>19</v>
      </c>
      <c r="AO35" s="563">
        <f t="shared" si="35"/>
        <v>20</v>
      </c>
      <c r="AP35" s="580">
        <f t="shared" si="35"/>
        <v>20</v>
      </c>
      <c r="AQ35" s="563">
        <f t="shared" si="35"/>
        <v>21</v>
      </c>
      <c r="AR35" s="563">
        <f t="shared" si="35"/>
        <v>21</v>
      </c>
      <c r="AS35" s="563">
        <f t="shared" si="35"/>
        <v>22</v>
      </c>
      <c r="AT35" s="563">
        <f t="shared" si="35"/>
        <v>22</v>
      </c>
      <c r="AU35" s="579">
        <f t="shared" si="35"/>
        <v>23</v>
      </c>
      <c r="AV35" s="563">
        <f t="shared" si="35"/>
        <v>23</v>
      </c>
      <c r="AW35" s="563">
        <f t="shared" si="35"/>
        <v>24</v>
      </c>
      <c r="AX35" s="563">
        <f t="shared" si="35"/>
        <v>24</v>
      </c>
      <c r="AY35" s="563">
        <f t="shared" si="35"/>
        <v>25</v>
      </c>
      <c r="AZ35" s="580">
        <f t="shared" si="35"/>
        <v>25</v>
      </c>
      <c r="BA35" s="563">
        <f t="shared" si="35"/>
        <v>26</v>
      </c>
      <c r="BB35" s="563">
        <f t="shared" si="35"/>
        <v>26</v>
      </c>
      <c r="BC35" s="563">
        <f t="shared" si="35"/>
        <v>27</v>
      </c>
      <c r="BD35" s="563">
        <f t="shared" si="35"/>
        <v>27</v>
      </c>
      <c r="BE35" s="579">
        <f t="shared" si="35"/>
        <v>28</v>
      </c>
      <c r="BF35" s="563">
        <f t="shared" si="35"/>
        <v>28</v>
      </c>
      <c r="BG35" s="563">
        <f t="shared" si="35"/>
        <v>29</v>
      </c>
      <c r="BH35" s="563">
        <f t="shared" si="35"/>
        <v>29</v>
      </c>
      <c r="BI35" s="563">
        <f t="shared" si="35"/>
        <v>30</v>
      </c>
      <c r="BJ35" s="580">
        <f t="shared" si="35"/>
        <v>30</v>
      </c>
      <c r="BK35" s="563">
        <f t="shared" si="35"/>
        <v>31</v>
      </c>
      <c r="BL35" s="563">
        <f t="shared" si="35"/>
        <v>31</v>
      </c>
      <c r="BM35" s="563">
        <f t="shared" si="35"/>
        <v>32</v>
      </c>
      <c r="BN35" s="563">
        <f t="shared" si="35"/>
        <v>32</v>
      </c>
      <c r="BO35" s="579">
        <f t="shared" si="35"/>
        <v>33</v>
      </c>
      <c r="BP35" s="563">
        <f t="shared" si="35"/>
        <v>33</v>
      </c>
      <c r="BQ35" s="563">
        <f t="shared" si="35"/>
        <v>35</v>
      </c>
      <c r="BR35" s="563">
        <f t="shared" si="35"/>
        <v>37</v>
      </c>
      <c r="BS35" s="563">
        <f t="shared" si="35"/>
        <v>39</v>
      </c>
      <c r="BT35" s="580">
        <f t="shared" si="35"/>
        <v>41</v>
      </c>
      <c r="BU35" s="563">
        <f t="shared" si="35"/>
        <v>43</v>
      </c>
      <c r="BV35" s="563">
        <f t="shared" si="35"/>
        <v>45</v>
      </c>
      <c r="BW35" s="563">
        <f t="shared" si="35"/>
        <v>47</v>
      </c>
      <c r="BX35" s="563">
        <f t="shared" si="35"/>
        <v>49</v>
      </c>
      <c r="BY35" s="579">
        <f t="shared" si="35"/>
        <v>51</v>
      </c>
      <c r="BZ35" s="563">
        <f t="shared" si="35"/>
        <v>53</v>
      </c>
      <c r="CA35" s="563">
        <f t="shared" si="35"/>
        <v>55</v>
      </c>
      <c r="CB35" s="563">
        <f t="shared" si="35"/>
        <v>57</v>
      </c>
      <c r="CC35" s="563">
        <f t="shared" si="35"/>
        <v>59</v>
      </c>
      <c r="CD35" s="580">
        <f t="shared" si="35"/>
        <v>61</v>
      </c>
      <c r="CE35" s="563">
        <f t="shared" si="35"/>
        <v>63</v>
      </c>
      <c r="CF35" s="563">
        <f t="shared" si="35"/>
        <v>65</v>
      </c>
      <c r="CG35" s="563">
        <f t="shared" si="35"/>
        <v>67</v>
      </c>
      <c r="CH35" s="563">
        <f t="shared" si="35"/>
        <v>69</v>
      </c>
      <c r="CI35" s="579">
        <f t="shared" si="35"/>
        <v>71</v>
      </c>
      <c r="CJ35" s="563">
        <f t="shared" si="35"/>
        <v>73</v>
      </c>
      <c r="CK35" s="563">
        <f t="shared" si="35"/>
        <v>75</v>
      </c>
      <c r="CL35" s="563">
        <f t="shared" si="35"/>
        <v>77</v>
      </c>
      <c r="CM35" s="563">
        <f t="shared" si="35"/>
        <v>79</v>
      </c>
      <c r="CN35" s="580">
        <f t="shared" si="35"/>
        <v>81</v>
      </c>
      <c r="CO35" s="563">
        <f t="shared" si="35"/>
        <v>83</v>
      </c>
      <c r="CP35" s="563">
        <f t="shared" si="35"/>
        <v>85</v>
      </c>
      <c r="CQ35" s="563">
        <f t="shared" si="35"/>
        <v>87</v>
      </c>
      <c r="CR35" s="563">
        <f t="shared" si="35"/>
        <v>89</v>
      </c>
      <c r="CS35" s="579">
        <f t="shared" si="35"/>
        <v>91</v>
      </c>
      <c r="CT35" s="563">
        <f t="shared" si="35"/>
        <v>93</v>
      </c>
      <c r="CU35" s="563">
        <f t="shared" si="35"/>
        <v>95</v>
      </c>
      <c r="CV35" s="563">
        <f t="shared" si="35"/>
        <v>97</v>
      </c>
      <c r="CW35" s="563">
        <f t="shared" si="35"/>
        <v>99</v>
      </c>
      <c r="CX35" s="563"/>
    </row>
    <row r="36" ht="10.5" customHeight="1">
      <c r="A36" s="543"/>
      <c r="B36" s="563">
        <f t="shared" si="4"/>
        <v>34</v>
      </c>
      <c r="C36" s="563">
        <f t="shared" ref="C36:CW36" si="36">IF(LT(IF(GT(C$2,MIN($B36,99)),C$2,MIN($B36,99)),99-FLOOR(C$2/2,1)),IF(GT(C$2,MIN($B36,99)),C$2,MIN($B36,99))-FLOOR(C$2/2,1),2*IF(GT(C$2,MIN($B36,99)),C$2,MIN($B36,99))-99)</f>
        <v>34</v>
      </c>
      <c r="D36" s="563">
        <f t="shared" si="36"/>
        <v>33</v>
      </c>
      <c r="E36" s="563">
        <f t="shared" si="36"/>
        <v>33</v>
      </c>
      <c r="F36" s="563">
        <f t="shared" si="36"/>
        <v>32</v>
      </c>
      <c r="G36" s="579">
        <f t="shared" si="36"/>
        <v>32</v>
      </c>
      <c r="H36" s="563">
        <f t="shared" si="36"/>
        <v>31</v>
      </c>
      <c r="I36" s="563">
        <f t="shared" si="36"/>
        <v>31</v>
      </c>
      <c r="J36" s="563">
        <f t="shared" si="36"/>
        <v>30</v>
      </c>
      <c r="K36" s="563">
        <f t="shared" si="36"/>
        <v>30</v>
      </c>
      <c r="L36" s="580">
        <f t="shared" si="36"/>
        <v>29</v>
      </c>
      <c r="M36" s="563">
        <f t="shared" si="36"/>
        <v>29</v>
      </c>
      <c r="N36" s="563">
        <f t="shared" si="36"/>
        <v>28</v>
      </c>
      <c r="O36" s="563">
        <f t="shared" si="36"/>
        <v>28</v>
      </c>
      <c r="P36" s="563">
        <f t="shared" si="36"/>
        <v>27</v>
      </c>
      <c r="Q36" s="579">
        <f t="shared" si="36"/>
        <v>27</v>
      </c>
      <c r="R36" s="563">
        <f t="shared" si="36"/>
        <v>26</v>
      </c>
      <c r="S36" s="563">
        <f t="shared" si="36"/>
        <v>26</v>
      </c>
      <c r="T36" s="563">
        <f t="shared" si="36"/>
        <v>25</v>
      </c>
      <c r="U36" s="563">
        <f t="shared" si="36"/>
        <v>25</v>
      </c>
      <c r="V36" s="580">
        <f t="shared" si="36"/>
        <v>24</v>
      </c>
      <c r="W36" s="563">
        <f t="shared" si="36"/>
        <v>24</v>
      </c>
      <c r="X36" s="563">
        <f t="shared" si="36"/>
        <v>23</v>
      </c>
      <c r="Y36" s="563">
        <f t="shared" si="36"/>
        <v>23</v>
      </c>
      <c r="Z36" s="563">
        <f t="shared" si="36"/>
        <v>22</v>
      </c>
      <c r="AA36" s="579">
        <f t="shared" si="36"/>
        <v>22</v>
      </c>
      <c r="AB36" s="563">
        <f t="shared" si="36"/>
        <v>21</v>
      </c>
      <c r="AC36" s="563">
        <f t="shared" si="36"/>
        <v>21</v>
      </c>
      <c r="AD36" s="563">
        <f t="shared" si="36"/>
        <v>20</v>
      </c>
      <c r="AE36" s="563">
        <f t="shared" si="36"/>
        <v>20</v>
      </c>
      <c r="AF36" s="580">
        <f t="shared" si="36"/>
        <v>19</v>
      </c>
      <c r="AG36" s="563">
        <f t="shared" si="36"/>
        <v>19</v>
      </c>
      <c r="AH36" s="563">
        <f t="shared" si="36"/>
        <v>18</v>
      </c>
      <c r="AI36" s="563">
        <f t="shared" si="36"/>
        <v>18</v>
      </c>
      <c r="AJ36" s="563">
        <f t="shared" si="36"/>
        <v>17</v>
      </c>
      <c r="AK36" s="579">
        <f t="shared" si="36"/>
        <v>18</v>
      </c>
      <c r="AL36" s="563">
        <f t="shared" si="36"/>
        <v>18</v>
      </c>
      <c r="AM36" s="563">
        <f t="shared" si="36"/>
        <v>19</v>
      </c>
      <c r="AN36" s="563">
        <f t="shared" si="36"/>
        <v>19</v>
      </c>
      <c r="AO36" s="563">
        <f t="shared" si="36"/>
        <v>20</v>
      </c>
      <c r="AP36" s="580">
        <f t="shared" si="36"/>
        <v>20</v>
      </c>
      <c r="AQ36" s="563">
        <f t="shared" si="36"/>
        <v>21</v>
      </c>
      <c r="AR36" s="563">
        <f t="shared" si="36"/>
        <v>21</v>
      </c>
      <c r="AS36" s="563">
        <f t="shared" si="36"/>
        <v>22</v>
      </c>
      <c r="AT36" s="563">
        <f t="shared" si="36"/>
        <v>22</v>
      </c>
      <c r="AU36" s="579">
        <f t="shared" si="36"/>
        <v>23</v>
      </c>
      <c r="AV36" s="563">
        <f t="shared" si="36"/>
        <v>23</v>
      </c>
      <c r="AW36" s="563">
        <f t="shared" si="36"/>
        <v>24</v>
      </c>
      <c r="AX36" s="563">
        <f t="shared" si="36"/>
        <v>24</v>
      </c>
      <c r="AY36" s="563">
        <f t="shared" si="36"/>
        <v>25</v>
      </c>
      <c r="AZ36" s="580">
        <f t="shared" si="36"/>
        <v>25</v>
      </c>
      <c r="BA36" s="563">
        <f t="shared" si="36"/>
        <v>26</v>
      </c>
      <c r="BB36" s="563">
        <f t="shared" si="36"/>
        <v>26</v>
      </c>
      <c r="BC36" s="563">
        <f t="shared" si="36"/>
        <v>27</v>
      </c>
      <c r="BD36" s="563">
        <f t="shared" si="36"/>
        <v>27</v>
      </c>
      <c r="BE36" s="579">
        <f t="shared" si="36"/>
        <v>28</v>
      </c>
      <c r="BF36" s="563">
        <f t="shared" si="36"/>
        <v>28</v>
      </c>
      <c r="BG36" s="563">
        <f t="shared" si="36"/>
        <v>29</v>
      </c>
      <c r="BH36" s="563">
        <f t="shared" si="36"/>
        <v>29</v>
      </c>
      <c r="BI36" s="563">
        <f t="shared" si="36"/>
        <v>30</v>
      </c>
      <c r="BJ36" s="580">
        <f t="shared" si="36"/>
        <v>30</v>
      </c>
      <c r="BK36" s="563">
        <f t="shared" si="36"/>
        <v>31</v>
      </c>
      <c r="BL36" s="563">
        <f t="shared" si="36"/>
        <v>31</v>
      </c>
      <c r="BM36" s="563">
        <f t="shared" si="36"/>
        <v>32</v>
      </c>
      <c r="BN36" s="563">
        <f t="shared" si="36"/>
        <v>32</v>
      </c>
      <c r="BO36" s="579">
        <f t="shared" si="36"/>
        <v>33</v>
      </c>
      <c r="BP36" s="563">
        <f t="shared" si="36"/>
        <v>33</v>
      </c>
      <c r="BQ36" s="563">
        <f t="shared" si="36"/>
        <v>35</v>
      </c>
      <c r="BR36" s="563">
        <f t="shared" si="36"/>
        <v>37</v>
      </c>
      <c r="BS36" s="563">
        <f t="shared" si="36"/>
        <v>39</v>
      </c>
      <c r="BT36" s="580">
        <f t="shared" si="36"/>
        <v>41</v>
      </c>
      <c r="BU36" s="563">
        <f t="shared" si="36"/>
        <v>43</v>
      </c>
      <c r="BV36" s="563">
        <f t="shared" si="36"/>
        <v>45</v>
      </c>
      <c r="BW36" s="563">
        <f t="shared" si="36"/>
        <v>47</v>
      </c>
      <c r="BX36" s="563">
        <f t="shared" si="36"/>
        <v>49</v>
      </c>
      <c r="BY36" s="579">
        <f t="shared" si="36"/>
        <v>51</v>
      </c>
      <c r="BZ36" s="563">
        <f t="shared" si="36"/>
        <v>53</v>
      </c>
      <c r="CA36" s="563">
        <f t="shared" si="36"/>
        <v>55</v>
      </c>
      <c r="CB36" s="563">
        <f t="shared" si="36"/>
        <v>57</v>
      </c>
      <c r="CC36" s="563">
        <f t="shared" si="36"/>
        <v>59</v>
      </c>
      <c r="CD36" s="580">
        <f t="shared" si="36"/>
        <v>61</v>
      </c>
      <c r="CE36" s="563">
        <f t="shared" si="36"/>
        <v>63</v>
      </c>
      <c r="CF36" s="563">
        <f t="shared" si="36"/>
        <v>65</v>
      </c>
      <c r="CG36" s="563">
        <f t="shared" si="36"/>
        <v>67</v>
      </c>
      <c r="CH36" s="563">
        <f t="shared" si="36"/>
        <v>69</v>
      </c>
      <c r="CI36" s="579">
        <f t="shared" si="36"/>
        <v>71</v>
      </c>
      <c r="CJ36" s="563">
        <f t="shared" si="36"/>
        <v>73</v>
      </c>
      <c r="CK36" s="563">
        <f t="shared" si="36"/>
        <v>75</v>
      </c>
      <c r="CL36" s="563">
        <f t="shared" si="36"/>
        <v>77</v>
      </c>
      <c r="CM36" s="563">
        <f t="shared" si="36"/>
        <v>79</v>
      </c>
      <c r="CN36" s="580">
        <f t="shared" si="36"/>
        <v>81</v>
      </c>
      <c r="CO36" s="563">
        <f t="shared" si="36"/>
        <v>83</v>
      </c>
      <c r="CP36" s="563">
        <f t="shared" si="36"/>
        <v>85</v>
      </c>
      <c r="CQ36" s="563">
        <f t="shared" si="36"/>
        <v>87</v>
      </c>
      <c r="CR36" s="563">
        <f t="shared" si="36"/>
        <v>89</v>
      </c>
      <c r="CS36" s="579">
        <f t="shared" si="36"/>
        <v>91</v>
      </c>
      <c r="CT36" s="563">
        <f t="shared" si="36"/>
        <v>93</v>
      </c>
      <c r="CU36" s="563">
        <f t="shared" si="36"/>
        <v>95</v>
      </c>
      <c r="CV36" s="563">
        <f t="shared" si="36"/>
        <v>97</v>
      </c>
      <c r="CW36" s="563">
        <f t="shared" si="36"/>
        <v>99</v>
      </c>
      <c r="CX36" s="563"/>
    </row>
    <row r="37" ht="10.5" customHeight="1">
      <c r="A37" s="543"/>
      <c r="B37" s="563">
        <f t="shared" si="4"/>
        <v>35</v>
      </c>
      <c r="C37" s="640">
        <f t="shared" ref="C37:CW37" si="37">IF(LT(IF(GT(C$2,MIN($B37,99)),C$2,MIN($B37,99)),99-FLOOR(C$2/2,1)),IF(GT(C$2,MIN($B37,99)),C$2,MIN($B37,99))-FLOOR(C$2/2,1),2*IF(GT(C$2,MIN($B37,99)),C$2,MIN($B37,99))-99)</f>
        <v>35</v>
      </c>
      <c r="D37" s="640">
        <f t="shared" si="37"/>
        <v>34</v>
      </c>
      <c r="E37" s="640">
        <f t="shared" si="37"/>
        <v>34</v>
      </c>
      <c r="F37" s="640">
        <f t="shared" si="37"/>
        <v>33</v>
      </c>
      <c r="G37" s="641">
        <f t="shared" si="37"/>
        <v>33</v>
      </c>
      <c r="H37" s="640">
        <f t="shared" si="37"/>
        <v>32</v>
      </c>
      <c r="I37" s="640">
        <f t="shared" si="37"/>
        <v>32</v>
      </c>
      <c r="J37" s="640">
        <f t="shared" si="37"/>
        <v>31</v>
      </c>
      <c r="K37" s="640">
        <f t="shared" si="37"/>
        <v>31</v>
      </c>
      <c r="L37" s="643">
        <f t="shared" si="37"/>
        <v>30</v>
      </c>
      <c r="M37" s="640">
        <f t="shared" si="37"/>
        <v>30</v>
      </c>
      <c r="N37" s="640">
        <f t="shared" si="37"/>
        <v>29</v>
      </c>
      <c r="O37" s="640">
        <f t="shared" si="37"/>
        <v>29</v>
      </c>
      <c r="P37" s="640">
        <f t="shared" si="37"/>
        <v>28</v>
      </c>
      <c r="Q37" s="641">
        <f t="shared" si="37"/>
        <v>28</v>
      </c>
      <c r="R37" s="640">
        <f t="shared" si="37"/>
        <v>27</v>
      </c>
      <c r="S37" s="640">
        <f t="shared" si="37"/>
        <v>27</v>
      </c>
      <c r="T37" s="640">
        <f t="shared" si="37"/>
        <v>26</v>
      </c>
      <c r="U37" s="640">
        <f t="shared" si="37"/>
        <v>26</v>
      </c>
      <c r="V37" s="643">
        <f t="shared" si="37"/>
        <v>25</v>
      </c>
      <c r="W37" s="640">
        <f t="shared" si="37"/>
        <v>25</v>
      </c>
      <c r="X37" s="640">
        <f t="shared" si="37"/>
        <v>24</v>
      </c>
      <c r="Y37" s="640">
        <f t="shared" si="37"/>
        <v>24</v>
      </c>
      <c r="Z37" s="640">
        <f t="shared" si="37"/>
        <v>23</v>
      </c>
      <c r="AA37" s="641">
        <f t="shared" si="37"/>
        <v>23</v>
      </c>
      <c r="AB37" s="640">
        <f t="shared" si="37"/>
        <v>22</v>
      </c>
      <c r="AC37" s="640">
        <f t="shared" si="37"/>
        <v>22</v>
      </c>
      <c r="AD37" s="640">
        <f t="shared" si="37"/>
        <v>21</v>
      </c>
      <c r="AE37" s="640">
        <f t="shared" si="37"/>
        <v>21</v>
      </c>
      <c r="AF37" s="643">
        <f t="shared" si="37"/>
        <v>20</v>
      </c>
      <c r="AG37" s="640">
        <f t="shared" si="37"/>
        <v>20</v>
      </c>
      <c r="AH37" s="640">
        <f t="shared" si="37"/>
        <v>19</v>
      </c>
      <c r="AI37" s="640">
        <f t="shared" si="37"/>
        <v>19</v>
      </c>
      <c r="AJ37" s="640">
        <f t="shared" si="37"/>
        <v>18</v>
      </c>
      <c r="AK37" s="641">
        <f t="shared" si="37"/>
        <v>18</v>
      </c>
      <c r="AL37" s="640">
        <f t="shared" si="37"/>
        <v>18</v>
      </c>
      <c r="AM37" s="640">
        <f t="shared" si="37"/>
        <v>19</v>
      </c>
      <c r="AN37" s="640">
        <f t="shared" si="37"/>
        <v>19</v>
      </c>
      <c r="AO37" s="640">
        <f t="shared" si="37"/>
        <v>20</v>
      </c>
      <c r="AP37" s="643">
        <f t="shared" si="37"/>
        <v>20</v>
      </c>
      <c r="AQ37" s="640">
        <f t="shared" si="37"/>
        <v>21</v>
      </c>
      <c r="AR37" s="640">
        <f t="shared" si="37"/>
        <v>21</v>
      </c>
      <c r="AS37" s="640">
        <f t="shared" si="37"/>
        <v>22</v>
      </c>
      <c r="AT37" s="640">
        <f t="shared" si="37"/>
        <v>22</v>
      </c>
      <c r="AU37" s="641">
        <f t="shared" si="37"/>
        <v>23</v>
      </c>
      <c r="AV37" s="640">
        <f t="shared" si="37"/>
        <v>23</v>
      </c>
      <c r="AW37" s="640">
        <f t="shared" si="37"/>
        <v>24</v>
      </c>
      <c r="AX37" s="640">
        <f t="shared" si="37"/>
        <v>24</v>
      </c>
      <c r="AY37" s="640">
        <f t="shared" si="37"/>
        <v>25</v>
      </c>
      <c r="AZ37" s="643">
        <f t="shared" si="37"/>
        <v>25</v>
      </c>
      <c r="BA37" s="640">
        <f t="shared" si="37"/>
        <v>26</v>
      </c>
      <c r="BB37" s="640">
        <f t="shared" si="37"/>
        <v>26</v>
      </c>
      <c r="BC37" s="640">
        <f t="shared" si="37"/>
        <v>27</v>
      </c>
      <c r="BD37" s="640">
        <f t="shared" si="37"/>
        <v>27</v>
      </c>
      <c r="BE37" s="641">
        <f t="shared" si="37"/>
        <v>28</v>
      </c>
      <c r="BF37" s="640">
        <f t="shared" si="37"/>
        <v>28</v>
      </c>
      <c r="BG37" s="640">
        <f t="shared" si="37"/>
        <v>29</v>
      </c>
      <c r="BH37" s="640">
        <f t="shared" si="37"/>
        <v>29</v>
      </c>
      <c r="BI37" s="640">
        <f t="shared" si="37"/>
        <v>30</v>
      </c>
      <c r="BJ37" s="643">
        <f t="shared" si="37"/>
        <v>30</v>
      </c>
      <c r="BK37" s="640">
        <f t="shared" si="37"/>
        <v>31</v>
      </c>
      <c r="BL37" s="640">
        <f t="shared" si="37"/>
        <v>31</v>
      </c>
      <c r="BM37" s="640">
        <f t="shared" si="37"/>
        <v>32</v>
      </c>
      <c r="BN37" s="640">
        <f t="shared" si="37"/>
        <v>32</v>
      </c>
      <c r="BO37" s="641">
        <f t="shared" si="37"/>
        <v>33</v>
      </c>
      <c r="BP37" s="640">
        <f t="shared" si="37"/>
        <v>33</v>
      </c>
      <c r="BQ37" s="640">
        <f t="shared" si="37"/>
        <v>35</v>
      </c>
      <c r="BR37" s="640">
        <f t="shared" si="37"/>
        <v>37</v>
      </c>
      <c r="BS37" s="640">
        <f t="shared" si="37"/>
        <v>39</v>
      </c>
      <c r="BT37" s="643">
        <f t="shared" si="37"/>
        <v>41</v>
      </c>
      <c r="BU37" s="640">
        <f t="shared" si="37"/>
        <v>43</v>
      </c>
      <c r="BV37" s="640">
        <f t="shared" si="37"/>
        <v>45</v>
      </c>
      <c r="BW37" s="640">
        <f t="shared" si="37"/>
        <v>47</v>
      </c>
      <c r="BX37" s="640">
        <f t="shared" si="37"/>
        <v>49</v>
      </c>
      <c r="BY37" s="641">
        <f t="shared" si="37"/>
        <v>51</v>
      </c>
      <c r="BZ37" s="640">
        <f t="shared" si="37"/>
        <v>53</v>
      </c>
      <c r="CA37" s="640">
        <f t="shared" si="37"/>
        <v>55</v>
      </c>
      <c r="CB37" s="640">
        <f t="shared" si="37"/>
        <v>57</v>
      </c>
      <c r="CC37" s="640">
        <f t="shared" si="37"/>
        <v>59</v>
      </c>
      <c r="CD37" s="643">
        <f t="shared" si="37"/>
        <v>61</v>
      </c>
      <c r="CE37" s="640">
        <f t="shared" si="37"/>
        <v>63</v>
      </c>
      <c r="CF37" s="640">
        <f t="shared" si="37"/>
        <v>65</v>
      </c>
      <c r="CG37" s="640">
        <f t="shared" si="37"/>
        <v>67</v>
      </c>
      <c r="CH37" s="640">
        <f t="shared" si="37"/>
        <v>69</v>
      </c>
      <c r="CI37" s="641">
        <f t="shared" si="37"/>
        <v>71</v>
      </c>
      <c r="CJ37" s="640">
        <f t="shared" si="37"/>
        <v>73</v>
      </c>
      <c r="CK37" s="640">
        <f t="shared" si="37"/>
        <v>75</v>
      </c>
      <c r="CL37" s="640">
        <f t="shared" si="37"/>
        <v>77</v>
      </c>
      <c r="CM37" s="640">
        <f t="shared" si="37"/>
        <v>79</v>
      </c>
      <c r="CN37" s="643">
        <f t="shared" si="37"/>
        <v>81</v>
      </c>
      <c r="CO37" s="640">
        <f t="shared" si="37"/>
        <v>83</v>
      </c>
      <c r="CP37" s="640">
        <f t="shared" si="37"/>
        <v>85</v>
      </c>
      <c r="CQ37" s="640">
        <f t="shared" si="37"/>
        <v>87</v>
      </c>
      <c r="CR37" s="640">
        <f t="shared" si="37"/>
        <v>89</v>
      </c>
      <c r="CS37" s="641">
        <f t="shared" si="37"/>
        <v>91</v>
      </c>
      <c r="CT37" s="640">
        <f t="shared" si="37"/>
        <v>93</v>
      </c>
      <c r="CU37" s="640">
        <f t="shared" si="37"/>
        <v>95</v>
      </c>
      <c r="CV37" s="640">
        <f t="shared" si="37"/>
        <v>97</v>
      </c>
      <c r="CW37" s="640">
        <f t="shared" si="37"/>
        <v>99</v>
      </c>
      <c r="CX37" s="563"/>
    </row>
    <row r="38" ht="10.5" customHeight="1">
      <c r="A38" s="543"/>
      <c r="B38" s="563">
        <f t="shared" si="4"/>
        <v>36</v>
      </c>
      <c r="C38" s="563">
        <f t="shared" ref="C38:CW38" si="38">IF(LT(IF(GT(C$2,MIN($B38,99)),C$2,MIN($B38,99)),99-FLOOR(C$2/2,1)),IF(GT(C$2,MIN($B38,99)),C$2,MIN($B38,99))-FLOOR(C$2/2,1),2*IF(GT(C$2,MIN($B38,99)),C$2,MIN($B38,99))-99)</f>
        <v>36</v>
      </c>
      <c r="D38" s="563">
        <f t="shared" si="38"/>
        <v>35</v>
      </c>
      <c r="E38" s="563">
        <f t="shared" si="38"/>
        <v>35</v>
      </c>
      <c r="F38" s="563">
        <f t="shared" si="38"/>
        <v>34</v>
      </c>
      <c r="G38" s="579">
        <f t="shared" si="38"/>
        <v>34</v>
      </c>
      <c r="H38" s="563">
        <f t="shared" si="38"/>
        <v>33</v>
      </c>
      <c r="I38" s="563">
        <f t="shared" si="38"/>
        <v>33</v>
      </c>
      <c r="J38" s="563">
        <f t="shared" si="38"/>
        <v>32</v>
      </c>
      <c r="K38" s="563">
        <f t="shared" si="38"/>
        <v>32</v>
      </c>
      <c r="L38" s="580">
        <f t="shared" si="38"/>
        <v>31</v>
      </c>
      <c r="M38" s="563">
        <f t="shared" si="38"/>
        <v>31</v>
      </c>
      <c r="N38" s="563">
        <f t="shared" si="38"/>
        <v>30</v>
      </c>
      <c r="O38" s="563">
        <f t="shared" si="38"/>
        <v>30</v>
      </c>
      <c r="P38" s="563">
        <f t="shared" si="38"/>
        <v>29</v>
      </c>
      <c r="Q38" s="579">
        <f t="shared" si="38"/>
        <v>29</v>
      </c>
      <c r="R38" s="563">
        <f t="shared" si="38"/>
        <v>28</v>
      </c>
      <c r="S38" s="563">
        <f t="shared" si="38"/>
        <v>28</v>
      </c>
      <c r="T38" s="563">
        <f t="shared" si="38"/>
        <v>27</v>
      </c>
      <c r="U38" s="563">
        <f t="shared" si="38"/>
        <v>27</v>
      </c>
      <c r="V38" s="580">
        <f t="shared" si="38"/>
        <v>26</v>
      </c>
      <c r="W38" s="563">
        <f t="shared" si="38"/>
        <v>26</v>
      </c>
      <c r="X38" s="563">
        <f t="shared" si="38"/>
        <v>25</v>
      </c>
      <c r="Y38" s="563">
        <f t="shared" si="38"/>
        <v>25</v>
      </c>
      <c r="Z38" s="563">
        <f t="shared" si="38"/>
        <v>24</v>
      </c>
      <c r="AA38" s="579">
        <f t="shared" si="38"/>
        <v>24</v>
      </c>
      <c r="AB38" s="563">
        <f t="shared" si="38"/>
        <v>23</v>
      </c>
      <c r="AC38" s="563">
        <f t="shared" si="38"/>
        <v>23</v>
      </c>
      <c r="AD38" s="563">
        <f t="shared" si="38"/>
        <v>22</v>
      </c>
      <c r="AE38" s="563">
        <f t="shared" si="38"/>
        <v>22</v>
      </c>
      <c r="AF38" s="580">
        <f t="shared" si="38"/>
        <v>21</v>
      </c>
      <c r="AG38" s="563">
        <f t="shared" si="38"/>
        <v>21</v>
      </c>
      <c r="AH38" s="563">
        <f t="shared" si="38"/>
        <v>20</v>
      </c>
      <c r="AI38" s="563">
        <f t="shared" si="38"/>
        <v>20</v>
      </c>
      <c r="AJ38" s="563">
        <f t="shared" si="38"/>
        <v>19</v>
      </c>
      <c r="AK38" s="579">
        <f t="shared" si="38"/>
        <v>19</v>
      </c>
      <c r="AL38" s="563">
        <f t="shared" si="38"/>
        <v>18</v>
      </c>
      <c r="AM38" s="563">
        <f t="shared" si="38"/>
        <v>19</v>
      </c>
      <c r="AN38" s="563">
        <f t="shared" si="38"/>
        <v>19</v>
      </c>
      <c r="AO38" s="563">
        <f t="shared" si="38"/>
        <v>20</v>
      </c>
      <c r="AP38" s="580">
        <f t="shared" si="38"/>
        <v>20</v>
      </c>
      <c r="AQ38" s="563">
        <f t="shared" si="38"/>
        <v>21</v>
      </c>
      <c r="AR38" s="563">
        <f t="shared" si="38"/>
        <v>21</v>
      </c>
      <c r="AS38" s="563">
        <f t="shared" si="38"/>
        <v>22</v>
      </c>
      <c r="AT38" s="563">
        <f t="shared" si="38"/>
        <v>22</v>
      </c>
      <c r="AU38" s="579">
        <f t="shared" si="38"/>
        <v>23</v>
      </c>
      <c r="AV38" s="563">
        <f t="shared" si="38"/>
        <v>23</v>
      </c>
      <c r="AW38" s="563">
        <f t="shared" si="38"/>
        <v>24</v>
      </c>
      <c r="AX38" s="563">
        <f t="shared" si="38"/>
        <v>24</v>
      </c>
      <c r="AY38" s="563">
        <f t="shared" si="38"/>
        <v>25</v>
      </c>
      <c r="AZ38" s="580">
        <f t="shared" si="38"/>
        <v>25</v>
      </c>
      <c r="BA38" s="563">
        <f t="shared" si="38"/>
        <v>26</v>
      </c>
      <c r="BB38" s="563">
        <f t="shared" si="38"/>
        <v>26</v>
      </c>
      <c r="BC38" s="563">
        <f t="shared" si="38"/>
        <v>27</v>
      </c>
      <c r="BD38" s="563">
        <f t="shared" si="38"/>
        <v>27</v>
      </c>
      <c r="BE38" s="579">
        <f t="shared" si="38"/>
        <v>28</v>
      </c>
      <c r="BF38" s="563">
        <f t="shared" si="38"/>
        <v>28</v>
      </c>
      <c r="BG38" s="563">
        <f t="shared" si="38"/>
        <v>29</v>
      </c>
      <c r="BH38" s="563">
        <f t="shared" si="38"/>
        <v>29</v>
      </c>
      <c r="BI38" s="563">
        <f t="shared" si="38"/>
        <v>30</v>
      </c>
      <c r="BJ38" s="580">
        <f t="shared" si="38"/>
        <v>30</v>
      </c>
      <c r="BK38" s="563">
        <f t="shared" si="38"/>
        <v>31</v>
      </c>
      <c r="BL38" s="563">
        <f t="shared" si="38"/>
        <v>31</v>
      </c>
      <c r="BM38" s="563">
        <f t="shared" si="38"/>
        <v>32</v>
      </c>
      <c r="BN38" s="563">
        <f t="shared" si="38"/>
        <v>32</v>
      </c>
      <c r="BO38" s="579">
        <f t="shared" si="38"/>
        <v>33</v>
      </c>
      <c r="BP38" s="563">
        <f t="shared" si="38"/>
        <v>33</v>
      </c>
      <c r="BQ38" s="563">
        <f t="shared" si="38"/>
        <v>35</v>
      </c>
      <c r="BR38" s="563">
        <f t="shared" si="38"/>
        <v>37</v>
      </c>
      <c r="BS38" s="563">
        <f t="shared" si="38"/>
        <v>39</v>
      </c>
      <c r="BT38" s="580">
        <f t="shared" si="38"/>
        <v>41</v>
      </c>
      <c r="BU38" s="563">
        <f t="shared" si="38"/>
        <v>43</v>
      </c>
      <c r="BV38" s="563">
        <f t="shared" si="38"/>
        <v>45</v>
      </c>
      <c r="BW38" s="563">
        <f t="shared" si="38"/>
        <v>47</v>
      </c>
      <c r="BX38" s="563">
        <f t="shared" si="38"/>
        <v>49</v>
      </c>
      <c r="BY38" s="579">
        <f t="shared" si="38"/>
        <v>51</v>
      </c>
      <c r="BZ38" s="563">
        <f t="shared" si="38"/>
        <v>53</v>
      </c>
      <c r="CA38" s="563">
        <f t="shared" si="38"/>
        <v>55</v>
      </c>
      <c r="CB38" s="563">
        <f t="shared" si="38"/>
        <v>57</v>
      </c>
      <c r="CC38" s="563">
        <f t="shared" si="38"/>
        <v>59</v>
      </c>
      <c r="CD38" s="580">
        <f t="shared" si="38"/>
        <v>61</v>
      </c>
      <c r="CE38" s="563">
        <f t="shared" si="38"/>
        <v>63</v>
      </c>
      <c r="CF38" s="563">
        <f t="shared" si="38"/>
        <v>65</v>
      </c>
      <c r="CG38" s="563">
        <f t="shared" si="38"/>
        <v>67</v>
      </c>
      <c r="CH38" s="563">
        <f t="shared" si="38"/>
        <v>69</v>
      </c>
      <c r="CI38" s="579">
        <f t="shared" si="38"/>
        <v>71</v>
      </c>
      <c r="CJ38" s="563">
        <f t="shared" si="38"/>
        <v>73</v>
      </c>
      <c r="CK38" s="563">
        <f t="shared" si="38"/>
        <v>75</v>
      </c>
      <c r="CL38" s="563">
        <f t="shared" si="38"/>
        <v>77</v>
      </c>
      <c r="CM38" s="563">
        <f t="shared" si="38"/>
        <v>79</v>
      </c>
      <c r="CN38" s="580">
        <f t="shared" si="38"/>
        <v>81</v>
      </c>
      <c r="CO38" s="563">
        <f t="shared" si="38"/>
        <v>83</v>
      </c>
      <c r="CP38" s="563">
        <f t="shared" si="38"/>
        <v>85</v>
      </c>
      <c r="CQ38" s="563">
        <f t="shared" si="38"/>
        <v>87</v>
      </c>
      <c r="CR38" s="563">
        <f t="shared" si="38"/>
        <v>89</v>
      </c>
      <c r="CS38" s="579">
        <f t="shared" si="38"/>
        <v>91</v>
      </c>
      <c r="CT38" s="563">
        <f t="shared" si="38"/>
        <v>93</v>
      </c>
      <c r="CU38" s="563">
        <f t="shared" si="38"/>
        <v>95</v>
      </c>
      <c r="CV38" s="563">
        <f t="shared" si="38"/>
        <v>97</v>
      </c>
      <c r="CW38" s="563">
        <f t="shared" si="38"/>
        <v>99</v>
      </c>
      <c r="CX38" s="563"/>
    </row>
    <row r="39" ht="10.5" customHeight="1">
      <c r="A39" s="543"/>
      <c r="B39" s="563">
        <f t="shared" si="4"/>
        <v>37</v>
      </c>
      <c r="C39" s="563">
        <f t="shared" ref="C39:CW39" si="39">IF(LT(IF(GT(C$2,MIN($B39,99)),C$2,MIN($B39,99)),99-FLOOR(C$2/2,1)),IF(GT(C$2,MIN($B39,99)),C$2,MIN($B39,99))-FLOOR(C$2/2,1),2*IF(GT(C$2,MIN($B39,99)),C$2,MIN($B39,99))-99)</f>
        <v>37</v>
      </c>
      <c r="D39" s="563">
        <f t="shared" si="39"/>
        <v>36</v>
      </c>
      <c r="E39" s="563">
        <f t="shared" si="39"/>
        <v>36</v>
      </c>
      <c r="F39" s="563">
        <f t="shared" si="39"/>
        <v>35</v>
      </c>
      <c r="G39" s="579">
        <f t="shared" si="39"/>
        <v>35</v>
      </c>
      <c r="H39" s="563">
        <f t="shared" si="39"/>
        <v>34</v>
      </c>
      <c r="I39" s="563">
        <f t="shared" si="39"/>
        <v>34</v>
      </c>
      <c r="J39" s="563">
        <f t="shared" si="39"/>
        <v>33</v>
      </c>
      <c r="K39" s="563">
        <f t="shared" si="39"/>
        <v>33</v>
      </c>
      <c r="L39" s="580">
        <f t="shared" si="39"/>
        <v>32</v>
      </c>
      <c r="M39" s="563">
        <f t="shared" si="39"/>
        <v>32</v>
      </c>
      <c r="N39" s="563">
        <f t="shared" si="39"/>
        <v>31</v>
      </c>
      <c r="O39" s="563">
        <f t="shared" si="39"/>
        <v>31</v>
      </c>
      <c r="P39" s="563">
        <f t="shared" si="39"/>
        <v>30</v>
      </c>
      <c r="Q39" s="579">
        <f t="shared" si="39"/>
        <v>30</v>
      </c>
      <c r="R39" s="563">
        <f t="shared" si="39"/>
        <v>29</v>
      </c>
      <c r="S39" s="563">
        <f t="shared" si="39"/>
        <v>29</v>
      </c>
      <c r="T39" s="563">
        <f t="shared" si="39"/>
        <v>28</v>
      </c>
      <c r="U39" s="563">
        <f t="shared" si="39"/>
        <v>28</v>
      </c>
      <c r="V39" s="580">
        <f t="shared" si="39"/>
        <v>27</v>
      </c>
      <c r="W39" s="563">
        <f t="shared" si="39"/>
        <v>27</v>
      </c>
      <c r="X39" s="563">
        <f t="shared" si="39"/>
        <v>26</v>
      </c>
      <c r="Y39" s="563">
        <f t="shared" si="39"/>
        <v>26</v>
      </c>
      <c r="Z39" s="563">
        <f t="shared" si="39"/>
        <v>25</v>
      </c>
      <c r="AA39" s="579">
        <f t="shared" si="39"/>
        <v>25</v>
      </c>
      <c r="AB39" s="563">
        <f t="shared" si="39"/>
        <v>24</v>
      </c>
      <c r="AC39" s="563">
        <f t="shared" si="39"/>
        <v>24</v>
      </c>
      <c r="AD39" s="563">
        <f t="shared" si="39"/>
        <v>23</v>
      </c>
      <c r="AE39" s="563">
        <f t="shared" si="39"/>
        <v>23</v>
      </c>
      <c r="AF39" s="580">
        <f t="shared" si="39"/>
        <v>22</v>
      </c>
      <c r="AG39" s="563">
        <f t="shared" si="39"/>
        <v>22</v>
      </c>
      <c r="AH39" s="563">
        <f t="shared" si="39"/>
        <v>21</v>
      </c>
      <c r="AI39" s="563">
        <f t="shared" si="39"/>
        <v>21</v>
      </c>
      <c r="AJ39" s="563">
        <f t="shared" si="39"/>
        <v>20</v>
      </c>
      <c r="AK39" s="579">
        <f t="shared" si="39"/>
        <v>20</v>
      </c>
      <c r="AL39" s="563">
        <f t="shared" si="39"/>
        <v>19</v>
      </c>
      <c r="AM39" s="563">
        <f t="shared" si="39"/>
        <v>19</v>
      </c>
      <c r="AN39" s="563">
        <f t="shared" si="39"/>
        <v>19</v>
      </c>
      <c r="AO39" s="563">
        <f t="shared" si="39"/>
        <v>20</v>
      </c>
      <c r="AP39" s="580">
        <f t="shared" si="39"/>
        <v>20</v>
      </c>
      <c r="AQ39" s="563">
        <f t="shared" si="39"/>
        <v>21</v>
      </c>
      <c r="AR39" s="563">
        <f t="shared" si="39"/>
        <v>21</v>
      </c>
      <c r="AS39" s="563">
        <f t="shared" si="39"/>
        <v>22</v>
      </c>
      <c r="AT39" s="563">
        <f t="shared" si="39"/>
        <v>22</v>
      </c>
      <c r="AU39" s="579">
        <f t="shared" si="39"/>
        <v>23</v>
      </c>
      <c r="AV39" s="563">
        <f t="shared" si="39"/>
        <v>23</v>
      </c>
      <c r="AW39" s="563">
        <f t="shared" si="39"/>
        <v>24</v>
      </c>
      <c r="AX39" s="563">
        <f t="shared" si="39"/>
        <v>24</v>
      </c>
      <c r="AY39" s="563">
        <f t="shared" si="39"/>
        <v>25</v>
      </c>
      <c r="AZ39" s="580">
        <f t="shared" si="39"/>
        <v>25</v>
      </c>
      <c r="BA39" s="563">
        <f t="shared" si="39"/>
        <v>26</v>
      </c>
      <c r="BB39" s="563">
        <f t="shared" si="39"/>
        <v>26</v>
      </c>
      <c r="BC39" s="563">
        <f t="shared" si="39"/>
        <v>27</v>
      </c>
      <c r="BD39" s="563">
        <f t="shared" si="39"/>
        <v>27</v>
      </c>
      <c r="BE39" s="579">
        <f t="shared" si="39"/>
        <v>28</v>
      </c>
      <c r="BF39" s="563">
        <f t="shared" si="39"/>
        <v>28</v>
      </c>
      <c r="BG39" s="563">
        <f t="shared" si="39"/>
        <v>29</v>
      </c>
      <c r="BH39" s="563">
        <f t="shared" si="39"/>
        <v>29</v>
      </c>
      <c r="BI39" s="563">
        <f t="shared" si="39"/>
        <v>30</v>
      </c>
      <c r="BJ39" s="580">
        <f t="shared" si="39"/>
        <v>30</v>
      </c>
      <c r="BK39" s="563">
        <f t="shared" si="39"/>
        <v>31</v>
      </c>
      <c r="BL39" s="563">
        <f t="shared" si="39"/>
        <v>31</v>
      </c>
      <c r="BM39" s="563">
        <f t="shared" si="39"/>
        <v>32</v>
      </c>
      <c r="BN39" s="563">
        <f t="shared" si="39"/>
        <v>32</v>
      </c>
      <c r="BO39" s="579">
        <f t="shared" si="39"/>
        <v>33</v>
      </c>
      <c r="BP39" s="563">
        <f t="shared" si="39"/>
        <v>33</v>
      </c>
      <c r="BQ39" s="563">
        <f t="shared" si="39"/>
        <v>35</v>
      </c>
      <c r="BR39" s="563">
        <f t="shared" si="39"/>
        <v>37</v>
      </c>
      <c r="BS39" s="563">
        <f t="shared" si="39"/>
        <v>39</v>
      </c>
      <c r="BT39" s="580">
        <f t="shared" si="39"/>
        <v>41</v>
      </c>
      <c r="BU39" s="563">
        <f t="shared" si="39"/>
        <v>43</v>
      </c>
      <c r="BV39" s="563">
        <f t="shared" si="39"/>
        <v>45</v>
      </c>
      <c r="BW39" s="563">
        <f t="shared" si="39"/>
        <v>47</v>
      </c>
      <c r="BX39" s="563">
        <f t="shared" si="39"/>
        <v>49</v>
      </c>
      <c r="BY39" s="579">
        <f t="shared" si="39"/>
        <v>51</v>
      </c>
      <c r="BZ39" s="563">
        <f t="shared" si="39"/>
        <v>53</v>
      </c>
      <c r="CA39" s="563">
        <f t="shared" si="39"/>
        <v>55</v>
      </c>
      <c r="CB39" s="563">
        <f t="shared" si="39"/>
        <v>57</v>
      </c>
      <c r="CC39" s="563">
        <f t="shared" si="39"/>
        <v>59</v>
      </c>
      <c r="CD39" s="580">
        <f t="shared" si="39"/>
        <v>61</v>
      </c>
      <c r="CE39" s="563">
        <f t="shared" si="39"/>
        <v>63</v>
      </c>
      <c r="CF39" s="563">
        <f t="shared" si="39"/>
        <v>65</v>
      </c>
      <c r="CG39" s="563">
        <f t="shared" si="39"/>
        <v>67</v>
      </c>
      <c r="CH39" s="563">
        <f t="shared" si="39"/>
        <v>69</v>
      </c>
      <c r="CI39" s="579">
        <f t="shared" si="39"/>
        <v>71</v>
      </c>
      <c r="CJ39" s="563">
        <f t="shared" si="39"/>
        <v>73</v>
      </c>
      <c r="CK39" s="563">
        <f t="shared" si="39"/>
        <v>75</v>
      </c>
      <c r="CL39" s="563">
        <f t="shared" si="39"/>
        <v>77</v>
      </c>
      <c r="CM39" s="563">
        <f t="shared" si="39"/>
        <v>79</v>
      </c>
      <c r="CN39" s="580">
        <f t="shared" si="39"/>
        <v>81</v>
      </c>
      <c r="CO39" s="563">
        <f t="shared" si="39"/>
        <v>83</v>
      </c>
      <c r="CP39" s="563">
        <f t="shared" si="39"/>
        <v>85</v>
      </c>
      <c r="CQ39" s="563">
        <f t="shared" si="39"/>
        <v>87</v>
      </c>
      <c r="CR39" s="563">
        <f t="shared" si="39"/>
        <v>89</v>
      </c>
      <c r="CS39" s="579">
        <f t="shared" si="39"/>
        <v>91</v>
      </c>
      <c r="CT39" s="563">
        <f t="shared" si="39"/>
        <v>93</v>
      </c>
      <c r="CU39" s="563">
        <f t="shared" si="39"/>
        <v>95</v>
      </c>
      <c r="CV39" s="563">
        <f t="shared" si="39"/>
        <v>97</v>
      </c>
      <c r="CW39" s="563">
        <f t="shared" si="39"/>
        <v>99</v>
      </c>
      <c r="CX39" s="563"/>
    </row>
    <row r="40" ht="10.5" customHeight="1">
      <c r="A40" s="543"/>
      <c r="B40" s="563">
        <f t="shared" si="4"/>
        <v>38</v>
      </c>
      <c r="C40" s="563">
        <f t="shared" ref="C40:CW40" si="40">IF(LT(IF(GT(C$2,MIN($B40,99)),C$2,MIN($B40,99)),99-FLOOR(C$2/2,1)),IF(GT(C$2,MIN($B40,99)),C$2,MIN($B40,99))-FLOOR(C$2/2,1),2*IF(GT(C$2,MIN($B40,99)),C$2,MIN($B40,99))-99)</f>
        <v>38</v>
      </c>
      <c r="D40" s="563">
        <f t="shared" si="40"/>
        <v>37</v>
      </c>
      <c r="E40" s="563">
        <f t="shared" si="40"/>
        <v>37</v>
      </c>
      <c r="F40" s="563">
        <f t="shared" si="40"/>
        <v>36</v>
      </c>
      <c r="G40" s="579">
        <f t="shared" si="40"/>
        <v>36</v>
      </c>
      <c r="H40" s="563">
        <f t="shared" si="40"/>
        <v>35</v>
      </c>
      <c r="I40" s="563">
        <f t="shared" si="40"/>
        <v>35</v>
      </c>
      <c r="J40" s="563">
        <f t="shared" si="40"/>
        <v>34</v>
      </c>
      <c r="K40" s="563">
        <f t="shared" si="40"/>
        <v>34</v>
      </c>
      <c r="L40" s="580">
        <f t="shared" si="40"/>
        <v>33</v>
      </c>
      <c r="M40" s="563">
        <f t="shared" si="40"/>
        <v>33</v>
      </c>
      <c r="N40" s="563">
        <f t="shared" si="40"/>
        <v>32</v>
      </c>
      <c r="O40" s="563">
        <f t="shared" si="40"/>
        <v>32</v>
      </c>
      <c r="P40" s="563">
        <f t="shared" si="40"/>
        <v>31</v>
      </c>
      <c r="Q40" s="579">
        <f t="shared" si="40"/>
        <v>31</v>
      </c>
      <c r="R40" s="563">
        <f t="shared" si="40"/>
        <v>30</v>
      </c>
      <c r="S40" s="563">
        <f t="shared" si="40"/>
        <v>30</v>
      </c>
      <c r="T40" s="563">
        <f t="shared" si="40"/>
        <v>29</v>
      </c>
      <c r="U40" s="563">
        <f t="shared" si="40"/>
        <v>29</v>
      </c>
      <c r="V40" s="580">
        <f t="shared" si="40"/>
        <v>28</v>
      </c>
      <c r="W40" s="563">
        <f t="shared" si="40"/>
        <v>28</v>
      </c>
      <c r="X40" s="563">
        <f t="shared" si="40"/>
        <v>27</v>
      </c>
      <c r="Y40" s="563">
        <f t="shared" si="40"/>
        <v>27</v>
      </c>
      <c r="Z40" s="563">
        <f t="shared" si="40"/>
        <v>26</v>
      </c>
      <c r="AA40" s="579">
        <f t="shared" si="40"/>
        <v>26</v>
      </c>
      <c r="AB40" s="563">
        <f t="shared" si="40"/>
        <v>25</v>
      </c>
      <c r="AC40" s="563">
        <f t="shared" si="40"/>
        <v>25</v>
      </c>
      <c r="AD40" s="563">
        <f t="shared" si="40"/>
        <v>24</v>
      </c>
      <c r="AE40" s="563">
        <f t="shared" si="40"/>
        <v>24</v>
      </c>
      <c r="AF40" s="580">
        <f t="shared" si="40"/>
        <v>23</v>
      </c>
      <c r="AG40" s="563">
        <f t="shared" si="40"/>
        <v>23</v>
      </c>
      <c r="AH40" s="563">
        <f t="shared" si="40"/>
        <v>22</v>
      </c>
      <c r="AI40" s="563">
        <f t="shared" si="40"/>
        <v>22</v>
      </c>
      <c r="AJ40" s="563">
        <f t="shared" si="40"/>
        <v>21</v>
      </c>
      <c r="AK40" s="579">
        <f t="shared" si="40"/>
        <v>21</v>
      </c>
      <c r="AL40" s="563">
        <f t="shared" si="40"/>
        <v>20</v>
      </c>
      <c r="AM40" s="563">
        <f t="shared" si="40"/>
        <v>20</v>
      </c>
      <c r="AN40" s="563">
        <f t="shared" si="40"/>
        <v>19</v>
      </c>
      <c r="AO40" s="563">
        <f t="shared" si="40"/>
        <v>20</v>
      </c>
      <c r="AP40" s="580">
        <f t="shared" si="40"/>
        <v>20</v>
      </c>
      <c r="AQ40" s="563">
        <f t="shared" si="40"/>
        <v>21</v>
      </c>
      <c r="AR40" s="563">
        <f t="shared" si="40"/>
        <v>21</v>
      </c>
      <c r="AS40" s="563">
        <f t="shared" si="40"/>
        <v>22</v>
      </c>
      <c r="AT40" s="563">
        <f t="shared" si="40"/>
        <v>22</v>
      </c>
      <c r="AU40" s="579">
        <f t="shared" si="40"/>
        <v>23</v>
      </c>
      <c r="AV40" s="563">
        <f t="shared" si="40"/>
        <v>23</v>
      </c>
      <c r="AW40" s="563">
        <f t="shared" si="40"/>
        <v>24</v>
      </c>
      <c r="AX40" s="563">
        <f t="shared" si="40"/>
        <v>24</v>
      </c>
      <c r="AY40" s="563">
        <f t="shared" si="40"/>
        <v>25</v>
      </c>
      <c r="AZ40" s="580">
        <f t="shared" si="40"/>
        <v>25</v>
      </c>
      <c r="BA40" s="563">
        <f t="shared" si="40"/>
        <v>26</v>
      </c>
      <c r="BB40" s="563">
        <f t="shared" si="40"/>
        <v>26</v>
      </c>
      <c r="BC40" s="563">
        <f t="shared" si="40"/>
        <v>27</v>
      </c>
      <c r="BD40" s="563">
        <f t="shared" si="40"/>
        <v>27</v>
      </c>
      <c r="BE40" s="579">
        <f t="shared" si="40"/>
        <v>28</v>
      </c>
      <c r="BF40" s="563">
        <f t="shared" si="40"/>
        <v>28</v>
      </c>
      <c r="BG40" s="563">
        <f t="shared" si="40"/>
        <v>29</v>
      </c>
      <c r="BH40" s="563">
        <f t="shared" si="40"/>
        <v>29</v>
      </c>
      <c r="BI40" s="563">
        <f t="shared" si="40"/>
        <v>30</v>
      </c>
      <c r="BJ40" s="580">
        <f t="shared" si="40"/>
        <v>30</v>
      </c>
      <c r="BK40" s="563">
        <f t="shared" si="40"/>
        <v>31</v>
      </c>
      <c r="BL40" s="563">
        <f t="shared" si="40"/>
        <v>31</v>
      </c>
      <c r="BM40" s="563">
        <f t="shared" si="40"/>
        <v>32</v>
      </c>
      <c r="BN40" s="563">
        <f t="shared" si="40"/>
        <v>32</v>
      </c>
      <c r="BO40" s="579">
        <f t="shared" si="40"/>
        <v>33</v>
      </c>
      <c r="BP40" s="563">
        <f t="shared" si="40"/>
        <v>33</v>
      </c>
      <c r="BQ40" s="563">
        <f t="shared" si="40"/>
        <v>35</v>
      </c>
      <c r="BR40" s="563">
        <f t="shared" si="40"/>
        <v>37</v>
      </c>
      <c r="BS40" s="563">
        <f t="shared" si="40"/>
        <v>39</v>
      </c>
      <c r="BT40" s="580">
        <f t="shared" si="40"/>
        <v>41</v>
      </c>
      <c r="BU40" s="563">
        <f t="shared" si="40"/>
        <v>43</v>
      </c>
      <c r="BV40" s="563">
        <f t="shared" si="40"/>
        <v>45</v>
      </c>
      <c r="BW40" s="563">
        <f t="shared" si="40"/>
        <v>47</v>
      </c>
      <c r="BX40" s="563">
        <f t="shared" si="40"/>
        <v>49</v>
      </c>
      <c r="BY40" s="579">
        <f t="shared" si="40"/>
        <v>51</v>
      </c>
      <c r="BZ40" s="563">
        <f t="shared" si="40"/>
        <v>53</v>
      </c>
      <c r="CA40" s="563">
        <f t="shared" si="40"/>
        <v>55</v>
      </c>
      <c r="CB40" s="563">
        <f t="shared" si="40"/>
        <v>57</v>
      </c>
      <c r="CC40" s="563">
        <f t="shared" si="40"/>
        <v>59</v>
      </c>
      <c r="CD40" s="580">
        <f t="shared" si="40"/>
        <v>61</v>
      </c>
      <c r="CE40" s="563">
        <f t="shared" si="40"/>
        <v>63</v>
      </c>
      <c r="CF40" s="563">
        <f t="shared" si="40"/>
        <v>65</v>
      </c>
      <c r="CG40" s="563">
        <f t="shared" si="40"/>
        <v>67</v>
      </c>
      <c r="CH40" s="563">
        <f t="shared" si="40"/>
        <v>69</v>
      </c>
      <c r="CI40" s="579">
        <f t="shared" si="40"/>
        <v>71</v>
      </c>
      <c r="CJ40" s="563">
        <f t="shared" si="40"/>
        <v>73</v>
      </c>
      <c r="CK40" s="563">
        <f t="shared" si="40"/>
        <v>75</v>
      </c>
      <c r="CL40" s="563">
        <f t="shared" si="40"/>
        <v>77</v>
      </c>
      <c r="CM40" s="563">
        <f t="shared" si="40"/>
        <v>79</v>
      </c>
      <c r="CN40" s="580">
        <f t="shared" si="40"/>
        <v>81</v>
      </c>
      <c r="CO40" s="563">
        <f t="shared" si="40"/>
        <v>83</v>
      </c>
      <c r="CP40" s="563">
        <f t="shared" si="40"/>
        <v>85</v>
      </c>
      <c r="CQ40" s="563">
        <f t="shared" si="40"/>
        <v>87</v>
      </c>
      <c r="CR40" s="563">
        <f t="shared" si="40"/>
        <v>89</v>
      </c>
      <c r="CS40" s="579">
        <f t="shared" si="40"/>
        <v>91</v>
      </c>
      <c r="CT40" s="563">
        <f t="shared" si="40"/>
        <v>93</v>
      </c>
      <c r="CU40" s="563">
        <f t="shared" si="40"/>
        <v>95</v>
      </c>
      <c r="CV40" s="563">
        <f t="shared" si="40"/>
        <v>97</v>
      </c>
      <c r="CW40" s="563">
        <f t="shared" si="40"/>
        <v>99</v>
      </c>
      <c r="CX40" s="563"/>
    </row>
    <row r="41" ht="10.5" customHeight="1">
      <c r="A41" s="543"/>
      <c r="B41" s="563">
        <f t="shared" si="4"/>
        <v>39</v>
      </c>
      <c r="C41" s="563">
        <f t="shared" ref="C41:CW41" si="41">IF(LT(IF(GT(C$2,MIN($B41,99)),C$2,MIN($B41,99)),99-FLOOR(C$2/2,1)),IF(GT(C$2,MIN($B41,99)),C$2,MIN($B41,99))-FLOOR(C$2/2,1),2*IF(GT(C$2,MIN($B41,99)),C$2,MIN($B41,99))-99)</f>
        <v>39</v>
      </c>
      <c r="D41" s="563">
        <f t="shared" si="41"/>
        <v>38</v>
      </c>
      <c r="E41" s="563">
        <f t="shared" si="41"/>
        <v>38</v>
      </c>
      <c r="F41" s="563">
        <f t="shared" si="41"/>
        <v>37</v>
      </c>
      <c r="G41" s="579">
        <f t="shared" si="41"/>
        <v>37</v>
      </c>
      <c r="H41" s="563">
        <f t="shared" si="41"/>
        <v>36</v>
      </c>
      <c r="I41" s="563">
        <f t="shared" si="41"/>
        <v>36</v>
      </c>
      <c r="J41" s="563">
        <f t="shared" si="41"/>
        <v>35</v>
      </c>
      <c r="K41" s="563">
        <f t="shared" si="41"/>
        <v>35</v>
      </c>
      <c r="L41" s="580">
        <f t="shared" si="41"/>
        <v>34</v>
      </c>
      <c r="M41" s="563">
        <f t="shared" si="41"/>
        <v>34</v>
      </c>
      <c r="N41" s="563">
        <f t="shared" si="41"/>
        <v>33</v>
      </c>
      <c r="O41" s="563">
        <f t="shared" si="41"/>
        <v>33</v>
      </c>
      <c r="P41" s="563">
        <f t="shared" si="41"/>
        <v>32</v>
      </c>
      <c r="Q41" s="579">
        <f t="shared" si="41"/>
        <v>32</v>
      </c>
      <c r="R41" s="563">
        <f t="shared" si="41"/>
        <v>31</v>
      </c>
      <c r="S41" s="563">
        <f t="shared" si="41"/>
        <v>31</v>
      </c>
      <c r="T41" s="563">
        <f t="shared" si="41"/>
        <v>30</v>
      </c>
      <c r="U41" s="563">
        <f t="shared" si="41"/>
        <v>30</v>
      </c>
      <c r="V41" s="580">
        <f t="shared" si="41"/>
        <v>29</v>
      </c>
      <c r="W41" s="563">
        <f t="shared" si="41"/>
        <v>29</v>
      </c>
      <c r="X41" s="563">
        <f t="shared" si="41"/>
        <v>28</v>
      </c>
      <c r="Y41" s="563">
        <f t="shared" si="41"/>
        <v>28</v>
      </c>
      <c r="Z41" s="563">
        <f t="shared" si="41"/>
        <v>27</v>
      </c>
      <c r="AA41" s="579">
        <f t="shared" si="41"/>
        <v>27</v>
      </c>
      <c r="AB41" s="563">
        <f t="shared" si="41"/>
        <v>26</v>
      </c>
      <c r="AC41" s="563">
        <f t="shared" si="41"/>
        <v>26</v>
      </c>
      <c r="AD41" s="563">
        <f t="shared" si="41"/>
        <v>25</v>
      </c>
      <c r="AE41" s="563">
        <f t="shared" si="41"/>
        <v>25</v>
      </c>
      <c r="AF41" s="580">
        <f t="shared" si="41"/>
        <v>24</v>
      </c>
      <c r="AG41" s="563">
        <f t="shared" si="41"/>
        <v>24</v>
      </c>
      <c r="AH41" s="563">
        <f t="shared" si="41"/>
        <v>23</v>
      </c>
      <c r="AI41" s="563">
        <f t="shared" si="41"/>
        <v>23</v>
      </c>
      <c r="AJ41" s="563">
        <f t="shared" si="41"/>
        <v>22</v>
      </c>
      <c r="AK41" s="579">
        <f t="shared" si="41"/>
        <v>22</v>
      </c>
      <c r="AL41" s="563">
        <f t="shared" si="41"/>
        <v>21</v>
      </c>
      <c r="AM41" s="563">
        <f t="shared" si="41"/>
        <v>21</v>
      </c>
      <c r="AN41" s="563">
        <f t="shared" si="41"/>
        <v>20</v>
      </c>
      <c r="AO41" s="563">
        <f t="shared" si="41"/>
        <v>20</v>
      </c>
      <c r="AP41" s="580">
        <f t="shared" si="41"/>
        <v>20</v>
      </c>
      <c r="AQ41" s="563">
        <f t="shared" si="41"/>
        <v>21</v>
      </c>
      <c r="AR41" s="563">
        <f t="shared" si="41"/>
        <v>21</v>
      </c>
      <c r="AS41" s="563">
        <f t="shared" si="41"/>
        <v>22</v>
      </c>
      <c r="AT41" s="563">
        <f t="shared" si="41"/>
        <v>22</v>
      </c>
      <c r="AU41" s="579">
        <f t="shared" si="41"/>
        <v>23</v>
      </c>
      <c r="AV41" s="563">
        <f t="shared" si="41"/>
        <v>23</v>
      </c>
      <c r="AW41" s="563">
        <f t="shared" si="41"/>
        <v>24</v>
      </c>
      <c r="AX41" s="563">
        <f t="shared" si="41"/>
        <v>24</v>
      </c>
      <c r="AY41" s="563">
        <f t="shared" si="41"/>
        <v>25</v>
      </c>
      <c r="AZ41" s="580">
        <f t="shared" si="41"/>
        <v>25</v>
      </c>
      <c r="BA41" s="563">
        <f t="shared" si="41"/>
        <v>26</v>
      </c>
      <c r="BB41" s="563">
        <f t="shared" si="41"/>
        <v>26</v>
      </c>
      <c r="BC41" s="563">
        <f t="shared" si="41"/>
        <v>27</v>
      </c>
      <c r="BD41" s="563">
        <f t="shared" si="41"/>
        <v>27</v>
      </c>
      <c r="BE41" s="579">
        <f t="shared" si="41"/>
        <v>28</v>
      </c>
      <c r="BF41" s="563">
        <f t="shared" si="41"/>
        <v>28</v>
      </c>
      <c r="BG41" s="563">
        <f t="shared" si="41"/>
        <v>29</v>
      </c>
      <c r="BH41" s="563">
        <f t="shared" si="41"/>
        <v>29</v>
      </c>
      <c r="BI41" s="563">
        <f t="shared" si="41"/>
        <v>30</v>
      </c>
      <c r="BJ41" s="580">
        <f t="shared" si="41"/>
        <v>30</v>
      </c>
      <c r="BK41" s="563">
        <f t="shared" si="41"/>
        <v>31</v>
      </c>
      <c r="BL41" s="563">
        <f t="shared" si="41"/>
        <v>31</v>
      </c>
      <c r="BM41" s="563">
        <f t="shared" si="41"/>
        <v>32</v>
      </c>
      <c r="BN41" s="563">
        <f t="shared" si="41"/>
        <v>32</v>
      </c>
      <c r="BO41" s="579">
        <f t="shared" si="41"/>
        <v>33</v>
      </c>
      <c r="BP41" s="563">
        <f t="shared" si="41"/>
        <v>33</v>
      </c>
      <c r="BQ41" s="563">
        <f t="shared" si="41"/>
        <v>35</v>
      </c>
      <c r="BR41" s="563">
        <f t="shared" si="41"/>
        <v>37</v>
      </c>
      <c r="BS41" s="563">
        <f t="shared" si="41"/>
        <v>39</v>
      </c>
      <c r="BT41" s="580">
        <f t="shared" si="41"/>
        <v>41</v>
      </c>
      <c r="BU41" s="563">
        <f t="shared" si="41"/>
        <v>43</v>
      </c>
      <c r="BV41" s="563">
        <f t="shared" si="41"/>
        <v>45</v>
      </c>
      <c r="BW41" s="563">
        <f t="shared" si="41"/>
        <v>47</v>
      </c>
      <c r="BX41" s="563">
        <f t="shared" si="41"/>
        <v>49</v>
      </c>
      <c r="BY41" s="579">
        <f t="shared" si="41"/>
        <v>51</v>
      </c>
      <c r="BZ41" s="563">
        <f t="shared" si="41"/>
        <v>53</v>
      </c>
      <c r="CA41" s="563">
        <f t="shared" si="41"/>
        <v>55</v>
      </c>
      <c r="CB41" s="563">
        <f t="shared" si="41"/>
        <v>57</v>
      </c>
      <c r="CC41" s="563">
        <f t="shared" si="41"/>
        <v>59</v>
      </c>
      <c r="CD41" s="580">
        <f t="shared" si="41"/>
        <v>61</v>
      </c>
      <c r="CE41" s="563">
        <f t="shared" si="41"/>
        <v>63</v>
      </c>
      <c r="CF41" s="563">
        <f t="shared" si="41"/>
        <v>65</v>
      </c>
      <c r="CG41" s="563">
        <f t="shared" si="41"/>
        <v>67</v>
      </c>
      <c r="CH41" s="563">
        <f t="shared" si="41"/>
        <v>69</v>
      </c>
      <c r="CI41" s="579">
        <f t="shared" si="41"/>
        <v>71</v>
      </c>
      <c r="CJ41" s="563">
        <f t="shared" si="41"/>
        <v>73</v>
      </c>
      <c r="CK41" s="563">
        <f t="shared" si="41"/>
        <v>75</v>
      </c>
      <c r="CL41" s="563">
        <f t="shared" si="41"/>
        <v>77</v>
      </c>
      <c r="CM41" s="563">
        <f t="shared" si="41"/>
        <v>79</v>
      </c>
      <c r="CN41" s="580">
        <f t="shared" si="41"/>
        <v>81</v>
      </c>
      <c r="CO41" s="563">
        <f t="shared" si="41"/>
        <v>83</v>
      </c>
      <c r="CP41" s="563">
        <f t="shared" si="41"/>
        <v>85</v>
      </c>
      <c r="CQ41" s="563">
        <f t="shared" si="41"/>
        <v>87</v>
      </c>
      <c r="CR41" s="563">
        <f t="shared" si="41"/>
        <v>89</v>
      </c>
      <c r="CS41" s="579">
        <f t="shared" si="41"/>
        <v>91</v>
      </c>
      <c r="CT41" s="563">
        <f t="shared" si="41"/>
        <v>93</v>
      </c>
      <c r="CU41" s="563">
        <f t="shared" si="41"/>
        <v>95</v>
      </c>
      <c r="CV41" s="563">
        <f t="shared" si="41"/>
        <v>97</v>
      </c>
      <c r="CW41" s="563">
        <f t="shared" si="41"/>
        <v>99</v>
      </c>
      <c r="CX41" s="563"/>
    </row>
    <row r="42" ht="10.5" customHeight="1">
      <c r="A42" s="543"/>
      <c r="B42" s="563">
        <f t="shared" si="4"/>
        <v>40</v>
      </c>
      <c r="C42" s="682">
        <f t="shared" ref="C42:CW42" si="42">IF(LT(IF(GT(C$2,MIN($B42,99)),C$2,MIN($B42,99)),99-FLOOR(C$2/2,1)),IF(GT(C$2,MIN($B42,99)),C$2,MIN($B42,99))-FLOOR(C$2/2,1),2*IF(GT(C$2,MIN($B42,99)),C$2,MIN($B42,99))-99)</f>
        <v>40</v>
      </c>
      <c r="D42" s="682">
        <f t="shared" si="42"/>
        <v>39</v>
      </c>
      <c r="E42" s="682">
        <f t="shared" si="42"/>
        <v>39</v>
      </c>
      <c r="F42" s="682">
        <f t="shared" si="42"/>
        <v>38</v>
      </c>
      <c r="G42" s="683">
        <f t="shared" si="42"/>
        <v>38</v>
      </c>
      <c r="H42" s="682">
        <f t="shared" si="42"/>
        <v>37</v>
      </c>
      <c r="I42" s="682">
        <f t="shared" si="42"/>
        <v>37</v>
      </c>
      <c r="J42" s="682">
        <f t="shared" si="42"/>
        <v>36</v>
      </c>
      <c r="K42" s="682">
        <f t="shared" si="42"/>
        <v>36</v>
      </c>
      <c r="L42" s="684">
        <f t="shared" si="42"/>
        <v>35</v>
      </c>
      <c r="M42" s="682">
        <f t="shared" si="42"/>
        <v>35</v>
      </c>
      <c r="N42" s="682">
        <f t="shared" si="42"/>
        <v>34</v>
      </c>
      <c r="O42" s="682">
        <f t="shared" si="42"/>
        <v>34</v>
      </c>
      <c r="P42" s="682">
        <f t="shared" si="42"/>
        <v>33</v>
      </c>
      <c r="Q42" s="683">
        <f t="shared" si="42"/>
        <v>33</v>
      </c>
      <c r="R42" s="682">
        <f t="shared" si="42"/>
        <v>32</v>
      </c>
      <c r="S42" s="682">
        <f t="shared" si="42"/>
        <v>32</v>
      </c>
      <c r="T42" s="682">
        <f t="shared" si="42"/>
        <v>31</v>
      </c>
      <c r="U42" s="682">
        <f t="shared" si="42"/>
        <v>31</v>
      </c>
      <c r="V42" s="684">
        <f t="shared" si="42"/>
        <v>30</v>
      </c>
      <c r="W42" s="682">
        <f t="shared" si="42"/>
        <v>30</v>
      </c>
      <c r="X42" s="682">
        <f t="shared" si="42"/>
        <v>29</v>
      </c>
      <c r="Y42" s="682">
        <f t="shared" si="42"/>
        <v>29</v>
      </c>
      <c r="Z42" s="682">
        <f t="shared" si="42"/>
        <v>28</v>
      </c>
      <c r="AA42" s="683">
        <f t="shared" si="42"/>
        <v>28</v>
      </c>
      <c r="AB42" s="682">
        <f t="shared" si="42"/>
        <v>27</v>
      </c>
      <c r="AC42" s="682">
        <f t="shared" si="42"/>
        <v>27</v>
      </c>
      <c r="AD42" s="682">
        <f t="shared" si="42"/>
        <v>26</v>
      </c>
      <c r="AE42" s="682">
        <f t="shared" si="42"/>
        <v>26</v>
      </c>
      <c r="AF42" s="684">
        <f t="shared" si="42"/>
        <v>25</v>
      </c>
      <c r="AG42" s="682">
        <f t="shared" si="42"/>
        <v>25</v>
      </c>
      <c r="AH42" s="682">
        <f t="shared" si="42"/>
        <v>24</v>
      </c>
      <c r="AI42" s="682">
        <f t="shared" si="42"/>
        <v>24</v>
      </c>
      <c r="AJ42" s="682">
        <f t="shared" si="42"/>
        <v>23</v>
      </c>
      <c r="AK42" s="683">
        <f t="shared" si="42"/>
        <v>23</v>
      </c>
      <c r="AL42" s="682">
        <f t="shared" si="42"/>
        <v>22</v>
      </c>
      <c r="AM42" s="682">
        <f t="shared" si="42"/>
        <v>22</v>
      </c>
      <c r="AN42" s="682">
        <f t="shared" si="42"/>
        <v>21</v>
      </c>
      <c r="AO42" s="682">
        <f t="shared" si="42"/>
        <v>21</v>
      </c>
      <c r="AP42" s="684">
        <f t="shared" si="42"/>
        <v>20</v>
      </c>
      <c r="AQ42" s="682">
        <f t="shared" si="42"/>
        <v>21</v>
      </c>
      <c r="AR42" s="682">
        <f t="shared" si="42"/>
        <v>21</v>
      </c>
      <c r="AS42" s="682">
        <f t="shared" si="42"/>
        <v>22</v>
      </c>
      <c r="AT42" s="682">
        <f t="shared" si="42"/>
        <v>22</v>
      </c>
      <c r="AU42" s="683">
        <f t="shared" si="42"/>
        <v>23</v>
      </c>
      <c r="AV42" s="682">
        <f t="shared" si="42"/>
        <v>23</v>
      </c>
      <c r="AW42" s="682">
        <f t="shared" si="42"/>
        <v>24</v>
      </c>
      <c r="AX42" s="682">
        <f t="shared" si="42"/>
        <v>24</v>
      </c>
      <c r="AY42" s="682">
        <f t="shared" si="42"/>
        <v>25</v>
      </c>
      <c r="AZ42" s="684">
        <f t="shared" si="42"/>
        <v>25</v>
      </c>
      <c r="BA42" s="682">
        <f t="shared" si="42"/>
        <v>26</v>
      </c>
      <c r="BB42" s="682">
        <f t="shared" si="42"/>
        <v>26</v>
      </c>
      <c r="BC42" s="682">
        <f t="shared" si="42"/>
        <v>27</v>
      </c>
      <c r="BD42" s="682">
        <f t="shared" si="42"/>
        <v>27</v>
      </c>
      <c r="BE42" s="683">
        <f t="shared" si="42"/>
        <v>28</v>
      </c>
      <c r="BF42" s="682">
        <f t="shared" si="42"/>
        <v>28</v>
      </c>
      <c r="BG42" s="682">
        <f t="shared" si="42"/>
        <v>29</v>
      </c>
      <c r="BH42" s="682">
        <f t="shared" si="42"/>
        <v>29</v>
      </c>
      <c r="BI42" s="682">
        <f t="shared" si="42"/>
        <v>30</v>
      </c>
      <c r="BJ42" s="684">
        <f t="shared" si="42"/>
        <v>30</v>
      </c>
      <c r="BK42" s="682">
        <f t="shared" si="42"/>
        <v>31</v>
      </c>
      <c r="BL42" s="682">
        <f t="shared" si="42"/>
        <v>31</v>
      </c>
      <c r="BM42" s="682">
        <f t="shared" si="42"/>
        <v>32</v>
      </c>
      <c r="BN42" s="682">
        <f t="shared" si="42"/>
        <v>32</v>
      </c>
      <c r="BO42" s="683">
        <f t="shared" si="42"/>
        <v>33</v>
      </c>
      <c r="BP42" s="682">
        <f t="shared" si="42"/>
        <v>33</v>
      </c>
      <c r="BQ42" s="682">
        <f t="shared" si="42"/>
        <v>35</v>
      </c>
      <c r="BR42" s="682">
        <f t="shared" si="42"/>
        <v>37</v>
      </c>
      <c r="BS42" s="682">
        <f t="shared" si="42"/>
        <v>39</v>
      </c>
      <c r="BT42" s="684">
        <f t="shared" si="42"/>
        <v>41</v>
      </c>
      <c r="BU42" s="682">
        <f t="shared" si="42"/>
        <v>43</v>
      </c>
      <c r="BV42" s="682">
        <f t="shared" si="42"/>
        <v>45</v>
      </c>
      <c r="BW42" s="682">
        <f t="shared" si="42"/>
        <v>47</v>
      </c>
      <c r="BX42" s="682">
        <f t="shared" si="42"/>
        <v>49</v>
      </c>
      <c r="BY42" s="683">
        <f t="shared" si="42"/>
        <v>51</v>
      </c>
      <c r="BZ42" s="682">
        <f t="shared" si="42"/>
        <v>53</v>
      </c>
      <c r="CA42" s="682">
        <f t="shared" si="42"/>
        <v>55</v>
      </c>
      <c r="CB42" s="682">
        <f t="shared" si="42"/>
        <v>57</v>
      </c>
      <c r="CC42" s="682">
        <f t="shared" si="42"/>
        <v>59</v>
      </c>
      <c r="CD42" s="684">
        <f t="shared" si="42"/>
        <v>61</v>
      </c>
      <c r="CE42" s="682">
        <f t="shared" si="42"/>
        <v>63</v>
      </c>
      <c r="CF42" s="682">
        <f t="shared" si="42"/>
        <v>65</v>
      </c>
      <c r="CG42" s="682">
        <f t="shared" si="42"/>
        <v>67</v>
      </c>
      <c r="CH42" s="682">
        <f t="shared" si="42"/>
        <v>69</v>
      </c>
      <c r="CI42" s="683">
        <f t="shared" si="42"/>
        <v>71</v>
      </c>
      <c r="CJ42" s="682">
        <f t="shared" si="42"/>
        <v>73</v>
      </c>
      <c r="CK42" s="682">
        <f t="shared" si="42"/>
        <v>75</v>
      </c>
      <c r="CL42" s="682">
        <f t="shared" si="42"/>
        <v>77</v>
      </c>
      <c r="CM42" s="682">
        <f t="shared" si="42"/>
        <v>79</v>
      </c>
      <c r="CN42" s="684">
        <f t="shared" si="42"/>
        <v>81</v>
      </c>
      <c r="CO42" s="682">
        <f t="shared" si="42"/>
        <v>83</v>
      </c>
      <c r="CP42" s="682">
        <f t="shared" si="42"/>
        <v>85</v>
      </c>
      <c r="CQ42" s="682">
        <f t="shared" si="42"/>
        <v>87</v>
      </c>
      <c r="CR42" s="682">
        <f t="shared" si="42"/>
        <v>89</v>
      </c>
      <c r="CS42" s="683">
        <f t="shared" si="42"/>
        <v>91</v>
      </c>
      <c r="CT42" s="682">
        <f t="shared" si="42"/>
        <v>93</v>
      </c>
      <c r="CU42" s="682">
        <f t="shared" si="42"/>
        <v>95</v>
      </c>
      <c r="CV42" s="682">
        <f t="shared" si="42"/>
        <v>97</v>
      </c>
      <c r="CW42" s="682">
        <f t="shared" si="42"/>
        <v>99</v>
      </c>
      <c r="CX42" s="563"/>
    </row>
    <row r="43" ht="10.5" customHeight="1">
      <c r="A43" s="543"/>
      <c r="B43" s="563">
        <f t="shared" si="4"/>
        <v>41</v>
      </c>
      <c r="C43" s="563">
        <f t="shared" ref="C43:CW43" si="43">IF(LT(IF(GT(C$2,MIN($B43,99)),C$2,MIN($B43,99)),99-FLOOR(C$2/2,1)),IF(GT(C$2,MIN($B43,99)),C$2,MIN($B43,99))-FLOOR(C$2/2,1),2*IF(GT(C$2,MIN($B43,99)),C$2,MIN($B43,99))-99)</f>
        <v>41</v>
      </c>
      <c r="D43" s="563">
        <f t="shared" si="43"/>
        <v>40</v>
      </c>
      <c r="E43" s="563">
        <f t="shared" si="43"/>
        <v>40</v>
      </c>
      <c r="F43" s="563">
        <f t="shared" si="43"/>
        <v>39</v>
      </c>
      <c r="G43" s="579">
        <f t="shared" si="43"/>
        <v>39</v>
      </c>
      <c r="H43" s="563">
        <f t="shared" si="43"/>
        <v>38</v>
      </c>
      <c r="I43" s="563">
        <f t="shared" si="43"/>
        <v>38</v>
      </c>
      <c r="J43" s="563">
        <f t="shared" si="43"/>
        <v>37</v>
      </c>
      <c r="K43" s="563">
        <f t="shared" si="43"/>
        <v>37</v>
      </c>
      <c r="L43" s="580">
        <f t="shared" si="43"/>
        <v>36</v>
      </c>
      <c r="M43" s="563">
        <f t="shared" si="43"/>
        <v>36</v>
      </c>
      <c r="N43" s="563">
        <f t="shared" si="43"/>
        <v>35</v>
      </c>
      <c r="O43" s="563">
        <f t="shared" si="43"/>
        <v>35</v>
      </c>
      <c r="P43" s="563">
        <f t="shared" si="43"/>
        <v>34</v>
      </c>
      <c r="Q43" s="579">
        <f t="shared" si="43"/>
        <v>34</v>
      </c>
      <c r="R43" s="563">
        <f t="shared" si="43"/>
        <v>33</v>
      </c>
      <c r="S43" s="563">
        <f t="shared" si="43"/>
        <v>33</v>
      </c>
      <c r="T43" s="563">
        <f t="shared" si="43"/>
        <v>32</v>
      </c>
      <c r="U43" s="563">
        <f t="shared" si="43"/>
        <v>32</v>
      </c>
      <c r="V43" s="580">
        <f t="shared" si="43"/>
        <v>31</v>
      </c>
      <c r="W43" s="563">
        <f t="shared" si="43"/>
        <v>31</v>
      </c>
      <c r="X43" s="563">
        <f t="shared" si="43"/>
        <v>30</v>
      </c>
      <c r="Y43" s="563">
        <f t="shared" si="43"/>
        <v>30</v>
      </c>
      <c r="Z43" s="563">
        <f t="shared" si="43"/>
        <v>29</v>
      </c>
      <c r="AA43" s="579">
        <f t="shared" si="43"/>
        <v>29</v>
      </c>
      <c r="AB43" s="563">
        <f t="shared" si="43"/>
        <v>28</v>
      </c>
      <c r="AC43" s="563">
        <f t="shared" si="43"/>
        <v>28</v>
      </c>
      <c r="AD43" s="563">
        <f t="shared" si="43"/>
        <v>27</v>
      </c>
      <c r="AE43" s="563">
        <f t="shared" si="43"/>
        <v>27</v>
      </c>
      <c r="AF43" s="580">
        <f t="shared" si="43"/>
        <v>26</v>
      </c>
      <c r="AG43" s="563">
        <f t="shared" si="43"/>
        <v>26</v>
      </c>
      <c r="AH43" s="563">
        <f t="shared" si="43"/>
        <v>25</v>
      </c>
      <c r="AI43" s="563">
        <f t="shared" si="43"/>
        <v>25</v>
      </c>
      <c r="AJ43" s="563">
        <f t="shared" si="43"/>
        <v>24</v>
      </c>
      <c r="AK43" s="579">
        <f t="shared" si="43"/>
        <v>24</v>
      </c>
      <c r="AL43" s="563">
        <f t="shared" si="43"/>
        <v>23</v>
      </c>
      <c r="AM43" s="563">
        <f t="shared" si="43"/>
        <v>23</v>
      </c>
      <c r="AN43" s="563">
        <f t="shared" si="43"/>
        <v>22</v>
      </c>
      <c r="AO43" s="563">
        <f t="shared" si="43"/>
        <v>22</v>
      </c>
      <c r="AP43" s="580">
        <f t="shared" si="43"/>
        <v>21</v>
      </c>
      <c r="AQ43" s="563">
        <f t="shared" si="43"/>
        <v>21</v>
      </c>
      <c r="AR43" s="563">
        <f t="shared" si="43"/>
        <v>21</v>
      </c>
      <c r="AS43" s="563">
        <f t="shared" si="43"/>
        <v>22</v>
      </c>
      <c r="AT43" s="563">
        <f t="shared" si="43"/>
        <v>22</v>
      </c>
      <c r="AU43" s="579">
        <f t="shared" si="43"/>
        <v>23</v>
      </c>
      <c r="AV43" s="563">
        <f t="shared" si="43"/>
        <v>23</v>
      </c>
      <c r="AW43" s="563">
        <f t="shared" si="43"/>
        <v>24</v>
      </c>
      <c r="AX43" s="563">
        <f t="shared" si="43"/>
        <v>24</v>
      </c>
      <c r="AY43" s="563">
        <f t="shared" si="43"/>
        <v>25</v>
      </c>
      <c r="AZ43" s="580">
        <f t="shared" si="43"/>
        <v>25</v>
      </c>
      <c r="BA43" s="563">
        <f t="shared" si="43"/>
        <v>26</v>
      </c>
      <c r="BB43" s="563">
        <f t="shared" si="43"/>
        <v>26</v>
      </c>
      <c r="BC43" s="563">
        <f t="shared" si="43"/>
        <v>27</v>
      </c>
      <c r="BD43" s="563">
        <f t="shared" si="43"/>
        <v>27</v>
      </c>
      <c r="BE43" s="579">
        <f t="shared" si="43"/>
        <v>28</v>
      </c>
      <c r="BF43" s="563">
        <f t="shared" si="43"/>
        <v>28</v>
      </c>
      <c r="BG43" s="563">
        <f t="shared" si="43"/>
        <v>29</v>
      </c>
      <c r="BH43" s="563">
        <f t="shared" si="43"/>
        <v>29</v>
      </c>
      <c r="BI43" s="563">
        <f t="shared" si="43"/>
        <v>30</v>
      </c>
      <c r="BJ43" s="580">
        <f t="shared" si="43"/>
        <v>30</v>
      </c>
      <c r="BK43" s="563">
        <f t="shared" si="43"/>
        <v>31</v>
      </c>
      <c r="BL43" s="563">
        <f t="shared" si="43"/>
        <v>31</v>
      </c>
      <c r="BM43" s="563">
        <f t="shared" si="43"/>
        <v>32</v>
      </c>
      <c r="BN43" s="563">
        <f t="shared" si="43"/>
        <v>32</v>
      </c>
      <c r="BO43" s="579">
        <f t="shared" si="43"/>
        <v>33</v>
      </c>
      <c r="BP43" s="563">
        <f t="shared" si="43"/>
        <v>33</v>
      </c>
      <c r="BQ43" s="563">
        <f t="shared" si="43"/>
        <v>35</v>
      </c>
      <c r="BR43" s="563">
        <f t="shared" si="43"/>
        <v>37</v>
      </c>
      <c r="BS43" s="563">
        <f t="shared" si="43"/>
        <v>39</v>
      </c>
      <c r="BT43" s="580">
        <f t="shared" si="43"/>
        <v>41</v>
      </c>
      <c r="BU43" s="563">
        <f t="shared" si="43"/>
        <v>43</v>
      </c>
      <c r="BV43" s="563">
        <f t="shared" si="43"/>
        <v>45</v>
      </c>
      <c r="BW43" s="563">
        <f t="shared" si="43"/>
        <v>47</v>
      </c>
      <c r="BX43" s="563">
        <f t="shared" si="43"/>
        <v>49</v>
      </c>
      <c r="BY43" s="579">
        <f t="shared" si="43"/>
        <v>51</v>
      </c>
      <c r="BZ43" s="563">
        <f t="shared" si="43"/>
        <v>53</v>
      </c>
      <c r="CA43" s="563">
        <f t="shared" si="43"/>
        <v>55</v>
      </c>
      <c r="CB43" s="563">
        <f t="shared" si="43"/>
        <v>57</v>
      </c>
      <c r="CC43" s="563">
        <f t="shared" si="43"/>
        <v>59</v>
      </c>
      <c r="CD43" s="580">
        <f t="shared" si="43"/>
        <v>61</v>
      </c>
      <c r="CE43" s="563">
        <f t="shared" si="43"/>
        <v>63</v>
      </c>
      <c r="CF43" s="563">
        <f t="shared" si="43"/>
        <v>65</v>
      </c>
      <c r="CG43" s="563">
        <f t="shared" si="43"/>
        <v>67</v>
      </c>
      <c r="CH43" s="563">
        <f t="shared" si="43"/>
        <v>69</v>
      </c>
      <c r="CI43" s="579">
        <f t="shared" si="43"/>
        <v>71</v>
      </c>
      <c r="CJ43" s="563">
        <f t="shared" si="43"/>
        <v>73</v>
      </c>
      <c r="CK43" s="563">
        <f t="shared" si="43"/>
        <v>75</v>
      </c>
      <c r="CL43" s="563">
        <f t="shared" si="43"/>
        <v>77</v>
      </c>
      <c r="CM43" s="563">
        <f t="shared" si="43"/>
        <v>79</v>
      </c>
      <c r="CN43" s="580">
        <f t="shared" si="43"/>
        <v>81</v>
      </c>
      <c r="CO43" s="563">
        <f t="shared" si="43"/>
        <v>83</v>
      </c>
      <c r="CP43" s="563">
        <f t="shared" si="43"/>
        <v>85</v>
      </c>
      <c r="CQ43" s="563">
        <f t="shared" si="43"/>
        <v>87</v>
      </c>
      <c r="CR43" s="563">
        <f t="shared" si="43"/>
        <v>89</v>
      </c>
      <c r="CS43" s="579">
        <f t="shared" si="43"/>
        <v>91</v>
      </c>
      <c r="CT43" s="563">
        <f t="shared" si="43"/>
        <v>93</v>
      </c>
      <c r="CU43" s="563">
        <f t="shared" si="43"/>
        <v>95</v>
      </c>
      <c r="CV43" s="563">
        <f t="shared" si="43"/>
        <v>97</v>
      </c>
      <c r="CW43" s="563">
        <f t="shared" si="43"/>
        <v>99</v>
      </c>
      <c r="CX43" s="563"/>
    </row>
    <row r="44" ht="10.5" customHeight="1">
      <c r="A44" s="543"/>
      <c r="B44" s="563">
        <f t="shared" si="4"/>
        <v>42</v>
      </c>
      <c r="C44" s="563">
        <f t="shared" ref="C44:CW44" si="44">IF(LT(IF(GT(C$2,MIN($B44,99)),C$2,MIN($B44,99)),99-FLOOR(C$2/2,1)),IF(GT(C$2,MIN($B44,99)),C$2,MIN($B44,99))-FLOOR(C$2/2,1),2*IF(GT(C$2,MIN($B44,99)),C$2,MIN($B44,99))-99)</f>
        <v>42</v>
      </c>
      <c r="D44" s="563">
        <f t="shared" si="44"/>
        <v>41</v>
      </c>
      <c r="E44" s="563">
        <f t="shared" si="44"/>
        <v>41</v>
      </c>
      <c r="F44" s="563">
        <f t="shared" si="44"/>
        <v>40</v>
      </c>
      <c r="G44" s="579">
        <f t="shared" si="44"/>
        <v>40</v>
      </c>
      <c r="H44" s="563">
        <f t="shared" si="44"/>
        <v>39</v>
      </c>
      <c r="I44" s="563">
        <f t="shared" si="44"/>
        <v>39</v>
      </c>
      <c r="J44" s="563">
        <f t="shared" si="44"/>
        <v>38</v>
      </c>
      <c r="K44" s="563">
        <f t="shared" si="44"/>
        <v>38</v>
      </c>
      <c r="L44" s="580">
        <f t="shared" si="44"/>
        <v>37</v>
      </c>
      <c r="M44" s="563">
        <f t="shared" si="44"/>
        <v>37</v>
      </c>
      <c r="N44" s="563">
        <f t="shared" si="44"/>
        <v>36</v>
      </c>
      <c r="O44" s="563">
        <f t="shared" si="44"/>
        <v>36</v>
      </c>
      <c r="P44" s="563">
        <f t="shared" si="44"/>
        <v>35</v>
      </c>
      <c r="Q44" s="579">
        <f t="shared" si="44"/>
        <v>35</v>
      </c>
      <c r="R44" s="563">
        <f t="shared" si="44"/>
        <v>34</v>
      </c>
      <c r="S44" s="563">
        <f t="shared" si="44"/>
        <v>34</v>
      </c>
      <c r="T44" s="563">
        <f t="shared" si="44"/>
        <v>33</v>
      </c>
      <c r="U44" s="563">
        <f t="shared" si="44"/>
        <v>33</v>
      </c>
      <c r="V44" s="580">
        <f t="shared" si="44"/>
        <v>32</v>
      </c>
      <c r="W44" s="563">
        <f t="shared" si="44"/>
        <v>32</v>
      </c>
      <c r="X44" s="563">
        <f t="shared" si="44"/>
        <v>31</v>
      </c>
      <c r="Y44" s="563">
        <f t="shared" si="44"/>
        <v>31</v>
      </c>
      <c r="Z44" s="563">
        <f t="shared" si="44"/>
        <v>30</v>
      </c>
      <c r="AA44" s="579">
        <f t="shared" si="44"/>
        <v>30</v>
      </c>
      <c r="AB44" s="563">
        <f t="shared" si="44"/>
        <v>29</v>
      </c>
      <c r="AC44" s="563">
        <f t="shared" si="44"/>
        <v>29</v>
      </c>
      <c r="AD44" s="563">
        <f t="shared" si="44"/>
        <v>28</v>
      </c>
      <c r="AE44" s="563">
        <f t="shared" si="44"/>
        <v>28</v>
      </c>
      <c r="AF44" s="580">
        <f t="shared" si="44"/>
        <v>27</v>
      </c>
      <c r="AG44" s="563">
        <f t="shared" si="44"/>
        <v>27</v>
      </c>
      <c r="AH44" s="563">
        <f t="shared" si="44"/>
        <v>26</v>
      </c>
      <c r="AI44" s="563">
        <f t="shared" si="44"/>
        <v>26</v>
      </c>
      <c r="AJ44" s="563">
        <f t="shared" si="44"/>
        <v>25</v>
      </c>
      <c r="AK44" s="579">
        <f t="shared" si="44"/>
        <v>25</v>
      </c>
      <c r="AL44" s="563">
        <f t="shared" si="44"/>
        <v>24</v>
      </c>
      <c r="AM44" s="563">
        <f t="shared" si="44"/>
        <v>24</v>
      </c>
      <c r="AN44" s="563">
        <f t="shared" si="44"/>
        <v>23</v>
      </c>
      <c r="AO44" s="563">
        <f t="shared" si="44"/>
        <v>23</v>
      </c>
      <c r="AP44" s="580">
        <f t="shared" si="44"/>
        <v>22</v>
      </c>
      <c r="AQ44" s="563">
        <f t="shared" si="44"/>
        <v>22</v>
      </c>
      <c r="AR44" s="563">
        <f t="shared" si="44"/>
        <v>21</v>
      </c>
      <c r="AS44" s="563">
        <f t="shared" si="44"/>
        <v>22</v>
      </c>
      <c r="AT44" s="563">
        <f t="shared" si="44"/>
        <v>22</v>
      </c>
      <c r="AU44" s="579">
        <f t="shared" si="44"/>
        <v>23</v>
      </c>
      <c r="AV44" s="563">
        <f t="shared" si="44"/>
        <v>23</v>
      </c>
      <c r="AW44" s="563">
        <f t="shared" si="44"/>
        <v>24</v>
      </c>
      <c r="AX44" s="563">
        <f t="shared" si="44"/>
        <v>24</v>
      </c>
      <c r="AY44" s="563">
        <f t="shared" si="44"/>
        <v>25</v>
      </c>
      <c r="AZ44" s="580">
        <f t="shared" si="44"/>
        <v>25</v>
      </c>
      <c r="BA44" s="563">
        <f t="shared" si="44"/>
        <v>26</v>
      </c>
      <c r="BB44" s="563">
        <f t="shared" si="44"/>
        <v>26</v>
      </c>
      <c r="BC44" s="563">
        <f t="shared" si="44"/>
        <v>27</v>
      </c>
      <c r="BD44" s="563">
        <f t="shared" si="44"/>
        <v>27</v>
      </c>
      <c r="BE44" s="579">
        <f t="shared" si="44"/>
        <v>28</v>
      </c>
      <c r="BF44" s="563">
        <f t="shared" si="44"/>
        <v>28</v>
      </c>
      <c r="BG44" s="563">
        <f t="shared" si="44"/>
        <v>29</v>
      </c>
      <c r="BH44" s="563">
        <f t="shared" si="44"/>
        <v>29</v>
      </c>
      <c r="BI44" s="563">
        <f t="shared" si="44"/>
        <v>30</v>
      </c>
      <c r="BJ44" s="580">
        <f t="shared" si="44"/>
        <v>30</v>
      </c>
      <c r="BK44" s="563">
        <f t="shared" si="44"/>
        <v>31</v>
      </c>
      <c r="BL44" s="563">
        <f t="shared" si="44"/>
        <v>31</v>
      </c>
      <c r="BM44" s="563">
        <f t="shared" si="44"/>
        <v>32</v>
      </c>
      <c r="BN44" s="563">
        <f t="shared" si="44"/>
        <v>32</v>
      </c>
      <c r="BO44" s="579">
        <f t="shared" si="44"/>
        <v>33</v>
      </c>
      <c r="BP44" s="563">
        <f t="shared" si="44"/>
        <v>33</v>
      </c>
      <c r="BQ44" s="563">
        <f t="shared" si="44"/>
        <v>35</v>
      </c>
      <c r="BR44" s="563">
        <f t="shared" si="44"/>
        <v>37</v>
      </c>
      <c r="BS44" s="563">
        <f t="shared" si="44"/>
        <v>39</v>
      </c>
      <c r="BT44" s="580">
        <f t="shared" si="44"/>
        <v>41</v>
      </c>
      <c r="BU44" s="563">
        <f t="shared" si="44"/>
        <v>43</v>
      </c>
      <c r="BV44" s="563">
        <f t="shared" si="44"/>
        <v>45</v>
      </c>
      <c r="BW44" s="563">
        <f t="shared" si="44"/>
        <v>47</v>
      </c>
      <c r="BX44" s="563">
        <f t="shared" si="44"/>
        <v>49</v>
      </c>
      <c r="BY44" s="579">
        <f t="shared" si="44"/>
        <v>51</v>
      </c>
      <c r="BZ44" s="563">
        <f t="shared" si="44"/>
        <v>53</v>
      </c>
      <c r="CA44" s="563">
        <f t="shared" si="44"/>
        <v>55</v>
      </c>
      <c r="CB44" s="563">
        <f t="shared" si="44"/>
        <v>57</v>
      </c>
      <c r="CC44" s="563">
        <f t="shared" si="44"/>
        <v>59</v>
      </c>
      <c r="CD44" s="580">
        <f t="shared" si="44"/>
        <v>61</v>
      </c>
      <c r="CE44" s="563">
        <f t="shared" si="44"/>
        <v>63</v>
      </c>
      <c r="CF44" s="563">
        <f t="shared" si="44"/>
        <v>65</v>
      </c>
      <c r="CG44" s="563">
        <f t="shared" si="44"/>
        <v>67</v>
      </c>
      <c r="CH44" s="563">
        <f t="shared" si="44"/>
        <v>69</v>
      </c>
      <c r="CI44" s="579">
        <f t="shared" si="44"/>
        <v>71</v>
      </c>
      <c r="CJ44" s="563">
        <f t="shared" si="44"/>
        <v>73</v>
      </c>
      <c r="CK44" s="563">
        <f t="shared" si="44"/>
        <v>75</v>
      </c>
      <c r="CL44" s="563">
        <f t="shared" si="44"/>
        <v>77</v>
      </c>
      <c r="CM44" s="563">
        <f t="shared" si="44"/>
        <v>79</v>
      </c>
      <c r="CN44" s="580">
        <f t="shared" si="44"/>
        <v>81</v>
      </c>
      <c r="CO44" s="563">
        <f t="shared" si="44"/>
        <v>83</v>
      </c>
      <c r="CP44" s="563">
        <f t="shared" si="44"/>
        <v>85</v>
      </c>
      <c r="CQ44" s="563">
        <f t="shared" si="44"/>
        <v>87</v>
      </c>
      <c r="CR44" s="563">
        <f t="shared" si="44"/>
        <v>89</v>
      </c>
      <c r="CS44" s="579">
        <f t="shared" si="44"/>
        <v>91</v>
      </c>
      <c r="CT44" s="563">
        <f t="shared" si="44"/>
        <v>93</v>
      </c>
      <c r="CU44" s="563">
        <f t="shared" si="44"/>
        <v>95</v>
      </c>
      <c r="CV44" s="563">
        <f t="shared" si="44"/>
        <v>97</v>
      </c>
      <c r="CW44" s="563">
        <f t="shared" si="44"/>
        <v>99</v>
      </c>
      <c r="CX44" s="563"/>
    </row>
    <row r="45" ht="10.5" customHeight="1">
      <c r="A45" s="543"/>
      <c r="B45" s="563">
        <f t="shared" si="4"/>
        <v>43</v>
      </c>
      <c r="C45" s="563">
        <f t="shared" ref="C45:CW45" si="45">IF(LT(IF(GT(C$2,MIN($B45,99)),C$2,MIN($B45,99)),99-FLOOR(C$2/2,1)),IF(GT(C$2,MIN($B45,99)),C$2,MIN($B45,99))-FLOOR(C$2/2,1),2*IF(GT(C$2,MIN($B45,99)),C$2,MIN($B45,99))-99)</f>
        <v>43</v>
      </c>
      <c r="D45" s="563">
        <f t="shared" si="45"/>
        <v>42</v>
      </c>
      <c r="E45" s="563">
        <f t="shared" si="45"/>
        <v>42</v>
      </c>
      <c r="F45" s="563">
        <f t="shared" si="45"/>
        <v>41</v>
      </c>
      <c r="G45" s="579">
        <f t="shared" si="45"/>
        <v>41</v>
      </c>
      <c r="H45" s="563">
        <f t="shared" si="45"/>
        <v>40</v>
      </c>
      <c r="I45" s="563">
        <f t="shared" si="45"/>
        <v>40</v>
      </c>
      <c r="J45" s="563">
        <f t="shared" si="45"/>
        <v>39</v>
      </c>
      <c r="K45" s="563">
        <f t="shared" si="45"/>
        <v>39</v>
      </c>
      <c r="L45" s="580">
        <f t="shared" si="45"/>
        <v>38</v>
      </c>
      <c r="M45" s="563">
        <f t="shared" si="45"/>
        <v>38</v>
      </c>
      <c r="N45" s="563">
        <f t="shared" si="45"/>
        <v>37</v>
      </c>
      <c r="O45" s="563">
        <f t="shared" si="45"/>
        <v>37</v>
      </c>
      <c r="P45" s="563">
        <f t="shared" si="45"/>
        <v>36</v>
      </c>
      <c r="Q45" s="579">
        <f t="shared" si="45"/>
        <v>36</v>
      </c>
      <c r="R45" s="563">
        <f t="shared" si="45"/>
        <v>35</v>
      </c>
      <c r="S45" s="563">
        <f t="shared" si="45"/>
        <v>35</v>
      </c>
      <c r="T45" s="563">
        <f t="shared" si="45"/>
        <v>34</v>
      </c>
      <c r="U45" s="563">
        <f t="shared" si="45"/>
        <v>34</v>
      </c>
      <c r="V45" s="580">
        <f t="shared" si="45"/>
        <v>33</v>
      </c>
      <c r="W45" s="563">
        <f t="shared" si="45"/>
        <v>33</v>
      </c>
      <c r="X45" s="563">
        <f t="shared" si="45"/>
        <v>32</v>
      </c>
      <c r="Y45" s="563">
        <f t="shared" si="45"/>
        <v>32</v>
      </c>
      <c r="Z45" s="563">
        <f t="shared" si="45"/>
        <v>31</v>
      </c>
      <c r="AA45" s="579">
        <f t="shared" si="45"/>
        <v>31</v>
      </c>
      <c r="AB45" s="563">
        <f t="shared" si="45"/>
        <v>30</v>
      </c>
      <c r="AC45" s="563">
        <f t="shared" si="45"/>
        <v>30</v>
      </c>
      <c r="AD45" s="563">
        <f t="shared" si="45"/>
        <v>29</v>
      </c>
      <c r="AE45" s="563">
        <f t="shared" si="45"/>
        <v>29</v>
      </c>
      <c r="AF45" s="580">
        <f t="shared" si="45"/>
        <v>28</v>
      </c>
      <c r="AG45" s="563">
        <f t="shared" si="45"/>
        <v>28</v>
      </c>
      <c r="AH45" s="563">
        <f t="shared" si="45"/>
        <v>27</v>
      </c>
      <c r="AI45" s="563">
        <f t="shared" si="45"/>
        <v>27</v>
      </c>
      <c r="AJ45" s="563">
        <f t="shared" si="45"/>
        <v>26</v>
      </c>
      <c r="AK45" s="579">
        <f t="shared" si="45"/>
        <v>26</v>
      </c>
      <c r="AL45" s="563">
        <f t="shared" si="45"/>
        <v>25</v>
      </c>
      <c r="AM45" s="563">
        <f t="shared" si="45"/>
        <v>25</v>
      </c>
      <c r="AN45" s="563">
        <f t="shared" si="45"/>
        <v>24</v>
      </c>
      <c r="AO45" s="563">
        <f t="shared" si="45"/>
        <v>24</v>
      </c>
      <c r="AP45" s="580">
        <f t="shared" si="45"/>
        <v>23</v>
      </c>
      <c r="AQ45" s="563">
        <f t="shared" si="45"/>
        <v>23</v>
      </c>
      <c r="AR45" s="563">
        <f t="shared" si="45"/>
        <v>22</v>
      </c>
      <c r="AS45" s="563">
        <f t="shared" si="45"/>
        <v>22</v>
      </c>
      <c r="AT45" s="563">
        <f t="shared" si="45"/>
        <v>22</v>
      </c>
      <c r="AU45" s="579">
        <f t="shared" si="45"/>
        <v>23</v>
      </c>
      <c r="AV45" s="563">
        <f t="shared" si="45"/>
        <v>23</v>
      </c>
      <c r="AW45" s="563">
        <f t="shared" si="45"/>
        <v>24</v>
      </c>
      <c r="AX45" s="563">
        <f t="shared" si="45"/>
        <v>24</v>
      </c>
      <c r="AY45" s="563">
        <f t="shared" si="45"/>
        <v>25</v>
      </c>
      <c r="AZ45" s="580">
        <f t="shared" si="45"/>
        <v>25</v>
      </c>
      <c r="BA45" s="563">
        <f t="shared" si="45"/>
        <v>26</v>
      </c>
      <c r="BB45" s="563">
        <f t="shared" si="45"/>
        <v>26</v>
      </c>
      <c r="BC45" s="563">
        <f t="shared" si="45"/>
        <v>27</v>
      </c>
      <c r="BD45" s="563">
        <f t="shared" si="45"/>
        <v>27</v>
      </c>
      <c r="BE45" s="579">
        <f t="shared" si="45"/>
        <v>28</v>
      </c>
      <c r="BF45" s="563">
        <f t="shared" si="45"/>
        <v>28</v>
      </c>
      <c r="BG45" s="563">
        <f t="shared" si="45"/>
        <v>29</v>
      </c>
      <c r="BH45" s="563">
        <f t="shared" si="45"/>
        <v>29</v>
      </c>
      <c r="BI45" s="563">
        <f t="shared" si="45"/>
        <v>30</v>
      </c>
      <c r="BJ45" s="580">
        <f t="shared" si="45"/>
        <v>30</v>
      </c>
      <c r="BK45" s="563">
        <f t="shared" si="45"/>
        <v>31</v>
      </c>
      <c r="BL45" s="563">
        <f t="shared" si="45"/>
        <v>31</v>
      </c>
      <c r="BM45" s="563">
        <f t="shared" si="45"/>
        <v>32</v>
      </c>
      <c r="BN45" s="563">
        <f t="shared" si="45"/>
        <v>32</v>
      </c>
      <c r="BO45" s="579">
        <f t="shared" si="45"/>
        <v>33</v>
      </c>
      <c r="BP45" s="563">
        <f t="shared" si="45"/>
        <v>33</v>
      </c>
      <c r="BQ45" s="563">
        <f t="shared" si="45"/>
        <v>35</v>
      </c>
      <c r="BR45" s="563">
        <f t="shared" si="45"/>
        <v>37</v>
      </c>
      <c r="BS45" s="563">
        <f t="shared" si="45"/>
        <v>39</v>
      </c>
      <c r="BT45" s="580">
        <f t="shared" si="45"/>
        <v>41</v>
      </c>
      <c r="BU45" s="563">
        <f t="shared" si="45"/>
        <v>43</v>
      </c>
      <c r="BV45" s="563">
        <f t="shared" si="45"/>
        <v>45</v>
      </c>
      <c r="BW45" s="563">
        <f t="shared" si="45"/>
        <v>47</v>
      </c>
      <c r="BX45" s="563">
        <f t="shared" si="45"/>
        <v>49</v>
      </c>
      <c r="BY45" s="579">
        <f t="shared" si="45"/>
        <v>51</v>
      </c>
      <c r="BZ45" s="563">
        <f t="shared" si="45"/>
        <v>53</v>
      </c>
      <c r="CA45" s="563">
        <f t="shared" si="45"/>
        <v>55</v>
      </c>
      <c r="CB45" s="563">
        <f t="shared" si="45"/>
        <v>57</v>
      </c>
      <c r="CC45" s="563">
        <f t="shared" si="45"/>
        <v>59</v>
      </c>
      <c r="CD45" s="580">
        <f t="shared" si="45"/>
        <v>61</v>
      </c>
      <c r="CE45" s="563">
        <f t="shared" si="45"/>
        <v>63</v>
      </c>
      <c r="CF45" s="563">
        <f t="shared" si="45"/>
        <v>65</v>
      </c>
      <c r="CG45" s="563">
        <f t="shared" si="45"/>
        <v>67</v>
      </c>
      <c r="CH45" s="563">
        <f t="shared" si="45"/>
        <v>69</v>
      </c>
      <c r="CI45" s="579">
        <f t="shared" si="45"/>
        <v>71</v>
      </c>
      <c r="CJ45" s="563">
        <f t="shared" si="45"/>
        <v>73</v>
      </c>
      <c r="CK45" s="563">
        <f t="shared" si="45"/>
        <v>75</v>
      </c>
      <c r="CL45" s="563">
        <f t="shared" si="45"/>
        <v>77</v>
      </c>
      <c r="CM45" s="563">
        <f t="shared" si="45"/>
        <v>79</v>
      </c>
      <c r="CN45" s="580">
        <f t="shared" si="45"/>
        <v>81</v>
      </c>
      <c r="CO45" s="563">
        <f t="shared" si="45"/>
        <v>83</v>
      </c>
      <c r="CP45" s="563">
        <f t="shared" si="45"/>
        <v>85</v>
      </c>
      <c r="CQ45" s="563">
        <f t="shared" si="45"/>
        <v>87</v>
      </c>
      <c r="CR45" s="563">
        <f t="shared" si="45"/>
        <v>89</v>
      </c>
      <c r="CS45" s="579">
        <f t="shared" si="45"/>
        <v>91</v>
      </c>
      <c r="CT45" s="563">
        <f t="shared" si="45"/>
        <v>93</v>
      </c>
      <c r="CU45" s="563">
        <f t="shared" si="45"/>
        <v>95</v>
      </c>
      <c r="CV45" s="563">
        <f t="shared" si="45"/>
        <v>97</v>
      </c>
      <c r="CW45" s="563">
        <f t="shared" si="45"/>
        <v>99</v>
      </c>
      <c r="CX45" s="563"/>
    </row>
    <row r="46" ht="10.5" customHeight="1">
      <c r="A46" s="543"/>
      <c r="B46" s="563">
        <f t="shared" si="4"/>
        <v>44</v>
      </c>
      <c r="C46" s="563">
        <f t="shared" ref="C46:CW46" si="46">IF(LT(IF(GT(C$2,MIN($B46,99)),C$2,MIN($B46,99)),99-FLOOR(C$2/2,1)),IF(GT(C$2,MIN($B46,99)),C$2,MIN($B46,99))-FLOOR(C$2/2,1),2*IF(GT(C$2,MIN($B46,99)),C$2,MIN($B46,99))-99)</f>
        <v>44</v>
      </c>
      <c r="D46" s="563">
        <f t="shared" si="46"/>
        <v>43</v>
      </c>
      <c r="E46" s="563">
        <f t="shared" si="46"/>
        <v>43</v>
      </c>
      <c r="F46" s="563">
        <f t="shared" si="46"/>
        <v>42</v>
      </c>
      <c r="G46" s="579">
        <f t="shared" si="46"/>
        <v>42</v>
      </c>
      <c r="H46" s="563">
        <f t="shared" si="46"/>
        <v>41</v>
      </c>
      <c r="I46" s="563">
        <f t="shared" si="46"/>
        <v>41</v>
      </c>
      <c r="J46" s="563">
        <f t="shared" si="46"/>
        <v>40</v>
      </c>
      <c r="K46" s="563">
        <f t="shared" si="46"/>
        <v>40</v>
      </c>
      <c r="L46" s="580">
        <f t="shared" si="46"/>
        <v>39</v>
      </c>
      <c r="M46" s="563">
        <f t="shared" si="46"/>
        <v>39</v>
      </c>
      <c r="N46" s="563">
        <f t="shared" si="46"/>
        <v>38</v>
      </c>
      <c r="O46" s="563">
        <f t="shared" si="46"/>
        <v>38</v>
      </c>
      <c r="P46" s="563">
        <f t="shared" si="46"/>
        <v>37</v>
      </c>
      <c r="Q46" s="579">
        <f t="shared" si="46"/>
        <v>37</v>
      </c>
      <c r="R46" s="563">
        <f t="shared" si="46"/>
        <v>36</v>
      </c>
      <c r="S46" s="563">
        <f t="shared" si="46"/>
        <v>36</v>
      </c>
      <c r="T46" s="563">
        <f t="shared" si="46"/>
        <v>35</v>
      </c>
      <c r="U46" s="563">
        <f t="shared" si="46"/>
        <v>35</v>
      </c>
      <c r="V46" s="580">
        <f t="shared" si="46"/>
        <v>34</v>
      </c>
      <c r="W46" s="563">
        <f t="shared" si="46"/>
        <v>34</v>
      </c>
      <c r="X46" s="563">
        <f t="shared" si="46"/>
        <v>33</v>
      </c>
      <c r="Y46" s="563">
        <f t="shared" si="46"/>
        <v>33</v>
      </c>
      <c r="Z46" s="563">
        <f t="shared" si="46"/>
        <v>32</v>
      </c>
      <c r="AA46" s="579">
        <f t="shared" si="46"/>
        <v>32</v>
      </c>
      <c r="AB46" s="563">
        <f t="shared" si="46"/>
        <v>31</v>
      </c>
      <c r="AC46" s="563">
        <f t="shared" si="46"/>
        <v>31</v>
      </c>
      <c r="AD46" s="563">
        <f t="shared" si="46"/>
        <v>30</v>
      </c>
      <c r="AE46" s="563">
        <f t="shared" si="46"/>
        <v>30</v>
      </c>
      <c r="AF46" s="580">
        <f t="shared" si="46"/>
        <v>29</v>
      </c>
      <c r="AG46" s="563">
        <f t="shared" si="46"/>
        <v>29</v>
      </c>
      <c r="AH46" s="563">
        <f t="shared" si="46"/>
        <v>28</v>
      </c>
      <c r="AI46" s="563">
        <f t="shared" si="46"/>
        <v>28</v>
      </c>
      <c r="AJ46" s="563">
        <f t="shared" si="46"/>
        <v>27</v>
      </c>
      <c r="AK46" s="579">
        <f t="shared" si="46"/>
        <v>27</v>
      </c>
      <c r="AL46" s="563">
        <f t="shared" si="46"/>
        <v>26</v>
      </c>
      <c r="AM46" s="563">
        <f t="shared" si="46"/>
        <v>26</v>
      </c>
      <c r="AN46" s="563">
        <f t="shared" si="46"/>
        <v>25</v>
      </c>
      <c r="AO46" s="563">
        <f t="shared" si="46"/>
        <v>25</v>
      </c>
      <c r="AP46" s="580">
        <f t="shared" si="46"/>
        <v>24</v>
      </c>
      <c r="AQ46" s="563">
        <f t="shared" si="46"/>
        <v>24</v>
      </c>
      <c r="AR46" s="563">
        <f t="shared" si="46"/>
        <v>23</v>
      </c>
      <c r="AS46" s="563">
        <f t="shared" si="46"/>
        <v>23</v>
      </c>
      <c r="AT46" s="563">
        <f t="shared" si="46"/>
        <v>22</v>
      </c>
      <c r="AU46" s="579">
        <f t="shared" si="46"/>
        <v>23</v>
      </c>
      <c r="AV46" s="563">
        <f t="shared" si="46"/>
        <v>23</v>
      </c>
      <c r="AW46" s="563">
        <f t="shared" si="46"/>
        <v>24</v>
      </c>
      <c r="AX46" s="563">
        <f t="shared" si="46"/>
        <v>24</v>
      </c>
      <c r="AY46" s="563">
        <f t="shared" si="46"/>
        <v>25</v>
      </c>
      <c r="AZ46" s="580">
        <f t="shared" si="46"/>
        <v>25</v>
      </c>
      <c r="BA46" s="563">
        <f t="shared" si="46"/>
        <v>26</v>
      </c>
      <c r="BB46" s="563">
        <f t="shared" si="46"/>
        <v>26</v>
      </c>
      <c r="BC46" s="563">
        <f t="shared" si="46"/>
        <v>27</v>
      </c>
      <c r="BD46" s="563">
        <f t="shared" si="46"/>
        <v>27</v>
      </c>
      <c r="BE46" s="579">
        <f t="shared" si="46"/>
        <v>28</v>
      </c>
      <c r="BF46" s="563">
        <f t="shared" si="46"/>
        <v>28</v>
      </c>
      <c r="BG46" s="563">
        <f t="shared" si="46"/>
        <v>29</v>
      </c>
      <c r="BH46" s="563">
        <f t="shared" si="46"/>
        <v>29</v>
      </c>
      <c r="BI46" s="563">
        <f t="shared" si="46"/>
        <v>30</v>
      </c>
      <c r="BJ46" s="580">
        <f t="shared" si="46"/>
        <v>30</v>
      </c>
      <c r="BK46" s="563">
        <f t="shared" si="46"/>
        <v>31</v>
      </c>
      <c r="BL46" s="563">
        <f t="shared" si="46"/>
        <v>31</v>
      </c>
      <c r="BM46" s="563">
        <f t="shared" si="46"/>
        <v>32</v>
      </c>
      <c r="BN46" s="563">
        <f t="shared" si="46"/>
        <v>32</v>
      </c>
      <c r="BO46" s="579">
        <f t="shared" si="46"/>
        <v>33</v>
      </c>
      <c r="BP46" s="563">
        <f t="shared" si="46"/>
        <v>33</v>
      </c>
      <c r="BQ46" s="563">
        <f t="shared" si="46"/>
        <v>35</v>
      </c>
      <c r="BR46" s="563">
        <f t="shared" si="46"/>
        <v>37</v>
      </c>
      <c r="BS46" s="563">
        <f t="shared" si="46"/>
        <v>39</v>
      </c>
      <c r="BT46" s="580">
        <f t="shared" si="46"/>
        <v>41</v>
      </c>
      <c r="BU46" s="563">
        <f t="shared" si="46"/>
        <v>43</v>
      </c>
      <c r="BV46" s="563">
        <f t="shared" si="46"/>
        <v>45</v>
      </c>
      <c r="BW46" s="563">
        <f t="shared" si="46"/>
        <v>47</v>
      </c>
      <c r="BX46" s="563">
        <f t="shared" si="46"/>
        <v>49</v>
      </c>
      <c r="BY46" s="579">
        <f t="shared" si="46"/>
        <v>51</v>
      </c>
      <c r="BZ46" s="563">
        <f t="shared" si="46"/>
        <v>53</v>
      </c>
      <c r="CA46" s="563">
        <f t="shared" si="46"/>
        <v>55</v>
      </c>
      <c r="CB46" s="563">
        <f t="shared" si="46"/>
        <v>57</v>
      </c>
      <c r="CC46" s="563">
        <f t="shared" si="46"/>
        <v>59</v>
      </c>
      <c r="CD46" s="580">
        <f t="shared" si="46"/>
        <v>61</v>
      </c>
      <c r="CE46" s="563">
        <f t="shared" si="46"/>
        <v>63</v>
      </c>
      <c r="CF46" s="563">
        <f t="shared" si="46"/>
        <v>65</v>
      </c>
      <c r="CG46" s="563">
        <f t="shared" si="46"/>
        <v>67</v>
      </c>
      <c r="CH46" s="563">
        <f t="shared" si="46"/>
        <v>69</v>
      </c>
      <c r="CI46" s="579">
        <f t="shared" si="46"/>
        <v>71</v>
      </c>
      <c r="CJ46" s="563">
        <f t="shared" si="46"/>
        <v>73</v>
      </c>
      <c r="CK46" s="563">
        <f t="shared" si="46"/>
        <v>75</v>
      </c>
      <c r="CL46" s="563">
        <f t="shared" si="46"/>
        <v>77</v>
      </c>
      <c r="CM46" s="563">
        <f t="shared" si="46"/>
        <v>79</v>
      </c>
      <c r="CN46" s="580">
        <f t="shared" si="46"/>
        <v>81</v>
      </c>
      <c r="CO46" s="563">
        <f t="shared" si="46"/>
        <v>83</v>
      </c>
      <c r="CP46" s="563">
        <f t="shared" si="46"/>
        <v>85</v>
      </c>
      <c r="CQ46" s="563">
        <f t="shared" si="46"/>
        <v>87</v>
      </c>
      <c r="CR46" s="563">
        <f t="shared" si="46"/>
        <v>89</v>
      </c>
      <c r="CS46" s="579">
        <f t="shared" si="46"/>
        <v>91</v>
      </c>
      <c r="CT46" s="563">
        <f t="shared" si="46"/>
        <v>93</v>
      </c>
      <c r="CU46" s="563">
        <f t="shared" si="46"/>
        <v>95</v>
      </c>
      <c r="CV46" s="563">
        <f t="shared" si="46"/>
        <v>97</v>
      </c>
      <c r="CW46" s="563">
        <f t="shared" si="46"/>
        <v>99</v>
      </c>
      <c r="CX46" s="563"/>
    </row>
    <row r="47" ht="10.5" customHeight="1">
      <c r="A47" s="543"/>
      <c r="B47" s="563">
        <f t="shared" si="4"/>
        <v>45</v>
      </c>
      <c r="C47" s="640">
        <f t="shared" ref="C47:CW47" si="47">IF(LT(IF(GT(C$2,MIN($B47,99)),C$2,MIN($B47,99)),99-FLOOR(C$2/2,1)),IF(GT(C$2,MIN($B47,99)),C$2,MIN($B47,99))-FLOOR(C$2/2,1),2*IF(GT(C$2,MIN($B47,99)),C$2,MIN($B47,99))-99)</f>
        <v>45</v>
      </c>
      <c r="D47" s="640">
        <f t="shared" si="47"/>
        <v>44</v>
      </c>
      <c r="E47" s="640">
        <f t="shared" si="47"/>
        <v>44</v>
      </c>
      <c r="F47" s="640">
        <f t="shared" si="47"/>
        <v>43</v>
      </c>
      <c r="G47" s="641">
        <f t="shared" si="47"/>
        <v>43</v>
      </c>
      <c r="H47" s="640">
        <f t="shared" si="47"/>
        <v>42</v>
      </c>
      <c r="I47" s="640">
        <f t="shared" si="47"/>
        <v>42</v>
      </c>
      <c r="J47" s="640">
        <f t="shared" si="47"/>
        <v>41</v>
      </c>
      <c r="K47" s="640">
        <f t="shared" si="47"/>
        <v>41</v>
      </c>
      <c r="L47" s="643">
        <f t="shared" si="47"/>
        <v>40</v>
      </c>
      <c r="M47" s="640">
        <f t="shared" si="47"/>
        <v>40</v>
      </c>
      <c r="N47" s="640">
        <f t="shared" si="47"/>
        <v>39</v>
      </c>
      <c r="O47" s="640">
        <f t="shared" si="47"/>
        <v>39</v>
      </c>
      <c r="P47" s="640">
        <f t="shared" si="47"/>
        <v>38</v>
      </c>
      <c r="Q47" s="641">
        <f t="shared" si="47"/>
        <v>38</v>
      </c>
      <c r="R47" s="640">
        <f t="shared" si="47"/>
        <v>37</v>
      </c>
      <c r="S47" s="640">
        <f t="shared" si="47"/>
        <v>37</v>
      </c>
      <c r="T47" s="640">
        <f t="shared" si="47"/>
        <v>36</v>
      </c>
      <c r="U47" s="640">
        <f t="shared" si="47"/>
        <v>36</v>
      </c>
      <c r="V47" s="643">
        <f t="shared" si="47"/>
        <v>35</v>
      </c>
      <c r="W47" s="640">
        <f t="shared" si="47"/>
        <v>35</v>
      </c>
      <c r="X47" s="640">
        <f t="shared" si="47"/>
        <v>34</v>
      </c>
      <c r="Y47" s="640">
        <f t="shared" si="47"/>
        <v>34</v>
      </c>
      <c r="Z47" s="640">
        <f t="shared" si="47"/>
        <v>33</v>
      </c>
      <c r="AA47" s="641">
        <f t="shared" si="47"/>
        <v>33</v>
      </c>
      <c r="AB47" s="640">
        <f t="shared" si="47"/>
        <v>32</v>
      </c>
      <c r="AC47" s="640">
        <f t="shared" si="47"/>
        <v>32</v>
      </c>
      <c r="AD47" s="640">
        <f t="shared" si="47"/>
        <v>31</v>
      </c>
      <c r="AE47" s="640">
        <f t="shared" si="47"/>
        <v>31</v>
      </c>
      <c r="AF47" s="643">
        <f t="shared" si="47"/>
        <v>30</v>
      </c>
      <c r="AG47" s="640">
        <f t="shared" si="47"/>
        <v>30</v>
      </c>
      <c r="AH47" s="640">
        <f t="shared" si="47"/>
        <v>29</v>
      </c>
      <c r="AI47" s="640">
        <f t="shared" si="47"/>
        <v>29</v>
      </c>
      <c r="AJ47" s="640">
        <f t="shared" si="47"/>
        <v>28</v>
      </c>
      <c r="AK47" s="641">
        <f t="shared" si="47"/>
        <v>28</v>
      </c>
      <c r="AL47" s="640">
        <f t="shared" si="47"/>
        <v>27</v>
      </c>
      <c r="AM47" s="640">
        <f t="shared" si="47"/>
        <v>27</v>
      </c>
      <c r="AN47" s="640">
        <f t="shared" si="47"/>
        <v>26</v>
      </c>
      <c r="AO47" s="640">
        <f t="shared" si="47"/>
        <v>26</v>
      </c>
      <c r="AP47" s="643">
        <f t="shared" si="47"/>
        <v>25</v>
      </c>
      <c r="AQ47" s="640">
        <f t="shared" si="47"/>
        <v>25</v>
      </c>
      <c r="AR47" s="640">
        <f t="shared" si="47"/>
        <v>24</v>
      </c>
      <c r="AS47" s="640">
        <f t="shared" si="47"/>
        <v>24</v>
      </c>
      <c r="AT47" s="640">
        <f t="shared" si="47"/>
        <v>23</v>
      </c>
      <c r="AU47" s="641">
        <f t="shared" si="47"/>
        <v>23</v>
      </c>
      <c r="AV47" s="640">
        <f t="shared" si="47"/>
        <v>23</v>
      </c>
      <c r="AW47" s="640">
        <f t="shared" si="47"/>
        <v>24</v>
      </c>
      <c r="AX47" s="640">
        <f t="shared" si="47"/>
        <v>24</v>
      </c>
      <c r="AY47" s="640">
        <f t="shared" si="47"/>
        <v>25</v>
      </c>
      <c r="AZ47" s="643">
        <f t="shared" si="47"/>
        <v>25</v>
      </c>
      <c r="BA47" s="640">
        <f t="shared" si="47"/>
        <v>26</v>
      </c>
      <c r="BB47" s="640">
        <f t="shared" si="47"/>
        <v>26</v>
      </c>
      <c r="BC47" s="640">
        <f t="shared" si="47"/>
        <v>27</v>
      </c>
      <c r="BD47" s="640">
        <f t="shared" si="47"/>
        <v>27</v>
      </c>
      <c r="BE47" s="641">
        <f t="shared" si="47"/>
        <v>28</v>
      </c>
      <c r="BF47" s="640">
        <f t="shared" si="47"/>
        <v>28</v>
      </c>
      <c r="BG47" s="640">
        <f t="shared" si="47"/>
        <v>29</v>
      </c>
      <c r="BH47" s="640">
        <f t="shared" si="47"/>
        <v>29</v>
      </c>
      <c r="BI47" s="640">
        <f t="shared" si="47"/>
        <v>30</v>
      </c>
      <c r="BJ47" s="643">
        <f t="shared" si="47"/>
        <v>30</v>
      </c>
      <c r="BK47" s="640">
        <f t="shared" si="47"/>
        <v>31</v>
      </c>
      <c r="BL47" s="640">
        <f t="shared" si="47"/>
        <v>31</v>
      </c>
      <c r="BM47" s="640">
        <f t="shared" si="47"/>
        <v>32</v>
      </c>
      <c r="BN47" s="640">
        <f t="shared" si="47"/>
        <v>32</v>
      </c>
      <c r="BO47" s="641">
        <f t="shared" si="47"/>
        <v>33</v>
      </c>
      <c r="BP47" s="640">
        <f t="shared" si="47"/>
        <v>33</v>
      </c>
      <c r="BQ47" s="640">
        <f t="shared" si="47"/>
        <v>35</v>
      </c>
      <c r="BR47" s="640">
        <f t="shared" si="47"/>
        <v>37</v>
      </c>
      <c r="BS47" s="640">
        <f t="shared" si="47"/>
        <v>39</v>
      </c>
      <c r="BT47" s="643">
        <f t="shared" si="47"/>
        <v>41</v>
      </c>
      <c r="BU47" s="640">
        <f t="shared" si="47"/>
        <v>43</v>
      </c>
      <c r="BV47" s="640">
        <f t="shared" si="47"/>
        <v>45</v>
      </c>
      <c r="BW47" s="640">
        <f t="shared" si="47"/>
        <v>47</v>
      </c>
      <c r="BX47" s="640">
        <f t="shared" si="47"/>
        <v>49</v>
      </c>
      <c r="BY47" s="641">
        <f t="shared" si="47"/>
        <v>51</v>
      </c>
      <c r="BZ47" s="640">
        <f t="shared" si="47"/>
        <v>53</v>
      </c>
      <c r="CA47" s="640">
        <f t="shared" si="47"/>
        <v>55</v>
      </c>
      <c r="CB47" s="640">
        <f t="shared" si="47"/>
        <v>57</v>
      </c>
      <c r="CC47" s="640">
        <f t="shared" si="47"/>
        <v>59</v>
      </c>
      <c r="CD47" s="643">
        <f t="shared" si="47"/>
        <v>61</v>
      </c>
      <c r="CE47" s="640">
        <f t="shared" si="47"/>
        <v>63</v>
      </c>
      <c r="CF47" s="640">
        <f t="shared" si="47"/>
        <v>65</v>
      </c>
      <c r="CG47" s="640">
        <f t="shared" si="47"/>
        <v>67</v>
      </c>
      <c r="CH47" s="640">
        <f t="shared" si="47"/>
        <v>69</v>
      </c>
      <c r="CI47" s="641">
        <f t="shared" si="47"/>
        <v>71</v>
      </c>
      <c r="CJ47" s="640">
        <f t="shared" si="47"/>
        <v>73</v>
      </c>
      <c r="CK47" s="640">
        <f t="shared" si="47"/>
        <v>75</v>
      </c>
      <c r="CL47" s="640">
        <f t="shared" si="47"/>
        <v>77</v>
      </c>
      <c r="CM47" s="640">
        <f t="shared" si="47"/>
        <v>79</v>
      </c>
      <c r="CN47" s="643">
        <f t="shared" si="47"/>
        <v>81</v>
      </c>
      <c r="CO47" s="640">
        <f t="shared" si="47"/>
        <v>83</v>
      </c>
      <c r="CP47" s="640">
        <f t="shared" si="47"/>
        <v>85</v>
      </c>
      <c r="CQ47" s="640">
        <f t="shared" si="47"/>
        <v>87</v>
      </c>
      <c r="CR47" s="640">
        <f t="shared" si="47"/>
        <v>89</v>
      </c>
      <c r="CS47" s="641">
        <f t="shared" si="47"/>
        <v>91</v>
      </c>
      <c r="CT47" s="640">
        <f t="shared" si="47"/>
        <v>93</v>
      </c>
      <c r="CU47" s="640">
        <f t="shared" si="47"/>
        <v>95</v>
      </c>
      <c r="CV47" s="640">
        <f t="shared" si="47"/>
        <v>97</v>
      </c>
      <c r="CW47" s="640">
        <f t="shared" si="47"/>
        <v>99</v>
      </c>
      <c r="CX47" s="563"/>
    </row>
    <row r="48" ht="10.5" customHeight="1">
      <c r="A48" s="543"/>
      <c r="B48" s="563">
        <f t="shared" si="4"/>
        <v>46</v>
      </c>
      <c r="C48" s="563">
        <f t="shared" ref="C48:CW48" si="48">IF(LT(IF(GT(C$2,MIN($B48,99)),C$2,MIN($B48,99)),99-FLOOR(C$2/2,1)),IF(GT(C$2,MIN($B48,99)),C$2,MIN($B48,99))-FLOOR(C$2/2,1),2*IF(GT(C$2,MIN($B48,99)),C$2,MIN($B48,99))-99)</f>
        <v>46</v>
      </c>
      <c r="D48" s="563">
        <f t="shared" si="48"/>
        <v>45</v>
      </c>
      <c r="E48" s="563">
        <f t="shared" si="48"/>
        <v>45</v>
      </c>
      <c r="F48" s="563">
        <f t="shared" si="48"/>
        <v>44</v>
      </c>
      <c r="G48" s="579">
        <f t="shared" si="48"/>
        <v>44</v>
      </c>
      <c r="H48" s="563">
        <f t="shared" si="48"/>
        <v>43</v>
      </c>
      <c r="I48" s="563">
        <f t="shared" si="48"/>
        <v>43</v>
      </c>
      <c r="J48" s="563">
        <f t="shared" si="48"/>
        <v>42</v>
      </c>
      <c r="K48" s="563">
        <f t="shared" si="48"/>
        <v>42</v>
      </c>
      <c r="L48" s="580">
        <f t="shared" si="48"/>
        <v>41</v>
      </c>
      <c r="M48" s="563">
        <f t="shared" si="48"/>
        <v>41</v>
      </c>
      <c r="N48" s="563">
        <f t="shared" si="48"/>
        <v>40</v>
      </c>
      <c r="O48" s="563">
        <f t="shared" si="48"/>
        <v>40</v>
      </c>
      <c r="P48" s="563">
        <f t="shared" si="48"/>
        <v>39</v>
      </c>
      <c r="Q48" s="579">
        <f t="shared" si="48"/>
        <v>39</v>
      </c>
      <c r="R48" s="563">
        <f t="shared" si="48"/>
        <v>38</v>
      </c>
      <c r="S48" s="563">
        <f t="shared" si="48"/>
        <v>38</v>
      </c>
      <c r="T48" s="563">
        <f t="shared" si="48"/>
        <v>37</v>
      </c>
      <c r="U48" s="563">
        <f t="shared" si="48"/>
        <v>37</v>
      </c>
      <c r="V48" s="580">
        <f t="shared" si="48"/>
        <v>36</v>
      </c>
      <c r="W48" s="563">
        <f t="shared" si="48"/>
        <v>36</v>
      </c>
      <c r="X48" s="563">
        <f t="shared" si="48"/>
        <v>35</v>
      </c>
      <c r="Y48" s="563">
        <f t="shared" si="48"/>
        <v>35</v>
      </c>
      <c r="Z48" s="563">
        <f t="shared" si="48"/>
        <v>34</v>
      </c>
      <c r="AA48" s="579">
        <f t="shared" si="48"/>
        <v>34</v>
      </c>
      <c r="AB48" s="563">
        <f t="shared" si="48"/>
        <v>33</v>
      </c>
      <c r="AC48" s="563">
        <f t="shared" si="48"/>
        <v>33</v>
      </c>
      <c r="AD48" s="563">
        <f t="shared" si="48"/>
        <v>32</v>
      </c>
      <c r="AE48" s="563">
        <f t="shared" si="48"/>
        <v>32</v>
      </c>
      <c r="AF48" s="580">
        <f t="shared" si="48"/>
        <v>31</v>
      </c>
      <c r="AG48" s="563">
        <f t="shared" si="48"/>
        <v>31</v>
      </c>
      <c r="AH48" s="563">
        <f t="shared" si="48"/>
        <v>30</v>
      </c>
      <c r="AI48" s="563">
        <f t="shared" si="48"/>
        <v>30</v>
      </c>
      <c r="AJ48" s="563">
        <f t="shared" si="48"/>
        <v>29</v>
      </c>
      <c r="AK48" s="579">
        <f t="shared" si="48"/>
        <v>29</v>
      </c>
      <c r="AL48" s="563">
        <f t="shared" si="48"/>
        <v>28</v>
      </c>
      <c r="AM48" s="563">
        <f t="shared" si="48"/>
        <v>28</v>
      </c>
      <c r="AN48" s="563">
        <f t="shared" si="48"/>
        <v>27</v>
      </c>
      <c r="AO48" s="563">
        <f t="shared" si="48"/>
        <v>27</v>
      </c>
      <c r="AP48" s="580">
        <f t="shared" si="48"/>
        <v>26</v>
      </c>
      <c r="AQ48" s="563">
        <f t="shared" si="48"/>
        <v>26</v>
      </c>
      <c r="AR48" s="563">
        <f t="shared" si="48"/>
        <v>25</v>
      </c>
      <c r="AS48" s="563">
        <f t="shared" si="48"/>
        <v>25</v>
      </c>
      <c r="AT48" s="563">
        <f t="shared" si="48"/>
        <v>24</v>
      </c>
      <c r="AU48" s="579">
        <f t="shared" si="48"/>
        <v>24</v>
      </c>
      <c r="AV48" s="563">
        <f t="shared" si="48"/>
        <v>23</v>
      </c>
      <c r="AW48" s="563">
        <f t="shared" si="48"/>
        <v>24</v>
      </c>
      <c r="AX48" s="563">
        <f t="shared" si="48"/>
        <v>24</v>
      </c>
      <c r="AY48" s="563">
        <f t="shared" si="48"/>
        <v>25</v>
      </c>
      <c r="AZ48" s="580">
        <f t="shared" si="48"/>
        <v>25</v>
      </c>
      <c r="BA48" s="563">
        <f t="shared" si="48"/>
        <v>26</v>
      </c>
      <c r="BB48" s="563">
        <f t="shared" si="48"/>
        <v>26</v>
      </c>
      <c r="BC48" s="563">
        <f t="shared" si="48"/>
        <v>27</v>
      </c>
      <c r="BD48" s="563">
        <f t="shared" si="48"/>
        <v>27</v>
      </c>
      <c r="BE48" s="579">
        <f t="shared" si="48"/>
        <v>28</v>
      </c>
      <c r="BF48" s="563">
        <f t="shared" si="48"/>
        <v>28</v>
      </c>
      <c r="BG48" s="563">
        <f t="shared" si="48"/>
        <v>29</v>
      </c>
      <c r="BH48" s="563">
        <f t="shared" si="48"/>
        <v>29</v>
      </c>
      <c r="BI48" s="563">
        <f t="shared" si="48"/>
        <v>30</v>
      </c>
      <c r="BJ48" s="580">
        <f t="shared" si="48"/>
        <v>30</v>
      </c>
      <c r="BK48" s="563">
        <f t="shared" si="48"/>
        <v>31</v>
      </c>
      <c r="BL48" s="563">
        <f t="shared" si="48"/>
        <v>31</v>
      </c>
      <c r="BM48" s="563">
        <f t="shared" si="48"/>
        <v>32</v>
      </c>
      <c r="BN48" s="563">
        <f t="shared" si="48"/>
        <v>32</v>
      </c>
      <c r="BO48" s="579">
        <f t="shared" si="48"/>
        <v>33</v>
      </c>
      <c r="BP48" s="563">
        <f t="shared" si="48"/>
        <v>33</v>
      </c>
      <c r="BQ48" s="563">
        <f t="shared" si="48"/>
        <v>35</v>
      </c>
      <c r="BR48" s="563">
        <f t="shared" si="48"/>
        <v>37</v>
      </c>
      <c r="BS48" s="563">
        <f t="shared" si="48"/>
        <v>39</v>
      </c>
      <c r="BT48" s="580">
        <f t="shared" si="48"/>
        <v>41</v>
      </c>
      <c r="BU48" s="563">
        <f t="shared" si="48"/>
        <v>43</v>
      </c>
      <c r="BV48" s="563">
        <f t="shared" si="48"/>
        <v>45</v>
      </c>
      <c r="BW48" s="563">
        <f t="shared" si="48"/>
        <v>47</v>
      </c>
      <c r="BX48" s="563">
        <f t="shared" si="48"/>
        <v>49</v>
      </c>
      <c r="BY48" s="579">
        <f t="shared" si="48"/>
        <v>51</v>
      </c>
      <c r="BZ48" s="563">
        <f t="shared" si="48"/>
        <v>53</v>
      </c>
      <c r="CA48" s="563">
        <f t="shared" si="48"/>
        <v>55</v>
      </c>
      <c r="CB48" s="563">
        <f t="shared" si="48"/>
        <v>57</v>
      </c>
      <c r="CC48" s="563">
        <f t="shared" si="48"/>
        <v>59</v>
      </c>
      <c r="CD48" s="580">
        <f t="shared" si="48"/>
        <v>61</v>
      </c>
      <c r="CE48" s="563">
        <f t="shared" si="48"/>
        <v>63</v>
      </c>
      <c r="CF48" s="563">
        <f t="shared" si="48"/>
        <v>65</v>
      </c>
      <c r="CG48" s="563">
        <f t="shared" si="48"/>
        <v>67</v>
      </c>
      <c r="CH48" s="563">
        <f t="shared" si="48"/>
        <v>69</v>
      </c>
      <c r="CI48" s="579">
        <f t="shared" si="48"/>
        <v>71</v>
      </c>
      <c r="CJ48" s="563">
        <f t="shared" si="48"/>
        <v>73</v>
      </c>
      <c r="CK48" s="563">
        <f t="shared" si="48"/>
        <v>75</v>
      </c>
      <c r="CL48" s="563">
        <f t="shared" si="48"/>
        <v>77</v>
      </c>
      <c r="CM48" s="563">
        <f t="shared" si="48"/>
        <v>79</v>
      </c>
      <c r="CN48" s="580">
        <f t="shared" si="48"/>
        <v>81</v>
      </c>
      <c r="CO48" s="563">
        <f t="shared" si="48"/>
        <v>83</v>
      </c>
      <c r="CP48" s="563">
        <f t="shared" si="48"/>
        <v>85</v>
      </c>
      <c r="CQ48" s="563">
        <f t="shared" si="48"/>
        <v>87</v>
      </c>
      <c r="CR48" s="563">
        <f t="shared" si="48"/>
        <v>89</v>
      </c>
      <c r="CS48" s="579">
        <f t="shared" si="48"/>
        <v>91</v>
      </c>
      <c r="CT48" s="563">
        <f t="shared" si="48"/>
        <v>93</v>
      </c>
      <c r="CU48" s="563">
        <f t="shared" si="48"/>
        <v>95</v>
      </c>
      <c r="CV48" s="563">
        <f t="shared" si="48"/>
        <v>97</v>
      </c>
      <c r="CW48" s="563">
        <f t="shared" si="48"/>
        <v>99</v>
      </c>
      <c r="CX48" s="563"/>
    </row>
    <row r="49" ht="10.5" customHeight="1">
      <c r="A49" s="543"/>
      <c r="B49" s="563">
        <f t="shared" si="4"/>
        <v>47</v>
      </c>
      <c r="C49" s="563">
        <f t="shared" ref="C49:CW49" si="49">IF(LT(IF(GT(C$2,MIN($B49,99)),C$2,MIN($B49,99)),99-FLOOR(C$2/2,1)),IF(GT(C$2,MIN($B49,99)),C$2,MIN($B49,99))-FLOOR(C$2/2,1),2*IF(GT(C$2,MIN($B49,99)),C$2,MIN($B49,99))-99)</f>
        <v>47</v>
      </c>
      <c r="D49" s="563">
        <f t="shared" si="49"/>
        <v>46</v>
      </c>
      <c r="E49" s="563">
        <f t="shared" si="49"/>
        <v>46</v>
      </c>
      <c r="F49" s="563">
        <f t="shared" si="49"/>
        <v>45</v>
      </c>
      <c r="G49" s="579">
        <f t="shared" si="49"/>
        <v>45</v>
      </c>
      <c r="H49" s="563">
        <f t="shared" si="49"/>
        <v>44</v>
      </c>
      <c r="I49" s="563">
        <f t="shared" si="49"/>
        <v>44</v>
      </c>
      <c r="J49" s="563">
        <f t="shared" si="49"/>
        <v>43</v>
      </c>
      <c r="K49" s="563">
        <f t="shared" si="49"/>
        <v>43</v>
      </c>
      <c r="L49" s="580">
        <f t="shared" si="49"/>
        <v>42</v>
      </c>
      <c r="M49" s="563">
        <f t="shared" si="49"/>
        <v>42</v>
      </c>
      <c r="N49" s="563">
        <f t="shared" si="49"/>
        <v>41</v>
      </c>
      <c r="O49" s="563">
        <f t="shared" si="49"/>
        <v>41</v>
      </c>
      <c r="P49" s="563">
        <f t="shared" si="49"/>
        <v>40</v>
      </c>
      <c r="Q49" s="579">
        <f t="shared" si="49"/>
        <v>40</v>
      </c>
      <c r="R49" s="563">
        <f t="shared" si="49"/>
        <v>39</v>
      </c>
      <c r="S49" s="563">
        <f t="shared" si="49"/>
        <v>39</v>
      </c>
      <c r="T49" s="563">
        <f t="shared" si="49"/>
        <v>38</v>
      </c>
      <c r="U49" s="563">
        <f t="shared" si="49"/>
        <v>38</v>
      </c>
      <c r="V49" s="580">
        <f t="shared" si="49"/>
        <v>37</v>
      </c>
      <c r="W49" s="563">
        <f t="shared" si="49"/>
        <v>37</v>
      </c>
      <c r="X49" s="563">
        <f t="shared" si="49"/>
        <v>36</v>
      </c>
      <c r="Y49" s="563">
        <f t="shared" si="49"/>
        <v>36</v>
      </c>
      <c r="Z49" s="563">
        <f t="shared" si="49"/>
        <v>35</v>
      </c>
      <c r="AA49" s="579">
        <f t="shared" si="49"/>
        <v>35</v>
      </c>
      <c r="AB49" s="563">
        <f t="shared" si="49"/>
        <v>34</v>
      </c>
      <c r="AC49" s="563">
        <f t="shared" si="49"/>
        <v>34</v>
      </c>
      <c r="AD49" s="563">
        <f t="shared" si="49"/>
        <v>33</v>
      </c>
      <c r="AE49" s="563">
        <f t="shared" si="49"/>
        <v>33</v>
      </c>
      <c r="AF49" s="580">
        <f t="shared" si="49"/>
        <v>32</v>
      </c>
      <c r="AG49" s="563">
        <f t="shared" si="49"/>
        <v>32</v>
      </c>
      <c r="AH49" s="563">
        <f t="shared" si="49"/>
        <v>31</v>
      </c>
      <c r="AI49" s="563">
        <f t="shared" si="49"/>
        <v>31</v>
      </c>
      <c r="AJ49" s="563">
        <f t="shared" si="49"/>
        <v>30</v>
      </c>
      <c r="AK49" s="579">
        <f t="shared" si="49"/>
        <v>30</v>
      </c>
      <c r="AL49" s="563">
        <f t="shared" si="49"/>
        <v>29</v>
      </c>
      <c r="AM49" s="563">
        <f t="shared" si="49"/>
        <v>29</v>
      </c>
      <c r="AN49" s="563">
        <f t="shared" si="49"/>
        <v>28</v>
      </c>
      <c r="AO49" s="563">
        <f t="shared" si="49"/>
        <v>28</v>
      </c>
      <c r="AP49" s="580">
        <f t="shared" si="49"/>
        <v>27</v>
      </c>
      <c r="AQ49" s="563">
        <f t="shared" si="49"/>
        <v>27</v>
      </c>
      <c r="AR49" s="563">
        <f t="shared" si="49"/>
        <v>26</v>
      </c>
      <c r="AS49" s="563">
        <f t="shared" si="49"/>
        <v>26</v>
      </c>
      <c r="AT49" s="563">
        <f t="shared" si="49"/>
        <v>25</v>
      </c>
      <c r="AU49" s="579">
        <f t="shared" si="49"/>
        <v>25</v>
      </c>
      <c r="AV49" s="563">
        <f t="shared" si="49"/>
        <v>24</v>
      </c>
      <c r="AW49" s="563">
        <f t="shared" si="49"/>
        <v>24</v>
      </c>
      <c r="AX49" s="563">
        <f t="shared" si="49"/>
        <v>24</v>
      </c>
      <c r="AY49" s="563">
        <f t="shared" si="49"/>
        <v>25</v>
      </c>
      <c r="AZ49" s="580">
        <f t="shared" si="49"/>
        <v>25</v>
      </c>
      <c r="BA49" s="563">
        <f t="shared" si="49"/>
        <v>26</v>
      </c>
      <c r="BB49" s="563">
        <f t="shared" si="49"/>
        <v>26</v>
      </c>
      <c r="BC49" s="563">
        <f t="shared" si="49"/>
        <v>27</v>
      </c>
      <c r="BD49" s="563">
        <f t="shared" si="49"/>
        <v>27</v>
      </c>
      <c r="BE49" s="579">
        <f t="shared" si="49"/>
        <v>28</v>
      </c>
      <c r="BF49" s="563">
        <f t="shared" si="49"/>
        <v>28</v>
      </c>
      <c r="BG49" s="563">
        <f t="shared" si="49"/>
        <v>29</v>
      </c>
      <c r="BH49" s="563">
        <f t="shared" si="49"/>
        <v>29</v>
      </c>
      <c r="BI49" s="563">
        <f t="shared" si="49"/>
        <v>30</v>
      </c>
      <c r="BJ49" s="580">
        <f t="shared" si="49"/>
        <v>30</v>
      </c>
      <c r="BK49" s="563">
        <f t="shared" si="49"/>
        <v>31</v>
      </c>
      <c r="BL49" s="563">
        <f t="shared" si="49"/>
        <v>31</v>
      </c>
      <c r="BM49" s="563">
        <f t="shared" si="49"/>
        <v>32</v>
      </c>
      <c r="BN49" s="563">
        <f t="shared" si="49"/>
        <v>32</v>
      </c>
      <c r="BO49" s="579">
        <f t="shared" si="49"/>
        <v>33</v>
      </c>
      <c r="BP49" s="563">
        <f t="shared" si="49"/>
        <v>33</v>
      </c>
      <c r="BQ49" s="563">
        <f t="shared" si="49"/>
        <v>35</v>
      </c>
      <c r="BR49" s="563">
        <f t="shared" si="49"/>
        <v>37</v>
      </c>
      <c r="BS49" s="563">
        <f t="shared" si="49"/>
        <v>39</v>
      </c>
      <c r="BT49" s="580">
        <f t="shared" si="49"/>
        <v>41</v>
      </c>
      <c r="BU49" s="563">
        <f t="shared" si="49"/>
        <v>43</v>
      </c>
      <c r="BV49" s="563">
        <f t="shared" si="49"/>
        <v>45</v>
      </c>
      <c r="BW49" s="563">
        <f t="shared" si="49"/>
        <v>47</v>
      </c>
      <c r="BX49" s="563">
        <f t="shared" si="49"/>
        <v>49</v>
      </c>
      <c r="BY49" s="579">
        <f t="shared" si="49"/>
        <v>51</v>
      </c>
      <c r="BZ49" s="563">
        <f t="shared" si="49"/>
        <v>53</v>
      </c>
      <c r="CA49" s="563">
        <f t="shared" si="49"/>
        <v>55</v>
      </c>
      <c r="CB49" s="563">
        <f t="shared" si="49"/>
        <v>57</v>
      </c>
      <c r="CC49" s="563">
        <f t="shared" si="49"/>
        <v>59</v>
      </c>
      <c r="CD49" s="580">
        <f t="shared" si="49"/>
        <v>61</v>
      </c>
      <c r="CE49" s="563">
        <f t="shared" si="49"/>
        <v>63</v>
      </c>
      <c r="CF49" s="563">
        <f t="shared" si="49"/>
        <v>65</v>
      </c>
      <c r="CG49" s="563">
        <f t="shared" si="49"/>
        <v>67</v>
      </c>
      <c r="CH49" s="563">
        <f t="shared" si="49"/>
        <v>69</v>
      </c>
      <c r="CI49" s="579">
        <f t="shared" si="49"/>
        <v>71</v>
      </c>
      <c r="CJ49" s="563">
        <f t="shared" si="49"/>
        <v>73</v>
      </c>
      <c r="CK49" s="563">
        <f t="shared" si="49"/>
        <v>75</v>
      </c>
      <c r="CL49" s="563">
        <f t="shared" si="49"/>
        <v>77</v>
      </c>
      <c r="CM49" s="563">
        <f t="shared" si="49"/>
        <v>79</v>
      </c>
      <c r="CN49" s="580">
        <f t="shared" si="49"/>
        <v>81</v>
      </c>
      <c r="CO49" s="563">
        <f t="shared" si="49"/>
        <v>83</v>
      </c>
      <c r="CP49" s="563">
        <f t="shared" si="49"/>
        <v>85</v>
      </c>
      <c r="CQ49" s="563">
        <f t="shared" si="49"/>
        <v>87</v>
      </c>
      <c r="CR49" s="563">
        <f t="shared" si="49"/>
        <v>89</v>
      </c>
      <c r="CS49" s="579">
        <f t="shared" si="49"/>
        <v>91</v>
      </c>
      <c r="CT49" s="563">
        <f t="shared" si="49"/>
        <v>93</v>
      </c>
      <c r="CU49" s="563">
        <f t="shared" si="49"/>
        <v>95</v>
      </c>
      <c r="CV49" s="563">
        <f t="shared" si="49"/>
        <v>97</v>
      </c>
      <c r="CW49" s="563">
        <f t="shared" si="49"/>
        <v>99</v>
      </c>
      <c r="CX49" s="563"/>
    </row>
    <row r="50" ht="10.5" customHeight="1">
      <c r="A50" s="543"/>
      <c r="B50" s="563">
        <f t="shared" si="4"/>
        <v>48</v>
      </c>
      <c r="C50" s="563">
        <f t="shared" ref="C50:CW50" si="50">IF(LT(IF(GT(C$2,MIN($B50,99)),C$2,MIN($B50,99)),99-FLOOR(C$2/2,1)),IF(GT(C$2,MIN($B50,99)),C$2,MIN($B50,99))-FLOOR(C$2/2,1),2*IF(GT(C$2,MIN($B50,99)),C$2,MIN($B50,99))-99)</f>
        <v>48</v>
      </c>
      <c r="D50" s="563">
        <f t="shared" si="50"/>
        <v>47</v>
      </c>
      <c r="E50" s="563">
        <f t="shared" si="50"/>
        <v>47</v>
      </c>
      <c r="F50" s="563">
        <f t="shared" si="50"/>
        <v>46</v>
      </c>
      <c r="G50" s="579">
        <f t="shared" si="50"/>
        <v>46</v>
      </c>
      <c r="H50" s="563">
        <f t="shared" si="50"/>
        <v>45</v>
      </c>
      <c r="I50" s="563">
        <f t="shared" si="50"/>
        <v>45</v>
      </c>
      <c r="J50" s="563">
        <f t="shared" si="50"/>
        <v>44</v>
      </c>
      <c r="K50" s="563">
        <f t="shared" si="50"/>
        <v>44</v>
      </c>
      <c r="L50" s="580">
        <f t="shared" si="50"/>
        <v>43</v>
      </c>
      <c r="M50" s="563">
        <f t="shared" si="50"/>
        <v>43</v>
      </c>
      <c r="N50" s="563">
        <f t="shared" si="50"/>
        <v>42</v>
      </c>
      <c r="O50" s="563">
        <f t="shared" si="50"/>
        <v>42</v>
      </c>
      <c r="P50" s="563">
        <f t="shared" si="50"/>
        <v>41</v>
      </c>
      <c r="Q50" s="579">
        <f t="shared" si="50"/>
        <v>41</v>
      </c>
      <c r="R50" s="563">
        <f t="shared" si="50"/>
        <v>40</v>
      </c>
      <c r="S50" s="563">
        <f t="shared" si="50"/>
        <v>40</v>
      </c>
      <c r="T50" s="563">
        <f t="shared" si="50"/>
        <v>39</v>
      </c>
      <c r="U50" s="563">
        <f t="shared" si="50"/>
        <v>39</v>
      </c>
      <c r="V50" s="580">
        <f t="shared" si="50"/>
        <v>38</v>
      </c>
      <c r="W50" s="563">
        <f t="shared" si="50"/>
        <v>38</v>
      </c>
      <c r="X50" s="563">
        <f t="shared" si="50"/>
        <v>37</v>
      </c>
      <c r="Y50" s="563">
        <f t="shared" si="50"/>
        <v>37</v>
      </c>
      <c r="Z50" s="563">
        <f t="shared" si="50"/>
        <v>36</v>
      </c>
      <c r="AA50" s="579">
        <f t="shared" si="50"/>
        <v>36</v>
      </c>
      <c r="AB50" s="563">
        <f t="shared" si="50"/>
        <v>35</v>
      </c>
      <c r="AC50" s="563">
        <f t="shared" si="50"/>
        <v>35</v>
      </c>
      <c r="AD50" s="563">
        <f t="shared" si="50"/>
        <v>34</v>
      </c>
      <c r="AE50" s="563">
        <f t="shared" si="50"/>
        <v>34</v>
      </c>
      <c r="AF50" s="580">
        <f t="shared" si="50"/>
        <v>33</v>
      </c>
      <c r="AG50" s="563">
        <f t="shared" si="50"/>
        <v>33</v>
      </c>
      <c r="AH50" s="563">
        <f t="shared" si="50"/>
        <v>32</v>
      </c>
      <c r="AI50" s="563">
        <f t="shared" si="50"/>
        <v>32</v>
      </c>
      <c r="AJ50" s="563">
        <f t="shared" si="50"/>
        <v>31</v>
      </c>
      <c r="AK50" s="579">
        <f t="shared" si="50"/>
        <v>31</v>
      </c>
      <c r="AL50" s="563">
        <f t="shared" si="50"/>
        <v>30</v>
      </c>
      <c r="AM50" s="563">
        <f t="shared" si="50"/>
        <v>30</v>
      </c>
      <c r="AN50" s="563">
        <f t="shared" si="50"/>
        <v>29</v>
      </c>
      <c r="AO50" s="563">
        <f t="shared" si="50"/>
        <v>29</v>
      </c>
      <c r="AP50" s="580">
        <f t="shared" si="50"/>
        <v>28</v>
      </c>
      <c r="AQ50" s="563">
        <f t="shared" si="50"/>
        <v>28</v>
      </c>
      <c r="AR50" s="563">
        <f t="shared" si="50"/>
        <v>27</v>
      </c>
      <c r="AS50" s="563">
        <f t="shared" si="50"/>
        <v>27</v>
      </c>
      <c r="AT50" s="563">
        <f t="shared" si="50"/>
        <v>26</v>
      </c>
      <c r="AU50" s="579">
        <f t="shared" si="50"/>
        <v>26</v>
      </c>
      <c r="AV50" s="563">
        <f t="shared" si="50"/>
        <v>25</v>
      </c>
      <c r="AW50" s="563">
        <f t="shared" si="50"/>
        <v>25</v>
      </c>
      <c r="AX50" s="563">
        <f t="shared" si="50"/>
        <v>24</v>
      </c>
      <c r="AY50" s="563">
        <f t="shared" si="50"/>
        <v>25</v>
      </c>
      <c r="AZ50" s="580">
        <f t="shared" si="50"/>
        <v>25</v>
      </c>
      <c r="BA50" s="563">
        <f t="shared" si="50"/>
        <v>26</v>
      </c>
      <c r="BB50" s="563">
        <f t="shared" si="50"/>
        <v>26</v>
      </c>
      <c r="BC50" s="563">
        <f t="shared" si="50"/>
        <v>27</v>
      </c>
      <c r="BD50" s="563">
        <f t="shared" si="50"/>
        <v>27</v>
      </c>
      <c r="BE50" s="579">
        <f t="shared" si="50"/>
        <v>28</v>
      </c>
      <c r="BF50" s="563">
        <f t="shared" si="50"/>
        <v>28</v>
      </c>
      <c r="BG50" s="563">
        <f t="shared" si="50"/>
        <v>29</v>
      </c>
      <c r="BH50" s="563">
        <f t="shared" si="50"/>
        <v>29</v>
      </c>
      <c r="BI50" s="563">
        <f t="shared" si="50"/>
        <v>30</v>
      </c>
      <c r="BJ50" s="580">
        <f t="shared" si="50"/>
        <v>30</v>
      </c>
      <c r="BK50" s="563">
        <f t="shared" si="50"/>
        <v>31</v>
      </c>
      <c r="BL50" s="563">
        <f t="shared" si="50"/>
        <v>31</v>
      </c>
      <c r="BM50" s="563">
        <f t="shared" si="50"/>
        <v>32</v>
      </c>
      <c r="BN50" s="563">
        <f t="shared" si="50"/>
        <v>32</v>
      </c>
      <c r="BO50" s="579">
        <f t="shared" si="50"/>
        <v>33</v>
      </c>
      <c r="BP50" s="563">
        <f t="shared" si="50"/>
        <v>33</v>
      </c>
      <c r="BQ50" s="563">
        <f t="shared" si="50"/>
        <v>35</v>
      </c>
      <c r="BR50" s="563">
        <f t="shared" si="50"/>
        <v>37</v>
      </c>
      <c r="BS50" s="563">
        <f t="shared" si="50"/>
        <v>39</v>
      </c>
      <c r="BT50" s="580">
        <f t="shared" si="50"/>
        <v>41</v>
      </c>
      <c r="BU50" s="563">
        <f t="shared" si="50"/>
        <v>43</v>
      </c>
      <c r="BV50" s="563">
        <f t="shared" si="50"/>
        <v>45</v>
      </c>
      <c r="BW50" s="563">
        <f t="shared" si="50"/>
        <v>47</v>
      </c>
      <c r="BX50" s="563">
        <f t="shared" si="50"/>
        <v>49</v>
      </c>
      <c r="BY50" s="579">
        <f t="shared" si="50"/>
        <v>51</v>
      </c>
      <c r="BZ50" s="563">
        <f t="shared" si="50"/>
        <v>53</v>
      </c>
      <c r="CA50" s="563">
        <f t="shared" si="50"/>
        <v>55</v>
      </c>
      <c r="CB50" s="563">
        <f t="shared" si="50"/>
        <v>57</v>
      </c>
      <c r="CC50" s="563">
        <f t="shared" si="50"/>
        <v>59</v>
      </c>
      <c r="CD50" s="580">
        <f t="shared" si="50"/>
        <v>61</v>
      </c>
      <c r="CE50" s="563">
        <f t="shared" si="50"/>
        <v>63</v>
      </c>
      <c r="CF50" s="563">
        <f t="shared" si="50"/>
        <v>65</v>
      </c>
      <c r="CG50" s="563">
        <f t="shared" si="50"/>
        <v>67</v>
      </c>
      <c r="CH50" s="563">
        <f t="shared" si="50"/>
        <v>69</v>
      </c>
      <c r="CI50" s="579">
        <f t="shared" si="50"/>
        <v>71</v>
      </c>
      <c r="CJ50" s="563">
        <f t="shared" si="50"/>
        <v>73</v>
      </c>
      <c r="CK50" s="563">
        <f t="shared" si="50"/>
        <v>75</v>
      </c>
      <c r="CL50" s="563">
        <f t="shared" si="50"/>
        <v>77</v>
      </c>
      <c r="CM50" s="563">
        <f t="shared" si="50"/>
        <v>79</v>
      </c>
      <c r="CN50" s="580">
        <f t="shared" si="50"/>
        <v>81</v>
      </c>
      <c r="CO50" s="563">
        <f t="shared" si="50"/>
        <v>83</v>
      </c>
      <c r="CP50" s="563">
        <f t="shared" si="50"/>
        <v>85</v>
      </c>
      <c r="CQ50" s="563">
        <f t="shared" si="50"/>
        <v>87</v>
      </c>
      <c r="CR50" s="563">
        <f t="shared" si="50"/>
        <v>89</v>
      </c>
      <c r="CS50" s="579">
        <f t="shared" si="50"/>
        <v>91</v>
      </c>
      <c r="CT50" s="563">
        <f t="shared" si="50"/>
        <v>93</v>
      </c>
      <c r="CU50" s="563">
        <f t="shared" si="50"/>
        <v>95</v>
      </c>
      <c r="CV50" s="563">
        <f t="shared" si="50"/>
        <v>97</v>
      </c>
      <c r="CW50" s="563">
        <f t="shared" si="50"/>
        <v>99</v>
      </c>
      <c r="CX50" s="563"/>
    </row>
    <row r="51" ht="10.5" customHeight="1">
      <c r="A51" s="543"/>
      <c r="B51" s="563">
        <f t="shared" si="4"/>
        <v>49</v>
      </c>
      <c r="C51" s="563">
        <f t="shared" ref="C51:CW51" si="51">IF(LT(IF(GT(C$2,MIN($B51,99)),C$2,MIN($B51,99)),99-FLOOR(C$2/2,1)),IF(GT(C$2,MIN($B51,99)),C$2,MIN($B51,99))-FLOOR(C$2/2,1),2*IF(GT(C$2,MIN($B51,99)),C$2,MIN($B51,99))-99)</f>
        <v>49</v>
      </c>
      <c r="D51" s="563">
        <f t="shared" si="51"/>
        <v>48</v>
      </c>
      <c r="E51" s="563">
        <f t="shared" si="51"/>
        <v>48</v>
      </c>
      <c r="F51" s="563">
        <f t="shared" si="51"/>
        <v>47</v>
      </c>
      <c r="G51" s="579">
        <f t="shared" si="51"/>
        <v>47</v>
      </c>
      <c r="H51" s="563">
        <f t="shared" si="51"/>
        <v>46</v>
      </c>
      <c r="I51" s="563">
        <f t="shared" si="51"/>
        <v>46</v>
      </c>
      <c r="J51" s="563">
        <f t="shared" si="51"/>
        <v>45</v>
      </c>
      <c r="K51" s="563">
        <f t="shared" si="51"/>
        <v>45</v>
      </c>
      <c r="L51" s="580">
        <f t="shared" si="51"/>
        <v>44</v>
      </c>
      <c r="M51" s="563">
        <f t="shared" si="51"/>
        <v>44</v>
      </c>
      <c r="N51" s="563">
        <f t="shared" si="51"/>
        <v>43</v>
      </c>
      <c r="O51" s="563">
        <f t="shared" si="51"/>
        <v>43</v>
      </c>
      <c r="P51" s="563">
        <f t="shared" si="51"/>
        <v>42</v>
      </c>
      <c r="Q51" s="579">
        <f t="shared" si="51"/>
        <v>42</v>
      </c>
      <c r="R51" s="563">
        <f t="shared" si="51"/>
        <v>41</v>
      </c>
      <c r="S51" s="563">
        <f t="shared" si="51"/>
        <v>41</v>
      </c>
      <c r="T51" s="563">
        <f t="shared" si="51"/>
        <v>40</v>
      </c>
      <c r="U51" s="563">
        <f t="shared" si="51"/>
        <v>40</v>
      </c>
      <c r="V51" s="580">
        <f t="shared" si="51"/>
        <v>39</v>
      </c>
      <c r="W51" s="563">
        <f t="shared" si="51"/>
        <v>39</v>
      </c>
      <c r="X51" s="563">
        <f t="shared" si="51"/>
        <v>38</v>
      </c>
      <c r="Y51" s="563">
        <f t="shared" si="51"/>
        <v>38</v>
      </c>
      <c r="Z51" s="563">
        <f t="shared" si="51"/>
        <v>37</v>
      </c>
      <c r="AA51" s="579">
        <f t="shared" si="51"/>
        <v>37</v>
      </c>
      <c r="AB51" s="563">
        <f t="shared" si="51"/>
        <v>36</v>
      </c>
      <c r="AC51" s="563">
        <f t="shared" si="51"/>
        <v>36</v>
      </c>
      <c r="AD51" s="563">
        <f t="shared" si="51"/>
        <v>35</v>
      </c>
      <c r="AE51" s="563">
        <f t="shared" si="51"/>
        <v>35</v>
      </c>
      <c r="AF51" s="580">
        <f t="shared" si="51"/>
        <v>34</v>
      </c>
      <c r="AG51" s="563">
        <f t="shared" si="51"/>
        <v>34</v>
      </c>
      <c r="AH51" s="563">
        <f t="shared" si="51"/>
        <v>33</v>
      </c>
      <c r="AI51" s="563">
        <f t="shared" si="51"/>
        <v>33</v>
      </c>
      <c r="AJ51" s="563">
        <f t="shared" si="51"/>
        <v>32</v>
      </c>
      <c r="AK51" s="579">
        <f t="shared" si="51"/>
        <v>32</v>
      </c>
      <c r="AL51" s="563">
        <f t="shared" si="51"/>
        <v>31</v>
      </c>
      <c r="AM51" s="563">
        <f t="shared" si="51"/>
        <v>31</v>
      </c>
      <c r="AN51" s="563">
        <f t="shared" si="51"/>
        <v>30</v>
      </c>
      <c r="AO51" s="563">
        <f t="shared" si="51"/>
        <v>30</v>
      </c>
      <c r="AP51" s="580">
        <f t="shared" si="51"/>
        <v>29</v>
      </c>
      <c r="AQ51" s="563">
        <f t="shared" si="51"/>
        <v>29</v>
      </c>
      <c r="AR51" s="563">
        <f t="shared" si="51"/>
        <v>28</v>
      </c>
      <c r="AS51" s="563">
        <f t="shared" si="51"/>
        <v>28</v>
      </c>
      <c r="AT51" s="563">
        <f t="shared" si="51"/>
        <v>27</v>
      </c>
      <c r="AU51" s="579">
        <f t="shared" si="51"/>
        <v>27</v>
      </c>
      <c r="AV51" s="563">
        <f t="shared" si="51"/>
        <v>26</v>
      </c>
      <c r="AW51" s="563">
        <f t="shared" si="51"/>
        <v>26</v>
      </c>
      <c r="AX51" s="563">
        <f t="shared" si="51"/>
        <v>25</v>
      </c>
      <c r="AY51" s="563">
        <f t="shared" si="51"/>
        <v>25</v>
      </c>
      <c r="AZ51" s="580">
        <f t="shared" si="51"/>
        <v>25</v>
      </c>
      <c r="BA51" s="563">
        <f t="shared" si="51"/>
        <v>26</v>
      </c>
      <c r="BB51" s="563">
        <f t="shared" si="51"/>
        <v>26</v>
      </c>
      <c r="BC51" s="563">
        <f t="shared" si="51"/>
        <v>27</v>
      </c>
      <c r="BD51" s="563">
        <f t="shared" si="51"/>
        <v>27</v>
      </c>
      <c r="BE51" s="579">
        <f t="shared" si="51"/>
        <v>28</v>
      </c>
      <c r="BF51" s="563">
        <f t="shared" si="51"/>
        <v>28</v>
      </c>
      <c r="BG51" s="563">
        <f t="shared" si="51"/>
        <v>29</v>
      </c>
      <c r="BH51" s="563">
        <f t="shared" si="51"/>
        <v>29</v>
      </c>
      <c r="BI51" s="563">
        <f t="shared" si="51"/>
        <v>30</v>
      </c>
      <c r="BJ51" s="580">
        <f t="shared" si="51"/>
        <v>30</v>
      </c>
      <c r="BK51" s="563">
        <f t="shared" si="51"/>
        <v>31</v>
      </c>
      <c r="BL51" s="563">
        <f t="shared" si="51"/>
        <v>31</v>
      </c>
      <c r="BM51" s="563">
        <f t="shared" si="51"/>
        <v>32</v>
      </c>
      <c r="BN51" s="563">
        <f t="shared" si="51"/>
        <v>32</v>
      </c>
      <c r="BO51" s="579">
        <f t="shared" si="51"/>
        <v>33</v>
      </c>
      <c r="BP51" s="563">
        <f t="shared" si="51"/>
        <v>33</v>
      </c>
      <c r="BQ51" s="563">
        <f t="shared" si="51"/>
        <v>35</v>
      </c>
      <c r="BR51" s="563">
        <f t="shared" si="51"/>
        <v>37</v>
      </c>
      <c r="BS51" s="563">
        <f t="shared" si="51"/>
        <v>39</v>
      </c>
      <c r="BT51" s="580">
        <f t="shared" si="51"/>
        <v>41</v>
      </c>
      <c r="BU51" s="563">
        <f t="shared" si="51"/>
        <v>43</v>
      </c>
      <c r="BV51" s="563">
        <f t="shared" si="51"/>
        <v>45</v>
      </c>
      <c r="BW51" s="563">
        <f t="shared" si="51"/>
        <v>47</v>
      </c>
      <c r="BX51" s="563">
        <f t="shared" si="51"/>
        <v>49</v>
      </c>
      <c r="BY51" s="579">
        <f t="shared" si="51"/>
        <v>51</v>
      </c>
      <c r="BZ51" s="563">
        <f t="shared" si="51"/>
        <v>53</v>
      </c>
      <c r="CA51" s="563">
        <f t="shared" si="51"/>
        <v>55</v>
      </c>
      <c r="CB51" s="563">
        <f t="shared" si="51"/>
        <v>57</v>
      </c>
      <c r="CC51" s="563">
        <f t="shared" si="51"/>
        <v>59</v>
      </c>
      <c r="CD51" s="580">
        <f t="shared" si="51"/>
        <v>61</v>
      </c>
      <c r="CE51" s="563">
        <f t="shared" si="51"/>
        <v>63</v>
      </c>
      <c r="CF51" s="563">
        <f t="shared" si="51"/>
        <v>65</v>
      </c>
      <c r="CG51" s="563">
        <f t="shared" si="51"/>
        <v>67</v>
      </c>
      <c r="CH51" s="563">
        <f t="shared" si="51"/>
        <v>69</v>
      </c>
      <c r="CI51" s="579">
        <f t="shared" si="51"/>
        <v>71</v>
      </c>
      <c r="CJ51" s="563">
        <f t="shared" si="51"/>
        <v>73</v>
      </c>
      <c r="CK51" s="563">
        <f t="shared" si="51"/>
        <v>75</v>
      </c>
      <c r="CL51" s="563">
        <f t="shared" si="51"/>
        <v>77</v>
      </c>
      <c r="CM51" s="563">
        <f t="shared" si="51"/>
        <v>79</v>
      </c>
      <c r="CN51" s="580">
        <f t="shared" si="51"/>
        <v>81</v>
      </c>
      <c r="CO51" s="563">
        <f t="shared" si="51"/>
        <v>83</v>
      </c>
      <c r="CP51" s="563">
        <f t="shared" si="51"/>
        <v>85</v>
      </c>
      <c r="CQ51" s="563">
        <f t="shared" si="51"/>
        <v>87</v>
      </c>
      <c r="CR51" s="563">
        <f t="shared" si="51"/>
        <v>89</v>
      </c>
      <c r="CS51" s="579">
        <f t="shared" si="51"/>
        <v>91</v>
      </c>
      <c r="CT51" s="563">
        <f t="shared" si="51"/>
        <v>93</v>
      </c>
      <c r="CU51" s="563">
        <f t="shared" si="51"/>
        <v>95</v>
      </c>
      <c r="CV51" s="563">
        <f t="shared" si="51"/>
        <v>97</v>
      </c>
      <c r="CW51" s="563">
        <f t="shared" si="51"/>
        <v>99</v>
      </c>
      <c r="CX51" s="563"/>
    </row>
    <row r="52" ht="10.5" customHeight="1">
      <c r="A52" s="543"/>
      <c r="B52" s="563">
        <f t="shared" si="4"/>
        <v>50</v>
      </c>
      <c r="C52" s="682">
        <f t="shared" ref="C52:CW52" si="52">IF(LT(IF(GT(C$2,MIN($B52,99)),C$2,MIN($B52,99)),99-FLOOR(C$2/2,1)),IF(GT(C$2,MIN($B52,99)),C$2,MIN($B52,99))-FLOOR(C$2/2,1),2*IF(GT(C$2,MIN($B52,99)),C$2,MIN($B52,99))-99)</f>
        <v>50</v>
      </c>
      <c r="D52" s="682">
        <f t="shared" si="52"/>
        <v>49</v>
      </c>
      <c r="E52" s="682">
        <f t="shared" si="52"/>
        <v>49</v>
      </c>
      <c r="F52" s="682">
        <f t="shared" si="52"/>
        <v>48</v>
      </c>
      <c r="G52" s="683">
        <f t="shared" si="52"/>
        <v>48</v>
      </c>
      <c r="H52" s="682">
        <f t="shared" si="52"/>
        <v>47</v>
      </c>
      <c r="I52" s="682">
        <f t="shared" si="52"/>
        <v>47</v>
      </c>
      <c r="J52" s="682">
        <f t="shared" si="52"/>
        <v>46</v>
      </c>
      <c r="K52" s="682">
        <f t="shared" si="52"/>
        <v>46</v>
      </c>
      <c r="L52" s="684">
        <f t="shared" si="52"/>
        <v>45</v>
      </c>
      <c r="M52" s="682">
        <f t="shared" si="52"/>
        <v>45</v>
      </c>
      <c r="N52" s="682">
        <f t="shared" si="52"/>
        <v>44</v>
      </c>
      <c r="O52" s="682">
        <f t="shared" si="52"/>
        <v>44</v>
      </c>
      <c r="P52" s="682">
        <f t="shared" si="52"/>
        <v>43</v>
      </c>
      <c r="Q52" s="683">
        <f t="shared" si="52"/>
        <v>43</v>
      </c>
      <c r="R52" s="682">
        <f t="shared" si="52"/>
        <v>42</v>
      </c>
      <c r="S52" s="682">
        <f t="shared" si="52"/>
        <v>42</v>
      </c>
      <c r="T52" s="682">
        <f t="shared" si="52"/>
        <v>41</v>
      </c>
      <c r="U52" s="682">
        <f t="shared" si="52"/>
        <v>41</v>
      </c>
      <c r="V52" s="684">
        <f t="shared" si="52"/>
        <v>40</v>
      </c>
      <c r="W52" s="682">
        <f t="shared" si="52"/>
        <v>40</v>
      </c>
      <c r="X52" s="682">
        <f t="shared" si="52"/>
        <v>39</v>
      </c>
      <c r="Y52" s="682">
        <f t="shared" si="52"/>
        <v>39</v>
      </c>
      <c r="Z52" s="682">
        <f t="shared" si="52"/>
        <v>38</v>
      </c>
      <c r="AA52" s="683">
        <f t="shared" si="52"/>
        <v>38</v>
      </c>
      <c r="AB52" s="682">
        <f t="shared" si="52"/>
        <v>37</v>
      </c>
      <c r="AC52" s="682">
        <f t="shared" si="52"/>
        <v>37</v>
      </c>
      <c r="AD52" s="682">
        <f t="shared" si="52"/>
        <v>36</v>
      </c>
      <c r="AE52" s="682">
        <f t="shared" si="52"/>
        <v>36</v>
      </c>
      <c r="AF52" s="684">
        <f t="shared" si="52"/>
        <v>35</v>
      </c>
      <c r="AG52" s="682">
        <f t="shared" si="52"/>
        <v>35</v>
      </c>
      <c r="AH52" s="682">
        <f t="shared" si="52"/>
        <v>34</v>
      </c>
      <c r="AI52" s="682">
        <f t="shared" si="52"/>
        <v>34</v>
      </c>
      <c r="AJ52" s="682">
        <f t="shared" si="52"/>
        <v>33</v>
      </c>
      <c r="AK52" s="683">
        <f t="shared" si="52"/>
        <v>33</v>
      </c>
      <c r="AL52" s="682">
        <f t="shared" si="52"/>
        <v>32</v>
      </c>
      <c r="AM52" s="682">
        <f t="shared" si="52"/>
        <v>32</v>
      </c>
      <c r="AN52" s="682">
        <f t="shared" si="52"/>
        <v>31</v>
      </c>
      <c r="AO52" s="682">
        <f t="shared" si="52"/>
        <v>31</v>
      </c>
      <c r="AP52" s="684">
        <f t="shared" si="52"/>
        <v>30</v>
      </c>
      <c r="AQ52" s="682">
        <f t="shared" si="52"/>
        <v>30</v>
      </c>
      <c r="AR52" s="682">
        <f t="shared" si="52"/>
        <v>29</v>
      </c>
      <c r="AS52" s="682">
        <f t="shared" si="52"/>
        <v>29</v>
      </c>
      <c r="AT52" s="682">
        <f t="shared" si="52"/>
        <v>28</v>
      </c>
      <c r="AU52" s="683">
        <f t="shared" si="52"/>
        <v>28</v>
      </c>
      <c r="AV52" s="682">
        <f t="shared" si="52"/>
        <v>27</v>
      </c>
      <c r="AW52" s="682">
        <f t="shared" si="52"/>
        <v>27</v>
      </c>
      <c r="AX52" s="682">
        <f t="shared" si="52"/>
        <v>26</v>
      </c>
      <c r="AY52" s="682">
        <f t="shared" si="52"/>
        <v>26</v>
      </c>
      <c r="AZ52" s="684">
        <f t="shared" si="52"/>
        <v>25</v>
      </c>
      <c r="BA52" s="682">
        <f t="shared" si="52"/>
        <v>26</v>
      </c>
      <c r="BB52" s="682">
        <f t="shared" si="52"/>
        <v>26</v>
      </c>
      <c r="BC52" s="682">
        <f t="shared" si="52"/>
        <v>27</v>
      </c>
      <c r="BD52" s="682">
        <f t="shared" si="52"/>
        <v>27</v>
      </c>
      <c r="BE52" s="683">
        <f t="shared" si="52"/>
        <v>28</v>
      </c>
      <c r="BF52" s="682">
        <f t="shared" si="52"/>
        <v>28</v>
      </c>
      <c r="BG52" s="682">
        <f t="shared" si="52"/>
        <v>29</v>
      </c>
      <c r="BH52" s="682">
        <f t="shared" si="52"/>
        <v>29</v>
      </c>
      <c r="BI52" s="682">
        <f t="shared" si="52"/>
        <v>30</v>
      </c>
      <c r="BJ52" s="684">
        <f t="shared" si="52"/>
        <v>30</v>
      </c>
      <c r="BK52" s="682">
        <f t="shared" si="52"/>
        <v>31</v>
      </c>
      <c r="BL52" s="682">
        <f t="shared" si="52"/>
        <v>31</v>
      </c>
      <c r="BM52" s="682">
        <f t="shared" si="52"/>
        <v>32</v>
      </c>
      <c r="BN52" s="682">
        <f t="shared" si="52"/>
        <v>32</v>
      </c>
      <c r="BO52" s="683">
        <f t="shared" si="52"/>
        <v>33</v>
      </c>
      <c r="BP52" s="682">
        <f t="shared" si="52"/>
        <v>33</v>
      </c>
      <c r="BQ52" s="682">
        <f t="shared" si="52"/>
        <v>35</v>
      </c>
      <c r="BR52" s="682">
        <f t="shared" si="52"/>
        <v>37</v>
      </c>
      <c r="BS52" s="682">
        <f t="shared" si="52"/>
        <v>39</v>
      </c>
      <c r="BT52" s="684">
        <f t="shared" si="52"/>
        <v>41</v>
      </c>
      <c r="BU52" s="682">
        <f t="shared" si="52"/>
        <v>43</v>
      </c>
      <c r="BV52" s="682">
        <f t="shared" si="52"/>
        <v>45</v>
      </c>
      <c r="BW52" s="682">
        <f t="shared" si="52"/>
        <v>47</v>
      </c>
      <c r="BX52" s="682">
        <f t="shared" si="52"/>
        <v>49</v>
      </c>
      <c r="BY52" s="683">
        <f t="shared" si="52"/>
        <v>51</v>
      </c>
      <c r="BZ52" s="682">
        <f t="shared" si="52"/>
        <v>53</v>
      </c>
      <c r="CA52" s="682">
        <f t="shared" si="52"/>
        <v>55</v>
      </c>
      <c r="CB52" s="682">
        <f t="shared" si="52"/>
        <v>57</v>
      </c>
      <c r="CC52" s="682">
        <f t="shared" si="52"/>
        <v>59</v>
      </c>
      <c r="CD52" s="684">
        <f t="shared" si="52"/>
        <v>61</v>
      </c>
      <c r="CE52" s="682">
        <f t="shared" si="52"/>
        <v>63</v>
      </c>
      <c r="CF52" s="682">
        <f t="shared" si="52"/>
        <v>65</v>
      </c>
      <c r="CG52" s="682">
        <f t="shared" si="52"/>
        <v>67</v>
      </c>
      <c r="CH52" s="682">
        <f t="shared" si="52"/>
        <v>69</v>
      </c>
      <c r="CI52" s="683">
        <f t="shared" si="52"/>
        <v>71</v>
      </c>
      <c r="CJ52" s="682">
        <f t="shared" si="52"/>
        <v>73</v>
      </c>
      <c r="CK52" s="682">
        <f t="shared" si="52"/>
        <v>75</v>
      </c>
      <c r="CL52" s="682">
        <f t="shared" si="52"/>
        <v>77</v>
      </c>
      <c r="CM52" s="682">
        <f t="shared" si="52"/>
        <v>79</v>
      </c>
      <c r="CN52" s="684">
        <f t="shared" si="52"/>
        <v>81</v>
      </c>
      <c r="CO52" s="682">
        <f t="shared" si="52"/>
        <v>83</v>
      </c>
      <c r="CP52" s="682">
        <f t="shared" si="52"/>
        <v>85</v>
      </c>
      <c r="CQ52" s="682">
        <f t="shared" si="52"/>
        <v>87</v>
      </c>
      <c r="CR52" s="682">
        <f t="shared" si="52"/>
        <v>89</v>
      </c>
      <c r="CS52" s="683">
        <f t="shared" si="52"/>
        <v>91</v>
      </c>
      <c r="CT52" s="682">
        <f t="shared" si="52"/>
        <v>93</v>
      </c>
      <c r="CU52" s="682">
        <f t="shared" si="52"/>
        <v>95</v>
      </c>
      <c r="CV52" s="682">
        <f t="shared" si="52"/>
        <v>97</v>
      </c>
      <c r="CW52" s="682">
        <f t="shared" si="52"/>
        <v>99</v>
      </c>
      <c r="CX52" s="563"/>
    </row>
    <row r="53" ht="10.5" customHeight="1">
      <c r="A53" s="543"/>
      <c r="B53" s="563">
        <f t="shared" si="4"/>
        <v>51</v>
      </c>
      <c r="C53" s="563">
        <f t="shared" ref="C53:CW53" si="53">IF(LT(IF(GT(C$2,MIN($B53,99)),C$2,MIN($B53,99)),99-FLOOR(C$2/2,1)),IF(GT(C$2,MIN($B53,99)),C$2,MIN($B53,99))-FLOOR(C$2/2,1),2*IF(GT(C$2,MIN($B53,99)),C$2,MIN($B53,99))-99)</f>
        <v>51</v>
      </c>
      <c r="D53" s="563">
        <f t="shared" si="53"/>
        <v>50</v>
      </c>
      <c r="E53" s="563">
        <f t="shared" si="53"/>
        <v>50</v>
      </c>
      <c r="F53" s="563">
        <f t="shared" si="53"/>
        <v>49</v>
      </c>
      <c r="G53" s="579">
        <f t="shared" si="53"/>
        <v>49</v>
      </c>
      <c r="H53" s="563">
        <f t="shared" si="53"/>
        <v>48</v>
      </c>
      <c r="I53" s="563">
        <f t="shared" si="53"/>
        <v>48</v>
      </c>
      <c r="J53" s="563">
        <f t="shared" si="53"/>
        <v>47</v>
      </c>
      <c r="K53" s="563">
        <f t="shared" si="53"/>
        <v>47</v>
      </c>
      <c r="L53" s="580">
        <f t="shared" si="53"/>
        <v>46</v>
      </c>
      <c r="M53" s="563">
        <f t="shared" si="53"/>
        <v>46</v>
      </c>
      <c r="N53" s="563">
        <f t="shared" si="53"/>
        <v>45</v>
      </c>
      <c r="O53" s="563">
        <f t="shared" si="53"/>
        <v>45</v>
      </c>
      <c r="P53" s="563">
        <f t="shared" si="53"/>
        <v>44</v>
      </c>
      <c r="Q53" s="579">
        <f t="shared" si="53"/>
        <v>44</v>
      </c>
      <c r="R53" s="563">
        <f t="shared" si="53"/>
        <v>43</v>
      </c>
      <c r="S53" s="563">
        <f t="shared" si="53"/>
        <v>43</v>
      </c>
      <c r="T53" s="563">
        <f t="shared" si="53"/>
        <v>42</v>
      </c>
      <c r="U53" s="563">
        <f t="shared" si="53"/>
        <v>42</v>
      </c>
      <c r="V53" s="580">
        <f t="shared" si="53"/>
        <v>41</v>
      </c>
      <c r="W53" s="563">
        <f t="shared" si="53"/>
        <v>41</v>
      </c>
      <c r="X53" s="563">
        <f t="shared" si="53"/>
        <v>40</v>
      </c>
      <c r="Y53" s="563">
        <f t="shared" si="53"/>
        <v>40</v>
      </c>
      <c r="Z53" s="563">
        <f t="shared" si="53"/>
        <v>39</v>
      </c>
      <c r="AA53" s="579">
        <f t="shared" si="53"/>
        <v>39</v>
      </c>
      <c r="AB53" s="563">
        <f t="shared" si="53"/>
        <v>38</v>
      </c>
      <c r="AC53" s="563">
        <f t="shared" si="53"/>
        <v>38</v>
      </c>
      <c r="AD53" s="563">
        <f t="shared" si="53"/>
        <v>37</v>
      </c>
      <c r="AE53" s="563">
        <f t="shared" si="53"/>
        <v>37</v>
      </c>
      <c r="AF53" s="580">
        <f t="shared" si="53"/>
        <v>36</v>
      </c>
      <c r="AG53" s="563">
        <f t="shared" si="53"/>
        <v>36</v>
      </c>
      <c r="AH53" s="563">
        <f t="shared" si="53"/>
        <v>35</v>
      </c>
      <c r="AI53" s="563">
        <f t="shared" si="53"/>
        <v>35</v>
      </c>
      <c r="AJ53" s="563">
        <f t="shared" si="53"/>
        <v>34</v>
      </c>
      <c r="AK53" s="579">
        <f t="shared" si="53"/>
        <v>34</v>
      </c>
      <c r="AL53" s="563">
        <f t="shared" si="53"/>
        <v>33</v>
      </c>
      <c r="AM53" s="563">
        <f t="shared" si="53"/>
        <v>33</v>
      </c>
      <c r="AN53" s="563">
        <f t="shared" si="53"/>
        <v>32</v>
      </c>
      <c r="AO53" s="563">
        <f t="shared" si="53"/>
        <v>32</v>
      </c>
      <c r="AP53" s="580">
        <f t="shared" si="53"/>
        <v>31</v>
      </c>
      <c r="AQ53" s="563">
        <f t="shared" si="53"/>
        <v>31</v>
      </c>
      <c r="AR53" s="563">
        <f t="shared" si="53"/>
        <v>30</v>
      </c>
      <c r="AS53" s="563">
        <f t="shared" si="53"/>
        <v>30</v>
      </c>
      <c r="AT53" s="563">
        <f t="shared" si="53"/>
        <v>29</v>
      </c>
      <c r="AU53" s="579">
        <f t="shared" si="53"/>
        <v>29</v>
      </c>
      <c r="AV53" s="563">
        <f t="shared" si="53"/>
        <v>28</v>
      </c>
      <c r="AW53" s="563">
        <f t="shared" si="53"/>
        <v>28</v>
      </c>
      <c r="AX53" s="563">
        <f t="shared" si="53"/>
        <v>27</v>
      </c>
      <c r="AY53" s="563">
        <f t="shared" si="53"/>
        <v>27</v>
      </c>
      <c r="AZ53" s="580">
        <f t="shared" si="53"/>
        <v>26</v>
      </c>
      <c r="BA53" s="563">
        <f t="shared" si="53"/>
        <v>26</v>
      </c>
      <c r="BB53" s="563">
        <f t="shared" si="53"/>
        <v>26</v>
      </c>
      <c r="BC53" s="563">
        <f t="shared" si="53"/>
        <v>27</v>
      </c>
      <c r="BD53" s="563">
        <f t="shared" si="53"/>
        <v>27</v>
      </c>
      <c r="BE53" s="579">
        <f t="shared" si="53"/>
        <v>28</v>
      </c>
      <c r="BF53" s="563">
        <f t="shared" si="53"/>
        <v>28</v>
      </c>
      <c r="BG53" s="563">
        <f t="shared" si="53"/>
        <v>29</v>
      </c>
      <c r="BH53" s="563">
        <f t="shared" si="53"/>
        <v>29</v>
      </c>
      <c r="BI53" s="563">
        <f t="shared" si="53"/>
        <v>30</v>
      </c>
      <c r="BJ53" s="580">
        <f t="shared" si="53"/>
        <v>30</v>
      </c>
      <c r="BK53" s="563">
        <f t="shared" si="53"/>
        <v>31</v>
      </c>
      <c r="BL53" s="563">
        <f t="shared" si="53"/>
        <v>31</v>
      </c>
      <c r="BM53" s="563">
        <f t="shared" si="53"/>
        <v>32</v>
      </c>
      <c r="BN53" s="563">
        <f t="shared" si="53"/>
        <v>32</v>
      </c>
      <c r="BO53" s="579">
        <f t="shared" si="53"/>
        <v>33</v>
      </c>
      <c r="BP53" s="563">
        <f t="shared" si="53"/>
        <v>33</v>
      </c>
      <c r="BQ53" s="563">
        <f t="shared" si="53"/>
        <v>35</v>
      </c>
      <c r="BR53" s="563">
        <f t="shared" si="53"/>
        <v>37</v>
      </c>
      <c r="BS53" s="563">
        <f t="shared" si="53"/>
        <v>39</v>
      </c>
      <c r="BT53" s="580">
        <f t="shared" si="53"/>
        <v>41</v>
      </c>
      <c r="BU53" s="563">
        <f t="shared" si="53"/>
        <v>43</v>
      </c>
      <c r="BV53" s="563">
        <f t="shared" si="53"/>
        <v>45</v>
      </c>
      <c r="BW53" s="563">
        <f t="shared" si="53"/>
        <v>47</v>
      </c>
      <c r="BX53" s="563">
        <f t="shared" si="53"/>
        <v>49</v>
      </c>
      <c r="BY53" s="579">
        <f t="shared" si="53"/>
        <v>51</v>
      </c>
      <c r="BZ53" s="563">
        <f t="shared" si="53"/>
        <v>53</v>
      </c>
      <c r="CA53" s="563">
        <f t="shared" si="53"/>
        <v>55</v>
      </c>
      <c r="CB53" s="563">
        <f t="shared" si="53"/>
        <v>57</v>
      </c>
      <c r="CC53" s="563">
        <f t="shared" si="53"/>
        <v>59</v>
      </c>
      <c r="CD53" s="580">
        <f t="shared" si="53"/>
        <v>61</v>
      </c>
      <c r="CE53" s="563">
        <f t="shared" si="53"/>
        <v>63</v>
      </c>
      <c r="CF53" s="563">
        <f t="shared" si="53"/>
        <v>65</v>
      </c>
      <c r="CG53" s="563">
        <f t="shared" si="53"/>
        <v>67</v>
      </c>
      <c r="CH53" s="563">
        <f t="shared" si="53"/>
        <v>69</v>
      </c>
      <c r="CI53" s="579">
        <f t="shared" si="53"/>
        <v>71</v>
      </c>
      <c r="CJ53" s="563">
        <f t="shared" si="53"/>
        <v>73</v>
      </c>
      <c r="CK53" s="563">
        <f t="shared" si="53"/>
        <v>75</v>
      </c>
      <c r="CL53" s="563">
        <f t="shared" si="53"/>
        <v>77</v>
      </c>
      <c r="CM53" s="563">
        <f t="shared" si="53"/>
        <v>79</v>
      </c>
      <c r="CN53" s="580">
        <f t="shared" si="53"/>
        <v>81</v>
      </c>
      <c r="CO53" s="563">
        <f t="shared" si="53"/>
        <v>83</v>
      </c>
      <c r="CP53" s="563">
        <f t="shared" si="53"/>
        <v>85</v>
      </c>
      <c r="CQ53" s="563">
        <f t="shared" si="53"/>
        <v>87</v>
      </c>
      <c r="CR53" s="563">
        <f t="shared" si="53"/>
        <v>89</v>
      </c>
      <c r="CS53" s="579">
        <f t="shared" si="53"/>
        <v>91</v>
      </c>
      <c r="CT53" s="563">
        <f t="shared" si="53"/>
        <v>93</v>
      </c>
      <c r="CU53" s="563">
        <f t="shared" si="53"/>
        <v>95</v>
      </c>
      <c r="CV53" s="563">
        <f t="shared" si="53"/>
        <v>97</v>
      </c>
      <c r="CW53" s="563">
        <f t="shared" si="53"/>
        <v>99</v>
      </c>
      <c r="CX53" s="563"/>
    </row>
    <row r="54" ht="10.5" customHeight="1">
      <c r="A54" s="543"/>
      <c r="B54" s="563">
        <f t="shared" si="4"/>
        <v>52</v>
      </c>
      <c r="C54" s="563">
        <f t="shared" ref="C54:CW54" si="54">IF(LT(IF(GT(C$2,MIN($B54,99)),C$2,MIN($B54,99)),99-FLOOR(C$2/2,1)),IF(GT(C$2,MIN($B54,99)),C$2,MIN($B54,99))-FLOOR(C$2/2,1),2*IF(GT(C$2,MIN($B54,99)),C$2,MIN($B54,99))-99)</f>
        <v>52</v>
      </c>
      <c r="D54" s="563">
        <f t="shared" si="54"/>
        <v>51</v>
      </c>
      <c r="E54" s="563">
        <f t="shared" si="54"/>
        <v>51</v>
      </c>
      <c r="F54" s="563">
        <f t="shared" si="54"/>
        <v>50</v>
      </c>
      <c r="G54" s="579">
        <f t="shared" si="54"/>
        <v>50</v>
      </c>
      <c r="H54" s="563">
        <f t="shared" si="54"/>
        <v>49</v>
      </c>
      <c r="I54" s="563">
        <f t="shared" si="54"/>
        <v>49</v>
      </c>
      <c r="J54" s="563">
        <f t="shared" si="54"/>
        <v>48</v>
      </c>
      <c r="K54" s="563">
        <f t="shared" si="54"/>
        <v>48</v>
      </c>
      <c r="L54" s="580">
        <f t="shared" si="54"/>
        <v>47</v>
      </c>
      <c r="M54" s="563">
        <f t="shared" si="54"/>
        <v>47</v>
      </c>
      <c r="N54" s="563">
        <f t="shared" si="54"/>
        <v>46</v>
      </c>
      <c r="O54" s="563">
        <f t="shared" si="54"/>
        <v>46</v>
      </c>
      <c r="P54" s="563">
        <f t="shared" si="54"/>
        <v>45</v>
      </c>
      <c r="Q54" s="579">
        <f t="shared" si="54"/>
        <v>45</v>
      </c>
      <c r="R54" s="563">
        <f t="shared" si="54"/>
        <v>44</v>
      </c>
      <c r="S54" s="563">
        <f t="shared" si="54"/>
        <v>44</v>
      </c>
      <c r="T54" s="563">
        <f t="shared" si="54"/>
        <v>43</v>
      </c>
      <c r="U54" s="563">
        <f t="shared" si="54"/>
        <v>43</v>
      </c>
      <c r="V54" s="580">
        <f t="shared" si="54"/>
        <v>42</v>
      </c>
      <c r="W54" s="563">
        <f t="shared" si="54"/>
        <v>42</v>
      </c>
      <c r="X54" s="563">
        <f t="shared" si="54"/>
        <v>41</v>
      </c>
      <c r="Y54" s="563">
        <f t="shared" si="54"/>
        <v>41</v>
      </c>
      <c r="Z54" s="563">
        <f t="shared" si="54"/>
        <v>40</v>
      </c>
      <c r="AA54" s="579">
        <f t="shared" si="54"/>
        <v>40</v>
      </c>
      <c r="AB54" s="563">
        <f t="shared" si="54"/>
        <v>39</v>
      </c>
      <c r="AC54" s="563">
        <f t="shared" si="54"/>
        <v>39</v>
      </c>
      <c r="AD54" s="563">
        <f t="shared" si="54"/>
        <v>38</v>
      </c>
      <c r="AE54" s="563">
        <f t="shared" si="54"/>
        <v>38</v>
      </c>
      <c r="AF54" s="580">
        <f t="shared" si="54"/>
        <v>37</v>
      </c>
      <c r="AG54" s="563">
        <f t="shared" si="54"/>
        <v>37</v>
      </c>
      <c r="AH54" s="563">
        <f t="shared" si="54"/>
        <v>36</v>
      </c>
      <c r="AI54" s="563">
        <f t="shared" si="54"/>
        <v>36</v>
      </c>
      <c r="AJ54" s="563">
        <f t="shared" si="54"/>
        <v>35</v>
      </c>
      <c r="AK54" s="579">
        <f t="shared" si="54"/>
        <v>35</v>
      </c>
      <c r="AL54" s="563">
        <f t="shared" si="54"/>
        <v>34</v>
      </c>
      <c r="AM54" s="563">
        <f t="shared" si="54"/>
        <v>34</v>
      </c>
      <c r="AN54" s="563">
        <f t="shared" si="54"/>
        <v>33</v>
      </c>
      <c r="AO54" s="563">
        <f t="shared" si="54"/>
        <v>33</v>
      </c>
      <c r="AP54" s="580">
        <f t="shared" si="54"/>
        <v>32</v>
      </c>
      <c r="AQ54" s="563">
        <f t="shared" si="54"/>
        <v>32</v>
      </c>
      <c r="AR54" s="563">
        <f t="shared" si="54"/>
        <v>31</v>
      </c>
      <c r="AS54" s="563">
        <f t="shared" si="54"/>
        <v>31</v>
      </c>
      <c r="AT54" s="563">
        <f t="shared" si="54"/>
        <v>30</v>
      </c>
      <c r="AU54" s="579">
        <f t="shared" si="54"/>
        <v>30</v>
      </c>
      <c r="AV54" s="563">
        <f t="shared" si="54"/>
        <v>29</v>
      </c>
      <c r="AW54" s="563">
        <f t="shared" si="54"/>
        <v>29</v>
      </c>
      <c r="AX54" s="563">
        <f t="shared" si="54"/>
        <v>28</v>
      </c>
      <c r="AY54" s="563">
        <f t="shared" si="54"/>
        <v>28</v>
      </c>
      <c r="AZ54" s="580">
        <f t="shared" si="54"/>
        <v>27</v>
      </c>
      <c r="BA54" s="563">
        <f t="shared" si="54"/>
        <v>27</v>
      </c>
      <c r="BB54" s="563">
        <f t="shared" si="54"/>
        <v>26</v>
      </c>
      <c r="BC54" s="563">
        <f t="shared" si="54"/>
        <v>27</v>
      </c>
      <c r="BD54" s="563">
        <f t="shared" si="54"/>
        <v>27</v>
      </c>
      <c r="BE54" s="579">
        <f t="shared" si="54"/>
        <v>28</v>
      </c>
      <c r="BF54" s="563">
        <f t="shared" si="54"/>
        <v>28</v>
      </c>
      <c r="BG54" s="563">
        <f t="shared" si="54"/>
        <v>29</v>
      </c>
      <c r="BH54" s="563">
        <f t="shared" si="54"/>
        <v>29</v>
      </c>
      <c r="BI54" s="563">
        <f t="shared" si="54"/>
        <v>30</v>
      </c>
      <c r="BJ54" s="580">
        <f t="shared" si="54"/>
        <v>30</v>
      </c>
      <c r="BK54" s="563">
        <f t="shared" si="54"/>
        <v>31</v>
      </c>
      <c r="BL54" s="563">
        <f t="shared" si="54"/>
        <v>31</v>
      </c>
      <c r="BM54" s="563">
        <f t="shared" si="54"/>
        <v>32</v>
      </c>
      <c r="BN54" s="563">
        <f t="shared" si="54"/>
        <v>32</v>
      </c>
      <c r="BO54" s="579">
        <f t="shared" si="54"/>
        <v>33</v>
      </c>
      <c r="BP54" s="563">
        <f t="shared" si="54"/>
        <v>33</v>
      </c>
      <c r="BQ54" s="563">
        <f t="shared" si="54"/>
        <v>35</v>
      </c>
      <c r="BR54" s="563">
        <f t="shared" si="54"/>
        <v>37</v>
      </c>
      <c r="BS54" s="563">
        <f t="shared" si="54"/>
        <v>39</v>
      </c>
      <c r="BT54" s="580">
        <f t="shared" si="54"/>
        <v>41</v>
      </c>
      <c r="BU54" s="563">
        <f t="shared" si="54"/>
        <v>43</v>
      </c>
      <c r="BV54" s="563">
        <f t="shared" si="54"/>
        <v>45</v>
      </c>
      <c r="BW54" s="563">
        <f t="shared" si="54"/>
        <v>47</v>
      </c>
      <c r="BX54" s="563">
        <f t="shared" si="54"/>
        <v>49</v>
      </c>
      <c r="BY54" s="579">
        <f t="shared" si="54"/>
        <v>51</v>
      </c>
      <c r="BZ54" s="563">
        <f t="shared" si="54"/>
        <v>53</v>
      </c>
      <c r="CA54" s="563">
        <f t="shared" si="54"/>
        <v>55</v>
      </c>
      <c r="CB54" s="563">
        <f t="shared" si="54"/>
        <v>57</v>
      </c>
      <c r="CC54" s="563">
        <f t="shared" si="54"/>
        <v>59</v>
      </c>
      <c r="CD54" s="580">
        <f t="shared" si="54"/>
        <v>61</v>
      </c>
      <c r="CE54" s="563">
        <f t="shared" si="54"/>
        <v>63</v>
      </c>
      <c r="CF54" s="563">
        <f t="shared" si="54"/>
        <v>65</v>
      </c>
      <c r="CG54" s="563">
        <f t="shared" si="54"/>
        <v>67</v>
      </c>
      <c r="CH54" s="563">
        <f t="shared" si="54"/>
        <v>69</v>
      </c>
      <c r="CI54" s="579">
        <f t="shared" si="54"/>
        <v>71</v>
      </c>
      <c r="CJ54" s="563">
        <f t="shared" si="54"/>
        <v>73</v>
      </c>
      <c r="CK54" s="563">
        <f t="shared" si="54"/>
        <v>75</v>
      </c>
      <c r="CL54" s="563">
        <f t="shared" si="54"/>
        <v>77</v>
      </c>
      <c r="CM54" s="563">
        <f t="shared" si="54"/>
        <v>79</v>
      </c>
      <c r="CN54" s="580">
        <f t="shared" si="54"/>
        <v>81</v>
      </c>
      <c r="CO54" s="563">
        <f t="shared" si="54"/>
        <v>83</v>
      </c>
      <c r="CP54" s="563">
        <f t="shared" si="54"/>
        <v>85</v>
      </c>
      <c r="CQ54" s="563">
        <f t="shared" si="54"/>
        <v>87</v>
      </c>
      <c r="CR54" s="563">
        <f t="shared" si="54"/>
        <v>89</v>
      </c>
      <c r="CS54" s="579">
        <f t="shared" si="54"/>
        <v>91</v>
      </c>
      <c r="CT54" s="563">
        <f t="shared" si="54"/>
        <v>93</v>
      </c>
      <c r="CU54" s="563">
        <f t="shared" si="54"/>
        <v>95</v>
      </c>
      <c r="CV54" s="563">
        <f t="shared" si="54"/>
        <v>97</v>
      </c>
      <c r="CW54" s="563">
        <f t="shared" si="54"/>
        <v>99</v>
      </c>
      <c r="CX54" s="563"/>
    </row>
    <row r="55" ht="10.5" customHeight="1">
      <c r="A55" s="543"/>
      <c r="B55" s="563">
        <f t="shared" si="4"/>
        <v>53</v>
      </c>
      <c r="C55" s="563">
        <f t="shared" ref="C55:CW55" si="55">IF(LT(IF(GT(C$2,MIN($B55,99)),C$2,MIN($B55,99)),99-FLOOR(C$2/2,1)),IF(GT(C$2,MIN($B55,99)),C$2,MIN($B55,99))-FLOOR(C$2/2,1),2*IF(GT(C$2,MIN($B55,99)),C$2,MIN($B55,99))-99)</f>
        <v>53</v>
      </c>
      <c r="D55" s="563">
        <f t="shared" si="55"/>
        <v>52</v>
      </c>
      <c r="E55" s="563">
        <f t="shared" si="55"/>
        <v>52</v>
      </c>
      <c r="F55" s="563">
        <f t="shared" si="55"/>
        <v>51</v>
      </c>
      <c r="G55" s="579">
        <f t="shared" si="55"/>
        <v>51</v>
      </c>
      <c r="H55" s="563">
        <f t="shared" si="55"/>
        <v>50</v>
      </c>
      <c r="I55" s="563">
        <f t="shared" si="55"/>
        <v>50</v>
      </c>
      <c r="J55" s="563">
        <f t="shared" si="55"/>
        <v>49</v>
      </c>
      <c r="K55" s="563">
        <f t="shared" si="55"/>
        <v>49</v>
      </c>
      <c r="L55" s="580">
        <f t="shared" si="55"/>
        <v>48</v>
      </c>
      <c r="M55" s="563">
        <f t="shared" si="55"/>
        <v>48</v>
      </c>
      <c r="N55" s="563">
        <f t="shared" si="55"/>
        <v>47</v>
      </c>
      <c r="O55" s="563">
        <f t="shared" si="55"/>
        <v>47</v>
      </c>
      <c r="P55" s="563">
        <f t="shared" si="55"/>
        <v>46</v>
      </c>
      <c r="Q55" s="579">
        <f t="shared" si="55"/>
        <v>46</v>
      </c>
      <c r="R55" s="563">
        <f t="shared" si="55"/>
        <v>45</v>
      </c>
      <c r="S55" s="563">
        <f t="shared" si="55"/>
        <v>45</v>
      </c>
      <c r="T55" s="563">
        <f t="shared" si="55"/>
        <v>44</v>
      </c>
      <c r="U55" s="563">
        <f t="shared" si="55"/>
        <v>44</v>
      </c>
      <c r="V55" s="580">
        <f t="shared" si="55"/>
        <v>43</v>
      </c>
      <c r="W55" s="563">
        <f t="shared" si="55"/>
        <v>43</v>
      </c>
      <c r="X55" s="563">
        <f t="shared" si="55"/>
        <v>42</v>
      </c>
      <c r="Y55" s="563">
        <f t="shared" si="55"/>
        <v>42</v>
      </c>
      <c r="Z55" s="563">
        <f t="shared" si="55"/>
        <v>41</v>
      </c>
      <c r="AA55" s="579">
        <f t="shared" si="55"/>
        <v>41</v>
      </c>
      <c r="AB55" s="563">
        <f t="shared" si="55"/>
        <v>40</v>
      </c>
      <c r="AC55" s="563">
        <f t="shared" si="55"/>
        <v>40</v>
      </c>
      <c r="AD55" s="563">
        <f t="shared" si="55"/>
        <v>39</v>
      </c>
      <c r="AE55" s="563">
        <f t="shared" si="55"/>
        <v>39</v>
      </c>
      <c r="AF55" s="580">
        <f t="shared" si="55"/>
        <v>38</v>
      </c>
      <c r="AG55" s="563">
        <f t="shared" si="55"/>
        <v>38</v>
      </c>
      <c r="AH55" s="563">
        <f t="shared" si="55"/>
        <v>37</v>
      </c>
      <c r="AI55" s="563">
        <f t="shared" si="55"/>
        <v>37</v>
      </c>
      <c r="AJ55" s="563">
        <f t="shared" si="55"/>
        <v>36</v>
      </c>
      <c r="AK55" s="579">
        <f t="shared" si="55"/>
        <v>36</v>
      </c>
      <c r="AL55" s="563">
        <f t="shared" si="55"/>
        <v>35</v>
      </c>
      <c r="AM55" s="563">
        <f t="shared" si="55"/>
        <v>35</v>
      </c>
      <c r="AN55" s="563">
        <f t="shared" si="55"/>
        <v>34</v>
      </c>
      <c r="AO55" s="563">
        <f t="shared" si="55"/>
        <v>34</v>
      </c>
      <c r="AP55" s="580">
        <f t="shared" si="55"/>
        <v>33</v>
      </c>
      <c r="AQ55" s="563">
        <f t="shared" si="55"/>
        <v>33</v>
      </c>
      <c r="AR55" s="563">
        <f t="shared" si="55"/>
        <v>32</v>
      </c>
      <c r="AS55" s="563">
        <f t="shared" si="55"/>
        <v>32</v>
      </c>
      <c r="AT55" s="563">
        <f t="shared" si="55"/>
        <v>31</v>
      </c>
      <c r="AU55" s="579">
        <f t="shared" si="55"/>
        <v>31</v>
      </c>
      <c r="AV55" s="563">
        <f t="shared" si="55"/>
        <v>30</v>
      </c>
      <c r="AW55" s="563">
        <f t="shared" si="55"/>
        <v>30</v>
      </c>
      <c r="AX55" s="563">
        <f t="shared" si="55"/>
        <v>29</v>
      </c>
      <c r="AY55" s="563">
        <f t="shared" si="55"/>
        <v>29</v>
      </c>
      <c r="AZ55" s="580">
        <f t="shared" si="55"/>
        <v>28</v>
      </c>
      <c r="BA55" s="563">
        <f t="shared" si="55"/>
        <v>28</v>
      </c>
      <c r="BB55" s="563">
        <f t="shared" si="55"/>
        <v>27</v>
      </c>
      <c r="BC55" s="563">
        <f t="shared" si="55"/>
        <v>27</v>
      </c>
      <c r="BD55" s="563">
        <f t="shared" si="55"/>
        <v>27</v>
      </c>
      <c r="BE55" s="579">
        <f t="shared" si="55"/>
        <v>28</v>
      </c>
      <c r="BF55" s="563">
        <f t="shared" si="55"/>
        <v>28</v>
      </c>
      <c r="BG55" s="563">
        <f t="shared" si="55"/>
        <v>29</v>
      </c>
      <c r="BH55" s="563">
        <f t="shared" si="55"/>
        <v>29</v>
      </c>
      <c r="BI55" s="563">
        <f t="shared" si="55"/>
        <v>30</v>
      </c>
      <c r="BJ55" s="580">
        <f t="shared" si="55"/>
        <v>30</v>
      </c>
      <c r="BK55" s="563">
        <f t="shared" si="55"/>
        <v>31</v>
      </c>
      <c r="BL55" s="563">
        <f t="shared" si="55"/>
        <v>31</v>
      </c>
      <c r="BM55" s="563">
        <f t="shared" si="55"/>
        <v>32</v>
      </c>
      <c r="BN55" s="563">
        <f t="shared" si="55"/>
        <v>32</v>
      </c>
      <c r="BO55" s="579">
        <f t="shared" si="55"/>
        <v>33</v>
      </c>
      <c r="BP55" s="563">
        <f t="shared" si="55"/>
        <v>33</v>
      </c>
      <c r="BQ55" s="563">
        <f t="shared" si="55"/>
        <v>35</v>
      </c>
      <c r="BR55" s="563">
        <f t="shared" si="55"/>
        <v>37</v>
      </c>
      <c r="BS55" s="563">
        <f t="shared" si="55"/>
        <v>39</v>
      </c>
      <c r="BT55" s="580">
        <f t="shared" si="55"/>
        <v>41</v>
      </c>
      <c r="BU55" s="563">
        <f t="shared" si="55"/>
        <v>43</v>
      </c>
      <c r="BV55" s="563">
        <f t="shared" si="55"/>
        <v>45</v>
      </c>
      <c r="BW55" s="563">
        <f t="shared" si="55"/>
        <v>47</v>
      </c>
      <c r="BX55" s="563">
        <f t="shared" si="55"/>
        <v>49</v>
      </c>
      <c r="BY55" s="579">
        <f t="shared" si="55"/>
        <v>51</v>
      </c>
      <c r="BZ55" s="563">
        <f t="shared" si="55"/>
        <v>53</v>
      </c>
      <c r="CA55" s="563">
        <f t="shared" si="55"/>
        <v>55</v>
      </c>
      <c r="CB55" s="563">
        <f t="shared" si="55"/>
        <v>57</v>
      </c>
      <c r="CC55" s="563">
        <f t="shared" si="55"/>
        <v>59</v>
      </c>
      <c r="CD55" s="580">
        <f t="shared" si="55"/>
        <v>61</v>
      </c>
      <c r="CE55" s="563">
        <f t="shared" si="55"/>
        <v>63</v>
      </c>
      <c r="CF55" s="563">
        <f t="shared" si="55"/>
        <v>65</v>
      </c>
      <c r="CG55" s="563">
        <f t="shared" si="55"/>
        <v>67</v>
      </c>
      <c r="CH55" s="563">
        <f t="shared" si="55"/>
        <v>69</v>
      </c>
      <c r="CI55" s="579">
        <f t="shared" si="55"/>
        <v>71</v>
      </c>
      <c r="CJ55" s="563">
        <f t="shared" si="55"/>
        <v>73</v>
      </c>
      <c r="CK55" s="563">
        <f t="shared" si="55"/>
        <v>75</v>
      </c>
      <c r="CL55" s="563">
        <f t="shared" si="55"/>
        <v>77</v>
      </c>
      <c r="CM55" s="563">
        <f t="shared" si="55"/>
        <v>79</v>
      </c>
      <c r="CN55" s="580">
        <f t="shared" si="55"/>
        <v>81</v>
      </c>
      <c r="CO55" s="563">
        <f t="shared" si="55"/>
        <v>83</v>
      </c>
      <c r="CP55" s="563">
        <f t="shared" si="55"/>
        <v>85</v>
      </c>
      <c r="CQ55" s="563">
        <f t="shared" si="55"/>
        <v>87</v>
      </c>
      <c r="CR55" s="563">
        <f t="shared" si="55"/>
        <v>89</v>
      </c>
      <c r="CS55" s="579">
        <f t="shared" si="55"/>
        <v>91</v>
      </c>
      <c r="CT55" s="563">
        <f t="shared" si="55"/>
        <v>93</v>
      </c>
      <c r="CU55" s="563">
        <f t="shared" si="55"/>
        <v>95</v>
      </c>
      <c r="CV55" s="563">
        <f t="shared" si="55"/>
        <v>97</v>
      </c>
      <c r="CW55" s="563">
        <f t="shared" si="55"/>
        <v>99</v>
      </c>
      <c r="CX55" s="563"/>
    </row>
    <row r="56" ht="10.5" customHeight="1">
      <c r="A56" s="543"/>
      <c r="B56" s="563">
        <f t="shared" si="4"/>
        <v>54</v>
      </c>
      <c r="C56" s="563">
        <f t="shared" ref="C56:CW56" si="56">IF(LT(IF(GT(C$2,MIN($B56,99)),C$2,MIN($B56,99)),99-FLOOR(C$2/2,1)),IF(GT(C$2,MIN($B56,99)),C$2,MIN($B56,99))-FLOOR(C$2/2,1),2*IF(GT(C$2,MIN($B56,99)),C$2,MIN($B56,99))-99)</f>
        <v>54</v>
      </c>
      <c r="D56" s="563">
        <f t="shared" si="56"/>
        <v>53</v>
      </c>
      <c r="E56" s="563">
        <f t="shared" si="56"/>
        <v>53</v>
      </c>
      <c r="F56" s="563">
        <f t="shared" si="56"/>
        <v>52</v>
      </c>
      <c r="G56" s="579">
        <f t="shared" si="56"/>
        <v>52</v>
      </c>
      <c r="H56" s="563">
        <f t="shared" si="56"/>
        <v>51</v>
      </c>
      <c r="I56" s="563">
        <f t="shared" si="56"/>
        <v>51</v>
      </c>
      <c r="J56" s="563">
        <f t="shared" si="56"/>
        <v>50</v>
      </c>
      <c r="K56" s="563">
        <f t="shared" si="56"/>
        <v>50</v>
      </c>
      <c r="L56" s="580">
        <f t="shared" si="56"/>
        <v>49</v>
      </c>
      <c r="M56" s="563">
        <f t="shared" si="56"/>
        <v>49</v>
      </c>
      <c r="N56" s="563">
        <f t="shared" si="56"/>
        <v>48</v>
      </c>
      <c r="O56" s="563">
        <f t="shared" si="56"/>
        <v>48</v>
      </c>
      <c r="P56" s="563">
        <f t="shared" si="56"/>
        <v>47</v>
      </c>
      <c r="Q56" s="579">
        <f t="shared" si="56"/>
        <v>47</v>
      </c>
      <c r="R56" s="563">
        <f t="shared" si="56"/>
        <v>46</v>
      </c>
      <c r="S56" s="563">
        <f t="shared" si="56"/>
        <v>46</v>
      </c>
      <c r="T56" s="563">
        <f t="shared" si="56"/>
        <v>45</v>
      </c>
      <c r="U56" s="563">
        <f t="shared" si="56"/>
        <v>45</v>
      </c>
      <c r="V56" s="580">
        <f t="shared" si="56"/>
        <v>44</v>
      </c>
      <c r="W56" s="563">
        <f t="shared" si="56"/>
        <v>44</v>
      </c>
      <c r="X56" s="563">
        <f t="shared" si="56"/>
        <v>43</v>
      </c>
      <c r="Y56" s="563">
        <f t="shared" si="56"/>
        <v>43</v>
      </c>
      <c r="Z56" s="563">
        <f t="shared" si="56"/>
        <v>42</v>
      </c>
      <c r="AA56" s="579">
        <f t="shared" si="56"/>
        <v>42</v>
      </c>
      <c r="AB56" s="563">
        <f t="shared" si="56"/>
        <v>41</v>
      </c>
      <c r="AC56" s="563">
        <f t="shared" si="56"/>
        <v>41</v>
      </c>
      <c r="AD56" s="563">
        <f t="shared" si="56"/>
        <v>40</v>
      </c>
      <c r="AE56" s="563">
        <f t="shared" si="56"/>
        <v>40</v>
      </c>
      <c r="AF56" s="580">
        <f t="shared" si="56"/>
        <v>39</v>
      </c>
      <c r="AG56" s="563">
        <f t="shared" si="56"/>
        <v>39</v>
      </c>
      <c r="AH56" s="563">
        <f t="shared" si="56"/>
        <v>38</v>
      </c>
      <c r="AI56" s="563">
        <f t="shared" si="56"/>
        <v>38</v>
      </c>
      <c r="AJ56" s="563">
        <f t="shared" si="56"/>
        <v>37</v>
      </c>
      <c r="AK56" s="579">
        <f t="shared" si="56"/>
        <v>37</v>
      </c>
      <c r="AL56" s="563">
        <f t="shared" si="56"/>
        <v>36</v>
      </c>
      <c r="AM56" s="563">
        <f t="shared" si="56"/>
        <v>36</v>
      </c>
      <c r="AN56" s="563">
        <f t="shared" si="56"/>
        <v>35</v>
      </c>
      <c r="AO56" s="563">
        <f t="shared" si="56"/>
        <v>35</v>
      </c>
      <c r="AP56" s="580">
        <f t="shared" si="56"/>
        <v>34</v>
      </c>
      <c r="AQ56" s="563">
        <f t="shared" si="56"/>
        <v>34</v>
      </c>
      <c r="AR56" s="563">
        <f t="shared" si="56"/>
        <v>33</v>
      </c>
      <c r="AS56" s="563">
        <f t="shared" si="56"/>
        <v>33</v>
      </c>
      <c r="AT56" s="563">
        <f t="shared" si="56"/>
        <v>32</v>
      </c>
      <c r="AU56" s="579">
        <f t="shared" si="56"/>
        <v>32</v>
      </c>
      <c r="AV56" s="563">
        <f t="shared" si="56"/>
        <v>31</v>
      </c>
      <c r="AW56" s="563">
        <f t="shared" si="56"/>
        <v>31</v>
      </c>
      <c r="AX56" s="563">
        <f t="shared" si="56"/>
        <v>30</v>
      </c>
      <c r="AY56" s="563">
        <f t="shared" si="56"/>
        <v>30</v>
      </c>
      <c r="AZ56" s="580">
        <f t="shared" si="56"/>
        <v>29</v>
      </c>
      <c r="BA56" s="563">
        <f t="shared" si="56"/>
        <v>29</v>
      </c>
      <c r="BB56" s="563">
        <f t="shared" si="56"/>
        <v>28</v>
      </c>
      <c r="BC56" s="563">
        <f t="shared" si="56"/>
        <v>28</v>
      </c>
      <c r="BD56" s="563">
        <f t="shared" si="56"/>
        <v>27</v>
      </c>
      <c r="BE56" s="579">
        <f t="shared" si="56"/>
        <v>28</v>
      </c>
      <c r="BF56" s="563">
        <f t="shared" si="56"/>
        <v>28</v>
      </c>
      <c r="BG56" s="563">
        <f t="shared" si="56"/>
        <v>29</v>
      </c>
      <c r="BH56" s="563">
        <f t="shared" si="56"/>
        <v>29</v>
      </c>
      <c r="BI56" s="563">
        <f t="shared" si="56"/>
        <v>30</v>
      </c>
      <c r="BJ56" s="580">
        <f t="shared" si="56"/>
        <v>30</v>
      </c>
      <c r="BK56" s="563">
        <f t="shared" si="56"/>
        <v>31</v>
      </c>
      <c r="BL56" s="563">
        <f t="shared" si="56"/>
        <v>31</v>
      </c>
      <c r="BM56" s="563">
        <f t="shared" si="56"/>
        <v>32</v>
      </c>
      <c r="BN56" s="563">
        <f t="shared" si="56"/>
        <v>32</v>
      </c>
      <c r="BO56" s="579">
        <f t="shared" si="56"/>
        <v>33</v>
      </c>
      <c r="BP56" s="563">
        <f t="shared" si="56"/>
        <v>33</v>
      </c>
      <c r="BQ56" s="563">
        <f t="shared" si="56"/>
        <v>35</v>
      </c>
      <c r="BR56" s="563">
        <f t="shared" si="56"/>
        <v>37</v>
      </c>
      <c r="BS56" s="563">
        <f t="shared" si="56"/>
        <v>39</v>
      </c>
      <c r="BT56" s="580">
        <f t="shared" si="56"/>
        <v>41</v>
      </c>
      <c r="BU56" s="563">
        <f t="shared" si="56"/>
        <v>43</v>
      </c>
      <c r="BV56" s="563">
        <f t="shared" si="56"/>
        <v>45</v>
      </c>
      <c r="BW56" s="563">
        <f t="shared" si="56"/>
        <v>47</v>
      </c>
      <c r="BX56" s="563">
        <f t="shared" si="56"/>
        <v>49</v>
      </c>
      <c r="BY56" s="579">
        <f t="shared" si="56"/>
        <v>51</v>
      </c>
      <c r="BZ56" s="563">
        <f t="shared" si="56"/>
        <v>53</v>
      </c>
      <c r="CA56" s="563">
        <f t="shared" si="56"/>
        <v>55</v>
      </c>
      <c r="CB56" s="563">
        <f t="shared" si="56"/>
        <v>57</v>
      </c>
      <c r="CC56" s="563">
        <f t="shared" si="56"/>
        <v>59</v>
      </c>
      <c r="CD56" s="580">
        <f t="shared" si="56"/>
        <v>61</v>
      </c>
      <c r="CE56" s="563">
        <f t="shared" si="56"/>
        <v>63</v>
      </c>
      <c r="CF56" s="563">
        <f t="shared" si="56"/>
        <v>65</v>
      </c>
      <c r="CG56" s="563">
        <f t="shared" si="56"/>
        <v>67</v>
      </c>
      <c r="CH56" s="563">
        <f t="shared" si="56"/>
        <v>69</v>
      </c>
      <c r="CI56" s="579">
        <f t="shared" si="56"/>
        <v>71</v>
      </c>
      <c r="CJ56" s="563">
        <f t="shared" si="56"/>
        <v>73</v>
      </c>
      <c r="CK56" s="563">
        <f t="shared" si="56"/>
        <v>75</v>
      </c>
      <c r="CL56" s="563">
        <f t="shared" si="56"/>
        <v>77</v>
      </c>
      <c r="CM56" s="563">
        <f t="shared" si="56"/>
        <v>79</v>
      </c>
      <c r="CN56" s="580">
        <f t="shared" si="56"/>
        <v>81</v>
      </c>
      <c r="CO56" s="563">
        <f t="shared" si="56"/>
        <v>83</v>
      </c>
      <c r="CP56" s="563">
        <f t="shared" si="56"/>
        <v>85</v>
      </c>
      <c r="CQ56" s="563">
        <f t="shared" si="56"/>
        <v>87</v>
      </c>
      <c r="CR56" s="563">
        <f t="shared" si="56"/>
        <v>89</v>
      </c>
      <c r="CS56" s="579">
        <f t="shared" si="56"/>
        <v>91</v>
      </c>
      <c r="CT56" s="563">
        <f t="shared" si="56"/>
        <v>93</v>
      </c>
      <c r="CU56" s="563">
        <f t="shared" si="56"/>
        <v>95</v>
      </c>
      <c r="CV56" s="563">
        <f t="shared" si="56"/>
        <v>97</v>
      </c>
      <c r="CW56" s="563">
        <f t="shared" si="56"/>
        <v>99</v>
      </c>
      <c r="CX56" s="563"/>
    </row>
    <row r="57" ht="10.5" customHeight="1">
      <c r="A57" s="543"/>
      <c r="B57" s="563">
        <f t="shared" si="4"/>
        <v>55</v>
      </c>
      <c r="C57" s="640">
        <f t="shared" ref="C57:CW57" si="57">IF(LT(IF(GT(C$2,MIN($B57,99)),C$2,MIN($B57,99)),99-FLOOR(C$2/2,1)),IF(GT(C$2,MIN($B57,99)),C$2,MIN($B57,99))-FLOOR(C$2/2,1),2*IF(GT(C$2,MIN($B57,99)),C$2,MIN($B57,99))-99)</f>
        <v>55</v>
      </c>
      <c r="D57" s="640">
        <f t="shared" si="57"/>
        <v>54</v>
      </c>
      <c r="E57" s="640">
        <f t="shared" si="57"/>
        <v>54</v>
      </c>
      <c r="F57" s="640">
        <f t="shared" si="57"/>
        <v>53</v>
      </c>
      <c r="G57" s="641">
        <f t="shared" si="57"/>
        <v>53</v>
      </c>
      <c r="H57" s="640">
        <f t="shared" si="57"/>
        <v>52</v>
      </c>
      <c r="I57" s="640">
        <f t="shared" si="57"/>
        <v>52</v>
      </c>
      <c r="J57" s="640">
        <f t="shared" si="57"/>
        <v>51</v>
      </c>
      <c r="K57" s="640">
        <f t="shared" si="57"/>
        <v>51</v>
      </c>
      <c r="L57" s="643">
        <f t="shared" si="57"/>
        <v>50</v>
      </c>
      <c r="M57" s="640">
        <f t="shared" si="57"/>
        <v>50</v>
      </c>
      <c r="N57" s="640">
        <f t="shared" si="57"/>
        <v>49</v>
      </c>
      <c r="O57" s="640">
        <f t="shared" si="57"/>
        <v>49</v>
      </c>
      <c r="P57" s="640">
        <f t="shared" si="57"/>
        <v>48</v>
      </c>
      <c r="Q57" s="641">
        <f t="shared" si="57"/>
        <v>48</v>
      </c>
      <c r="R57" s="640">
        <f t="shared" si="57"/>
        <v>47</v>
      </c>
      <c r="S57" s="640">
        <f t="shared" si="57"/>
        <v>47</v>
      </c>
      <c r="T57" s="640">
        <f t="shared" si="57"/>
        <v>46</v>
      </c>
      <c r="U57" s="640">
        <f t="shared" si="57"/>
        <v>46</v>
      </c>
      <c r="V57" s="643">
        <f t="shared" si="57"/>
        <v>45</v>
      </c>
      <c r="W57" s="640">
        <f t="shared" si="57"/>
        <v>45</v>
      </c>
      <c r="X57" s="640">
        <f t="shared" si="57"/>
        <v>44</v>
      </c>
      <c r="Y57" s="640">
        <f t="shared" si="57"/>
        <v>44</v>
      </c>
      <c r="Z57" s="640">
        <f t="shared" si="57"/>
        <v>43</v>
      </c>
      <c r="AA57" s="641">
        <f t="shared" si="57"/>
        <v>43</v>
      </c>
      <c r="AB57" s="640">
        <f t="shared" si="57"/>
        <v>42</v>
      </c>
      <c r="AC57" s="640">
        <f t="shared" si="57"/>
        <v>42</v>
      </c>
      <c r="AD57" s="640">
        <f t="shared" si="57"/>
        <v>41</v>
      </c>
      <c r="AE57" s="640">
        <f t="shared" si="57"/>
        <v>41</v>
      </c>
      <c r="AF57" s="643">
        <f t="shared" si="57"/>
        <v>40</v>
      </c>
      <c r="AG57" s="640">
        <f t="shared" si="57"/>
        <v>40</v>
      </c>
      <c r="AH57" s="640">
        <f t="shared" si="57"/>
        <v>39</v>
      </c>
      <c r="AI57" s="640">
        <f t="shared" si="57"/>
        <v>39</v>
      </c>
      <c r="AJ57" s="640">
        <f t="shared" si="57"/>
        <v>38</v>
      </c>
      <c r="AK57" s="641">
        <f t="shared" si="57"/>
        <v>38</v>
      </c>
      <c r="AL57" s="640">
        <f t="shared" si="57"/>
        <v>37</v>
      </c>
      <c r="AM57" s="640">
        <f t="shared" si="57"/>
        <v>37</v>
      </c>
      <c r="AN57" s="640">
        <f t="shared" si="57"/>
        <v>36</v>
      </c>
      <c r="AO57" s="640">
        <f t="shared" si="57"/>
        <v>36</v>
      </c>
      <c r="AP57" s="643">
        <f t="shared" si="57"/>
        <v>35</v>
      </c>
      <c r="AQ57" s="640">
        <f t="shared" si="57"/>
        <v>35</v>
      </c>
      <c r="AR57" s="640">
        <f t="shared" si="57"/>
        <v>34</v>
      </c>
      <c r="AS57" s="640">
        <f t="shared" si="57"/>
        <v>34</v>
      </c>
      <c r="AT57" s="640">
        <f t="shared" si="57"/>
        <v>33</v>
      </c>
      <c r="AU57" s="641">
        <f t="shared" si="57"/>
        <v>33</v>
      </c>
      <c r="AV57" s="640">
        <f t="shared" si="57"/>
        <v>32</v>
      </c>
      <c r="AW57" s="640">
        <f t="shared" si="57"/>
        <v>32</v>
      </c>
      <c r="AX57" s="640">
        <f t="shared" si="57"/>
        <v>31</v>
      </c>
      <c r="AY57" s="640">
        <f t="shared" si="57"/>
        <v>31</v>
      </c>
      <c r="AZ57" s="643">
        <f t="shared" si="57"/>
        <v>30</v>
      </c>
      <c r="BA57" s="640">
        <f t="shared" si="57"/>
        <v>30</v>
      </c>
      <c r="BB57" s="640">
        <f t="shared" si="57"/>
        <v>29</v>
      </c>
      <c r="BC57" s="640">
        <f t="shared" si="57"/>
        <v>29</v>
      </c>
      <c r="BD57" s="640">
        <f t="shared" si="57"/>
        <v>28</v>
      </c>
      <c r="BE57" s="641">
        <f t="shared" si="57"/>
        <v>28</v>
      </c>
      <c r="BF57" s="640">
        <f t="shared" si="57"/>
        <v>28</v>
      </c>
      <c r="BG57" s="640">
        <f t="shared" si="57"/>
        <v>29</v>
      </c>
      <c r="BH57" s="640">
        <f t="shared" si="57"/>
        <v>29</v>
      </c>
      <c r="BI57" s="640">
        <f t="shared" si="57"/>
        <v>30</v>
      </c>
      <c r="BJ57" s="643">
        <f t="shared" si="57"/>
        <v>30</v>
      </c>
      <c r="BK57" s="640">
        <f t="shared" si="57"/>
        <v>31</v>
      </c>
      <c r="BL57" s="640">
        <f t="shared" si="57"/>
        <v>31</v>
      </c>
      <c r="BM57" s="640">
        <f t="shared" si="57"/>
        <v>32</v>
      </c>
      <c r="BN57" s="640">
        <f t="shared" si="57"/>
        <v>32</v>
      </c>
      <c r="BO57" s="641">
        <f t="shared" si="57"/>
        <v>33</v>
      </c>
      <c r="BP57" s="640">
        <f t="shared" si="57"/>
        <v>33</v>
      </c>
      <c r="BQ57" s="640">
        <f t="shared" si="57"/>
        <v>35</v>
      </c>
      <c r="BR57" s="640">
        <f t="shared" si="57"/>
        <v>37</v>
      </c>
      <c r="BS57" s="640">
        <f t="shared" si="57"/>
        <v>39</v>
      </c>
      <c r="BT57" s="643">
        <f t="shared" si="57"/>
        <v>41</v>
      </c>
      <c r="BU57" s="640">
        <f t="shared" si="57"/>
        <v>43</v>
      </c>
      <c r="BV57" s="640">
        <f t="shared" si="57"/>
        <v>45</v>
      </c>
      <c r="BW57" s="640">
        <f t="shared" si="57"/>
        <v>47</v>
      </c>
      <c r="BX57" s="640">
        <f t="shared" si="57"/>
        <v>49</v>
      </c>
      <c r="BY57" s="641">
        <f t="shared" si="57"/>
        <v>51</v>
      </c>
      <c r="BZ57" s="640">
        <f t="shared" si="57"/>
        <v>53</v>
      </c>
      <c r="CA57" s="640">
        <f t="shared" si="57"/>
        <v>55</v>
      </c>
      <c r="CB57" s="640">
        <f t="shared" si="57"/>
        <v>57</v>
      </c>
      <c r="CC57" s="640">
        <f t="shared" si="57"/>
        <v>59</v>
      </c>
      <c r="CD57" s="643">
        <f t="shared" si="57"/>
        <v>61</v>
      </c>
      <c r="CE57" s="640">
        <f t="shared" si="57"/>
        <v>63</v>
      </c>
      <c r="CF57" s="640">
        <f t="shared" si="57"/>
        <v>65</v>
      </c>
      <c r="CG57" s="640">
        <f t="shared" si="57"/>
        <v>67</v>
      </c>
      <c r="CH57" s="640">
        <f t="shared" si="57"/>
        <v>69</v>
      </c>
      <c r="CI57" s="641">
        <f t="shared" si="57"/>
        <v>71</v>
      </c>
      <c r="CJ57" s="640">
        <f t="shared" si="57"/>
        <v>73</v>
      </c>
      <c r="CK57" s="640">
        <f t="shared" si="57"/>
        <v>75</v>
      </c>
      <c r="CL57" s="640">
        <f t="shared" si="57"/>
        <v>77</v>
      </c>
      <c r="CM57" s="640">
        <f t="shared" si="57"/>
        <v>79</v>
      </c>
      <c r="CN57" s="643">
        <f t="shared" si="57"/>
        <v>81</v>
      </c>
      <c r="CO57" s="640">
        <f t="shared" si="57"/>
        <v>83</v>
      </c>
      <c r="CP57" s="640">
        <f t="shared" si="57"/>
        <v>85</v>
      </c>
      <c r="CQ57" s="640">
        <f t="shared" si="57"/>
        <v>87</v>
      </c>
      <c r="CR57" s="640">
        <f t="shared" si="57"/>
        <v>89</v>
      </c>
      <c r="CS57" s="641">
        <f t="shared" si="57"/>
        <v>91</v>
      </c>
      <c r="CT57" s="640">
        <f t="shared" si="57"/>
        <v>93</v>
      </c>
      <c r="CU57" s="640">
        <f t="shared" si="57"/>
        <v>95</v>
      </c>
      <c r="CV57" s="640">
        <f t="shared" si="57"/>
        <v>97</v>
      </c>
      <c r="CW57" s="640">
        <f t="shared" si="57"/>
        <v>99</v>
      </c>
      <c r="CX57" s="563"/>
    </row>
    <row r="58" ht="10.5" customHeight="1">
      <c r="A58" s="543"/>
      <c r="B58" s="563">
        <f t="shared" si="4"/>
        <v>56</v>
      </c>
      <c r="C58" s="563">
        <f t="shared" ref="C58:CW58" si="58">IF(LT(IF(GT(C$2,MIN($B58,99)),C$2,MIN($B58,99)),99-FLOOR(C$2/2,1)),IF(GT(C$2,MIN($B58,99)),C$2,MIN($B58,99))-FLOOR(C$2/2,1),2*IF(GT(C$2,MIN($B58,99)),C$2,MIN($B58,99))-99)</f>
        <v>56</v>
      </c>
      <c r="D58" s="563">
        <f t="shared" si="58"/>
        <v>55</v>
      </c>
      <c r="E58" s="563">
        <f t="shared" si="58"/>
        <v>55</v>
      </c>
      <c r="F58" s="563">
        <f t="shared" si="58"/>
        <v>54</v>
      </c>
      <c r="G58" s="579">
        <f t="shared" si="58"/>
        <v>54</v>
      </c>
      <c r="H58" s="563">
        <f t="shared" si="58"/>
        <v>53</v>
      </c>
      <c r="I58" s="563">
        <f t="shared" si="58"/>
        <v>53</v>
      </c>
      <c r="J58" s="563">
        <f t="shared" si="58"/>
        <v>52</v>
      </c>
      <c r="K58" s="563">
        <f t="shared" si="58"/>
        <v>52</v>
      </c>
      <c r="L58" s="580">
        <f t="shared" si="58"/>
        <v>51</v>
      </c>
      <c r="M58" s="563">
        <f t="shared" si="58"/>
        <v>51</v>
      </c>
      <c r="N58" s="563">
        <f t="shared" si="58"/>
        <v>50</v>
      </c>
      <c r="O58" s="563">
        <f t="shared" si="58"/>
        <v>50</v>
      </c>
      <c r="P58" s="563">
        <f t="shared" si="58"/>
        <v>49</v>
      </c>
      <c r="Q58" s="579">
        <f t="shared" si="58"/>
        <v>49</v>
      </c>
      <c r="R58" s="563">
        <f t="shared" si="58"/>
        <v>48</v>
      </c>
      <c r="S58" s="563">
        <f t="shared" si="58"/>
        <v>48</v>
      </c>
      <c r="T58" s="563">
        <f t="shared" si="58"/>
        <v>47</v>
      </c>
      <c r="U58" s="563">
        <f t="shared" si="58"/>
        <v>47</v>
      </c>
      <c r="V58" s="580">
        <f t="shared" si="58"/>
        <v>46</v>
      </c>
      <c r="W58" s="563">
        <f t="shared" si="58"/>
        <v>46</v>
      </c>
      <c r="X58" s="563">
        <f t="shared" si="58"/>
        <v>45</v>
      </c>
      <c r="Y58" s="563">
        <f t="shared" si="58"/>
        <v>45</v>
      </c>
      <c r="Z58" s="563">
        <f t="shared" si="58"/>
        <v>44</v>
      </c>
      <c r="AA58" s="579">
        <f t="shared" si="58"/>
        <v>44</v>
      </c>
      <c r="AB58" s="563">
        <f t="shared" si="58"/>
        <v>43</v>
      </c>
      <c r="AC58" s="563">
        <f t="shared" si="58"/>
        <v>43</v>
      </c>
      <c r="AD58" s="563">
        <f t="shared" si="58"/>
        <v>42</v>
      </c>
      <c r="AE58" s="563">
        <f t="shared" si="58"/>
        <v>42</v>
      </c>
      <c r="AF58" s="580">
        <f t="shared" si="58"/>
        <v>41</v>
      </c>
      <c r="AG58" s="563">
        <f t="shared" si="58"/>
        <v>41</v>
      </c>
      <c r="AH58" s="563">
        <f t="shared" si="58"/>
        <v>40</v>
      </c>
      <c r="AI58" s="563">
        <f t="shared" si="58"/>
        <v>40</v>
      </c>
      <c r="AJ58" s="563">
        <f t="shared" si="58"/>
        <v>39</v>
      </c>
      <c r="AK58" s="579">
        <f t="shared" si="58"/>
        <v>39</v>
      </c>
      <c r="AL58" s="563">
        <f t="shared" si="58"/>
        <v>38</v>
      </c>
      <c r="AM58" s="563">
        <f t="shared" si="58"/>
        <v>38</v>
      </c>
      <c r="AN58" s="563">
        <f t="shared" si="58"/>
        <v>37</v>
      </c>
      <c r="AO58" s="563">
        <f t="shared" si="58"/>
        <v>37</v>
      </c>
      <c r="AP58" s="580">
        <f t="shared" si="58"/>
        <v>36</v>
      </c>
      <c r="AQ58" s="563">
        <f t="shared" si="58"/>
        <v>36</v>
      </c>
      <c r="AR58" s="563">
        <f t="shared" si="58"/>
        <v>35</v>
      </c>
      <c r="AS58" s="563">
        <f t="shared" si="58"/>
        <v>35</v>
      </c>
      <c r="AT58" s="563">
        <f t="shared" si="58"/>
        <v>34</v>
      </c>
      <c r="AU58" s="579">
        <f t="shared" si="58"/>
        <v>34</v>
      </c>
      <c r="AV58" s="563">
        <f t="shared" si="58"/>
        <v>33</v>
      </c>
      <c r="AW58" s="563">
        <f t="shared" si="58"/>
        <v>33</v>
      </c>
      <c r="AX58" s="563">
        <f t="shared" si="58"/>
        <v>32</v>
      </c>
      <c r="AY58" s="563">
        <f t="shared" si="58"/>
        <v>32</v>
      </c>
      <c r="AZ58" s="580">
        <f t="shared" si="58"/>
        <v>31</v>
      </c>
      <c r="BA58" s="563">
        <f t="shared" si="58"/>
        <v>31</v>
      </c>
      <c r="BB58" s="563">
        <f t="shared" si="58"/>
        <v>30</v>
      </c>
      <c r="BC58" s="563">
        <f t="shared" si="58"/>
        <v>30</v>
      </c>
      <c r="BD58" s="563">
        <f t="shared" si="58"/>
        <v>29</v>
      </c>
      <c r="BE58" s="579">
        <f t="shared" si="58"/>
        <v>29</v>
      </c>
      <c r="BF58" s="563">
        <f t="shared" si="58"/>
        <v>28</v>
      </c>
      <c r="BG58" s="563">
        <f t="shared" si="58"/>
        <v>29</v>
      </c>
      <c r="BH58" s="563">
        <f t="shared" si="58"/>
        <v>29</v>
      </c>
      <c r="BI58" s="563">
        <f t="shared" si="58"/>
        <v>30</v>
      </c>
      <c r="BJ58" s="580">
        <f t="shared" si="58"/>
        <v>30</v>
      </c>
      <c r="BK58" s="563">
        <f t="shared" si="58"/>
        <v>31</v>
      </c>
      <c r="BL58" s="563">
        <f t="shared" si="58"/>
        <v>31</v>
      </c>
      <c r="BM58" s="563">
        <f t="shared" si="58"/>
        <v>32</v>
      </c>
      <c r="BN58" s="563">
        <f t="shared" si="58"/>
        <v>32</v>
      </c>
      <c r="BO58" s="579">
        <f t="shared" si="58"/>
        <v>33</v>
      </c>
      <c r="BP58" s="563">
        <f t="shared" si="58"/>
        <v>33</v>
      </c>
      <c r="BQ58" s="563">
        <f t="shared" si="58"/>
        <v>35</v>
      </c>
      <c r="BR58" s="563">
        <f t="shared" si="58"/>
        <v>37</v>
      </c>
      <c r="BS58" s="563">
        <f t="shared" si="58"/>
        <v>39</v>
      </c>
      <c r="BT58" s="580">
        <f t="shared" si="58"/>
        <v>41</v>
      </c>
      <c r="BU58" s="563">
        <f t="shared" si="58"/>
        <v>43</v>
      </c>
      <c r="BV58" s="563">
        <f t="shared" si="58"/>
        <v>45</v>
      </c>
      <c r="BW58" s="563">
        <f t="shared" si="58"/>
        <v>47</v>
      </c>
      <c r="BX58" s="563">
        <f t="shared" si="58"/>
        <v>49</v>
      </c>
      <c r="BY58" s="579">
        <f t="shared" si="58"/>
        <v>51</v>
      </c>
      <c r="BZ58" s="563">
        <f t="shared" si="58"/>
        <v>53</v>
      </c>
      <c r="CA58" s="563">
        <f t="shared" si="58"/>
        <v>55</v>
      </c>
      <c r="CB58" s="563">
        <f t="shared" si="58"/>
        <v>57</v>
      </c>
      <c r="CC58" s="563">
        <f t="shared" si="58"/>
        <v>59</v>
      </c>
      <c r="CD58" s="580">
        <f t="shared" si="58"/>
        <v>61</v>
      </c>
      <c r="CE58" s="563">
        <f t="shared" si="58"/>
        <v>63</v>
      </c>
      <c r="CF58" s="563">
        <f t="shared" si="58"/>
        <v>65</v>
      </c>
      <c r="CG58" s="563">
        <f t="shared" si="58"/>
        <v>67</v>
      </c>
      <c r="CH58" s="563">
        <f t="shared" si="58"/>
        <v>69</v>
      </c>
      <c r="CI58" s="579">
        <f t="shared" si="58"/>
        <v>71</v>
      </c>
      <c r="CJ58" s="563">
        <f t="shared" si="58"/>
        <v>73</v>
      </c>
      <c r="CK58" s="563">
        <f t="shared" si="58"/>
        <v>75</v>
      </c>
      <c r="CL58" s="563">
        <f t="shared" si="58"/>
        <v>77</v>
      </c>
      <c r="CM58" s="563">
        <f t="shared" si="58"/>
        <v>79</v>
      </c>
      <c r="CN58" s="580">
        <f t="shared" si="58"/>
        <v>81</v>
      </c>
      <c r="CO58" s="563">
        <f t="shared" si="58"/>
        <v>83</v>
      </c>
      <c r="CP58" s="563">
        <f t="shared" si="58"/>
        <v>85</v>
      </c>
      <c r="CQ58" s="563">
        <f t="shared" si="58"/>
        <v>87</v>
      </c>
      <c r="CR58" s="563">
        <f t="shared" si="58"/>
        <v>89</v>
      </c>
      <c r="CS58" s="579">
        <f t="shared" si="58"/>
        <v>91</v>
      </c>
      <c r="CT58" s="563">
        <f t="shared" si="58"/>
        <v>93</v>
      </c>
      <c r="CU58" s="563">
        <f t="shared" si="58"/>
        <v>95</v>
      </c>
      <c r="CV58" s="563">
        <f t="shared" si="58"/>
        <v>97</v>
      </c>
      <c r="CW58" s="563">
        <f t="shared" si="58"/>
        <v>99</v>
      </c>
      <c r="CX58" s="563"/>
    </row>
    <row r="59" ht="10.5" customHeight="1">
      <c r="A59" s="543"/>
      <c r="B59" s="563">
        <f t="shared" si="4"/>
        <v>57</v>
      </c>
      <c r="C59" s="563">
        <f t="shared" ref="C59:CW59" si="59">IF(LT(IF(GT(C$2,MIN($B59,99)),C$2,MIN($B59,99)),99-FLOOR(C$2/2,1)),IF(GT(C$2,MIN($B59,99)),C$2,MIN($B59,99))-FLOOR(C$2/2,1),2*IF(GT(C$2,MIN($B59,99)),C$2,MIN($B59,99))-99)</f>
        <v>57</v>
      </c>
      <c r="D59" s="563">
        <f t="shared" si="59"/>
        <v>56</v>
      </c>
      <c r="E59" s="563">
        <f t="shared" si="59"/>
        <v>56</v>
      </c>
      <c r="F59" s="563">
        <f t="shared" si="59"/>
        <v>55</v>
      </c>
      <c r="G59" s="579">
        <f t="shared" si="59"/>
        <v>55</v>
      </c>
      <c r="H59" s="563">
        <f t="shared" si="59"/>
        <v>54</v>
      </c>
      <c r="I59" s="563">
        <f t="shared" si="59"/>
        <v>54</v>
      </c>
      <c r="J59" s="563">
        <f t="shared" si="59"/>
        <v>53</v>
      </c>
      <c r="K59" s="563">
        <f t="shared" si="59"/>
        <v>53</v>
      </c>
      <c r="L59" s="580">
        <f t="shared" si="59"/>
        <v>52</v>
      </c>
      <c r="M59" s="563">
        <f t="shared" si="59"/>
        <v>52</v>
      </c>
      <c r="N59" s="563">
        <f t="shared" si="59"/>
        <v>51</v>
      </c>
      <c r="O59" s="563">
        <f t="shared" si="59"/>
        <v>51</v>
      </c>
      <c r="P59" s="563">
        <f t="shared" si="59"/>
        <v>50</v>
      </c>
      <c r="Q59" s="579">
        <f t="shared" si="59"/>
        <v>50</v>
      </c>
      <c r="R59" s="563">
        <f t="shared" si="59"/>
        <v>49</v>
      </c>
      <c r="S59" s="563">
        <f t="shared" si="59"/>
        <v>49</v>
      </c>
      <c r="T59" s="563">
        <f t="shared" si="59"/>
        <v>48</v>
      </c>
      <c r="U59" s="563">
        <f t="shared" si="59"/>
        <v>48</v>
      </c>
      <c r="V59" s="580">
        <f t="shared" si="59"/>
        <v>47</v>
      </c>
      <c r="W59" s="563">
        <f t="shared" si="59"/>
        <v>47</v>
      </c>
      <c r="X59" s="563">
        <f t="shared" si="59"/>
        <v>46</v>
      </c>
      <c r="Y59" s="563">
        <f t="shared" si="59"/>
        <v>46</v>
      </c>
      <c r="Z59" s="563">
        <f t="shared" si="59"/>
        <v>45</v>
      </c>
      <c r="AA59" s="579">
        <f t="shared" si="59"/>
        <v>45</v>
      </c>
      <c r="AB59" s="563">
        <f t="shared" si="59"/>
        <v>44</v>
      </c>
      <c r="AC59" s="563">
        <f t="shared" si="59"/>
        <v>44</v>
      </c>
      <c r="AD59" s="563">
        <f t="shared" si="59"/>
        <v>43</v>
      </c>
      <c r="AE59" s="563">
        <f t="shared" si="59"/>
        <v>43</v>
      </c>
      <c r="AF59" s="580">
        <f t="shared" si="59"/>
        <v>42</v>
      </c>
      <c r="AG59" s="563">
        <f t="shared" si="59"/>
        <v>42</v>
      </c>
      <c r="AH59" s="563">
        <f t="shared" si="59"/>
        <v>41</v>
      </c>
      <c r="AI59" s="563">
        <f t="shared" si="59"/>
        <v>41</v>
      </c>
      <c r="AJ59" s="563">
        <f t="shared" si="59"/>
        <v>40</v>
      </c>
      <c r="AK59" s="579">
        <f t="shared" si="59"/>
        <v>40</v>
      </c>
      <c r="AL59" s="563">
        <f t="shared" si="59"/>
        <v>39</v>
      </c>
      <c r="AM59" s="563">
        <f t="shared" si="59"/>
        <v>39</v>
      </c>
      <c r="AN59" s="563">
        <f t="shared" si="59"/>
        <v>38</v>
      </c>
      <c r="AO59" s="563">
        <f t="shared" si="59"/>
        <v>38</v>
      </c>
      <c r="AP59" s="580">
        <f t="shared" si="59"/>
        <v>37</v>
      </c>
      <c r="AQ59" s="563">
        <f t="shared" si="59"/>
        <v>37</v>
      </c>
      <c r="AR59" s="563">
        <f t="shared" si="59"/>
        <v>36</v>
      </c>
      <c r="AS59" s="563">
        <f t="shared" si="59"/>
        <v>36</v>
      </c>
      <c r="AT59" s="563">
        <f t="shared" si="59"/>
        <v>35</v>
      </c>
      <c r="AU59" s="579">
        <f t="shared" si="59"/>
        <v>35</v>
      </c>
      <c r="AV59" s="563">
        <f t="shared" si="59"/>
        <v>34</v>
      </c>
      <c r="AW59" s="563">
        <f t="shared" si="59"/>
        <v>34</v>
      </c>
      <c r="AX59" s="563">
        <f t="shared" si="59"/>
        <v>33</v>
      </c>
      <c r="AY59" s="563">
        <f t="shared" si="59"/>
        <v>33</v>
      </c>
      <c r="AZ59" s="580">
        <f t="shared" si="59"/>
        <v>32</v>
      </c>
      <c r="BA59" s="563">
        <f t="shared" si="59"/>
        <v>32</v>
      </c>
      <c r="BB59" s="563">
        <f t="shared" si="59"/>
        <v>31</v>
      </c>
      <c r="BC59" s="563">
        <f t="shared" si="59"/>
        <v>31</v>
      </c>
      <c r="BD59" s="563">
        <f t="shared" si="59"/>
        <v>30</v>
      </c>
      <c r="BE59" s="579">
        <f t="shared" si="59"/>
        <v>30</v>
      </c>
      <c r="BF59" s="563">
        <f t="shared" si="59"/>
        <v>29</v>
      </c>
      <c r="BG59" s="563">
        <f t="shared" si="59"/>
        <v>29</v>
      </c>
      <c r="BH59" s="563">
        <f t="shared" si="59"/>
        <v>29</v>
      </c>
      <c r="BI59" s="563">
        <f t="shared" si="59"/>
        <v>30</v>
      </c>
      <c r="BJ59" s="580">
        <f t="shared" si="59"/>
        <v>30</v>
      </c>
      <c r="BK59" s="563">
        <f t="shared" si="59"/>
        <v>31</v>
      </c>
      <c r="BL59" s="563">
        <f t="shared" si="59"/>
        <v>31</v>
      </c>
      <c r="BM59" s="563">
        <f t="shared" si="59"/>
        <v>32</v>
      </c>
      <c r="BN59" s="563">
        <f t="shared" si="59"/>
        <v>32</v>
      </c>
      <c r="BO59" s="579">
        <f t="shared" si="59"/>
        <v>33</v>
      </c>
      <c r="BP59" s="563">
        <f t="shared" si="59"/>
        <v>33</v>
      </c>
      <c r="BQ59" s="563">
        <f t="shared" si="59"/>
        <v>35</v>
      </c>
      <c r="BR59" s="563">
        <f t="shared" si="59"/>
        <v>37</v>
      </c>
      <c r="BS59" s="563">
        <f t="shared" si="59"/>
        <v>39</v>
      </c>
      <c r="BT59" s="580">
        <f t="shared" si="59"/>
        <v>41</v>
      </c>
      <c r="BU59" s="563">
        <f t="shared" si="59"/>
        <v>43</v>
      </c>
      <c r="BV59" s="563">
        <f t="shared" si="59"/>
        <v>45</v>
      </c>
      <c r="BW59" s="563">
        <f t="shared" si="59"/>
        <v>47</v>
      </c>
      <c r="BX59" s="563">
        <f t="shared" si="59"/>
        <v>49</v>
      </c>
      <c r="BY59" s="579">
        <f t="shared" si="59"/>
        <v>51</v>
      </c>
      <c r="BZ59" s="563">
        <f t="shared" si="59"/>
        <v>53</v>
      </c>
      <c r="CA59" s="563">
        <f t="shared" si="59"/>
        <v>55</v>
      </c>
      <c r="CB59" s="563">
        <f t="shared" si="59"/>
        <v>57</v>
      </c>
      <c r="CC59" s="563">
        <f t="shared" si="59"/>
        <v>59</v>
      </c>
      <c r="CD59" s="580">
        <f t="shared" si="59"/>
        <v>61</v>
      </c>
      <c r="CE59" s="563">
        <f t="shared" si="59"/>
        <v>63</v>
      </c>
      <c r="CF59" s="563">
        <f t="shared" si="59"/>
        <v>65</v>
      </c>
      <c r="CG59" s="563">
        <f t="shared" si="59"/>
        <v>67</v>
      </c>
      <c r="CH59" s="563">
        <f t="shared" si="59"/>
        <v>69</v>
      </c>
      <c r="CI59" s="579">
        <f t="shared" si="59"/>
        <v>71</v>
      </c>
      <c r="CJ59" s="563">
        <f t="shared" si="59"/>
        <v>73</v>
      </c>
      <c r="CK59" s="563">
        <f t="shared" si="59"/>
        <v>75</v>
      </c>
      <c r="CL59" s="563">
        <f t="shared" si="59"/>
        <v>77</v>
      </c>
      <c r="CM59" s="563">
        <f t="shared" si="59"/>
        <v>79</v>
      </c>
      <c r="CN59" s="580">
        <f t="shared" si="59"/>
        <v>81</v>
      </c>
      <c r="CO59" s="563">
        <f t="shared" si="59"/>
        <v>83</v>
      </c>
      <c r="CP59" s="563">
        <f t="shared" si="59"/>
        <v>85</v>
      </c>
      <c r="CQ59" s="563">
        <f t="shared" si="59"/>
        <v>87</v>
      </c>
      <c r="CR59" s="563">
        <f t="shared" si="59"/>
        <v>89</v>
      </c>
      <c r="CS59" s="579">
        <f t="shared" si="59"/>
        <v>91</v>
      </c>
      <c r="CT59" s="563">
        <f t="shared" si="59"/>
        <v>93</v>
      </c>
      <c r="CU59" s="563">
        <f t="shared" si="59"/>
        <v>95</v>
      </c>
      <c r="CV59" s="563">
        <f t="shared" si="59"/>
        <v>97</v>
      </c>
      <c r="CW59" s="563">
        <f t="shared" si="59"/>
        <v>99</v>
      </c>
      <c r="CX59" s="563"/>
    </row>
    <row r="60" ht="10.5" customHeight="1">
      <c r="A60" s="543"/>
      <c r="B60" s="563">
        <f t="shared" si="4"/>
        <v>58</v>
      </c>
      <c r="C60" s="563">
        <f t="shared" ref="C60:CW60" si="60">IF(LT(IF(GT(C$2,MIN($B60,99)),C$2,MIN($B60,99)),99-FLOOR(C$2/2,1)),IF(GT(C$2,MIN($B60,99)),C$2,MIN($B60,99))-FLOOR(C$2/2,1),2*IF(GT(C$2,MIN($B60,99)),C$2,MIN($B60,99))-99)</f>
        <v>58</v>
      </c>
      <c r="D60" s="563">
        <f t="shared" si="60"/>
        <v>57</v>
      </c>
      <c r="E60" s="563">
        <f t="shared" si="60"/>
        <v>57</v>
      </c>
      <c r="F60" s="563">
        <f t="shared" si="60"/>
        <v>56</v>
      </c>
      <c r="G60" s="579">
        <f t="shared" si="60"/>
        <v>56</v>
      </c>
      <c r="H60" s="563">
        <f t="shared" si="60"/>
        <v>55</v>
      </c>
      <c r="I60" s="563">
        <f t="shared" si="60"/>
        <v>55</v>
      </c>
      <c r="J60" s="563">
        <f t="shared" si="60"/>
        <v>54</v>
      </c>
      <c r="K60" s="563">
        <f t="shared" si="60"/>
        <v>54</v>
      </c>
      <c r="L60" s="580">
        <f t="shared" si="60"/>
        <v>53</v>
      </c>
      <c r="M60" s="563">
        <f t="shared" si="60"/>
        <v>53</v>
      </c>
      <c r="N60" s="563">
        <f t="shared" si="60"/>
        <v>52</v>
      </c>
      <c r="O60" s="563">
        <f t="shared" si="60"/>
        <v>52</v>
      </c>
      <c r="P60" s="563">
        <f t="shared" si="60"/>
        <v>51</v>
      </c>
      <c r="Q60" s="579">
        <f t="shared" si="60"/>
        <v>51</v>
      </c>
      <c r="R60" s="563">
        <f t="shared" si="60"/>
        <v>50</v>
      </c>
      <c r="S60" s="563">
        <f t="shared" si="60"/>
        <v>50</v>
      </c>
      <c r="T60" s="563">
        <f t="shared" si="60"/>
        <v>49</v>
      </c>
      <c r="U60" s="563">
        <f t="shared" si="60"/>
        <v>49</v>
      </c>
      <c r="V60" s="580">
        <f t="shared" si="60"/>
        <v>48</v>
      </c>
      <c r="W60" s="563">
        <f t="shared" si="60"/>
        <v>48</v>
      </c>
      <c r="X60" s="563">
        <f t="shared" si="60"/>
        <v>47</v>
      </c>
      <c r="Y60" s="563">
        <f t="shared" si="60"/>
        <v>47</v>
      </c>
      <c r="Z60" s="563">
        <f t="shared" si="60"/>
        <v>46</v>
      </c>
      <c r="AA60" s="579">
        <f t="shared" si="60"/>
        <v>46</v>
      </c>
      <c r="AB60" s="563">
        <f t="shared" si="60"/>
        <v>45</v>
      </c>
      <c r="AC60" s="563">
        <f t="shared" si="60"/>
        <v>45</v>
      </c>
      <c r="AD60" s="563">
        <f t="shared" si="60"/>
        <v>44</v>
      </c>
      <c r="AE60" s="563">
        <f t="shared" si="60"/>
        <v>44</v>
      </c>
      <c r="AF60" s="580">
        <f t="shared" si="60"/>
        <v>43</v>
      </c>
      <c r="AG60" s="563">
        <f t="shared" si="60"/>
        <v>43</v>
      </c>
      <c r="AH60" s="563">
        <f t="shared" si="60"/>
        <v>42</v>
      </c>
      <c r="AI60" s="563">
        <f t="shared" si="60"/>
        <v>42</v>
      </c>
      <c r="AJ60" s="563">
        <f t="shared" si="60"/>
        <v>41</v>
      </c>
      <c r="AK60" s="579">
        <f t="shared" si="60"/>
        <v>41</v>
      </c>
      <c r="AL60" s="563">
        <f t="shared" si="60"/>
        <v>40</v>
      </c>
      <c r="AM60" s="563">
        <f t="shared" si="60"/>
        <v>40</v>
      </c>
      <c r="AN60" s="563">
        <f t="shared" si="60"/>
        <v>39</v>
      </c>
      <c r="AO60" s="563">
        <f t="shared" si="60"/>
        <v>39</v>
      </c>
      <c r="AP60" s="580">
        <f t="shared" si="60"/>
        <v>38</v>
      </c>
      <c r="AQ60" s="563">
        <f t="shared" si="60"/>
        <v>38</v>
      </c>
      <c r="AR60" s="563">
        <f t="shared" si="60"/>
        <v>37</v>
      </c>
      <c r="AS60" s="563">
        <f t="shared" si="60"/>
        <v>37</v>
      </c>
      <c r="AT60" s="563">
        <f t="shared" si="60"/>
        <v>36</v>
      </c>
      <c r="AU60" s="579">
        <f t="shared" si="60"/>
        <v>36</v>
      </c>
      <c r="AV60" s="563">
        <f t="shared" si="60"/>
        <v>35</v>
      </c>
      <c r="AW60" s="563">
        <f t="shared" si="60"/>
        <v>35</v>
      </c>
      <c r="AX60" s="563">
        <f t="shared" si="60"/>
        <v>34</v>
      </c>
      <c r="AY60" s="563">
        <f t="shared" si="60"/>
        <v>34</v>
      </c>
      <c r="AZ60" s="580">
        <f t="shared" si="60"/>
        <v>33</v>
      </c>
      <c r="BA60" s="563">
        <f t="shared" si="60"/>
        <v>33</v>
      </c>
      <c r="BB60" s="563">
        <f t="shared" si="60"/>
        <v>32</v>
      </c>
      <c r="BC60" s="563">
        <f t="shared" si="60"/>
        <v>32</v>
      </c>
      <c r="BD60" s="563">
        <f t="shared" si="60"/>
        <v>31</v>
      </c>
      <c r="BE60" s="579">
        <f t="shared" si="60"/>
        <v>31</v>
      </c>
      <c r="BF60" s="563">
        <f t="shared" si="60"/>
        <v>30</v>
      </c>
      <c r="BG60" s="563">
        <f t="shared" si="60"/>
        <v>30</v>
      </c>
      <c r="BH60" s="563">
        <f t="shared" si="60"/>
        <v>29</v>
      </c>
      <c r="BI60" s="563">
        <f t="shared" si="60"/>
        <v>30</v>
      </c>
      <c r="BJ60" s="580">
        <f t="shared" si="60"/>
        <v>30</v>
      </c>
      <c r="BK60" s="563">
        <f t="shared" si="60"/>
        <v>31</v>
      </c>
      <c r="BL60" s="563">
        <f t="shared" si="60"/>
        <v>31</v>
      </c>
      <c r="BM60" s="563">
        <f t="shared" si="60"/>
        <v>32</v>
      </c>
      <c r="BN60" s="563">
        <f t="shared" si="60"/>
        <v>32</v>
      </c>
      <c r="BO60" s="579">
        <f t="shared" si="60"/>
        <v>33</v>
      </c>
      <c r="BP60" s="563">
        <f t="shared" si="60"/>
        <v>33</v>
      </c>
      <c r="BQ60" s="563">
        <f t="shared" si="60"/>
        <v>35</v>
      </c>
      <c r="BR60" s="563">
        <f t="shared" si="60"/>
        <v>37</v>
      </c>
      <c r="BS60" s="563">
        <f t="shared" si="60"/>
        <v>39</v>
      </c>
      <c r="BT60" s="580">
        <f t="shared" si="60"/>
        <v>41</v>
      </c>
      <c r="BU60" s="563">
        <f t="shared" si="60"/>
        <v>43</v>
      </c>
      <c r="BV60" s="563">
        <f t="shared" si="60"/>
        <v>45</v>
      </c>
      <c r="BW60" s="563">
        <f t="shared" si="60"/>
        <v>47</v>
      </c>
      <c r="BX60" s="563">
        <f t="shared" si="60"/>
        <v>49</v>
      </c>
      <c r="BY60" s="579">
        <f t="shared" si="60"/>
        <v>51</v>
      </c>
      <c r="BZ60" s="563">
        <f t="shared" si="60"/>
        <v>53</v>
      </c>
      <c r="CA60" s="563">
        <f t="shared" si="60"/>
        <v>55</v>
      </c>
      <c r="CB60" s="563">
        <f t="shared" si="60"/>
        <v>57</v>
      </c>
      <c r="CC60" s="563">
        <f t="shared" si="60"/>
        <v>59</v>
      </c>
      <c r="CD60" s="580">
        <f t="shared" si="60"/>
        <v>61</v>
      </c>
      <c r="CE60" s="563">
        <f t="shared" si="60"/>
        <v>63</v>
      </c>
      <c r="CF60" s="563">
        <f t="shared" si="60"/>
        <v>65</v>
      </c>
      <c r="CG60" s="563">
        <f t="shared" si="60"/>
        <v>67</v>
      </c>
      <c r="CH60" s="563">
        <f t="shared" si="60"/>
        <v>69</v>
      </c>
      <c r="CI60" s="579">
        <f t="shared" si="60"/>
        <v>71</v>
      </c>
      <c r="CJ60" s="563">
        <f t="shared" si="60"/>
        <v>73</v>
      </c>
      <c r="CK60" s="563">
        <f t="shared" si="60"/>
        <v>75</v>
      </c>
      <c r="CL60" s="563">
        <f t="shared" si="60"/>
        <v>77</v>
      </c>
      <c r="CM60" s="563">
        <f t="shared" si="60"/>
        <v>79</v>
      </c>
      <c r="CN60" s="580">
        <f t="shared" si="60"/>
        <v>81</v>
      </c>
      <c r="CO60" s="563">
        <f t="shared" si="60"/>
        <v>83</v>
      </c>
      <c r="CP60" s="563">
        <f t="shared" si="60"/>
        <v>85</v>
      </c>
      <c r="CQ60" s="563">
        <f t="shared" si="60"/>
        <v>87</v>
      </c>
      <c r="CR60" s="563">
        <f t="shared" si="60"/>
        <v>89</v>
      </c>
      <c r="CS60" s="579">
        <f t="shared" si="60"/>
        <v>91</v>
      </c>
      <c r="CT60" s="563">
        <f t="shared" si="60"/>
        <v>93</v>
      </c>
      <c r="CU60" s="563">
        <f t="shared" si="60"/>
        <v>95</v>
      </c>
      <c r="CV60" s="563">
        <f t="shared" si="60"/>
        <v>97</v>
      </c>
      <c r="CW60" s="563">
        <f t="shared" si="60"/>
        <v>99</v>
      </c>
      <c r="CX60" s="563"/>
    </row>
    <row r="61" ht="10.5" customHeight="1">
      <c r="A61" s="543"/>
      <c r="B61" s="563">
        <f t="shared" si="4"/>
        <v>59</v>
      </c>
      <c r="C61" s="563">
        <f t="shared" ref="C61:CW61" si="61">IF(LT(IF(GT(C$2,MIN($B61,99)),C$2,MIN($B61,99)),99-FLOOR(C$2/2,1)),IF(GT(C$2,MIN($B61,99)),C$2,MIN($B61,99))-FLOOR(C$2/2,1),2*IF(GT(C$2,MIN($B61,99)),C$2,MIN($B61,99))-99)</f>
        <v>59</v>
      </c>
      <c r="D61" s="563">
        <f t="shared" si="61"/>
        <v>58</v>
      </c>
      <c r="E61" s="563">
        <f t="shared" si="61"/>
        <v>58</v>
      </c>
      <c r="F61" s="563">
        <f t="shared" si="61"/>
        <v>57</v>
      </c>
      <c r="G61" s="579">
        <f t="shared" si="61"/>
        <v>57</v>
      </c>
      <c r="H61" s="563">
        <f t="shared" si="61"/>
        <v>56</v>
      </c>
      <c r="I61" s="563">
        <f t="shared" si="61"/>
        <v>56</v>
      </c>
      <c r="J61" s="563">
        <f t="shared" si="61"/>
        <v>55</v>
      </c>
      <c r="K61" s="563">
        <f t="shared" si="61"/>
        <v>55</v>
      </c>
      <c r="L61" s="580">
        <f t="shared" si="61"/>
        <v>54</v>
      </c>
      <c r="M61" s="563">
        <f t="shared" si="61"/>
        <v>54</v>
      </c>
      <c r="N61" s="563">
        <f t="shared" si="61"/>
        <v>53</v>
      </c>
      <c r="O61" s="563">
        <f t="shared" si="61"/>
        <v>53</v>
      </c>
      <c r="P61" s="563">
        <f t="shared" si="61"/>
        <v>52</v>
      </c>
      <c r="Q61" s="579">
        <f t="shared" si="61"/>
        <v>52</v>
      </c>
      <c r="R61" s="563">
        <f t="shared" si="61"/>
        <v>51</v>
      </c>
      <c r="S61" s="563">
        <f t="shared" si="61"/>
        <v>51</v>
      </c>
      <c r="T61" s="563">
        <f t="shared" si="61"/>
        <v>50</v>
      </c>
      <c r="U61" s="563">
        <f t="shared" si="61"/>
        <v>50</v>
      </c>
      <c r="V61" s="580">
        <f t="shared" si="61"/>
        <v>49</v>
      </c>
      <c r="W61" s="563">
        <f t="shared" si="61"/>
        <v>49</v>
      </c>
      <c r="X61" s="563">
        <f t="shared" si="61"/>
        <v>48</v>
      </c>
      <c r="Y61" s="563">
        <f t="shared" si="61"/>
        <v>48</v>
      </c>
      <c r="Z61" s="563">
        <f t="shared" si="61"/>
        <v>47</v>
      </c>
      <c r="AA61" s="579">
        <f t="shared" si="61"/>
        <v>47</v>
      </c>
      <c r="AB61" s="563">
        <f t="shared" si="61"/>
        <v>46</v>
      </c>
      <c r="AC61" s="563">
        <f t="shared" si="61"/>
        <v>46</v>
      </c>
      <c r="AD61" s="563">
        <f t="shared" si="61"/>
        <v>45</v>
      </c>
      <c r="AE61" s="563">
        <f t="shared" si="61"/>
        <v>45</v>
      </c>
      <c r="AF61" s="580">
        <f t="shared" si="61"/>
        <v>44</v>
      </c>
      <c r="AG61" s="563">
        <f t="shared" si="61"/>
        <v>44</v>
      </c>
      <c r="AH61" s="563">
        <f t="shared" si="61"/>
        <v>43</v>
      </c>
      <c r="AI61" s="563">
        <f t="shared" si="61"/>
        <v>43</v>
      </c>
      <c r="AJ61" s="563">
        <f t="shared" si="61"/>
        <v>42</v>
      </c>
      <c r="AK61" s="579">
        <f t="shared" si="61"/>
        <v>42</v>
      </c>
      <c r="AL61" s="563">
        <f t="shared" si="61"/>
        <v>41</v>
      </c>
      <c r="AM61" s="563">
        <f t="shared" si="61"/>
        <v>41</v>
      </c>
      <c r="AN61" s="563">
        <f t="shared" si="61"/>
        <v>40</v>
      </c>
      <c r="AO61" s="563">
        <f t="shared" si="61"/>
        <v>40</v>
      </c>
      <c r="AP61" s="580">
        <f t="shared" si="61"/>
        <v>39</v>
      </c>
      <c r="AQ61" s="563">
        <f t="shared" si="61"/>
        <v>39</v>
      </c>
      <c r="AR61" s="563">
        <f t="shared" si="61"/>
        <v>38</v>
      </c>
      <c r="AS61" s="563">
        <f t="shared" si="61"/>
        <v>38</v>
      </c>
      <c r="AT61" s="563">
        <f t="shared" si="61"/>
        <v>37</v>
      </c>
      <c r="AU61" s="579">
        <f t="shared" si="61"/>
        <v>37</v>
      </c>
      <c r="AV61" s="563">
        <f t="shared" si="61"/>
        <v>36</v>
      </c>
      <c r="AW61" s="563">
        <f t="shared" si="61"/>
        <v>36</v>
      </c>
      <c r="AX61" s="563">
        <f t="shared" si="61"/>
        <v>35</v>
      </c>
      <c r="AY61" s="563">
        <f t="shared" si="61"/>
        <v>35</v>
      </c>
      <c r="AZ61" s="580">
        <f t="shared" si="61"/>
        <v>34</v>
      </c>
      <c r="BA61" s="563">
        <f t="shared" si="61"/>
        <v>34</v>
      </c>
      <c r="BB61" s="563">
        <f t="shared" si="61"/>
        <v>33</v>
      </c>
      <c r="BC61" s="563">
        <f t="shared" si="61"/>
        <v>33</v>
      </c>
      <c r="BD61" s="563">
        <f t="shared" si="61"/>
        <v>32</v>
      </c>
      <c r="BE61" s="579">
        <f t="shared" si="61"/>
        <v>32</v>
      </c>
      <c r="BF61" s="563">
        <f t="shared" si="61"/>
        <v>31</v>
      </c>
      <c r="BG61" s="563">
        <f t="shared" si="61"/>
        <v>31</v>
      </c>
      <c r="BH61" s="563">
        <f t="shared" si="61"/>
        <v>30</v>
      </c>
      <c r="BI61" s="563">
        <f t="shared" si="61"/>
        <v>30</v>
      </c>
      <c r="BJ61" s="580">
        <f t="shared" si="61"/>
        <v>30</v>
      </c>
      <c r="BK61" s="563">
        <f t="shared" si="61"/>
        <v>31</v>
      </c>
      <c r="BL61" s="563">
        <f t="shared" si="61"/>
        <v>31</v>
      </c>
      <c r="BM61" s="563">
        <f t="shared" si="61"/>
        <v>32</v>
      </c>
      <c r="BN61" s="563">
        <f t="shared" si="61"/>
        <v>32</v>
      </c>
      <c r="BO61" s="579">
        <f t="shared" si="61"/>
        <v>33</v>
      </c>
      <c r="BP61" s="563">
        <f t="shared" si="61"/>
        <v>33</v>
      </c>
      <c r="BQ61" s="563">
        <f t="shared" si="61"/>
        <v>35</v>
      </c>
      <c r="BR61" s="563">
        <f t="shared" si="61"/>
        <v>37</v>
      </c>
      <c r="BS61" s="563">
        <f t="shared" si="61"/>
        <v>39</v>
      </c>
      <c r="BT61" s="580">
        <f t="shared" si="61"/>
        <v>41</v>
      </c>
      <c r="BU61" s="563">
        <f t="shared" si="61"/>
        <v>43</v>
      </c>
      <c r="BV61" s="563">
        <f t="shared" si="61"/>
        <v>45</v>
      </c>
      <c r="BW61" s="563">
        <f t="shared" si="61"/>
        <v>47</v>
      </c>
      <c r="BX61" s="563">
        <f t="shared" si="61"/>
        <v>49</v>
      </c>
      <c r="BY61" s="579">
        <f t="shared" si="61"/>
        <v>51</v>
      </c>
      <c r="BZ61" s="563">
        <f t="shared" si="61"/>
        <v>53</v>
      </c>
      <c r="CA61" s="563">
        <f t="shared" si="61"/>
        <v>55</v>
      </c>
      <c r="CB61" s="563">
        <f t="shared" si="61"/>
        <v>57</v>
      </c>
      <c r="CC61" s="563">
        <f t="shared" si="61"/>
        <v>59</v>
      </c>
      <c r="CD61" s="580">
        <f t="shared" si="61"/>
        <v>61</v>
      </c>
      <c r="CE61" s="563">
        <f t="shared" si="61"/>
        <v>63</v>
      </c>
      <c r="CF61" s="563">
        <f t="shared" si="61"/>
        <v>65</v>
      </c>
      <c r="CG61" s="563">
        <f t="shared" si="61"/>
        <v>67</v>
      </c>
      <c r="CH61" s="563">
        <f t="shared" si="61"/>
        <v>69</v>
      </c>
      <c r="CI61" s="579">
        <f t="shared" si="61"/>
        <v>71</v>
      </c>
      <c r="CJ61" s="563">
        <f t="shared" si="61"/>
        <v>73</v>
      </c>
      <c r="CK61" s="563">
        <f t="shared" si="61"/>
        <v>75</v>
      </c>
      <c r="CL61" s="563">
        <f t="shared" si="61"/>
        <v>77</v>
      </c>
      <c r="CM61" s="563">
        <f t="shared" si="61"/>
        <v>79</v>
      </c>
      <c r="CN61" s="580">
        <f t="shared" si="61"/>
        <v>81</v>
      </c>
      <c r="CO61" s="563">
        <f t="shared" si="61"/>
        <v>83</v>
      </c>
      <c r="CP61" s="563">
        <f t="shared" si="61"/>
        <v>85</v>
      </c>
      <c r="CQ61" s="563">
        <f t="shared" si="61"/>
        <v>87</v>
      </c>
      <c r="CR61" s="563">
        <f t="shared" si="61"/>
        <v>89</v>
      </c>
      <c r="CS61" s="579">
        <f t="shared" si="61"/>
        <v>91</v>
      </c>
      <c r="CT61" s="563">
        <f t="shared" si="61"/>
        <v>93</v>
      </c>
      <c r="CU61" s="563">
        <f t="shared" si="61"/>
        <v>95</v>
      </c>
      <c r="CV61" s="563">
        <f t="shared" si="61"/>
        <v>97</v>
      </c>
      <c r="CW61" s="563">
        <f t="shared" si="61"/>
        <v>99</v>
      </c>
      <c r="CX61" s="563"/>
    </row>
    <row r="62" ht="10.5" customHeight="1">
      <c r="A62" s="543"/>
      <c r="B62" s="563">
        <f t="shared" si="4"/>
        <v>60</v>
      </c>
      <c r="C62" s="682">
        <f t="shared" ref="C62:CW62" si="62">IF(LT(IF(GT(C$2,MIN($B62,99)),C$2,MIN($B62,99)),99-FLOOR(C$2/2,1)),IF(GT(C$2,MIN($B62,99)),C$2,MIN($B62,99))-FLOOR(C$2/2,1),2*IF(GT(C$2,MIN($B62,99)),C$2,MIN($B62,99))-99)</f>
        <v>60</v>
      </c>
      <c r="D62" s="682">
        <f t="shared" si="62"/>
        <v>59</v>
      </c>
      <c r="E62" s="682">
        <f t="shared" si="62"/>
        <v>59</v>
      </c>
      <c r="F62" s="682">
        <f t="shared" si="62"/>
        <v>58</v>
      </c>
      <c r="G62" s="683">
        <f t="shared" si="62"/>
        <v>58</v>
      </c>
      <c r="H62" s="682">
        <f t="shared" si="62"/>
        <v>57</v>
      </c>
      <c r="I62" s="682">
        <f t="shared" si="62"/>
        <v>57</v>
      </c>
      <c r="J62" s="682">
        <f t="shared" si="62"/>
        <v>56</v>
      </c>
      <c r="K62" s="682">
        <f t="shared" si="62"/>
        <v>56</v>
      </c>
      <c r="L62" s="684">
        <f t="shared" si="62"/>
        <v>55</v>
      </c>
      <c r="M62" s="682">
        <f t="shared" si="62"/>
        <v>55</v>
      </c>
      <c r="N62" s="682">
        <f t="shared" si="62"/>
        <v>54</v>
      </c>
      <c r="O62" s="682">
        <f t="shared" si="62"/>
        <v>54</v>
      </c>
      <c r="P62" s="682">
        <f t="shared" si="62"/>
        <v>53</v>
      </c>
      <c r="Q62" s="683">
        <f t="shared" si="62"/>
        <v>53</v>
      </c>
      <c r="R62" s="682">
        <f t="shared" si="62"/>
        <v>52</v>
      </c>
      <c r="S62" s="682">
        <f t="shared" si="62"/>
        <v>52</v>
      </c>
      <c r="T62" s="682">
        <f t="shared" si="62"/>
        <v>51</v>
      </c>
      <c r="U62" s="682">
        <f t="shared" si="62"/>
        <v>51</v>
      </c>
      <c r="V62" s="684">
        <f t="shared" si="62"/>
        <v>50</v>
      </c>
      <c r="W62" s="682">
        <f t="shared" si="62"/>
        <v>50</v>
      </c>
      <c r="X62" s="682">
        <f t="shared" si="62"/>
        <v>49</v>
      </c>
      <c r="Y62" s="682">
        <f t="shared" si="62"/>
        <v>49</v>
      </c>
      <c r="Z62" s="682">
        <f t="shared" si="62"/>
        <v>48</v>
      </c>
      <c r="AA62" s="683">
        <f t="shared" si="62"/>
        <v>48</v>
      </c>
      <c r="AB62" s="682">
        <f t="shared" si="62"/>
        <v>47</v>
      </c>
      <c r="AC62" s="682">
        <f t="shared" si="62"/>
        <v>47</v>
      </c>
      <c r="AD62" s="682">
        <f t="shared" si="62"/>
        <v>46</v>
      </c>
      <c r="AE62" s="682">
        <f t="shared" si="62"/>
        <v>46</v>
      </c>
      <c r="AF62" s="684">
        <f t="shared" si="62"/>
        <v>45</v>
      </c>
      <c r="AG62" s="682">
        <f t="shared" si="62"/>
        <v>45</v>
      </c>
      <c r="AH62" s="682">
        <f t="shared" si="62"/>
        <v>44</v>
      </c>
      <c r="AI62" s="682">
        <f t="shared" si="62"/>
        <v>44</v>
      </c>
      <c r="AJ62" s="682">
        <f t="shared" si="62"/>
        <v>43</v>
      </c>
      <c r="AK62" s="683">
        <f t="shared" si="62"/>
        <v>43</v>
      </c>
      <c r="AL62" s="682">
        <f t="shared" si="62"/>
        <v>42</v>
      </c>
      <c r="AM62" s="682">
        <f t="shared" si="62"/>
        <v>42</v>
      </c>
      <c r="AN62" s="682">
        <f t="shared" si="62"/>
        <v>41</v>
      </c>
      <c r="AO62" s="682">
        <f t="shared" si="62"/>
        <v>41</v>
      </c>
      <c r="AP62" s="684">
        <f t="shared" si="62"/>
        <v>40</v>
      </c>
      <c r="AQ62" s="682">
        <f t="shared" si="62"/>
        <v>40</v>
      </c>
      <c r="AR62" s="682">
        <f t="shared" si="62"/>
        <v>39</v>
      </c>
      <c r="AS62" s="682">
        <f t="shared" si="62"/>
        <v>39</v>
      </c>
      <c r="AT62" s="682">
        <f t="shared" si="62"/>
        <v>38</v>
      </c>
      <c r="AU62" s="683">
        <f t="shared" si="62"/>
        <v>38</v>
      </c>
      <c r="AV62" s="682">
        <f t="shared" si="62"/>
        <v>37</v>
      </c>
      <c r="AW62" s="682">
        <f t="shared" si="62"/>
        <v>37</v>
      </c>
      <c r="AX62" s="682">
        <f t="shared" si="62"/>
        <v>36</v>
      </c>
      <c r="AY62" s="682">
        <f t="shared" si="62"/>
        <v>36</v>
      </c>
      <c r="AZ62" s="684">
        <f t="shared" si="62"/>
        <v>35</v>
      </c>
      <c r="BA62" s="682">
        <f t="shared" si="62"/>
        <v>35</v>
      </c>
      <c r="BB62" s="682">
        <f t="shared" si="62"/>
        <v>34</v>
      </c>
      <c r="BC62" s="682">
        <f t="shared" si="62"/>
        <v>34</v>
      </c>
      <c r="BD62" s="682">
        <f t="shared" si="62"/>
        <v>33</v>
      </c>
      <c r="BE62" s="683">
        <f t="shared" si="62"/>
        <v>33</v>
      </c>
      <c r="BF62" s="682">
        <f t="shared" si="62"/>
        <v>32</v>
      </c>
      <c r="BG62" s="682">
        <f t="shared" si="62"/>
        <v>32</v>
      </c>
      <c r="BH62" s="682">
        <f t="shared" si="62"/>
        <v>31</v>
      </c>
      <c r="BI62" s="682">
        <f t="shared" si="62"/>
        <v>31</v>
      </c>
      <c r="BJ62" s="684">
        <f t="shared" si="62"/>
        <v>30</v>
      </c>
      <c r="BK62" s="682">
        <f t="shared" si="62"/>
        <v>31</v>
      </c>
      <c r="BL62" s="682">
        <f t="shared" si="62"/>
        <v>31</v>
      </c>
      <c r="BM62" s="682">
        <f t="shared" si="62"/>
        <v>32</v>
      </c>
      <c r="BN62" s="682">
        <f t="shared" si="62"/>
        <v>32</v>
      </c>
      <c r="BO62" s="683">
        <f t="shared" si="62"/>
        <v>33</v>
      </c>
      <c r="BP62" s="682">
        <f t="shared" si="62"/>
        <v>33</v>
      </c>
      <c r="BQ62" s="682">
        <f t="shared" si="62"/>
        <v>35</v>
      </c>
      <c r="BR62" s="682">
        <f t="shared" si="62"/>
        <v>37</v>
      </c>
      <c r="BS62" s="682">
        <f t="shared" si="62"/>
        <v>39</v>
      </c>
      <c r="BT62" s="684">
        <f t="shared" si="62"/>
        <v>41</v>
      </c>
      <c r="BU62" s="682">
        <f t="shared" si="62"/>
        <v>43</v>
      </c>
      <c r="BV62" s="682">
        <f t="shared" si="62"/>
        <v>45</v>
      </c>
      <c r="BW62" s="682">
        <f t="shared" si="62"/>
        <v>47</v>
      </c>
      <c r="BX62" s="682">
        <f t="shared" si="62"/>
        <v>49</v>
      </c>
      <c r="BY62" s="683">
        <f t="shared" si="62"/>
        <v>51</v>
      </c>
      <c r="BZ62" s="682">
        <f t="shared" si="62"/>
        <v>53</v>
      </c>
      <c r="CA62" s="682">
        <f t="shared" si="62"/>
        <v>55</v>
      </c>
      <c r="CB62" s="682">
        <f t="shared" si="62"/>
        <v>57</v>
      </c>
      <c r="CC62" s="682">
        <f t="shared" si="62"/>
        <v>59</v>
      </c>
      <c r="CD62" s="684">
        <f t="shared" si="62"/>
        <v>61</v>
      </c>
      <c r="CE62" s="682">
        <f t="shared" si="62"/>
        <v>63</v>
      </c>
      <c r="CF62" s="682">
        <f t="shared" si="62"/>
        <v>65</v>
      </c>
      <c r="CG62" s="682">
        <f t="shared" si="62"/>
        <v>67</v>
      </c>
      <c r="CH62" s="682">
        <f t="shared" si="62"/>
        <v>69</v>
      </c>
      <c r="CI62" s="683">
        <f t="shared" si="62"/>
        <v>71</v>
      </c>
      <c r="CJ62" s="682">
        <f t="shared" si="62"/>
        <v>73</v>
      </c>
      <c r="CK62" s="682">
        <f t="shared" si="62"/>
        <v>75</v>
      </c>
      <c r="CL62" s="682">
        <f t="shared" si="62"/>
        <v>77</v>
      </c>
      <c r="CM62" s="682">
        <f t="shared" si="62"/>
        <v>79</v>
      </c>
      <c r="CN62" s="684">
        <f t="shared" si="62"/>
        <v>81</v>
      </c>
      <c r="CO62" s="682">
        <f t="shared" si="62"/>
        <v>83</v>
      </c>
      <c r="CP62" s="682">
        <f t="shared" si="62"/>
        <v>85</v>
      </c>
      <c r="CQ62" s="682">
        <f t="shared" si="62"/>
        <v>87</v>
      </c>
      <c r="CR62" s="682">
        <f t="shared" si="62"/>
        <v>89</v>
      </c>
      <c r="CS62" s="683">
        <f t="shared" si="62"/>
        <v>91</v>
      </c>
      <c r="CT62" s="682">
        <f t="shared" si="62"/>
        <v>93</v>
      </c>
      <c r="CU62" s="682">
        <f t="shared" si="62"/>
        <v>95</v>
      </c>
      <c r="CV62" s="682">
        <f t="shared" si="62"/>
        <v>97</v>
      </c>
      <c r="CW62" s="682">
        <f t="shared" si="62"/>
        <v>99</v>
      </c>
      <c r="CX62" s="563"/>
    </row>
    <row r="63" ht="10.5" customHeight="1">
      <c r="A63" s="543"/>
      <c r="B63" s="563">
        <f t="shared" si="4"/>
        <v>61</v>
      </c>
      <c r="C63" s="563">
        <f t="shared" ref="C63:CW63" si="63">IF(LT(IF(GT(C$2,MIN($B63,99)),C$2,MIN($B63,99)),99-FLOOR(C$2/2,1)),IF(GT(C$2,MIN($B63,99)),C$2,MIN($B63,99))-FLOOR(C$2/2,1),2*IF(GT(C$2,MIN($B63,99)),C$2,MIN($B63,99))-99)</f>
        <v>61</v>
      </c>
      <c r="D63" s="563">
        <f t="shared" si="63"/>
        <v>60</v>
      </c>
      <c r="E63" s="563">
        <f t="shared" si="63"/>
        <v>60</v>
      </c>
      <c r="F63" s="563">
        <f t="shared" si="63"/>
        <v>59</v>
      </c>
      <c r="G63" s="579">
        <f t="shared" si="63"/>
        <v>59</v>
      </c>
      <c r="H63" s="563">
        <f t="shared" si="63"/>
        <v>58</v>
      </c>
      <c r="I63" s="563">
        <f t="shared" si="63"/>
        <v>58</v>
      </c>
      <c r="J63" s="563">
        <f t="shared" si="63"/>
        <v>57</v>
      </c>
      <c r="K63" s="563">
        <f t="shared" si="63"/>
        <v>57</v>
      </c>
      <c r="L63" s="580">
        <f t="shared" si="63"/>
        <v>56</v>
      </c>
      <c r="M63" s="563">
        <f t="shared" si="63"/>
        <v>56</v>
      </c>
      <c r="N63" s="563">
        <f t="shared" si="63"/>
        <v>55</v>
      </c>
      <c r="O63" s="563">
        <f t="shared" si="63"/>
        <v>55</v>
      </c>
      <c r="P63" s="563">
        <f t="shared" si="63"/>
        <v>54</v>
      </c>
      <c r="Q63" s="579">
        <f t="shared" si="63"/>
        <v>54</v>
      </c>
      <c r="R63" s="563">
        <f t="shared" si="63"/>
        <v>53</v>
      </c>
      <c r="S63" s="563">
        <f t="shared" si="63"/>
        <v>53</v>
      </c>
      <c r="T63" s="563">
        <f t="shared" si="63"/>
        <v>52</v>
      </c>
      <c r="U63" s="563">
        <f t="shared" si="63"/>
        <v>52</v>
      </c>
      <c r="V63" s="580">
        <f t="shared" si="63"/>
        <v>51</v>
      </c>
      <c r="W63" s="563">
        <f t="shared" si="63"/>
        <v>51</v>
      </c>
      <c r="X63" s="563">
        <f t="shared" si="63"/>
        <v>50</v>
      </c>
      <c r="Y63" s="563">
        <f t="shared" si="63"/>
        <v>50</v>
      </c>
      <c r="Z63" s="563">
        <f t="shared" si="63"/>
        <v>49</v>
      </c>
      <c r="AA63" s="579">
        <f t="shared" si="63"/>
        <v>49</v>
      </c>
      <c r="AB63" s="563">
        <f t="shared" si="63"/>
        <v>48</v>
      </c>
      <c r="AC63" s="563">
        <f t="shared" si="63"/>
        <v>48</v>
      </c>
      <c r="AD63" s="563">
        <f t="shared" si="63"/>
        <v>47</v>
      </c>
      <c r="AE63" s="563">
        <f t="shared" si="63"/>
        <v>47</v>
      </c>
      <c r="AF63" s="580">
        <f t="shared" si="63"/>
        <v>46</v>
      </c>
      <c r="AG63" s="563">
        <f t="shared" si="63"/>
        <v>46</v>
      </c>
      <c r="AH63" s="563">
        <f t="shared" si="63"/>
        <v>45</v>
      </c>
      <c r="AI63" s="563">
        <f t="shared" si="63"/>
        <v>45</v>
      </c>
      <c r="AJ63" s="563">
        <f t="shared" si="63"/>
        <v>44</v>
      </c>
      <c r="AK63" s="579">
        <f t="shared" si="63"/>
        <v>44</v>
      </c>
      <c r="AL63" s="563">
        <f t="shared" si="63"/>
        <v>43</v>
      </c>
      <c r="AM63" s="563">
        <f t="shared" si="63"/>
        <v>43</v>
      </c>
      <c r="AN63" s="563">
        <f t="shared" si="63"/>
        <v>42</v>
      </c>
      <c r="AO63" s="563">
        <f t="shared" si="63"/>
        <v>42</v>
      </c>
      <c r="AP63" s="580">
        <f t="shared" si="63"/>
        <v>41</v>
      </c>
      <c r="AQ63" s="563">
        <f t="shared" si="63"/>
        <v>41</v>
      </c>
      <c r="AR63" s="563">
        <f t="shared" si="63"/>
        <v>40</v>
      </c>
      <c r="AS63" s="563">
        <f t="shared" si="63"/>
        <v>40</v>
      </c>
      <c r="AT63" s="563">
        <f t="shared" si="63"/>
        <v>39</v>
      </c>
      <c r="AU63" s="579">
        <f t="shared" si="63"/>
        <v>39</v>
      </c>
      <c r="AV63" s="563">
        <f t="shared" si="63"/>
        <v>38</v>
      </c>
      <c r="AW63" s="563">
        <f t="shared" si="63"/>
        <v>38</v>
      </c>
      <c r="AX63" s="563">
        <f t="shared" si="63"/>
        <v>37</v>
      </c>
      <c r="AY63" s="563">
        <f t="shared" si="63"/>
        <v>37</v>
      </c>
      <c r="AZ63" s="580">
        <f t="shared" si="63"/>
        <v>36</v>
      </c>
      <c r="BA63" s="563">
        <f t="shared" si="63"/>
        <v>36</v>
      </c>
      <c r="BB63" s="563">
        <f t="shared" si="63"/>
        <v>35</v>
      </c>
      <c r="BC63" s="563">
        <f t="shared" si="63"/>
        <v>35</v>
      </c>
      <c r="BD63" s="563">
        <f t="shared" si="63"/>
        <v>34</v>
      </c>
      <c r="BE63" s="579">
        <f t="shared" si="63"/>
        <v>34</v>
      </c>
      <c r="BF63" s="563">
        <f t="shared" si="63"/>
        <v>33</v>
      </c>
      <c r="BG63" s="563">
        <f t="shared" si="63"/>
        <v>33</v>
      </c>
      <c r="BH63" s="563">
        <f t="shared" si="63"/>
        <v>32</v>
      </c>
      <c r="BI63" s="563">
        <f t="shared" si="63"/>
        <v>32</v>
      </c>
      <c r="BJ63" s="580">
        <f t="shared" si="63"/>
        <v>31</v>
      </c>
      <c r="BK63" s="563">
        <f t="shared" si="63"/>
        <v>31</v>
      </c>
      <c r="BL63" s="563">
        <f t="shared" si="63"/>
        <v>31</v>
      </c>
      <c r="BM63" s="563">
        <f t="shared" si="63"/>
        <v>32</v>
      </c>
      <c r="BN63" s="563">
        <f t="shared" si="63"/>
        <v>32</v>
      </c>
      <c r="BO63" s="579">
        <f t="shared" si="63"/>
        <v>33</v>
      </c>
      <c r="BP63" s="563">
        <f t="shared" si="63"/>
        <v>33</v>
      </c>
      <c r="BQ63" s="563">
        <f t="shared" si="63"/>
        <v>35</v>
      </c>
      <c r="BR63" s="563">
        <f t="shared" si="63"/>
        <v>37</v>
      </c>
      <c r="BS63" s="563">
        <f t="shared" si="63"/>
        <v>39</v>
      </c>
      <c r="BT63" s="580">
        <f t="shared" si="63"/>
        <v>41</v>
      </c>
      <c r="BU63" s="563">
        <f t="shared" si="63"/>
        <v>43</v>
      </c>
      <c r="BV63" s="563">
        <f t="shared" si="63"/>
        <v>45</v>
      </c>
      <c r="BW63" s="563">
        <f t="shared" si="63"/>
        <v>47</v>
      </c>
      <c r="BX63" s="563">
        <f t="shared" si="63"/>
        <v>49</v>
      </c>
      <c r="BY63" s="579">
        <f t="shared" si="63"/>
        <v>51</v>
      </c>
      <c r="BZ63" s="563">
        <f t="shared" si="63"/>
        <v>53</v>
      </c>
      <c r="CA63" s="563">
        <f t="shared" si="63"/>
        <v>55</v>
      </c>
      <c r="CB63" s="563">
        <f t="shared" si="63"/>
        <v>57</v>
      </c>
      <c r="CC63" s="563">
        <f t="shared" si="63"/>
        <v>59</v>
      </c>
      <c r="CD63" s="580">
        <f t="shared" si="63"/>
        <v>61</v>
      </c>
      <c r="CE63" s="563">
        <f t="shared" si="63"/>
        <v>63</v>
      </c>
      <c r="CF63" s="563">
        <f t="shared" si="63"/>
        <v>65</v>
      </c>
      <c r="CG63" s="563">
        <f t="shared" si="63"/>
        <v>67</v>
      </c>
      <c r="CH63" s="563">
        <f t="shared" si="63"/>
        <v>69</v>
      </c>
      <c r="CI63" s="579">
        <f t="shared" si="63"/>
        <v>71</v>
      </c>
      <c r="CJ63" s="563">
        <f t="shared" si="63"/>
        <v>73</v>
      </c>
      <c r="CK63" s="563">
        <f t="shared" si="63"/>
        <v>75</v>
      </c>
      <c r="CL63" s="563">
        <f t="shared" si="63"/>
        <v>77</v>
      </c>
      <c r="CM63" s="563">
        <f t="shared" si="63"/>
        <v>79</v>
      </c>
      <c r="CN63" s="580">
        <f t="shared" si="63"/>
        <v>81</v>
      </c>
      <c r="CO63" s="563">
        <f t="shared" si="63"/>
        <v>83</v>
      </c>
      <c r="CP63" s="563">
        <f t="shared" si="63"/>
        <v>85</v>
      </c>
      <c r="CQ63" s="563">
        <f t="shared" si="63"/>
        <v>87</v>
      </c>
      <c r="CR63" s="563">
        <f t="shared" si="63"/>
        <v>89</v>
      </c>
      <c r="CS63" s="579">
        <f t="shared" si="63"/>
        <v>91</v>
      </c>
      <c r="CT63" s="563">
        <f t="shared" si="63"/>
        <v>93</v>
      </c>
      <c r="CU63" s="563">
        <f t="shared" si="63"/>
        <v>95</v>
      </c>
      <c r="CV63" s="563">
        <f t="shared" si="63"/>
        <v>97</v>
      </c>
      <c r="CW63" s="563">
        <f t="shared" si="63"/>
        <v>99</v>
      </c>
      <c r="CX63" s="563"/>
    </row>
    <row r="64" ht="10.5" customHeight="1">
      <c r="A64" s="543"/>
      <c r="B64" s="563">
        <f t="shared" si="4"/>
        <v>62</v>
      </c>
      <c r="C64" s="563">
        <f t="shared" ref="C64:CW64" si="64">IF(LT(IF(GT(C$2,MIN($B64,99)),C$2,MIN($B64,99)),99-FLOOR(C$2/2,1)),IF(GT(C$2,MIN($B64,99)),C$2,MIN($B64,99))-FLOOR(C$2/2,1),2*IF(GT(C$2,MIN($B64,99)),C$2,MIN($B64,99))-99)</f>
        <v>62</v>
      </c>
      <c r="D64" s="563">
        <f t="shared" si="64"/>
        <v>61</v>
      </c>
      <c r="E64" s="563">
        <f t="shared" si="64"/>
        <v>61</v>
      </c>
      <c r="F64" s="563">
        <f t="shared" si="64"/>
        <v>60</v>
      </c>
      <c r="G64" s="579">
        <f t="shared" si="64"/>
        <v>60</v>
      </c>
      <c r="H64" s="563">
        <f t="shared" si="64"/>
        <v>59</v>
      </c>
      <c r="I64" s="563">
        <f t="shared" si="64"/>
        <v>59</v>
      </c>
      <c r="J64" s="563">
        <f t="shared" si="64"/>
        <v>58</v>
      </c>
      <c r="K64" s="563">
        <f t="shared" si="64"/>
        <v>58</v>
      </c>
      <c r="L64" s="580">
        <f t="shared" si="64"/>
        <v>57</v>
      </c>
      <c r="M64" s="563">
        <f t="shared" si="64"/>
        <v>57</v>
      </c>
      <c r="N64" s="563">
        <f t="shared" si="64"/>
        <v>56</v>
      </c>
      <c r="O64" s="563">
        <f t="shared" si="64"/>
        <v>56</v>
      </c>
      <c r="P64" s="563">
        <f t="shared" si="64"/>
        <v>55</v>
      </c>
      <c r="Q64" s="579">
        <f t="shared" si="64"/>
        <v>55</v>
      </c>
      <c r="R64" s="563">
        <f t="shared" si="64"/>
        <v>54</v>
      </c>
      <c r="S64" s="563">
        <f t="shared" si="64"/>
        <v>54</v>
      </c>
      <c r="T64" s="563">
        <f t="shared" si="64"/>
        <v>53</v>
      </c>
      <c r="U64" s="563">
        <f t="shared" si="64"/>
        <v>53</v>
      </c>
      <c r="V64" s="580">
        <f t="shared" si="64"/>
        <v>52</v>
      </c>
      <c r="W64" s="563">
        <f t="shared" si="64"/>
        <v>52</v>
      </c>
      <c r="X64" s="563">
        <f t="shared" si="64"/>
        <v>51</v>
      </c>
      <c r="Y64" s="563">
        <f t="shared" si="64"/>
        <v>51</v>
      </c>
      <c r="Z64" s="563">
        <f t="shared" si="64"/>
        <v>50</v>
      </c>
      <c r="AA64" s="579">
        <f t="shared" si="64"/>
        <v>50</v>
      </c>
      <c r="AB64" s="563">
        <f t="shared" si="64"/>
        <v>49</v>
      </c>
      <c r="AC64" s="563">
        <f t="shared" si="64"/>
        <v>49</v>
      </c>
      <c r="AD64" s="563">
        <f t="shared" si="64"/>
        <v>48</v>
      </c>
      <c r="AE64" s="563">
        <f t="shared" si="64"/>
        <v>48</v>
      </c>
      <c r="AF64" s="580">
        <f t="shared" si="64"/>
        <v>47</v>
      </c>
      <c r="AG64" s="563">
        <f t="shared" si="64"/>
        <v>47</v>
      </c>
      <c r="AH64" s="563">
        <f t="shared" si="64"/>
        <v>46</v>
      </c>
      <c r="AI64" s="563">
        <f t="shared" si="64"/>
        <v>46</v>
      </c>
      <c r="AJ64" s="563">
        <f t="shared" si="64"/>
        <v>45</v>
      </c>
      <c r="AK64" s="579">
        <f t="shared" si="64"/>
        <v>45</v>
      </c>
      <c r="AL64" s="563">
        <f t="shared" si="64"/>
        <v>44</v>
      </c>
      <c r="AM64" s="563">
        <f t="shared" si="64"/>
        <v>44</v>
      </c>
      <c r="AN64" s="563">
        <f t="shared" si="64"/>
        <v>43</v>
      </c>
      <c r="AO64" s="563">
        <f t="shared" si="64"/>
        <v>43</v>
      </c>
      <c r="AP64" s="580">
        <f t="shared" si="64"/>
        <v>42</v>
      </c>
      <c r="AQ64" s="563">
        <f t="shared" si="64"/>
        <v>42</v>
      </c>
      <c r="AR64" s="563">
        <f t="shared" si="64"/>
        <v>41</v>
      </c>
      <c r="AS64" s="563">
        <f t="shared" si="64"/>
        <v>41</v>
      </c>
      <c r="AT64" s="563">
        <f t="shared" si="64"/>
        <v>40</v>
      </c>
      <c r="AU64" s="579">
        <f t="shared" si="64"/>
        <v>40</v>
      </c>
      <c r="AV64" s="563">
        <f t="shared" si="64"/>
        <v>39</v>
      </c>
      <c r="AW64" s="563">
        <f t="shared" si="64"/>
        <v>39</v>
      </c>
      <c r="AX64" s="563">
        <f t="shared" si="64"/>
        <v>38</v>
      </c>
      <c r="AY64" s="563">
        <f t="shared" si="64"/>
        <v>38</v>
      </c>
      <c r="AZ64" s="580">
        <f t="shared" si="64"/>
        <v>37</v>
      </c>
      <c r="BA64" s="563">
        <f t="shared" si="64"/>
        <v>37</v>
      </c>
      <c r="BB64" s="563">
        <f t="shared" si="64"/>
        <v>36</v>
      </c>
      <c r="BC64" s="563">
        <f t="shared" si="64"/>
        <v>36</v>
      </c>
      <c r="BD64" s="563">
        <f t="shared" si="64"/>
        <v>35</v>
      </c>
      <c r="BE64" s="579">
        <f t="shared" si="64"/>
        <v>35</v>
      </c>
      <c r="BF64" s="563">
        <f t="shared" si="64"/>
        <v>34</v>
      </c>
      <c r="BG64" s="563">
        <f t="shared" si="64"/>
        <v>34</v>
      </c>
      <c r="BH64" s="563">
        <f t="shared" si="64"/>
        <v>33</v>
      </c>
      <c r="BI64" s="563">
        <f t="shared" si="64"/>
        <v>33</v>
      </c>
      <c r="BJ64" s="580">
        <f t="shared" si="64"/>
        <v>32</v>
      </c>
      <c r="BK64" s="563">
        <f t="shared" si="64"/>
        <v>32</v>
      </c>
      <c r="BL64" s="563">
        <f t="shared" si="64"/>
        <v>31</v>
      </c>
      <c r="BM64" s="563">
        <f t="shared" si="64"/>
        <v>32</v>
      </c>
      <c r="BN64" s="563">
        <f t="shared" si="64"/>
        <v>32</v>
      </c>
      <c r="BO64" s="579">
        <f t="shared" si="64"/>
        <v>33</v>
      </c>
      <c r="BP64" s="563">
        <f t="shared" si="64"/>
        <v>33</v>
      </c>
      <c r="BQ64" s="563">
        <f t="shared" si="64"/>
        <v>35</v>
      </c>
      <c r="BR64" s="563">
        <f t="shared" si="64"/>
        <v>37</v>
      </c>
      <c r="BS64" s="563">
        <f t="shared" si="64"/>
        <v>39</v>
      </c>
      <c r="BT64" s="580">
        <f t="shared" si="64"/>
        <v>41</v>
      </c>
      <c r="BU64" s="563">
        <f t="shared" si="64"/>
        <v>43</v>
      </c>
      <c r="BV64" s="563">
        <f t="shared" si="64"/>
        <v>45</v>
      </c>
      <c r="BW64" s="563">
        <f t="shared" si="64"/>
        <v>47</v>
      </c>
      <c r="BX64" s="563">
        <f t="shared" si="64"/>
        <v>49</v>
      </c>
      <c r="BY64" s="579">
        <f t="shared" si="64"/>
        <v>51</v>
      </c>
      <c r="BZ64" s="563">
        <f t="shared" si="64"/>
        <v>53</v>
      </c>
      <c r="CA64" s="563">
        <f t="shared" si="64"/>
        <v>55</v>
      </c>
      <c r="CB64" s="563">
        <f t="shared" si="64"/>
        <v>57</v>
      </c>
      <c r="CC64" s="563">
        <f t="shared" si="64"/>
        <v>59</v>
      </c>
      <c r="CD64" s="580">
        <f t="shared" si="64"/>
        <v>61</v>
      </c>
      <c r="CE64" s="563">
        <f t="shared" si="64"/>
        <v>63</v>
      </c>
      <c r="CF64" s="563">
        <f t="shared" si="64"/>
        <v>65</v>
      </c>
      <c r="CG64" s="563">
        <f t="shared" si="64"/>
        <v>67</v>
      </c>
      <c r="CH64" s="563">
        <f t="shared" si="64"/>
        <v>69</v>
      </c>
      <c r="CI64" s="579">
        <f t="shared" si="64"/>
        <v>71</v>
      </c>
      <c r="CJ64" s="563">
        <f t="shared" si="64"/>
        <v>73</v>
      </c>
      <c r="CK64" s="563">
        <f t="shared" si="64"/>
        <v>75</v>
      </c>
      <c r="CL64" s="563">
        <f t="shared" si="64"/>
        <v>77</v>
      </c>
      <c r="CM64" s="563">
        <f t="shared" si="64"/>
        <v>79</v>
      </c>
      <c r="CN64" s="580">
        <f t="shared" si="64"/>
        <v>81</v>
      </c>
      <c r="CO64" s="563">
        <f t="shared" si="64"/>
        <v>83</v>
      </c>
      <c r="CP64" s="563">
        <f t="shared" si="64"/>
        <v>85</v>
      </c>
      <c r="CQ64" s="563">
        <f t="shared" si="64"/>
        <v>87</v>
      </c>
      <c r="CR64" s="563">
        <f t="shared" si="64"/>
        <v>89</v>
      </c>
      <c r="CS64" s="579">
        <f t="shared" si="64"/>
        <v>91</v>
      </c>
      <c r="CT64" s="563">
        <f t="shared" si="64"/>
        <v>93</v>
      </c>
      <c r="CU64" s="563">
        <f t="shared" si="64"/>
        <v>95</v>
      </c>
      <c r="CV64" s="563">
        <f t="shared" si="64"/>
        <v>97</v>
      </c>
      <c r="CW64" s="563">
        <f t="shared" si="64"/>
        <v>99</v>
      </c>
      <c r="CX64" s="563"/>
    </row>
    <row r="65" ht="10.5" customHeight="1">
      <c r="A65" s="543"/>
      <c r="B65" s="563">
        <f t="shared" si="4"/>
        <v>63</v>
      </c>
      <c r="C65" s="563">
        <f t="shared" ref="C65:CW65" si="65">IF(LT(IF(GT(C$2,MIN($B65,99)),C$2,MIN($B65,99)),99-FLOOR(C$2/2,1)),IF(GT(C$2,MIN($B65,99)),C$2,MIN($B65,99))-FLOOR(C$2/2,1),2*IF(GT(C$2,MIN($B65,99)),C$2,MIN($B65,99))-99)</f>
        <v>63</v>
      </c>
      <c r="D65" s="563">
        <f t="shared" si="65"/>
        <v>62</v>
      </c>
      <c r="E65" s="563">
        <f t="shared" si="65"/>
        <v>62</v>
      </c>
      <c r="F65" s="563">
        <f t="shared" si="65"/>
        <v>61</v>
      </c>
      <c r="G65" s="579">
        <f t="shared" si="65"/>
        <v>61</v>
      </c>
      <c r="H65" s="563">
        <f t="shared" si="65"/>
        <v>60</v>
      </c>
      <c r="I65" s="563">
        <f t="shared" si="65"/>
        <v>60</v>
      </c>
      <c r="J65" s="563">
        <f t="shared" si="65"/>
        <v>59</v>
      </c>
      <c r="K65" s="563">
        <f t="shared" si="65"/>
        <v>59</v>
      </c>
      <c r="L65" s="580">
        <f t="shared" si="65"/>
        <v>58</v>
      </c>
      <c r="M65" s="563">
        <f t="shared" si="65"/>
        <v>58</v>
      </c>
      <c r="N65" s="563">
        <f t="shared" si="65"/>
        <v>57</v>
      </c>
      <c r="O65" s="563">
        <f t="shared" si="65"/>
        <v>57</v>
      </c>
      <c r="P65" s="563">
        <f t="shared" si="65"/>
        <v>56</v>
      </c>
      <c r="Q65" s="579">
        <f t="shared" si="65"/>
        <v>56</v>
      </c>
      <c r="R65" s="563">
        <f t="shared" si="65"/>
        <v>55</v>
      </c>
      <c r="S65" s="563">
        <f t="shared" si="65"/>
        <v>55</v>
      </c>
      <c r="T65" s="563">
        <f t="shared" si="65"/>
        <v>54</v>
      </c>
      <c r="U65" s="563">
        <f t="shared" si="65"/>
        <v>54</v>
      </c>
      <c r="V65" s="580">
        <f t="shared" si="65"/>
        <v>53</v>
      </c>
      <c r="W65" s="563">
        <f t="shared" si="65"/>
        <v>53</v>
      </c>
      <c r="X65" s="563">
        <f t="shared" si="65"/>
        <v>52</v>
      </c>
      <c r="Y65" s="563">
        <f t="shared" si="65"/>
        <v>52</v>
      </c>
      <c r="Z65" s="563">
        <f t="shared" si="65"/>
        <v>51</v>
      </c>
      <c r="AA65" s="579">
        <f t="shared" si="65"/>
        <v>51</v>
      </c>
      <c r="AB65" s="563">
        <f t="shared" si="65"/>
        <v>50</v>
      </c>
      <c r="AC65" s="563">
        <f t="shared" si="65"/>
        <v>50</v>
      </c>
      <c r="AD65" s="563">
        <f t="shared" si="65"/>
        <v>49</v>
      </c>
      <c r="AE65" s="563">
        <f t="shared" si="65"/>
        <v>49</v>
      </c>
      <c r="AF65" s="580">
        <f t="shared" si="65"/>
        <v>48</v>
      </c>
      <c r="AG65" s="563">
        <f t="shared" si="65"/>
        <v>48</v>
      </c>
      <c r="AH65" s="563">
        <f t="shared" si="65"/>
        <v>47</v>
      </c>
      <c r="AI65" s="563">
        <f t="shared" si="65"/>
        <v>47</v>
      </c>
      <c r="AJ65" s="563">
        <f t="shared" si="65"/>
        <v>46</v>
      </c>
      <c r="AK65" s="579">
        <f t="shared" si="65"/>
        <v>46</v>
      </c>
      <c r="AL65" s="563">
        <f t="shared" si="65"/>
        <v>45</v>
      </c>
      <c r="AM65" s="563">
        <f t="shared" si="65"/>
        <v>45</v>
      </c>
      <c r="AN65" s="563">
        <f t="shared" si="65"/>
        <v>44</v>
      </c>
      <c r="AO65" s="563">
        <f t="shared" si="65"/>
        <v>44</v>
      </c>
      <c r="AP65" s="580">
        <f t="shared" si="65"/>
        <v>43</v>
      </c>
      <c r="AQ65" s="563">
        <f t="shared" si="65"/>
        <v>43</v>
      </c>
      <c r="AR65" s="563">
        <f t="shared" si="65"/>
        <v>42</v>
      </c>
      <c r="AS65" s="563">
        <f t="shared" si="65"/>
        <v>42</v>
      </c>
      <c r="AT65" s="563">
        <f t="shared" si="65"/>
        <v>41</v>
      </c>
      <c r="AU65" s="579">
        <f t="shared" si="65"/>
        <v>41</v>
      </c>
      <c r="AV65" s="563">
        <f t="shared" si="65"/>
        <v>40</v>
      </c>
      <c r="AW65" s="563">
        <f t="shared" si="65"/>
        <v>40</v>
      </c>
      <c r="AX65" s="563">
        <f t="shared" si="65"/>
        <v>39</v>
      </c>
      <c r="AY65" s="563">
        <f t="shared" si="65"/>
        <v>39</v>
      </c>
      <c r="AZ65" s="580">
        <f t="shared" si="65"/>
        <v>38</v>
      </c>
      <c r="BA65" s="563">
        <f t="shared" si="65"/>
        <v>38</v>
      </c>
      <c r="BB65" s="563">
        <f t="shared" si="65"/>
        <v>37</v>
      </c>
      <c r="BC65" s="563">
        <f t="shared" si="65"/>
        <v>37</v>
      </c>
      <c r="BD65" s="563">
        <f t="shared" si="65"/>
        <v>36</v>
      </c>
      <c r="BE65" s="579">
        <f t="shared" si="65"/>
        <v>36</v>
      </c>
      <c r="BF65" s="563">
        <f t="shared" si="65"/>
        <v>35</v>
      </c>
      <c r="BG65" s="563">
        <f t="shared" si="65"/>
        <v>35</v>
      </c>
      <c r="BH65" s="563">
        <f t="shared" si="65"/>
        <v>34</v>
      </c>
      <c r="BI65" s="563">
        <f t="shared" si="65"/>
        <v>34</v>
      </c>
      <c r="BJ65" s="580">
        <f t="shared" si="65"/>
        <v>33</v>
      </c>
      <c r="BK65" s="563">
        <f t="shared" si="65"/>
        <v>33</v>
      </c>
      <c r="BL65" s="563">
        <f t="shared" si="65"/>
        <v>32</v>
      </c>
      <c r="BM65" s="563">
        <f t="shared" si="65"/>
        <v>32</v>
      </c>
      <c r="BN65" s="563">
        <f t="shared" si="65"/>
        <v>32</v>
      </c>
      <c r="BO65" s="579">
        <f t="shared" si="65"/>
        <v>33</v>
      </c>
      <c r="BP65" s="563">
        <f t="shared" si="65"/>
        <v>33</v>
      </c>
      <c r="BQ65" s="563">
        <f t="shared" si="65"/>
        <v>35</v>
      </c>
      <c r="BR65" s="563">
        <f t="shared" si="65"/>
        <v>37</v>
      </c>
      <c r="BS65" s="563">
        <f t="shared" si="65"/>
        <v>39</v>
      </c>
      <c r="BT65" s="580">
        <f t="shared" si="65"/>
        <v>41</v>
      </c>
      <c r="BU65" s="563">
        <f t="shared" si="65"/>
        <v>43</v>
      </c>
      <c r="BV65" s="563">
        <f t="shared" si="65"/>
        <v>45</v>
      </c>
      <c r="BW65" s="563">
        <f t="shared" si="65"/>
        <v>47</v>
      </c>
      <c r="BX65" s="563">
        <f t="shared" si="65"/>
        <v>49</v>
      </c>
      <c r="BY65" s="579">
        <f t="shared" si="65"/>
        <v>51</v>
      </c>
      <c r="BZ65" s="563">
        <f t="shared" si="65"/>
        <v>53</v>
      </c>
      <c r="CA65" s="563">
        <f t="shared" si="65"/>
        <v>55</v>
      </c>
      <c r="CB65" s="563">
        <f t="shared" si="65"/>
        <v>57</v>
      </c>
      <c r="CC65" s="563">
        <f t="shared" si="65"/>
        <v>59</v>
      </c>
      <c r="CD65" s="580">
        <f t="shared" si="65"/>
        <v>61</v>
      </c>
      <c r="CE65" s="563">
        <f t="shared" si="65"/>
        <v>63</v>
      </c>
      <c r="CF65" s="563">
        <f t="shared" si="65"/>
        <v>65</v>
      </c>
      <c r="CG65" s="563">
        <f t="shared" si="65"/>
        <v>67</v>
      </c>
      <c r="CH65" s="563">
        <f t="shared" si="65"/>
        <v>69</v>
      </c>
      <c r="CI65" s="579">
        <f t="shared" si="65"/>
        <v>71</v>
      </c>
      <c r="CJ65" s="563">
        <f t="shared" si="65"/>
        <v>73</v>
      </c>
      <c r="CK65" s="563">
        <f t="shared" si="65"/>
        <v>75</v>
      </c>
      <c r="CL65" s="563">
        <f t="shared" si="65"/>
        <v>77</v>
      </c>
      <c r="CM65" s="563">
        <f t="shared" si="65"/>
        <v>79</v>
      </c>
      <c r="CN65" s="580">
        <f t="shared" si="65"/>
        <v>81</v>
      </c>
      <c r="CO65" s="563">
        <f t="shared" si="65"/>
        <v>83</v>
      </c>
      <c r="CP65" s="563">
        <f t="shared" si="65"/>
        <v>85</v>
      </c>
      <c r="CQ65" s="563">
        <f t="shared" si="65"/>
        <v>87</v>
      </c>
      <c r="CR65" s="563">
        <f t="shared" si="65"/>
        <v>89</v>
      </c>
      <c r="CS65" s="579">
        <f t="shared" si="65"/>
        <v>91</v>
      </c>
      <c r="CT65" s="563">
        <f t="shared" si="65"/>
        <v>93</v>
      </c>
      <c r="CU65" s="563">
        <f t="shared" si="65"/>
        <v>95</v>
      </c>
      <c r="CV65" s="563">
        <f t="shared" si="65"/>
        <v>97</v>
      </c>
      <c r="CW65" s="563">
        <f t="shared" si="65"/>
        <v>99</v>
      </c>
      <c r="CX65" s="563"/>
    </row>
    <row r="66" ht="10.5" customHeight="1">
      <c r="A66" s="543"/>
      <c r="B66" s="563">
        <f t="shared" si="4"/>
        <v>64</v>
      </c>
      <c r="C66" s="563">
        <f t="shared" ref="C66:CW66" si="66">IF(LT(IF(GT(C$2,MIN($B66,99)),C$2,MIN($B66,99)),99-FLOOR(C$2/2,1)),IF(GT(C$2,MIN($B66,99)),C$2,MIN($B66,99))-FLOOR(C$2/2,1),2*IF(GT(C$2,MIN($B66,99)),C$2,MIN($B66,99))-99)</f>
        <v>64</v>
      </c>
      <c r="D66" s="563">
        <f t="shared" si="66"/>
        <v>63</v>
      </c>
      <c r="E66" s="563">
        <f t="shared" si="66"/>
        <v>63</v>
      </c>
      <c r="F66" s="563">
        <f t="shared" si="66"/>
        <v>62</v>
      </c>
      <c r="G66" s="579">
        <f t="shared" si="66"/>
        <v>62</v>
      </c>
      <c r="H66" s="563">
        <f t="shared" si="66"/>
        <v>61</v>
      </c>
      <c r="I66" s="563">
        <f t="shared" si="66"/>
        <v>61</v>
      </c>
      <c r="J66" s="563">
        <f t="shared" si="66"/>
        <v>60</v>
      </c>
      <c r="K66" s="563">
        <f t="shared" si="66"/>
        <v>60</v>
      </c>
      <c r="L66" s="580">
        <f t="shared" si="66"/>
        <v>59</v>
      </c>
      <c r="M66" s="563">
        <f t="shared" si="66"/>
        <v>59</v>
      </c>
      <c r="N66" s="563">
        <f t="shared" si="66"/>
        <v>58</v>
      </c>
      <c r="O66" s="563">
        <f t="shared" si="66"/>
        <v>58</v>
      </c>
      <c r="P66" s="563">
        <f t="shared" si="66"/>
        <v>57</v>
      </c>
      <c r="Q66" s="579">
        <f t="shared" si="66"/>
        <v>57</v>
      </c>
      <c r="R66" s="563">
        <f t="shared" si="66"/>
        <v>56</v>
      </c>
      <c r="S66" s="563">
        <f t="shared" si="66"/>
        <v>56</v>
      </c>
      <c r="T66" s="563">
        <f t="shared" si="66"/>
        <v>55</v>
      </c>
      <c r="U66" s="563">
        <f t="shared" si="66"/>
        <v>55</v>
      </c>
      <c r="V66" s="580">
        <f t="shared" si="66"/>
        <v>54</v>
      </c>
      <c r="W66" s="563">
        <f t="shared" si="66"/>
        <v>54</v>
      </c>
      <c r="X66" s="563">
        <f t="shared" si="66"/>
        <v>53</v>
      </c>
      <c r="Y66" s="563">
        <f t="shared" si="66"/>
        <v>53</v>
      </c>
      <c r="Z66" s="563">
        <f t="shared" si="66"/>
        <v>52</v>
      </c>
      <c r="AA66" s="579">
        <f t="shared" si="66"/>
        <v>52</v>
      </c>
      <c r="AB66" s="563">
        <f t="shared" si="66"/>
        <v>51</v>
      </c>
      <c r="AC66" s="563">
        <f t="shared" si="66"/>
        <v>51</v>
      </c>
      <c r="AD66" s="563">
        <f t="shared" si="66"/>
        <v>50</v>
      </c>
      <c r="AE66" s="563">
        <f t="shared" si="66"/>
        <v>50</v>
      </c>
      <c r="AF66" s="580">
        <f t="shared" si="66"/>
        <v>49</v>
      </c>
      <c r="AG66" s="563">
        <f t="shared" si="66"/>
        <v>49</v>
      </c>
      <c r="AH66" s="563">
        <f t="shared" si="66"/>
        <v>48</v>
      </c>
      <c r="AI66" s="563">
        <f t="shared" si="66"/>
        <v>48</v>
      </c>
      <c r="AJ66" s="563">
        <f t="shared" si="66"/>
        <v>47</v>
      </c>
      <c r="AK66" s="579">
        <f t="shared" si="66"/>
        <v>47</v>
      </c>
      <c r="AL66" s="563">
        <f t="shared" si="66"/>
        <v>46</v>
      </c>
      <c r="AM66" s="563">
        <f t="shared" si="66"/>
        <v>46</v>
      </c>
      <c r="AN66" s="563">
        <f t="shared" si="66"/>
        <v>45</v>
      </c>
      <c r="AO66" s="563">
        <f t="shared" si="66"/>
        <v>45</v>
      </c>
      <c r="AP66" s="580">
        <f t="shared" si="66"/>
        <v>44</v>
      </c>
      <c r="AQ66" s="563">
        <f t="shared" si="66"/>
        <v>44</v>
      </c>
      <c r="AR66" s="563">
        <f t="shared" si="66"/>
        <v>43</v>
      </c>
      <c r="AS66" s="563">
        <f t="shared" si="66"/>
        <v>43</v>
      </c>
      <c r="AT66" s="563">
        <f t="shared" si="66"/>
        <v>42</v>
      </c>
      <c r="AU66" s="579">
        <f t="shared" si="66"/>
        <v>42</v>
      </c>
      <c r="AV66" s="563">
        <f t="shared" si="66"/>
        <v>41</v>
      </c>
      <c r="AW66" s="563">
        <f t="shared" si="66"/>
        <v>41</v>
      </c>
      <c r="AX66" s="563">
        <f t="shared" si="66"/>
        <v>40</v>
      </c>
      <c r="AY66" s="563">
        <f t="shared" si="66"/>
        <v>40</v>
      </c>
      <c r="AZ66" s="580">
        <f t="shared" si="66"/>
        <v>39</v>
      </c>
      <c r="BA66" s="563">
        <f t="shared" si="66"/>
        <v>39</v>
      </c>
      <c r="BB66" s="563">
        <f t="shared" si="66"/>
        <v>38</v>
      </c>
      <c r="BC66" s="563">
        <f t="shared" si="66"/>
        <v>38</v>
      </c>
      <c r="BD66" s="563">
        <f t="shared" si="66"/>
        <v>37</v>
      </c>
      <c r="BE66" s="579">
        <f t="shared" si="66"/>
        <v>37</v>
      </c>
      <c r="BF66" s="563">
        <f t="shared" si="66"/>
        <v>36</v>
      </c>
      <c r="BG66" s="563">
        <f t="shared" si="66"/>
        <v>36</v>
      </c>
      <c r="BH66" s="563">
        <f t="shared" si="66"/>
        <v>35</v>
      </c>
      <c r="BI66" s="563">
        <f t="shared" si="66"/>
        <v>35</v>
      </c>
      <c r="BJ66" s="580">
        <f t="shared" si="66"/>
        <v>34</v>
      </c>
      <c r="BK66" s="563">
        <f t="shared" si="66"/>
        <v>34</v>
      </c>
      <c r="BL66" s="563">
        <f t="shared" si="66"/>
        <v>33</v>
      </c>
      <c r="BM66" s="563">
        <f t="shared" si="66"/>
        <v>33</v>
      </c>
      <c r="BN66" s="563">
        <f t="shared" si="66"/>
        <v>32</v>
      </c>
      <c r="BO66" s="579">
        <f t="shared" si="66"/>
        <v>33</v>
      </c>
      <c r="BP66" s="563">
        <f t="shared" si="66"/>
        <v>33</v>
      </c>
      <c r="BQ66" s="563">
        <f t="shared" si="66"/>
        <v>35</v>
      </c>
      <c r="BR66" s="563">
        <f t="shared" si="66"/>
        <v>37</v>
      </c>
      <c r="BS66" s="563">
        <f t="shared" si="66"/>
        <v>39</v>
      </c>
      <c r="BT66" s="580">
        <f t="shared" si="66"/>
        <v>41</v>
      </c>
      <c r="BU66" s="563">
        <f t="shared" si="66"/>
        <v>43</v>
      </c>
      <c r="BV66" s="563">
        <f t="shared" si="66"/>
        <v>45</v>
      </c>
      <c r="BW66" s="563">
        <f t="shared" si="66"/>
        <v>47</v>
      </c>
      <c r="BX66" s="563">
        <f t="shared" si="66"/>
        <v>49</v>
      </c>
      <c r="BY66" s="579">
        <f t="shared" si="66"/>
        <v>51</v>
      </c>
      <c r="BZ66" s="563">
        <f t="shared" si="66"/>
        <v>53</v>
      </c>
      <c r="CA66" s="563">
        <f t="shared" si="66"/>
        <v>55</v>
      </c>
      <c r="CB66" s="563">
        <f t="shared" si="66"/>
        <v>57</v>
      </c>
      <c r="CC66" s="563">
        <f t="shared" si="66"/>
        <v>59</v>
      </c>
      <c r="CD66" s="580">
        <f t="shared" si="66"/>
        <v>61</v>
      </c>
      <c r="CE66" s="563">
        <f t="shared" si="66"/>
        <v>63</v>
      </c>
      <c r="CF66" s="563">
        <f t="shared" si="66"/>
        <v>65</v>
      </c>
      <c r="CG66" s="563">
        <f t="shared" si="66"/>
        <v>67</v>
      </c>
      <c r="CH66" s="563">
        <f t="shared" si="66"/>
        <v>69</v>
      </c>
      <c r="CI66" s="579">
        <f t="shared" si="66"/>
        <v>71</v>
      </c>
      <c r="CJ66" s="563">
        <f t="shared" si="66"/>
        <v>73</v>
      </c>
      <c r="CK66" s="563">
        <f t="shared" si="66"/>
        <v>75</v>
      </c>
      <c r="CL66" s="563">
        <f t="shared" si="66"/>
        <v>77</v>
      </c>
      <c r="CM66" s="563">
        <f t="shared" si="66"/>
        <v>79</v>
      </c>
      <c r="CN66" s="580">
        <f t="shared" si="66"/>
        <v>81</v>
      </c>
      <c r="CO66" s="563">
        <f t="shared" si="66"/>
        <v>83</v>
      </c>
      <c r="CP66" s="563">
        <f t="shared" si="66"/>
        <v>85</v>
      </c>
      <c r="CQ66" s="563">
        <f t="shared" si="66"/>
        <v>87</v>
      </c>
      <c r="CR66" s="563">
        <f t="shared" si="66"/>
        <v>89</v>
      </c>
      <c r="CS66" s="579">
        <f t="shared" si="66"/>
        <v>91</v>
      </c>
      <c r="CT66" s="563">
        <f t="shared" si="66"/>
        <v>93</v>
      </c>
      <c r="CU66" s="563">
        <f t="shared" si="66"/>
        <v>95</v>
      </c>
      <c r="CV66" s="563">
        <f t="shared" si="66"/>
        <v>97</v>
      </c>
      <c r="CW66" s="563">
        <f t="shared" si="66"/>
        <v>99</v>
      </c>
      <c r="CX66" s="563"/>
    </row>
    <row r="67" ht="10.5" customHeight="1">
      <c r="A67" s="543"/>
      <c r="B67" s="563">
        <f t="shared" si="4"/>
        <v>65</v>
      </c>
      <c r="C67" s="640">
        <f t="shared" ref="C67:CW67" si="67">IF(LT(IF(GT(C$2,MIN($B67,99)),C$2,MIN($B67,99)),99-FLOOR(C$2/2,1)),IF(GT(C$2,MIN($B67,99)),C$2,MIN($B67,99))-FLOOR(C$2/2,1),2*IF(GT(C$2,MIN($B67,99)),C$2,MIN($B67,99))-99)</f>
        <v>65</v>
      </c>
      <c r="D67" s="640">
        <f t="shared" si="67"/>
        <v>64</v>
      </c>
      <c r="E67" s="640">
        <f t="shared" si="67"/>
        <v>64</v>
      </c>
      <c r="F67" s="640">
        <f t="shared" si="67"/>
        <v>63</v>
      </c>
      <c r="G67" s="641">
        <f t="shared" si="67"/>
        <v>63</v>
      </c>
      <c r="H67" s="640">
        <f t="shared" si="67"/>
        <v>62</v>
      </c>
      <c r="I67" s="640">
        <f t="shared" si="67"/>
        <v>62</v>
      </c>
      <c r="J67" s="640">
        <f t="shared" si="67"/>
        <v>61</v>
      </c>
      <c r="K67" s="640">
        <f t="shared" si="67"/>
        <v>61</v>
      </c>
      <c r="L67" s="643">
        <f t="shared" si="67"/>
        <v>60</v>
      </c>
      <c r="M67" s="640">
        <f t="shared" si="67"/>
        <v>60</v>
      </c>
      <c r="N67" s="640">
        <f t="shared" si="67"/>
        <v>59</v>
      </c>
      <c r="O67" s="640">
        <f t="shared" si="67"/>
        <v>59</v>
      </c>
      <c r="P67" s="640">
        <f t="shared" si="67"/>
        <v>58</v>
      </c>
      <c r="Q67" s="641">
        <f t="shared" si="67"/>
        <v>58</v>
      </c>
      <c r="R67" s="640">
        <f t="shared" si="67"/>
        <v>57</v>
      </c>
      <c r="S67" s="640">
        <f t="shared" si="67"/>
        <v>57</v>
      </c>
      <c r="T67" s="640">
        <f t="shared" si="67"/>
        <v>56</v>
      </c>
      <c r="U67" s="640">
        <f t="shared" si="67"/>
        <v>56</v>
      </c>
      <c r="V67" s="643">
        <f t="shared" si="67"/>
        <v>55</v>
      </c>
      <c r="W67" s="640">
        <f t="shared" si="67"/>
        <v>55</v>
      </c>
      <c r="X67" s="640">
        <f t="shared" si="67"/>
        <v>54</v>
      </c>
      <c r="Y67" s="640">
        <f t="shared" si="67"/>
        <v>54</v>
      </c>
      <c r="Z67" s="640">
        <f t="shared" si="67"/>
        <v>53</v>
      </c>
      <c r="AA67" s="641">
        <f t="shared" si="67"/>
        <v>53</v>
      </c>
      <c r="AB67" s="640">
        <f t="shared" si="67"/>
        <v>52</v>
      </c>
      <c r="AC67" s="640">
        <f t="shared" si="67"/>
        <v>52</v>
      </c>
      <c r="AD67" s="640">
        <f t="shared" si="67"/>
        <v>51</v>
      </c>
      <c r="AE67" s="640">
        <f t="shared" si="67"/>
        <v>51</v>
      </c>
      <c r="AF67" s="643">
        <f t="shared" si="67"/>
        <v>50</v>
      </c>
      <c r="AG67" s="640">
        <f t="shared" si="67"/>
        <v>50</v>
      </c>
      <c r="AH67" s="640">
        <f t="shared" si="67"/>
        <v>49</v>
      </c>
      <c r="AI67" s="640">
        <f t="shared" si="67"/>
        <v>49</v>
      </c>
      <c r="AJ67" s="640">
        <f t="shared" si="67"/>
        <v>48</v>
      </c>
      <c r="AK67" s="641">
        <f t="shared" si="67"/>
        <v>48</v>
      </c>
      <c r="AL67" s="640">
        <f t="shared" si="67"/>
        <v>47</v>
      </c>
      <c r="AM67" s="640">
        <f t="shared" si="67"/>
        <v>47</v>
      </c>
      <c r="AN67" s="640">
        <f t="shared" si="67"/>
        <v>46</v>
      </c>
      <c r="AO67" s="640">
        <f t="shared" si="67"/>
        <v>46</v>
      </c>
      <c r="AP67" s="643">
        <f t="shared" si="67"/>
        <v>45</v>
      </c>
      <c r="AQ67" s="640">
        <f t="shared" si="67"/>
        <v>45</v>
      </c>
      <c r="AR67" s="640">
        <f t="shared" si="67"/>
        <v>44</v>
      </c>
      <c r="AS67" s="640">
        <f t="shared" si="67"/>
        <v>44</v>
      </c>
      <c r="AT67" s="640">
        <f t="shared" si="67"/>
        <v>43</v>
      </c>
      <c r="AU67" s="641">
        <f t="shared" si="67"/>
        <v>43</v>
      </c>
      <c r="AV67" s="640">
        <f t="shared" si="67"/>
        <v>42</v>
      </c>
      <c r="AW67" s="640">
        <f t="shared" si="67"/>
        <v>42</v>
      </c>
      <c r="AX67" s="640">
        <f t="shared" si="67"/>
        <v>41</v>
      </c>
      <c r="AY67" s="640">
        <f t="shared" si="67"/>
        <v>41</v>
      </c>
      <c r="AZ67" s="643">
        <f t="shared" si="67"/>
        <v>40</v>
      </c>
      <c r="BA67" s="640">
        <f t="shared" si="67"/>
        <v>40</v>
      </c>
      <c r="BB67" s="640">
        <f t="shared" si="67"/>
        <v>39</v>
      </c>
      <c r="BC67" s="640">
        <f t="shared" si="67"/>
        <v>39</v>
      </c>
      <c r="BD67" s="640">
        <f t="shared" si="67"/>
        <v>38</v>
      </c>
      <c r="BE67" s="641">
        <f t="shared" si="67"/>
        <v>38</v>
      </c>
      <c r="BF67" s="640">
        <f t="shared" si="67"/>
        <v>37</v>
      </c>
      <c r="BG67" s="640">
        <f t="shared" si="67"/>
        <v>37</v>
      </c>
      <c r="BH67" s="640">
        <f t="shared" si="67"/>
        <v>36</v>
      </c>
      <c r="BI67" s="640">
        <f t="shared" si="67"/>
        <v>36</v>
      </c>
      <c r="BJ67" s="643">
        <f t="shared" si="67"/>
        <v>35</v>
      </c>
      <c r="BK67" s="640">
        <f t="shared" si="67"/>
        <v>35</v>
      </c>
      <c r="BL67" s="640">
        <f t="shared" si="67"/>
        <v>34</v>
      </c>
      <c r="BM67" s="640">
        <f t="shared" si="67"/>
        <v>34</v>
      </c>
      <c r="BN67" s="640">
        <f t="shared" si="67"/>
        <v>33</v>
      </c>
      <c r="BO67" s="641">
        <f t="shared" si="67"/>
        <v>33</v>
      </c>
      <c r="BP67" s="640">
        <f t="shared" si="67"/>
        <v>33</v>
      </c>
      <c r="BQ67" s="640">
        <f t="shared" si="67"/>
        <v>35</v>
      </c>
      <c r="BR67" s="640">
        <f t="shared" si="67"/>
        <v>37</v>
      </c>
      <c r="BS67" s="640">
        <f t="shared" si="67"/>
        <v>39</v>
      </c>
      <c r="BT67" s="643">
        <f t="shared" si="67"/>
        <v>41</v>
      </c>
      <c r="BU67" s="640">
        <f t="shared" si="67"/>
        <v>43</v>
      </c>
      <c r="BV67" s="640">
        <f t="shared" si="67"/>
        <v>45</v>
      </c>
      <c r="BW67" s="640">
        <f t="shared" si="67"/>
        <v>47</v>
      </c>
      <c r="BX67" s="640">
        <f t="shared" si="67"/>
        <v>49</v>
      </c>
      <c r="BY67" s="641">
        <f t="shared" si="67"/>
        <v>51</v>
      </c>
      <c r="BZ67" s="640">
        <f t="shared" si="67"/>
        <v>53</v>
      </c>
      <c r="CA67" s="640">
        <f t="shared" si="67"/>
        <v>55</v>
      </c>
      <c r="CB67" s="640">
        <f t="shared" si="67"/>
        <v>57</v>
      </c>
      <c r="CC67" s="640">
        <f t="shared" si="67"/>
        <v>59</v>
      </c>
      <c r="CD67" s="643">
        <f t="shared" si="67"/>
        <v>61</v>
      </c>
      <c r="CE67" s="640">
        <f t="shared" si="67"/>
        <v>63</v>
      </c>
      <c r="CF67" s="640">
        <f t="shared" si="67"/>
        <v>65</v>
      </c>
      <c r="CG67" s="640">
        <f t="shared" si="67"/>
        <v>67</v>
      </c>
      <c r="CH67" s="640">
        <f t="shared" si="67"/>
        <v>69</v>
      </c>
      <c r="CI67" s="641">
        <f t="shared" si="67"/>
        <v>71</v>
      </c>
      <c r="CJ67" s="640">
        <f t="shared" si="67"/>
        <v>73</v>
      </c>
      <c r="CK67" s="640">
        <f t="shared" si="67"/>
        <v>75</v>
      </c>
      <c r="CL67" s="640">
        <f t="shared" si="67"/>
        <v>77</v>
      </c>
      <c r="CM67" s="640">
        <f t="shared" si="67"/>
        <v>79</v>
      </c>
      <c r="CN67" s="643">
        <f t="shared" si="67"/>
        <v>81</v>
      </c>
      <c r="CO67" s="640">
        <f t="shared" si="67"/>
        <v>83</v>
      </c>
      <c r="CP67" s="640">
        <f t="shared" si="67"/>
        <v>85</v>
      </c>
      <c r="CQ67" s="640">
        <f t="shared" si="67"/>
        <v>87</v>
      </c>
      <c r="CR67" s="640">
        <f t="shared" si="67"/>
        <v>89</v>
      </c>
      <c r="CS67" s="641">
        <f t="shared" si="67"/>
        <v>91</v>
      </c>
      <c r="CT67" s="640">
        <f t="shared" si="67"/>
        <v>93</v>
      </c>
      <c r="CU67" s="640">
        <f t="shared" si="67"/>
        <v>95</v>
      </c>
      <c r="CV67" s="640">
        <f t="shared" si="67"/>
        <v>97</v>
      </c>
      <c r="CW67" s="640">
        <f t="shared" si="67"/>
        <v>99</v>
      </c>
      <c r="CX67" s="563"/>
    </row>
    <row r="68" ht="10.5" customHeight="1">
      <c r="A68" s="543"/>
      <c r="B68" s="563">
        <f t="shared" si="4"/>
        <v>66</v>
      </c>
      <c r="C68" s="563">
        <f t="shared" ref="C68:CW68" si="68">IF(LT(IF(GT(C$2,MIN($B68,99)),C$2,MIN($B68,99)),99-FLOOR(C$2/2,1)),IF(GT(C$2,MIN($B68,99)),C$2,MIN($B68,99))-FLOOR(C$2/2,1),2*IF(GT(C$2,MIN($B68,99)),C$2,MIN($B68,99))-99)</f>
        <v>66</v>
      </c>
      <c r="D68" s="563">
        <f t="shared" si="68"/>
        <v>65</v>
      </c>
      <c r="E68" s="563">
        <f t="shared" si="68"/>
        <v>65</v>
      </c>
      <c r="F68" s="563">
        <f t="shared" si="68"/>
        <v>64</v>
      </c>
      <c r="G68" s="579">
        <f t="shared" si="68"/>
        <v>64</v>
      </c>
      <c r="H68" s="563">
        <f t="shared" si="68"/>
        <v>63</v>
      </c>
      <c r="I68" s="563">
        <f t="shared" si="68"/>
        <v>63</v>
      </c>
      <c r="J68" s="563">
        <f t="shared" si="68"/>
        <v>62</v>
      </c>
      <c r="K68" s="563">
        <f t="shared" si="68"/>
        <v>62</v>
      </c>
      <c r="L68" s="580">
        <f t="shared" si="68"/>
        <v>61</v>
      </c>
      <c r="M68" s="563">
        <f t="shared" si="68"/>
        <v>61</v>
      </c>
      <c r="N68" s="563">
        <f t="shared" si="68"/>
        <v>60</v>
      </c>
      <c r="O68" s="563">
        <f t="shared" si="68"/>
        <v>60</v>
      </c>
      <c r="P68" s="563">
        <f t="shared" si="68"/>
        <v>59</v>
      </c>
      <c r="Q68" s="579">
        <f t="shared" si="68"/>
        <v>59</v>
      </c>
      <c r="R68" s="563">
        <f t="shared" si="68"/>
        <v>58</v>
      </c>
      <c r="S68" s="563">
        <f t="shared" si="68"/>
        <v>58</v>
      </c>
      <c r="T68" s="563">
        <f t="shared" si="68"/>
        <v>57</v>
      </c>
      <c r="U68" s="563">
        <f t="shared" si="68"/>
        <v>57</v>
      </c>
      <c r="V68" s="580">
        <f t="shared" si="68"/>
        <v>56</v>
      </c>
      <c r="W68" s="563">
        <f t="shared" si="68"/>
        <v>56</v>
      </c>
      <c r="X68" s="563">
        <f t="shared" si="68"/>
        <v>55</v>
      </c>
      <c r="Y68" s="563">
        <f t="shared" si="68"/>
        <v>55</v>
      </c>
      <c r="Z68" s="563">
        <f t="shared" si="68"/>
        <v>54</v>
      </c>
      <c r="AA68" s="579">
        <f t="shared" si="68"/>
        <v>54</v>
      </c>
      <c r="AB68" s="563">
        <f t="shared" si="68"/>
        <v>53</v>
      </c>
      <c r="AC68" s="563">
        <f t="shared" si="68"/>
        <v>53</v>
      </c>
      <c r="AD68" s="563">
        <f t="shared" si="68"/>
        <v>52</v>
      </c>
      <c r="AE68" s="563">
        <f t="shared" si="68"/>
        <v>52</v>
      </c>
      <c r="AF68" s="580">
        <f t="shared" si="68"/>
        <v>51</v>
      </c>
      <c r="AG68" s="563">
        <f t="shared" si="68"/>
        <v>51</v>
      </c>
      <c r="AH68" s="563">
        <f t="shared" si="68"/>
        <v>50</v>
      </c>
      <c r="AI68" s="563">
        <f t="shared" si="68"/>
        <v>50</v>
      </c>
      <c r="AJ68" s="563">
        <f t="shared" si="68"/>
        <v>49</v>
      </c>
      <c r="AK68" s="579">
        <f t="shared" si="68"/>
        <v>49</v>
      </c>
      <c r="AL68" s="563">
        <f t="shared" si="68"/>
        <v>48</v>
      </c>
      <c r="AM68" s="563">
        <f t="shared" si="68"/>
        <v>48</v>
      </c>
      <c r="AN68" s="563">
        <f t="shared" si="68"/>
        <v>47</v>
      </c>
      <c r="AO68" s="563">
        <f t="shared" si="68"/>
        <v>47</v>
      </c>
      <c r="AP68" s="580">
        <f t="shared" si="68"/>
        <v>46</v>
      </c>
      <c r="AQ68" s="563">
        <f t="shared" si="68"/>
        <v>46</v>
      </c>
      <c r="AR68" s="563">
        <f t="shared" si="68"/>
        <v>45</v>
      </c>
      <c r="AS68" s="563">
        <f t="shared" si="68"/>
        <v>45</v>
      </c>
      <c r="AT68" s="563">
        <f t="shared" si="68"/>
        <v>44</v>
      </c>
      <c r="AU68" s="579">
        <f t="shared" si="68"/>
        <v>44</v>
      </c>
      <c r="AV68" s="563">
        <f t="shared" si="68"/>
        <v>43</v>
      </c>
      <c r="AW68" s="563">
        <f t="shared" si="68"/>
        <v>43</v>
      </c>
      <c r="AX68" s="563">
        <f t="shared" si="68"/>
        <v>42</v>
      </c>
      <c r="AY68" s="563">
        <f t="shared" si="68"/>
        <v>42</v>
      </c>
      <c r="AZ68" s="580">
        <f t="shared" si="68"/>
        <v>41</v>
      </c>
      <c r="BA68" s="563">
        <f t="shared" si="68"/>
        <v>41</v>
      </c>
      <c r="BB68" s="563">
        <f t="shared" si="68"/>
        <v>40</v>
      </c>
      <c r="BC68" s="563">
        <f t="shared" si="68"/>
        <v>40</v>
      </c>
      <c r="BD68" s="563">
        <f t="shared" si="68"/>
        <v>39</v>
      </c>
      <c r="BE68" s="579">
        <f t="shared" si="68"/>
        <v>39</v>
      </c>
      <c r="BF68" s="563">
        <f t="shared" si="68"/>
        <v>38</v>
      </c>
      <c r="BG68" s="563">
        <f t="shared" si="68"/>
        <v>38</v>
      </c>
      <c r="BH68" s="563">
        <f t="shared" si="68"/>
        <v>37</v>
      </c>
      <c r="BI68" s="563">
        <f t="shared" si="68"/>
        <v>37</v>
      </c>
      <c r="BJ68" s="580">
        <f t="shared" si="68"/>
        <v>36</v>
      </c>
      <c r="BK68" s="563">
        <f t="shared" si="68"/>
        <v>36</v>
      </c>
      <c r="BL68" s="563">
        <f t="shared" si="68"/>
        <v>35</v>
      </c>
      <c r="BM68" s="563">
        <f t="shared" si="68"/>
        <v>35</v>
      </c>
      <c r="BN68" s="563">
        <f t="shared" si="68"/>
        <v>34</v>
      </c>
      <c r="BO68" s="579">
        <f t="shared" si="68"/>
        <v>34</v>
      </c>
      <c r="BP68" s="563">
        <f t="shared" si="68"/>
        <v>33</v>
      </c>
      <c r="BQ68" s="563">
        <f t="shared" si="68"/>
        <v>35</v>
      </c>
      <c r="BR68" s="563">
        <f t="shared" si="68"/>
        <v>37</v>
      </c>
      <c r="BS68" s="563">
        <f t="shared" si="68"/>
        <v>39</v>
      </c>
      <c r="BT68" s="580">
        <f t="shared" si="68"/>
        <v>41</v>
      </c>
      <c r="BU68" s="563">
        <f t="shared" si="68"/>
        <v>43</v>
      </c>
      <c r="BV68" s="563">
        <f t="shared" si="68"/>
        <v>45</v>
      </c>
      <c r="BW68" s="563">
        <f t="shared" si="68"/>
        <v>47</v>
      </c>
      <c r="BX68" s="563">
        <f t="shared" si="68"/>
        <v>49</v>
      </c>
      <c r="BY68" s="579">
        <f t="shared" si="68"/>
        <v>51</v>
      </c>
      <c r="BZ68" s="563">
        <f t="shared" si="68"/>
        <v>53</v>
      </c>
      <c r="CA68" s="563">
        <f t="shared" si="68"/>
        <v>55</v>
      </c>
      <c r="CB68" s="563">
        <f t="shared" si="68"/>
        <v>57</v>
      </c>
      <c r="CC68" s="563">
        <f t="shared" si="68"/>
        <v>59</v>
      </c>
      <c r="CD68" s="580">
        <f t="shared" si="68"/>
        <v>61</v>
      </c>
      <c r="CE68" s="563">
        <f t="shared" si="68"/>
        <v>63</v>
      </c>
      <c r="CF68" s="563">
        <f t="shared" si="68"/>
        <v>65</v>
      </c>
      <c r="CG68" s="563">
        <f t="shared" si="68"/>
        <v>67</v>
      </c>
      <c r="CH68" s="563">
        <f t="shared" si="68"/>
        <v>69</v>
      </c>
      <c r="CI68" s="579">
        <f t="shared" si="68"/>
        <v>71</v>
      </c>
      <c r="CJ68" s="563">
        <f t="shared" si="68"/>
        <v>73</v>
      </c>
      <c r="CK68" s="563">
        <f t="shared" si="68"/>
        <v>75</v>
      </c>
      <c r="CL68" s="563">
        <f t="shared" si="68"/>
        <v>77</v>
      </c>
      <c r="CM68" s="563">
        <f t="shared" si="68"/>
        <v>79</v>
      </c>
      <c r="CN68" s="580">
        <f t="shared" si="68"/>
        <v>81</v>
      </c>
      <c r="CO68" s="563">
        <f t="shared" si="68"/>
        <v>83</v>
      </c>
      <c r="CP68" s="563">
        <f t="shared" si="68"/>
        <v>85</v>
      </c>
      <c r="CQ68" s="563">
        <f t="shared" si="68"/>
        <v>87</v>
      </c>
      <c r="CR68" s="563">
        <f t="shared" si="68"/>
        <v>89</v>
      </c>
      <c r="CS68" s="579">
        <f t="shared" si="68"/>
        <v>91</v>
      </c>
      <c r="CT68" s="563">
        <f t="shared" si="68"/>
        <v>93</v>
      </c>
      <c r="CU68" s="563">
        <f t="shared" si="68"/>
        <v>95</v>
      </c>
      <c r="CV68" s="563">
        <f t="shared" si="68"/>
        <v>97</v>
      </c>
      <c r="CW68" s="563">
        <f t="shared" si="68"/>
        <v>99</v>
      </c>
      <c r="CX68" s="563"/>
    </row>
    <row r="69" ht="10.5" customHeight="1">
      <c r="A69" s="543"/>
      <c r="B69" s="563">
        <f t="shared" si="4"/>
        <v>67</v>
      </c>
      <c r="C69" s="563">
        <f t="shared" ref="C69:CW69" si="69">IF(LT(IF(GT(C$2,MIN($B69,99)),C$2,MIN($B69,99)),99-FLOOR(C$2/2,1)),IF(GT(C$2,MIN($B69,99)),C$2,MIN($B69,99))-FLOOR(C$2/2,1),2*IF(GT(C$2,MIN($B69,99)),C$2,MIN($B69,99))-99)</f>
        <v>67</v>
      </c>
      <c r="D69" s="563">
        <f t="shared" si="69"/>
        <v>66</v>
      </c>
      <c r="E69" s="563">
        <f t="shared" si="69"/>
        <v>66</v>
      </c>
      <c r="F69" s="563">
        <f t="shared" si="69"/>
        <v>65</v>
      </c>
      <c r="G69" s="579">
        <f t="shared" si="69"/>
        <v>65</v>
      </c>
      <c r="H69" s="563">
        <f t="shared" si="69"/>
        <v>64</v>
      </c>
      <c r="I69" s="563">
        <f t="shared" si="69"/>
        <v>64</v>
      </c>
      <c r="J69" s="563">
        <f t="shared" si="69"/>
        <v>63</v>
      </c>
      <c r="K69" s="563">
        <f t="shared" si="69"/>
        <v>63</v>
      </c>
      <c r="L69" s="580">
        <f t="shared" si="69"/>
        <v>62</v>
      </c>
      <c r="M69" s="563">
        <f t="shared" si="69"/>
        <v>62</v>
      </c>
      <c r="N69" s="563">
        <f t="shared" si="69"/>
        <v>61</v>
      </c>
      <c r="O69" s="563">
        <f t="shared" si="69"/>
        <v>61</v>
      </c>
      <c r="P69" s="563">
        <f t="shared" si="69"/>
        <v>60</v>
      </c>
      <c r="Q69" s="579">
        <f t="shared" si="69"/>
        <v>60</v>
      </c>
      <c r="R69" s="563">
        <f t="shared" si="69"/>
        <v>59</v>
      </c>
      <c r="S69" s="563">
        <f t="shared" si="69"/>
        <v>59</v>
      </c>
      <c r="T69" s="563">
        <f t="shared" si="69"/>
        <v>58</v>
      </c>
      <c r="U69" s="563">
        <f t="shared" si="69"/>
        <v>58</v>
      </c>
      <c r="V69" s="580">
        <f t="shared" si="69"/>
        <v>57</v>
      </c>
      <c r="W69" s="563">
        <f t="shared" si="69"/>
        <v>57</v>
      </c>
      <c r="X69" s="563">
        <f t="shared" si="69"/>
        <v>56</v>
      </c>
      <c r="Y69" s="563">
        <f t="shared" si="69"/>
        <v>56</v>
      </c>
      <c r="Z69" s="563">
        <f t="shared" si="69"/>
        <v>55</v>
      </c>
      <c r="AA69" s="579">
        <f t="shared" si="69"/>
        <v>55</v>
      </c>
      <c r="AB69" s="563">
        <f t="shared" si="69"/>
        <v>54</v>
      </c>
      <c r="AC69" s="563">
        <f t="shared" si="69"/>
        <v>54</v>
      </c>
      <c r="AD69" s="563">
        <f t="shared" si="69"/>
        <v>53</v>
      </c>
      <c r="AE69" s="563">
        <f t="shared" si="69"/>
        <v>53</v>
      </c>
      <c r="AF69" s="580">
        <f t="shared" si="69"/>
        <v>52</v>
      </c>
      <c r="AG69" s="563">
        <f t="shared" si="69"/>
        <v>52</v>
      </c>
      <c r="AH69" s="563">
        <f t="shared" si="69"/>
        <v>51</v>
      </c>
      <c r="AI69" s="563">
        <f t="shared" si="69"/>
        <v>51</v>
      </c>
      <c r="AJ69" s="563">
        <f t="shared" si="69"/>
        <v>50</v>
      </c>
      <c r="AK69" s="579">
        <f t="shared" si="69"/>
        <v>50</v>
      </c>
      <c r="AL69" s="563">
        <f t="shared" si="69"/>
        <v>49</v>
      </c>
      <c r="AM69" s="563">
        <f t="shared" si="69"/>
        <v>49</v>
      </c>
      <c r="AN69" s="563">
        <f t="shared" si="69"/>
        <v>48</v>
      </c>
      <c r="AO69" s="563">
        <f t="shared" si="69"/>
        <v>48</v>
      </c>
      <c r="AP69" s="580">
        <f t="shared" si="69"/>
        <v>47</v>
      </c>
      <c r="AQ69" s="563">
        <f t="shared" si="69"/>
        <v>47</v>
      </c>
      <c r="AR69" s="563">
        <f t="shared" si="69"/>
        <v>46</v>
      </c>
      <c r="AS69" s="563">
        <f t="shared" si="69"/>
        <v>46</v>
      </c>
      <c r="AT69" s="563">
        <f t="shared" si="69"/>
        <v>45</v>
      </c>
      <c r="AU69" s="579">
        <f t="shared" si="69"/>
        <v>45</v>
      </c>
      <c r="AV69" s="563">
        <f t="shared" si="69"/>
        <v>44</v>
      </c>
      <c r="AW69" s="563">
        <f t="shared" si="69"/>
        <v>44</v>
      </c>
      <c r="AX69" s="563">
        <f t="shared" si="69"/>
        <v>43</v>
      </c>
      <c r="AY69" s="563">
        <f t="shared" si="69"/>
        <v>43</v>
      </c>
      <c r="AZ69" s="580">
        <f t="shared" si="69"/>
        <v>42</v>
      </c>
      <c r="BA69" s="563">
        <f t="shared" si="69"/>
        <v>42</v>
      </c>
      <c r="BB69" s="563">
        <f t="shared" si="69"/>
        <v>41</v>
      </c>
      <c r="BC69" s="563">
        <f t="shared" si="69"/>
        <v>41</v>
      </c>
      <c r="BD69" s="563">
        <f t="shared" si="69"/>
        <v>40</v>
      </c>
      <c r="BE69" s="579">
        <f t="shared" si="69"/>
        <v>40</v>
      </c>
      <c r="BF69" s="563">
        <f t="shared" si="69"/>
        <v>39</v>
      </c>
      <c r="BG69" s="563">
        <f t="shared" si="69"/>
        <v>39</v>
      </c>
      <c r="BH69" s="563">
        <f t="shared" si="69"/>
        <v>38</v>
      </c>
      <c r="BI69" s="563">
        <f t="shared" si="69"/>
        <v>38</v>
      </c>
      <c r="BJ69" s="580">
        <f t="shared" si="69"/>
        <v>37</v>
      </c>
      <c r="BK69" s="563">
        <f t="shared" si="69"/>
        <v>37</v>
      </c>
      <c r="BL69" s="563">
        <f t="shared" si="69"/>
        <v>36</v>
      </c>
      <c r="BM69" s="563">
        <f t="shared" si="69"/>
        <v>36</v>
      </c>
      <c r="BN69" s="563">
        <f t="shared" si="69"/>
        <v>35</v>
      </c>
      <c r="BO69" s="579">
        <f t="shared" si="69"/>
        <v>35</v>
      </c>
      <c r="BP69" s="563">
        <f t="shared" si="69"/>
        <v>35</v>
      </c>
      <c r="BQ69" s="563">
        <f t="shared" si="69"/>
        <v>35</v>
      </c>
      <c r="BR69" s="563">
        <f t="shared" si="69"/>
        <v>37</v>
      </c>
      <c r="BS69" s="563">
        <f t="shared" si="69"/>
        <v>39</v>
      </c>
      <c r="BT69" s="580">
        <f t="shared" si="69"/>
        <v>41</v>
      </c>
      <c r="BU69" s="563">
        <f t="shared" si="69"/>
        <v>43</v>
      </c>
      <c r="BV69" s="563">
        <f t="shared" si="69"/>
        <v>45</v>
      </c>
      <c r="BW69" s="563">
        <f t="shared" si="69"/>
        <v>47</v>
      </c>
      <c r="BX69" s="563">
        <f t="shared" si="69"/>
        <v>49</v>
      </c>
      <c r="BY69" s="579">
        <f t="shared" si="69"/>
        <v>51</v>
      </c>
      <c r="BZ69" s="563">
        <f t="shared" si="69"/>
        <v>53</v>
      </c>
      <c r="CA69" s="563">
        <f t="shared" si="69"/>
        <v>55</v>
      </c>
      <c r="CB69" s="563">
        <f t="shared" si="69"/>
        <v>57</v>
      </c>
      <c r="CC69" s="563">
        <f t="shared" si="69"/>
        <v>59</v>
      </c>
      <c r="CD69" s="580">
        <f t="shared" si="69"/>
        <v>61</v>
      </c>
      <c r="CE69" s="563">
        <f t="shared" si="69"/>
        <v>63</v>
      </c>
      <c r="CF69" s="563">
        <f t="shared" si="69"/>
        <v>65</v>
      </c>
      <c r="CG69" s="563">
        <f t="shared" si="69"/>
        <v>67</v>
      </c>
      <c r="CH69" s="563">
        <f t="shared" si="69"/>
        <v>69</v>
      </c>
      <c r="CI69" s="579">
        <f t="shared" si="69"/>
        <v>71</v>
      </c>
      <c r="CJ69" s="563">
        <f t="shared" si="69"/>
        <v>73</v>
      </c>
      <c r="CK69" s="563">
        <f t="shared" si="69"/>
        <v>75</v>
      </c>
      <c r="CL69" s="563">
        <f t="shared" si="69"/>
        <v>77</v>
      </c>
      <c r="CM69" s="563">
        <f t="shared" si="69"/>
        <v>79</v>
      </c>
      <c r="CN69" s="580">
        <f t="shared" si="69"/>
        <v>81</v>
      </c>
      <c r="CO69" s="563">
        <f t="shared" si="69"/>
        <v>83</v>
      </c>
      <c r="CP69" s="563">
        <f t="shared" si="69"/>
        <v>85</v>
      </c>
      <c r="CQ69" s="563">
        <f t="shared" si="69"/>
        <v>87</v>
      </c>
      <c r="CR69" s="563">
        <f t="shared" si="69"/>
        <v>89</v>
      </c>
      <c r="CS69" s="579">
        <f t="shared" si="69"/>
        <v>91</v>
      </c>
      <c r="CT69" s="563">
        <f t="shared" si="69"/>
        <v>93</v>
      </c>
      <c r="CU69" s="563">
        <f t="shared" si="69"/>
        <v>95</v>
      </c>
      <c r="CV69" s="563">
        <f t="shared" si="69"/>
        <v>97</v>
      </c>
      <c r="CW69" s="563">
        <f t="shared" si="69"/>
        <v>99</v>
      </c>
      <c r="CX69" s="563"/>
    </row>
    <row r="70" ht="10.5" customHeight="1">
      <c r="A70" s="543"/>
      <c r="B70" s="563">
        <f t="shared" si="4"/>
        <v>68</v>
      </c>
      <c r="C70" s="563">
        <f t="shared" ref="C70:CW70" si="70">IF(LT(IF(GT(C$2,MIN($B70,99)),C$2,MIN($B70,99)),99-FLOOR(C$2/2,1)),IF(GT(C$2,MIN($B70,99)),C$2,MIN($B70,99))-FLOOR(C$2/2,1),2*IF(GT(C$2,MIN($B70,99)),C$2,MIN($B70,99))-99)</f>
        <v>68</v>
      </c>
      <c r="D70" s="563">
        <f t="shared" si="70"/>
        <v>67</v>
      </c>
      <c r="E70" s="563">
        <f t="shared" si="70"/>
        <v>67</v>
      </c>
      <c r="F70" s="563">
        <f t="shared" si="70"/>
        <v>66</v>
      </c>
      <c r="G70" s="579">
        <f t="shared" si="70"/>
        <v>66</v>
      </c>
      <c r="H70" s="563">
        <f t="shared" si="70"/>
        <v>65</v>
      </c>
      <c r="I70" s="563">
        <f t="shared" si="70"/>
        <v>65</v>
      </c>
      <c r="J70" s="563">
        <f t="shared" si="70"/>
        <v>64</v>
      </c>
      <c r="K70" s="563">
        <f t="shared" si="70"/>
        <v>64</v>
      </c>
      <c r="L70" s="580">
        <f t="shared" si="70"/>
        <v>63</v>
      </c>
      <c r="M70" s="563">
        <f t="shared" si="70"/>
        <v>63</v>
      </c>
      <c r="N70" s="563">
        <f t="shared" si="70"/>
        <v>62</v>
      </c>
      <c r="O70" s="563">
        <f t="shared" si="70"/>
        <v>62</v>
      </c>
      <c r="P70" s="563">
        <f t="shared" si="70"/>
        <v>61</v>
      </c>
      <c r="Q70" s="579">
        <f t="shared" si="70"/>
        <v>61</v>
      </c>
      <c r="R70" s="563">
        <f t="shared" si="70"/>
        <v>60</v>
      </c>
      <c r="S70" s="563">
        <f t="shared" si="70"/>
        <v>60</v>
      </c>
      <c r="T70" s="563">
        <f t="shared" si="70"/>
        <v>59</v>
      </c>
      <c r="U70" s="563">
        <f t="shared" si="70"/>
        <v>59</v>
      </c>
      <c r="V70" s="580">
        <f t="shared" si="70"/>
        <v>58</v>
      </c>
      <c r="W70" s="563">
        <f t="shared" si="70"/>
        <v>58</v>
      </c>
      <c r="X70" s="563">
        <f t="shared" si="70"/>
        <v>57</v>
      </c>
      <c r="Y70" s="563">
        <f t="shared" si="70"/>
        <v>57</v>
      </c>
      <c r="Z70" s="563">
        <f t="shared" si="70"/>
        <v>56</v>
      </c>
      <c r="AA70" s="579">
        <f t="shared" si="70"/>
        <v>56</v>
      </c>
      <c r="AB70" s="563">
        <f t="shared" si="70"/>
        <v>55</v>
      </c>
      <c r="AC70" s="563">
        <f t="shared" si="70"/>
        <v>55</v>
      </c>
      <c r="AD70" s="563">
        <f t="shared" si="70"/>
        <v>54</v>
      </c>
      <c r="AE70" s="563">
        <f t="shared" si="70"/>
        <v>54</v>
      </c>
      <c r="AF70" s="580">
        <f t="shared" si="70"/>
        <v>53</v>
      </c>
      <c r="AG70" s="563">
        <f t="shared" si="70"/>
        <v>53</v>
      </c>
      <c r="AH70" s="563">
        <f t="shared" si="70"/>
        <v>52</v>
      </c>
      <c r="AI70" s="563">
        <f t="shared" si="70"/>
        <v>52</v>
      </c>
      <c r="AJ70" s="563">
        <f t="shared" si="70"/>
        <v>51</v>
      </c>
      <c r="AK70" s="579">
        <f t="shared" si="70"/>
        <v>51</v>
      </c>
      <c r="AL70" s="563">
        <f t="shared" si="70"/>
        <v>50</v>
      </c>
      <c r="AM70" s="563">
        <f t="shared" si="70"/>
        <v>50</v>
      </c>
      <c r="AN70" s="563">
        <f t="shared" si="70"/>
        <v>49</v>
      </c>
      <c r="AO70" s="563">
        <f t="shared" si="70"/>
        <v>49</v>
      </c>
      <c r="AP70" s="580">
        <f t="shared" si="70"/>
        <v>48</v>
      </c>
      <c r="AQ70" s="563">
        <f t="shared" si="70"/>
        <v>48</v>
      </c>
      <c r="AR70" s="563">
        <f t="shared" si="70"/>
        <v>47</v>
      </c>
      <c r="AS70" s="563">
        <f t="shared" si="70"/>
        <v>47</v>
      </c>
      <c r="AT70" s="563">
        <f t="shared" si="70"/>
        <v>46</v>
      </c>
      <c r="AU70" s="579">
        <f t="shared" si="70"/>
        <v>46</v>
      </c>
      <c r="AV70" s="563">
        <f t="shared" si="70"/>
        <v>45</v>
      </c>
      <c r="AW70" s="563">
        <f t="shared" si="70"/>
        <v>45</v>
      </c>
      <c r="AX70" s="563">
        <f t="shared" si="70"/>
        <v>44</v>
      </c>
      <c r="AY70" s="563">
        <f t="shared" si="70"/>
        <v>44</v>
      </c>
      <c r="AZ70" s="580">
        <f t="shared" si="70"/>
        <v>43</v>
      </c>
      <c r="BA70" s="563">
        <f t="shared" si="70"/>
        <v>43</v>
      </c>
      <c r="BB70" s="563">
        <f t="shared" si="70"/>
        <v>42</v>
      </c>
      <c r="BC70" s="563">
        <f t="shared" si="70"/>
        <v>42</v>
      </c>
      <c r="BD70" s="563">
        <f t="shared" si="70"/>
        <v>41</v>
      </c>
      <c r="BE70" s="579">
        <f t="shared" si="70"/>
        <v>41</v>
      </c>
      <c r="BF70" s="563">
        <f t="shared" si="70"/>
        <v>40</v>
      </c>
      <c r="BG70" s="563">
        <f t="shared" si="70"/>
        <v>40</v>
      </c>
      <c r="BH70" s="563">
        <f t="shared" si="70"/>
        <v>39</v>
      </c>
      <c r="BI70" s="563">
        <f t="shared" si="70"/>
        <v>39</v>
      </c>
      <c r="BJ70" s="580">
        <f t="shared" si="70"/>
        <v>38</v>
      </c>
      <c r="BK70" s="563">
        <f t="shared" si="70"/>
        <v>38</v>
      </c>
      <c r="BL70" s="563">
        <f t="shared" si="70"/>
        <v>37</v>
      </c>
      <c r="BM70" s="563">
        <f t="shared" si="70"/>
        <v>37</v>
      </c>
      <c r="BN70" s="563">
        <f t="shared" si="70"/>
        <v>37</v>
      </c>
      <c r="BO70" s="579">
        <f t="shared" si="70"/>
        <v>37</v>
      </c>
      <c r="BP70" s="563">
        <f t="shared" si="70"/>
        <v>37</v>
      </c>
      <c r="BQ70" s="563">
        <f t="shared" si="70"/>
        <v>37</v>
      </c>
      <c r="BR70" s="563">
        <f t="shared" si="70"/>
        <v>37</v>
      </c>
      <c r="BS70" s="563">
        <f t="shared" si="70"/>
        <v>39</v>
      </c>
      <c r="BT70" s="580">
        <f t="shared" si="70"/>
        <v>41</v>
      </c>
      <c r="BU70" s="563">
        <f t="shared" si="70"/>
        <v>43</v>
      </c>
      <c r="BV70" s="563">
        <f t="shared" si="70"/>
        <v>45</v>
      </c>
      <c r="BW70" s="563">
        <f t="shared" si="70"/>
        <v>47</v>
      </c>
      <c r="BX70" s="563">
        <f t="shared" si="70"/>
        <v>49</v>
      </c>
      <c r="BY70" s="579">
        <f t="shared" si="70"/>
        <v>51</v>
      </c>
      <c r="BZ70" s="563">
        <f t="shared" si="70"/>
        <v>53</v>
      </c>
      <c r="CA70" s="563">
        <f t="shared" si="70"/>
        <v>55</v>
      </c>
      <c r="CB70" s="563">
        <f t="shared" si="70"/>
        <v>57</v>
      </c>
      <c r="CC70" s="563">
        <f t="shared" si="70"/>
        <v>59</v>
      </c>
      <c r="CD70" s="580">
        <f t="shared" si="70"/>
        <v>61</v>
      </c>
      <c r="CE70" s="563">
        <f t="shared" si="70"/>
        <v>63</v>
      </c>
      <c r="CF70" s="563">
        <f t="shared" si="70"/>
        <v>65</v>
      </c>
      <c r="CG70" s="563">
        <f t="shared" si="70"/>
        <v>67</v>
      </c>
      <c r="CH70" s="563">
        <f t="shared" si="70"/>
        <v>69</v>
      </c>
      <c r="CI70" s="579">
        <f t="shared" si="70"/>
        <v>71</v>
      </c>
      <c r="CJ70" s="563">
        <f t="shared" si="70"/>
        <v>73</v>
      </c>
      <c r="CK70" s="563">
        <f t="shared" si="70"/>
        <v>75</v>
      </c>
      <c r="CL70" s="563">
        <f t="shared" si="70"/>
        <v>77</v>
      </c>
      <c r="CM70" s="563">
        <f t="shared" si="70"/>
        <v>79</v>
      </c>
      <c r="CN70" s="580">
        <f t="shared" si="70"/>
        <v>81</v>
      </c>
      <c r="CO70" s="563">
        <f t="shared" si="70"/>
        <v>83</v>
      </c>
      <c r="CP70" s="563">
        <f t="shared" si="70"/>
        <v>85</v>
      </c>
      <c r="CQ70" s="563">
        <f t="shared" si="70"/>
        <v>87</v>
      </c>
      <c r="CR70" s="563">
        <f t="shared" si="70"/>
        <v>89</v>
      </c>
      <c r="CS70" s="579">
        <f t="shared" si="70"/>
        <v>91</v>
      </c>
      <c r="CT70" s="563">
        <f t="shared" si="70"/>
        <v>93</v>
      </c>
      <c r="CU70" s="563">
        <f t="shared" si="70"/>
        <v>95</v>
      </c>
      <c r="CV70" s="563">
        <f t="shared" si="70"/>
        <v>97</v>
      </c>
      <c r="CW70" s="563">
        <f t="shared" si="70"/>
        <v>99</v>
      </c>
      <c r="CX70" s="563"/>
    </row>
    <row r="71" ht="10.5" customHeight="1">
      <c r="A71" s="543"/>
      <c r="B71" s="563">
        <f t="shared" si="4"/>
        <v>69</v>
      </c>
      <c r="C71" s="563">
        <f t="shared" ref="C71:CW71" si="71">IF(LT(IF(GT(C$2,MIN($B71,99)),C$2,MIN($B71,99)),99-FLOOR(C$2/2,1)),IF(GT(C$2,MIN($B71,99)),C$2,MIN($B71,99))-FLOOR(C$2/2,1),2*IF(GT(C$2,MIN($B71,99)),C$2,MIN($B71,99))-99)</f>
        <v>69</v>
      </c>
      <c r="D71" s="563">
        <f t="shared" si="71"/>
        <v>68</v>
      </c>
      <c r="E71" s="563">
        <f t="shared" si="71"/>
        <v>68</v>
      </c>
      <c r="F71" s="563">
        <f t="shared" si="71"/>
        <v>67</v>
      </c>
      <c r="G71" s="579">
        <f t="shared" si="71"/>
        <v>67</v>
      </c>
      <c r="H71" s="563">
        <f t="shared" si="71"/>
        <v>66</v>
      </c>
      <c r="I71" s="563">
        <f t="shared" si="71"/>
        <v>66</v>
      </c>
      <c r="J71" s="563">
        <f t="shared" si="71"/>
        <v>65</v>
      </c>
      <c r="K71" s="563">
        <f t="shared" si="71"/>
        <v>65</v>
      </c>
      <c r="L71" s="580">
        <f t="shared" si="71"/>
        <v>64</v>
      </c>
      <c r="M71" s="563">
        <f t="shared" si="71"/>
        <v>64</v>
      </c>
      <c r="N71" s="563">
        <f t="shared" si="71"/>
        <v>63</v>
      </c>
      <c r="O71" s="563">
        <f t="shared" si="71"/>
        <v>63</v>
      </c>
      <c r="P71" s="563">
        <f t="shared" si="71"/>
        <v>62</v>
      </c>
      <c r="Q71" s="579">
        <f t="shared" si="71"/>
        <v>62</v>
      </c>
      <c r="R71" s="563">
        <f t="shared" si="71"/>
        <v>61</v>
      </c>
      <c r="S71" s="563">
        <f t="shared" si="71"/>
        <v>61</v>
      </c>
      <c r="T71" s="563">
        <f t="shared" si="71"/>
        <v>60</v>
      </c>
      <c r="U71" s="563">
        <f t="shared" si="71"/>
        <v>60</v>
      </c>
      <c r="V71" s="580">
        <f t="shared" si="71"/>
        <v>59</v>
      </c>
      <c r="W71" s="563">
        <f t="shared" si="71"/>
        <v>59</v>
      </c>
      <c r="X71" s="563">
        <f t="shared" si="71"/>
        <v>58</v>
      </c>
      <c r="Y71" s="563">
        <f t="shared" si="71"/>
        <v>58</v>
      </c>
      <c r="Z71" s="563">
        <f t="shared" si="71"/>
        <v>57</v>
      </c>
      <c r="AA71" s="579">
        <f t="shared" si="71"/>
        <v>57</v>
      </c>
      <c r="AB71" s="563">
        <f t="shared" si="71"/>
        <v>56</v>
      </c>
      <c r="AC71" s="563">
        <f t="shared" si="71"/>
        <v>56</v>
      </c>
      <c r="AD71" s="563">
        <f t="shared" si="71"/>
        <v>55</v>
      </c>
      <c r="AE71" s="563">
        <f t="shared" si="71"/>
        <v>55</v>
      </c>
      <c r="AF71" s="580">
        <f t="shared" si="71"/>
        <v>54</v>
      </c>
      <c r="AG71" s="563">
        <f t="shared" si="71"/>
        <v>54</v>
      </c>
      <c r="AH71" s="563">
        <f t="shared" si="71"/>
        <v>53</v>
      </c>
      <c r="AI71" s="563">
        <f t="shared" si="71"/>
        <v>53</v>
      </c>
      <c r="AJ71" s="563">
        <f t="shared" si="71"/>
        <v>52</v>
      </c>
      <c r="AK71" s="579">
        <f t="shared" si="71"/>
        <v>52</v>
      </c>
      <c r="AL71" s="563">
        <f t="shared" si="71"/>
        <v>51</v>
      </c>
      <c r="AM71" s="563">
        <f t="shared" si="71"/>
        <v>51</v>
      </c>
      <c r="AN71" s="563">
        <f t="shared" si="71"/>
        <v>50</v>
      </c>
      <c r="AO71" s="563">
        <f t="shared" si="71"/>
        <v>50</v>
      </c>
      <c r="AP71" s="580">
        <f t="shared" si="71"/>
        <v>49</v>
      </c>
      <c r="AQ71" s="563">
        <f t="shared" si="71"/>
        <v>49</v>
      </c>
      <c r="AR71" s="563">
        <f t="shared" si="71"/>
        <v>48</v>
      </c>
      <c r="AS71" s="563">
        <f t="shared" si="71"/>
        <v>48</v>
      </c>
      <c r="AT71" s="563">
        <f t="shared" si="71"/>
        <v>47</v>
      </c>
      <c r="AU71" s="579">
        <f t="shared" si="71"/>
        <v>47</v>
      </c>
      <c r="AV71" s="563">
        <f t="shared" si="71"/>
        <v>46</v>
      </c>
      <c r="AW71" s="563">
        <f t="shared" si="71"/>
        <v>46</v>
      </c>
      <c r="AX71" s="563">
        <f t="shared" si="71"/>
        <v>45</v>
      </c>
      <c r="AY71" s="563">
        <f t="shared" si="71"/>
        <v>45</v>
      </c>
      <c r="AZ71" s="580">
        <f t="shared" si="71"/>
        <v>44</v>
      </c>
      <c r="BA71" s="563">
        <f t="shared" si="71"/>
        <v>44</v>
      </c>
      <c r="BB71" s="563">
        <f t="shared" si="71"/>
        <v>43</v>
      </c>
      <c r="BC71" s="563">
        <f t="shared" si="71"/>
        <v>43</v>
      </c>
      <c r="BD71" s="563">
        <f t="shared" si="71"/>
        <v>42</v>
      </c>
      <c r="BE71" s="579">
        <f t="shared" si="71"/>
        <v>42</v>
      </c>
      <c r="BF71" s="563">
        <f t="shared" si="71"/>
        <v>41</v>
      </c>
      <c r="BG71" s="563">
        <f t="shared" si="71"/>
        <v>41</v>
      </c>
      <c r="BH71" s="563">
        <f t="shared" si="71"/>
        <v>40</v>
      </c>
      <c r="BI71" s="563">
        <f t="shared" si="71"/>
        <v>40</v>
      </c>
      <c r="BJ71" s="580">
        <f t="shared" si="71"/>
        <v>39</v>
      </c>
      <c r="BK71" s="563">
        <f t="shared" si="71"/>
        <v>39</v>
      </c>
      <c r="BL71" s="563">
        <f t="shared" si="71"/>
        <v>39</v>
      </c>
      <c r="BM71" s="563">
        <f t="shared" si="71"/>
        <v>39</v>
      </c>
      <c r="BN71" s="563">
        <f t="shared" si="71"/>
        <v>39</v>
      </c>
      <c r="BO71" s="579">
        <f t="shared" si="71"/>
        <v>39</v>
      </c>
      <c r="BP71" s="563">
        <f t="shared" si="71"/>
        <v>39</v>
      </c>
      <c r="BQ71" s="563">
        <f t="shared" si="71"/>
        <v>39</v>
      </c>
      <c r="BR71" s="563">
        <f t="shared" si="71"/>
        <v>39</v>
      </c>
      <c r="BS71" s="563">
        <f t="shared" si="71"/>
        <v>39</v>
      </c>
      <c r="BT71" s="580">
        <f t="shared" si="71"/>
        <v>41</v>
      </c>
      <c r="BU71" s="563">
        <f t="shared" si="71"/>
        <v>43</v>
      </c>
      <c r="BV71" s="563">
        <f t="shared" si="71"/>
        <v>45</v>
      </c>
      <c r="BW71" s="563">
        <f t="shared" si="71"/>
        <v>47</v>
      </c>
      <c r="BX71" s="563">
        <f t="shared" si="71"/>
        <v>49</v>
      </c>
      <c r="BY71" s="579">
        <f t="shared" si="71"/>
        <v>51</v>
      </c>
      <c r="BZ71" s="563">
        <f t="shared" si="71"/>
        <v>53</v>
      </c>
      <c r="CA71" s="563">
        <f t="shared" si="71"/>
        <v>55</v>
      </c>
      <c r="CB71" s="563">
        <f t="shared" si="71"/>
        <v>57</v>
      </c>
      <c r="CC71" s="563">
        <f t="shared" si="71"/>
        <v>59</v>
      </c>
      <c r="CD71" s="580">
        <f t="shared" si="71"/>
        <v>61</v>
      </c>
      <c r="CE71" s="563">
        <f t="shared" si="71"/>
        <v>63</v>
      </c>
      <c r="CF71" s="563">
        <f t="shared" si="71"/>
        <v>65</v>
      </c>
      <c r="CG71" s="563">
        <f t="shared" si="71"/>
        <v>67</v>
      </c>
      <c r="CH71" s="563">
        <f t="shared" si="71"/>
        <v>69</v>
      </c>
      <c r="CI71" s="579">
        <f t="shared" si="71"/>
        <v>71</v>
      </c>
      <c r="CJ71" s="563">
        <f t="shared" si="71"/>
        <v>73</v>
      </c>
      <c r="CK71" s="563">
        <f t="shared" si="71"/>
        <v>75</v>
      </c>
      <c r="CL71" s="563">
        <f t="shared" si="71"/>
        <v>77</v>
      </c>
      <c r="CM71" s="563">
        <f t="shared" si="71"/>
        <v>79</v>
      </c>
      <c r="CN71" s="580">
        <f t="shared" si="71"/>
        <v>81</v>
      </c>
      <c r="CO71" s="563">
        <f t="shared" si="71"/>
        <v>83</v>
      </c>
      <c r="CP71" s="563">
        <f t="shared" si="71"/>
        <v>85</v>
      </c>
      <c r="CQ71" s="563">
        <f t="shared" si="71"/>
        <v>87</v>
      </c>
      <c r="CR71" s="563">
        <f t="shared" si="71"/>
        <v>89</v>
      </c>
      <c r="CS71" s="579">
        <f t="shared" si="71"/>
        <v>91</v>
      </c>
      <c r="CT71" s="563">
        <f t="shared" si="71"/>
        <v>93</v>
      </c>
      <c r="CU71" s="563">
        <f t="shared" si="71"/>
        <v>95</v>
      </c>
      <c r="CV71" s="563">
        <f t="shared" si="71"/>
        <v>97</v>
      </c>
      <c r="CW71" s="563">
        <f t="shared" si="71"/>
        <v>99</v>
      </c>
      <c r="CX71" s="563"/>
    </row>
    <row r="72" ht="10.5" customHeight="1">
      <c r="A72" s="543"/>
      <c r="B72" s="563">
        <f t="shared" si="4"/>
        <v>70</v>
      </c>
      <c r="C72" s="682">
        <f t="shared" ref="C72:CW72" si="72">IF(LT(IF(GT(C$2,MIN($B72,99)),C$2,MIN($B72,99)),99-FLOOR(C$2/2,1)),IF(GT(C$2,MIN($B72,99)),C$2,MIN($B72,99))-FLOOR(C$2/2,1),2*IF(GT(C$2,MIN($B72,99)),C$2,MIN($B72,99))-99)</f>
        <v>70</v>
      </c>
      <c r="D72" s="682">
        <f t="shared" si="72"/>
        <v>69</v>
      </c>
      <c r="E72" s="682">
        <f t="shared" si="72"/>
        <v>69</v>
      </c>
      <c r="F72" s="682">
        <f t="shared" si="72"/>
        <v>68</v>
      </c>
      <c r="G72" s="683">
        <f t="shared" si="72"/>
        <v>68</v>
      </c>
      <c r="H72" s="682">
        <f t="shared" si="72"/>
        <v>67</v>
      </c>
      <c r="I72" s="682">
        <f t="shared" si="72"/>
        <v>67</v>
      </c>
      <c r="J72" s="682">
        <f t="shared" si="72"/>
        <v>66</v>
      </c>
      <c r="K72" s="682">
        <f t="shared" si="72"/>
        <v>66</v>
      </c>
      <c r="L72" s="684">
        <f t="shared" si="72"/>
        <v>65</v>
      </c>
      <c r="M72" s="682">
        <f t="shared" si="72"/>
        <v>65</v>
      </c>
      <c r="N72" s="682">
        <f t="shared" si="72"/>
        <v>64</v>
      </c>
      <c r="O72" s="682">
        <f t="shared" si="72"/>
        <v>64</v>
      </c>
      <c r="P72" s="682">
        <f t="shared" si="72"/>
        <v>63</v>
      </c>
      <c r="Q72" s="683">
        <f t="shared" si="72"/>
        <v>63</v>
      </c>
      <c r="R72" s="682">
        <f t="shared" si="72"/>
        <v>62</v>
      </c>
      <c r="S72" s="682">
        <f t="shared" si="72"/>
        <v>62</v>
      </c>
      <c r="T72" s="682">
        <f t="shared" si="72"/>
        <v>61</v>
      </c>
      <c r="U72" s="682">
        <f t="shared" si="72"/>
        <v>61</v>
      </c>
      <c r="V72" s="684">
        <f t="shared" si="72"/>
        <v>60</v>
      </c>
      <c r="W72" s="682">
        <f t="shared" si="72"/>
        <v>60</v>
      </c>
      <c r="X72" s="682">
        <f t="shared" si="72"/>
        <v>59</v>
      </c>
      <c r="Y72" s="682">
        <f t="shared" si="72"/>
        <v>59</v>
      </c>
      <c r="Z72" s="682">
        <f t="shared" si="72"/>
        <v>58</v>
      </c>
      <c r="AA72" s="683">
        <f t="shared" si="72"/>
        <v>58</v>
      </c>
      <c r="AB72" s="682">
        <f t="shared" si="72"/>
        <v>57</v>
      </c>
      <c r="AC72" s="682">
        <f t="shared" si="72"/>
        <v>57</v>
      </c>
      <c r="AD72" s="682">
        <f t="shared" si="72"/>
        <v>56</v>
      </c>
      <c r="AE72" s="682">
        <f t="shared" si="72"/>
        <v>56</v>
      </c>
      <c r="AF72" s="684">
        <f t="shared" si="72"/>
        <v>55</v>
      </c>
      <c r="AG72" s="682">
        <f t="shared" si="72"/>
        <v>55</v>
      </c>
      <c r="AH72" s="682">
        <f t="shared" si="72"/>
        <v>54</v>
      </c>
      <c r="AI72" s="682">
        <f t="shared" si="72"/>
        <v>54</v>
      </c>
      <c r="AJ72" s="682">
        <f t="shared" si="72"/>
        <v>53</v>
      </c>
      <c r="AK72" s="683">
        <f t="shared" si="72"/>
        <v>53</v>
      </c>
      <c r="AL72" s="682">
        <f t="shared" si="72"/>
        <v>52</v>
      </c>
      <c r="AM72" s="682">
        <f t="shared" si="72"/>
        <v>52</v>
      </c>
      <c r="AN72" s="682">
        <f t="shared" si="72"/>
        <v>51</v>
      </c>
      <c r="AO72" s="682">
        <f t="shared" si="72"/>
        <v>51</v>
      </c>
      <c r="AP72" s="684">
        <f t="shared" si="72"/>
        <v>50</v>
      </c>
      <c r="AQ72" s="682">
        <f t="shared" si="72"/>
        <v>50</v>
      </c>
      <c r="AR72" s="682">
        <f t="shared" si="72"/>
        <v>49</v>
      </c>
      <c r="AS72" s="682">
        <f t="shared" si="72"/>
        <v>49</v>
      </c>
      <c r="AT72" s="682">
        <f t="shared" si="72"/>
        <v>48</v>
      </c>
      <c r="AU72" s="683">
        <f t="shared" si="72"/>
        <v>48</v>
      </c>
      <c r="AV72" s="682">
        <f t="shared" si="72"/>
        <v>47</v>
      </c>
      <c r="AW72" s="682">
        <f t="shared" si="72"/>
        <v>47</v>
      </c>
      <c r="AX72" s="682">
        <f t="shared" si="72"/>
        <v>46</v>
      </c>
      <c r="AY72" s="682">
        <f t="shared" si="72"/>
        <v>46</v>
      </c>
      <c r="AZ72" s="684">
        <f t="shared" si="72"/>
        <v>45</v>
      </c>
      <c r="BA72" s="682">
        <f t="shared" si="72"/>
        <v>45</v>
      </c>
      <c r="BB72" s="682">
        <f t="shared" si="72"/>
        <v>44</v>
      </c>
      <c r="BC72" s="682">
        <f t="shared" si="72"/>
        <v>44</v>
      </c>
      <c r="BD72" s="682">
        <f t="shared" si="72"/>
        <v>43</v>
      </c>
      <c r="BE72" s="683">
        <f t="shared" si="72"/>
        <v>43</v>
      </c>
      <c r="BF72" s="682">
        <f t="shared" si="72"/>
        <v>42</v>
      </c>
      <c r="BG72" s="682">
        <f t="shared" si="72"/>
        <v>42</v>
      </c>
      <c r="BH72" s="682">
        <f t="shared" si="72"/>
        <v>41</v>
      </c>
      <c r="BI72" s="682">
        <f t="shared" si="72"/>
        <v>41</v>
      </c>
      <c r="BJ72" s="684">
        <f t="shared" si="72"/>
        <v>41</v>
      </c>
      <c r="BK72" s="682">
        <f t="shared" si="72"/>
        <v>41</v>
      </c>
      <c r="BL72" s="682">
        <f t="shared" si="72"/>
        <v>41</v>
      </c>
      <c r="BM72" s="682">
        <f t="shared" si="72"/>
        <v>41</v>
      </c>
      <c r="BN72" s="682">
        <f t="shared" si="72"/>
        <v>41</v>
      </c>
      <c r="BO72" s="683">
        <f t="shared" si="72"/>
        <v>41</v>
      </c>
      <c r="BP72" s="682">
        <f t="shared" si="72"/>
        <v>41</v>
      </c>
      <c r="BQ72" s="682">
        <f t="shared" si="72"/>
        <v>41</v>
      </c>
      <c r="BR72" s="682">
        <f t="shared" si="72"/>
        <v>41</v>
      </c>
      <c r="BS72" s="682">
        <f t="shared" si="72"/>
        <v>41</v>
      </c>
      <c r="BT72" s="684">
        <f t="shared" si="72"/>
        <v>41</v>
      </c>
      <c r="BU72" s="682">
        <f t="shared" si="72"/>
        <v>43</v>
      </c>
      <c r="BV72" s="682">
        <f t="shared" si="72"/>
        <v>45</v>
      </c>
      <c r="BW72" s="682">
        <f t="shared" si="72"/>
        <v>47</v>
      </c>
      <c r="BX72" s="682">
        <f t="shared" si="72"/>
        <v>49</v>
      </c>
      <c r="BY72" s="683">
        <f t="shared" si="72"/>
        <v>51</v>
      </c>
      <c r="BZ72" s="682">
        <f t="shared" si="72"/>
        <v>53</v>
      </c>
      <c r="CA72" s="682">
        <f t="shared" si="72"/>
        <v>55</v>
      </c>
      <c r="CB72" s="682">
        <f t="shared" si="72"/>
        <v>57</v>
      </c>
      <c r="CC72" s="682">
        <f t="shared" si="72"/>
        <v>59</v>
      </c>
      <c r="CD72" s="684">
        <f t="shared" si="72"/>
        <v>61</v>
      </c>
      <c r="CE72" s="682">
        <f t="shared" si="72"/>
        <v>63</v>
      </c>
      <c r="CF72" s="682">
        <f t="shared" si="72"/>
        <v>65</v>
      </c>
      <c r="CG72" s="682">
        <f t="shared" si="72"/>
        <v>67</v>
      </c>
      <c r="CH72" s="682">
        <f t="shared" si="72"/>
        <v>69</v>
      </c>
      <c r="CI72" s="683">
        <f t="shared" si="72"/>
        <v>71</v>
      </c>
      <c r="CJ72" s="682">
        <f t="shared" si="72"/>
        <v>73</v>
      </c>
      <c r="CK72" s="682">
        <f t="shared" si="72"/>
        <v>75</v>
      </c>
      <c r="CL72" s="682">
        <f t="shared" si="72"/>
        <v>77</v>
      </c>
      <c r="CM72" s="682">
        <f t="shared" si="72"/>
        <v>79</v>
      </c>
      <c r="CN72" s="684">
        <f t="shared" si="72"/>
        <v>81</v>
      </c>
      <c r="CO72" s="682">
        <f t="shared" si="72"/>
        <v>83</v>
      </c>
      <c r="CP72" s="682">
        <f t="shared" si="72"/>
        <v>85</v>
      </c>
      <c r="CQ72" s="682">
        <f t="shared" si="72"/>
        <v>87</v>
      </c>
      <c r="CR72" s="682">
        <f t="shared" si="72"/>
        <v>89</v>
      </c>
      <c r="CS72" s="683">
        <f t="shared" si="72"/>
        <v>91</v>
      </c>
      <c r="CT72" s="682">
        <f t="shared" si="72"/>
        <v>93</v>
      </c>
      <c r="CU72" s="682">
        <f t="shared" si="72"/>
        <v>95</v>
      </c>
      <c r="CV72" s="682">
        <f t="shared" si="72"/>
        <v>97</v>
      </c>
      <c r="CW72" s="682">
        <f t="shared" si="72"/>
        <v>99</v>
      </c>
      <c r="CX72" s="563"/>
    </row>
    <row r="73" ht="10.5" customHeight="1">
      <c r="A73" s="543"/>
      <c r="B73" s="563">
        <f t="shared" si="4"/>
        <v>71</v>
      </c>
      <c r="C73" s="563">
        <f t="shared" ref="C73:CW73" si="73">IF(LT(IF(GT(C$2,MIN($B73,99)),C$2,MIN($B73,99)),99-FLOOR(C$2/2,1)),IF(GT(C$2,MIN($B73,99)),C$2,MIN($B73,99))-FLOOR(C$2/2,1),2*IF(GT(C$2,MIN($B73,99)),C$2,MIN($B73,99))-99)</f>
        <v>71</v>
      </c>
      <c r="D73" s="563">
        <f t="shared" si="73"/>
        <v>70</v>
      </c>
      <c r="E73" s="563">
        <f t="shared" si="73"/>
        <v>70</v>
      </c>
      <c r="F73" s="563">
        <f t="shared" si="73"/>
        <v>69</v>
      </c>
      <c r="G73" s="579">
        <f t="shared" si="73"/>
        <v>69</v>
      </c>
      <c r="H73" s="563">
        <f t="shared" si="73"/>
        <v>68</v>
      </c>
      <c r="I73" s="563">
        <f t="shared" si="73"/>
        <v>68</v>
      </c>
      <c r="J73" s="563">
        <f t="shared" si="73"/>
        <v>67</v>
      </c>
      <c r="K73" s="563">
        <f t="shared" si="73"/>
        <v>67</v>
      </c>
      <c r="L73" s="580">
        <f t="shared" si="73"/>
        <v>66</v>
      </c>
      <c r="M73" s="563">
        <f t="shared" si="73"/>
        <v>66</v>
      </c>
      <c r="N73" s="563">
        <f t="shared" si="73"/>
        <v>65</v>
      </c>
      <c r="O73" s="563">
        <f t="shared" si="73"/>
        <v>65</v>
      </c>
      <c r="P73" s="563">
        <f t="shared" si="73"/>
        <v>64</v>
      </c>
      <c r="Q73" s="579">
        <f t="shared" si="73"/>
        <v>64</v>
      </c>
      <c r="R73" s="563">
        <f t="shared" si="73"/>
        <v>63</v>
      </c>
      <c r="S73" s="563">
        <f t="shared" si="73"/>
        <v>63</v>
      </c>
      <c r="T73" s="563">
        <f t="shared" si="73"/>
        <v>62</v>
      </c>
      <c r="U73" s="563">
        <f t="shared" si="73"/>
        <v>62</v>
      </c>
      <c r="V73" s="580">
        <f t="shared" si="73"/>
        <v>61</v>
      </c>
      <c r="W73" s="563">
        <f t="shared" si="73"/>
        <v>61</v>
      </c>
      <c r="X73" s="563">
        <f t="shared" si="73"/>
        <v>60</v>
      </c>
      <c r="Y73" s="563">
        <f t="shared" si="73"/>
        <v>60</v>
      </c>
      <c r="Z73" s="563">
        <f t="shared" si="73"/>
        <v>59</v>
      </c>
      <c r="AA73" s="579">
        <f t="shared" si="73"/>
        <v>59</v>
      </c>
      <c r="AB73" s="563">
        <f t="shared" si="73"/>
        <v>58</v>
      </c>
      <c r="AC73" s="563">
        <f t="shared" si="73"/>
        <v>58</v>
      </c>
      <c r="AD73" s="563">
        <f t="shared" si="73"/>
        <v>57</v>
      </c>
      <c r="AE73" s="563">
        <f t="shared" si="73"/>
        <v>57</v>
      </c>
      <c r="AF73" s="580">
        <f t="shared" si="73"/>
        <v>56</v>
      </c>
      <c r="AG73" s="563">
        <f t="shared" si="73"/>
        <v>56</v>
      </c>
      <c r="AH73" s="563">
        <f t="shared" si="73"/>
        <v>55</v>
      </c>
      <c r="AI73" s="563">
        <f t="shared" si="73"/>
        <v>55</v>
      </c>
      <c r="AJ73" s="563">
        <f t="shared" si="73"/>
        <v>54</v>
      </c>
      <c r="AK73" s="579">
        <f t="shared" si="73"/>
        <v>54</v>
      </c>
      <c r="AL73" s="563">
        <f t="shared" si="73"/>
        <v>53</v>
      </c>
      <c r="AM73" s="563">
        <f t="shared" si="73"/>
        <v>53</v>
      </c>
      <c r="AN73" s="563">
        <f t="shared" si="73"/>
        <v>52</v>
      </c>
      <c r="AO73" s="563">
        <f t="shared" si="73"/>
        <v>52</v>
      </c>
      <c r="AP73" s="580">
        <f t="shared" si="73"/>
        <v>51</v>
      </c>
      <c r="AQ73" s="563">
        <f t="shared" si="73"/>
        <v>51</v>
      </c>
      <c r="AR73" s="563">
        <f t="shared" si="73"/>
        <v>50</v>
      </c>
      <c r="AS73" s="563">
        <f t="shared" si="73"/>
        <v>50</v>
      </c>
      <c r="AT73" s="563">
        <f t="shared" si="73"/>
        <v>49</v>
      </c>
      <c r="AU73" s="579">
        <f t="shared" si="73"/>
        <v>49</v>
      </c>
      <c r="AV73" s="563">
        <f t="shared" si="73"/>
        <v>48</v>
      </c>
      <c r="AW73" s="563">
        <f t="shared" si="73"/>
        <v>48</v>
      </c>
      <c r="AX73" s="563">
        <f t="shared" si="73"/>
        <v>47</v>
      </c>
      <c r="AY73" s="563">
        <f t="shared" si="73"/>
        <v>47</v>
      </c>
      <c r="AZ73" s="580">
        <f t="shared" si="73"/>
        <v>46</v>
      </c>
      <c r="BA73" s="563">
        <f t="shared" si="73"/>
        <v>46</v>
      </c>
      <c r="BB73" s="563">
        <f t="shared" si="73"/>
        <v>45</v>
      </c>
      <c r="BC73" s="563">
        <f t="shared" si="73"/>
        <v>45</v>
      </c>
      <c r="BD73" s="563">
        <f t="shared" si="73"/>
        <v>44</v>
      </c>
      <c r="BE73" s="579">
        <f t="shared" si="73"/>
        <v>44</v>
      </c>
      <c r="BF73" s="563">
        <f t="shared" si="73"/>
        <v>43</v>
      </c>
      <c r="BG73" s="563">
        <f t="shared" si="73"/>
        <v>43</v>
      </c>
      <c r="BH73" s="563">
        <f t="shared" si="73"/>
        <v>43</v>
      </c>
      <c r="BI73" s="563">
        <f t="shared" si="73"/>
        <v>43</v>
      </c>
      <c r="BJ73" s="580">
        <f t="shared" si="73"/>
        <v>43</v>
      </c>
      <c r="BK73" s="563">
        <f t="shared" si="73"/>
        <v>43</v>
      </c>
      <c r="BL73" s="563">
        <f t="shared" si="73"/>
        <v>43</v>
      </c>
      <c r="BM73" s="563">
        <f t="shared" si="73"/>
        <v>43</v>
      </c>
      <c r="BN73" s="563">
        <f t="shared" si="73"/>
        <v>43</v>
      </c>
      <c r="BO73" s="579">
        <f t="shared" si="73"/>
        <v>43</v>
      </c>
      <c r="BP73" s="563">
        <f t="shared" si="73"/>
        <v>43</v>
      </c>
      <c r="BQ73" s="563">
        <f t="shared" si="73"/>
        <v>43</v>
      </c>
      <c r="BR73" s="563">
        <f t="shared" si="73"/>
        <v>43</v>
      </c>
      <c r="BS73" s="563">
        <f t="shared" si="73"/>
        <v>43</v>
      </c>
      <c r="BT73" s="580">
        <f t="shared" si="73"/>
        <v>43</v>
      </c>
      <c r="BU73" s="563">
        <f t="shared" si="73"/>
        <v>43</v>
      </c>
      <c r="BV73" s="563">
        <f t="shared" si="73"/>
        <v>45</v>
      </c>
      <c r="BW73" s="563">
        <f t="shared" si="73"/>
        <v>47</v>
      </c>
      <c r="BX73" s="563">
        <f t="shared" si="73"/>
        <v>49</v>
      </c>
      <c r="BY73" s="579">
        <f t="shared" si="73"/>
        <v>51</v>
      </c>
      <c r="BZ73" s="563">
        <f t="shared" si="73"/>
        <v>53</v>
      </c>
      <c r="CA73" s="563">
        <f t="shared" si="73"/>
        <v>55</v>
      </c>
      <c r="CB73" s="563">
        <f t="shared" si="73"/>
        <v>57</v>
      </c>
      <c r="CC73" s="563">
        <f t="shared" si="73"/>
        <v>59</v>
      </c>
      <c r="CD73" s="580">
        <f t="shared" si="73"/>
        <v>61</v>
      </c>
      <c r="CE73" s="563">
        <f t="shared" si="73"/>
        <v>63</v>
      </c>
      <c r="CF73" s="563">
        <f t="shared" si="73"/>
        <v>65</v>
      </c>
      <c r="CG73" s="563">
        <f t="shared" si="73"/>
        <v>67</v>
      </c>
      <c r="CH73" s="563">
        <f t="shared" si="73"/>
        <v>69</v>
      </c>
      <c r="CI73" s="579">
        <f t="shared" si="73"/>
        <v>71</v>
      </c>
      <c r="CJ73" s="563">
        <f t="shared" si="73"/>
        <v>73</v>
      </c>
      <c r="CK73" s="563">
        <f t="shared" si="73"/>
        <v>75</v>
      </c>
      <c r="CL73" s="563">
        <f t="shared" si="73"/>
        <v>77</v>
      </c>
      <c r="CM73" s="563">
        <f t="shared" si="73"/>
        <v>79</v>
      </c>
      <c r="CN73" s="580">
        <f t="shared" si="73"/>
        <v>81</v>
      </c>
      <c r="CO73" s="563">
        <f t="shared" si="73"/>
        <v>83</v>
      </c>
      <c r="CP73" s="563">
        <f t="shared" si="73"/>
        <v>85</v>
      </c>
      <c r="CQ73" s="563">
        <f t="shared" si="73"/>
        <v>87</v>
      </c>
      <c r="CR73" s="563">
        <f t="shared" si="73"/>
        <v>89</v>
      </c>
      <c r="CS73" s="579">
        <f t="shared" si="73"/>
        <v>91</v>
      </c>
      <c r="CT73" s="563">
        <f t="shared" si="73"/>
        <v>93</v>
      </c>
      <c r="CU73" s="563">
        <f t="shared" si="73"/>
        <v>95</v>
      </c>
      <c r="CV73" s="563">
        <f t="shared" si="73"/>
        <v>97</v>
      </c>
      <c r="CW73" s="563">
        <f t="shared" si="73"/>
        <v>99</v>
      </c>
      <c r="CX73" s="563"/>
    </row>
    <row r="74" ht="10.5" customHeight="1">
      <c r="A74" s="543"/>
      <c r="B74" s="563">
        <f t="shared" si="4"/>
        <v>72</v>
      </c>
      <c r="C74" s="563">
        <f t="shared" ref="C74:CW74" si="74">IF(LT(IF(GT(C$2,MIN($B74,99)),C$2,MIN($B74,99)),99-FLOOR(C$2/2,1)),IF(GT(C$2,MIN($B74,99)),C$2,MIN($B74,99))-FLOOR(C$2/2,1),2*IF(GT(C$2,MIN($B74,99)),C$2,MIN($B74,99))-99)</f>
        <v>72</v>
      </c>
      <c r="D74" s="563">
        <f t="shared" si="74"/>
        <v>71</v>
      </c>
      <c r="E74" s="563">
        <f t="shared" si="74"/>
        <v>71</v>
      </c>
      <c r="F74" s="563">
        <f t="shared" si="74"/>
        <v>70</v>
      </c>
      <c r="G74" s="579">
        <f t="shared" si="74"/>
        <v>70</v>
      </c>
      <c r="H74" s="563">
        <f t="shared" si="74"/>
        <v>69</v>
      </c>
      <c r="I74" s="563">
        <f t="shared" si="74"/>
        <v>69</v>
      </c>
      <c r="J74" s="563">
        <f t="shared" si="74"/>
        <v>68</v>
      </c>
      <c r="K74" s="563">
        <f t="shared" si="74"/>
        <v>68</v>
      </c>
      <c r="L74" s="580">
        <f t="shared" si="74"/>
        <v>67</v>
      </c>
      <c r="M74" s="563">
        <f t="shared" si="74"/>
        <v>67</v>
      </c>
      <c r="N74" s="563">
        <f t="shared" si="74"/>
        <v>66</v>
      </c>
      <c r="O74" s="563">
        <f t="shared" si="74"/>
        <v>66</v>
      </c>
      <c r="P74" s="563">
        <f t="shared" si="74"/>
        <v>65</v>
      </c>
      <c r="Q74" s="579">
        <f t="shared" si="74"/>
        <v>65</v>
      </c>
      <c r="R74" s="563">
        <f t="shared" si="74"/>
        <v>64</v>
      </c>
      <c r="S74" s="563">
        <f t="shared" si="74"/>
        <v>64</v>
      </c>
      <c r="T74" s="563">
        <f t="shared" si="74"/>
        <v>63</v>
      </c>
      <c r="U74" s="563">
        <f t="shared" si="74"/>
        <v>63</v>
      </c>
      <c r="V74" s="580">
        <f t="shared" si="74"/>
        <v>62</v>
      </c>
      <c r="W74" s="563">
        <f t="shared" si="74"/>
        <v>62</v>
      </c>
      <c r="X74" s="563">
        <f t="shared" si="74"/>
        <v>61</v>
      </c>
      <c r="Y74" s="563">
        <f t="shared" si="74"/>
        <v>61</v>
      </c>
      <c r="Z74" s="563">
        <f t="shared" si="74"/>
        <v>60</v>
      </c>
      <c r="AA74" s="579">
        <f t="shared" si="74"/>
        <v>60</v>
      </c>
      <c r="AB74" s="563">
        <f t="shared" si="74"/>
        <v>59</v>
      </c>
      <c r="AC74" s="563">
        <f t="shared" si="74"/>
        <v>59</v>
      </c>
      <c r="AD74" s="563">
        <f t="shared" si="74"/>
        <v>58</v>
      </c>
      <c r="AE74" s="563">
        <f t="shared" si="74"/>
        <v>58</v>
      </c>
      <c r="AF74" s="580">
        <f t="shared" si="74"/>
        <v>57</v>
      </c>
      <c r="AG74" s="563">
        <f t="shared" si="74"/>
        <v>57</v>
      </c>
      <c r="AH74" s="563">
        <f t="shared" si="74"/>
        <v>56</v>
      </c>
      <c r="AI74" s="563">
        <f t="shared" si="74"/>
        <v>56</v>
      </c>
      <c r="AJ74" s="563">
        <f t="shared" si="74"/>
        <v>55</v>
      </c>
      <c r="AK74" s="579">
        <f t="shared" si="74"/>
        <v>55</v>
      </c>
      <c r="AL74" s="563">
        <f t="shared" si="74"/>
        <v>54</v>
      </c>
      <c r="AM74" s="563">
        <f t="shared" si="74"/>
        <v>54</v>
      </c>
      <c r="AN74" s="563">
        <f t="shared" si="74"/>
        <v>53</v>
      </c>
      <c r="AO74" s="563">
        <f t="shared" si="74"/>
        <v>53</v>
      </c>
      <c r="AP74" s="580">
        <f t="shared" si="74"/>
        <v>52</v>
      </c>
      <c r="AQ74" s="563">
        <f t="shared" si="74"/>
        <v>52</v>
      </c>
      <c r="AR74" s="563">
        <f t="shared" si="74"/>
        <v>51</v>
      </c>
      <c r="AS74" s="563">
        <f t="shared" si="74"/>
        <v>51</v>
      </c>
      <c r="AT74" s="563">
        <f t="shared" si="74"/>
        <v>50</v>
      </c>
      <c r="AU74" s="579">
        <f t="shared" si="74"/>
        <v>50</v>
      </c>
      <c r="AV74" s="563">
        <f t="shared" si="74"/>
        <v>49</v>
      </c>
      <c r="AW74" s="563">
        <f t="shared" si="74"/>
        <v>49</v>
      </c>
      <c r="AX74" s="563">
        <f t="shared" si="74"/>
        <v>48</v>
      </c>
      <c r="AY74" s="563">
        <f t="shared" si="74"/>
        <v>48</v>
      </c>
      <c r="AZ74" s="580">
        <f t="shared" si="74"/>
        <v>47</v>
      </c>
      <c r="BA74" s="563">
        <f t="shared" si="74"/>
        <v>47</v>
      </c>
      <c r="BB74" s="563">
        <f t="shared" si="74"/>
        <v>46</v>
      </c>
      <c r="BC74" s="563">
        <f t="shared" si="74"/>
        <v>46</v>
      </c>
      <c r="BD74" s="563">
        <f t="shared" si="74"/>
        <v>45</v>
      </c>
      <c r="BE74" s="579">
        <f t="shared" si="74"/>
        <v>45</v>
      </c>
      <c r="BF74" s="563">
        <f t="shared" si="74"/>
        <v>45</v>
      </c>
      <c r="BG74" s="563">
        <f t="shared" si="74"/>
        <v>45</v>
      </c>
      <c r="BH74" s="563">
        <f t="shared" si="74"/>
        <v>45</v>
      </c>
      <c r="BI74" s="563">
        <f t="shared" si="74"/>
        <v>45</v>
      </c>
      <c r="BJ74" s="580">
        <f t="shared" si="74"/>
        <v>45</v>
      </c>
      <c r="BK74" s="563">
        <f t="shared" si="74"/>
        <v>45</v>
      </c>
      <c r="BL74" s="563">
        <f t="shared" si="74"/>
        <v>45</v>
      </c>
      <c r="BM74" s="563">
        <f t="shared" si="74"/>
        <v>45</v>
      </c>
      <c r="BN74" s="563">
        <f t="shared" si="74"/>
        <v>45</v>
      </c>
      <c r="BO74" s="579">
        <f t="shared" si="74"/>
        <v>45</v>
      </c>
      <c r="BP74" s="563">
        <f t="shared" si="74"/>
        <v>45</v>
      </c>
      <c r="BQ74" s="563">
        <f t="shared" si="74"/>
        <v>45</v>
      </c>
      <c r="BR74" s="563">
        <f t="shared" si="74"/>
        <v>45</v>
      </c>
      <c r="BS74" s="563">
        <f t="shared" si="74"/>
        <v>45</v>
      </c>
      <c r="BT74" s="580">
        <f t="shared" si="74"/>
        <v>45</v>
      </c>
      <c r="BU74" s="563">
        <f t="shared" si="74"/>
        <v>45</v>
      </c>
      <c r="BV74" s="563">
        <f t="shared" si="74"/>
        <v>45</v>
      </c>
      <c r="BW74" s="563">
        <f t="shared" si="74"/>
        <v>47</v>
      </c>
      <c r="BX74" s="563">
        <f t="shared" si="74"/>
        <v>49</v>
      </c>
      <c r="BY74" s="579">
        <f t="shared" si="74"/>
        <v>51</v>
      </c>
      <c r="BZ74" s="563">
        <f t="shared" si="74"/>
        <v>53</v>
      </c>
      <c r="CA74" s="563">
        <f t="shared" si="74"/>
        <v>55</v>
      </c>
      <c r="CB74" s="563">
        <f t="shared" si="74"/>
        <v>57</v>
      </c>
      <c r="CC74" s="563">
        <f t="shared" si="74"/>
        <v>59</v>
      </c>
      <c r="CD74" s="580">
        <f t="shared" si="74"/>
        <v>61</v>
      </c>
      <c r="CE74" s="563">
        <f t="shared" si="74"/>
        <v>63</v>
      </c>
      <c r="CF74" s="563">
        <f t="shared" si="74"/>
        <v>65</v>
      </c>
      <c r="CG74" s="563">
        <f t="shared" si="74"/>
        <v>67</v>
      </c>
      <c r="CH74" s="563">
        <f t="shared" si="74"/>
        <v>69</v>
      </c>
      <c r="CI74" s="579">
        <f t="shared" si="74"/>
        <v>71</v>
      </c>
      <c r="CJ74" s="563">
        <f t="shared" si="74"/>
        <v>73</v>
      </c>
      <c r="CK74" s="563">
        <f t="shared" si="74"/>
        <v>75</v>
      </c>
      <c r="CL74" s="563">
        <f t="shared" si="74"/>
        <v>77</v>
      </c>
      <c r="CM74" s="563">
        <f t="shared" si="74"/>
        <v>79</v>
      </c>
      <c r="CN74" s="580">
        <f t="shared" si="74"/>
        <v>81</v>
      </c>
      <c r="CO74" s="563">
        <f t="shared" si="74"/>
        <v>83</v>
      </c>
      <c r="CP74" s="563">
        <f t="shared" si="74"/>
        <v>85</v>
      </c>
      <c r="CQ74" s="563">
        <f t="shared" si="74"/>
        <v>87</v>
      </c>
      <c r="CR74" s="563">
        <f t="shared" si="74"/>
        <v>89</v>
      </c>
      <c r="CS74" s="579">
        <f t="shared" si="74"/>
        <v>91</v>
      </c>
      <c r="CT74" s="563">
        <f t="shared" si="74"/>
        <v>93</v>
      </c>
      <c r="CU74" s="563">
        <f t="shared" si="74"/>
        <v>95</v>
      </c>
      <c r="CV74" s="563">
        <f t="shared" si="74"/>
        <v>97</v>
      </c>
      <c r="CW74" s="563">
        <f t="shared" si="74"/>
        <v>99</v>
      </c>
      <c r="CX74" s="563"/>
    </row>
    <row r="75" ht="10.5" customHeight="1">
      <c r="A75" s="543"/>
      <c r="B75" s="563">
        <f t="shared" si="4"/>
        <v>73</v>
      </c>
      <c r="C75" s="563">
        <f t="shared" ref="C75:CW75" si="75">IF(LT(IF(GT(C$2,MIN($B75,99)),C$2,MIN($B75,99)),99-FLOOR(C$2/2,1)),IF(GT(C$2,MIN($B75,99)),C$2,MIN($B75,99))-FLOOR(C$2/2,1),2*IF(GT(C$2,MIN($B75,99)),C$2,MIN($B75,99))-99)</f>
        <v>73</v>
      </c>
      <c r="D75" s="563">
        <f t="shared" si="75"/>
        <v>72</v>
      </c>
      <c r="E75" s="563">
        <f t="shared" si="75"/>
        <v>72</v>
      </c>
      <c r="F75" s="563">
        <f t="shared" si="75"/>
        <v>71</v>
      </c>
      <c r="G75" s="579">
        <f t="shared" si="75"/>
        <v>71</v>
      </c>
      <c r="H75" s="563">
        <f t="shared" si="75"/>
        <v>70</v>
      </c>
      <c r="I75" s="563">
        <f t="shared" si="75"/>
        <v>70</v>
      </c>
      <c r="J75" s="563">
        <f t="shared" si="75"/>
        <v>69</v>
      </c>
      <c r="K75" s="563">
        <f t="shared" si="75"/>
        <v>69</v>
      </c>
      <c r="L75" s="580">
        <f t="shared" si="75"/>
        <v>68</v>
      </c>
      <c r="M75" s="563">
        <f t="shared" si="75"/>
        <v>68</v>
      </c>
      <c r="N75" s="563">
        <f t="shared" si="75"/>
        <v>67</v>
      </c>
      <c r="O75" s="563">
        <f t="shared" si="75"/>
        <v>67</v>
      </c>
      <c r="P75" s="563">
        <f t="shared" si="75"/>
        <v>66</v>
      </c>
      <c r="Q75" s="579">
        <f t="shared" si="75"/>
        <v>66</v>
      </c>
      <c r="R75" s="563">
        <f t="shared" si="75"/>
        <v>65</v>
      </c>
      <c r="S75" s="563">
        <f t="shared" si="75"/>
        <v>65</v>
      </c>
      <c r="T75" s="563">
        <f t="shared" si="75"/>
        <v>64</v>
      </c>
      <c r="U75" s="563">
        <f t="shared" si="75"/>
        <v>64</v>
      </c>
      <c r="V75" s="580">
        <f t="shared" si="75"/>
        <v>63</v>
      </c>
      <c r="W75" s="563">
        <f t="shared" si="75"/>
        <v>63</v>
      </c>
      <c r="X75" s="563">
        <f t="shared" si="75"/>
        <v>62</v>
      </c>
      <c r="Y75" s="563">
        <f t="shared" si="75"/>
        <v>62</v>
      </c>
      <c r="Z75" s="563">
        <f t="shared" si="75"/>
        <v>61</v>
      </c>
      <c r="AA75" s="579">
        <f t="shared" si="75"/>
        <v>61</v>
      </c>
      <c r="AB75" s="563">
        <f t="shared" si="75"/>
        <v>60</v>
      </c>
      <c r="AC75" s="563">
        <f t="shared" si="75"/>
        <v>60</v>
      </c>
      <c r="AD75" s="563">
        <f t="shared" si="75"/>
        <v>59</v>
      </c>
      <c r="AE75" s="563">
        <f t="shared" si="75"/>
        <v>59</v>
      </c>
      <c r="AF75" s="580">
        <f t="shared" si="75"/>
        <v>58</v>
      </c>
      <c r="AG75" s="563">
        <f t="shared" si="75"/>
        <v>58</v>
      </c>
      <c r="AH75" s="563">
        <f t="shared" si="75"/>
        <v>57</v>
      </c>
      <c r="AI75" s="563">
        <f t="shared" si="75"/>
        <v>57</v>
      </c>
      <c r="AJ75" s="563">
        <f t="shared" si="75"/>
        <v>56</v>
      </c>
      <c r="AK75" s="579">
        <f t="shared" si="75"/>
        <v>56</v>
      </c>
      <c r="AL75" s="563">
        <f t="shared" si="75"/>
        <v>55</v>
      </c>
      <c r="AM75" s="563">
        <f t="shared" si="75"/>
        <v>55</v>
      </c>
      <c r="AN75" s="563">
        <f t="shared" si="75"/>
        <v>54</v>
      </c>
      <c r="AO75" s="563">
        <f t="shared" si="75"/>
        <v>54</v>
      </c>
      <c r="AP75" s="580">
        <f t="shared" si="75"/>
        <v>53</v>
      </c>
      <c r="AQ75" s="563">
        <f t="shared" si="75"/>
        <v>53</v>
      </c>
      <c r="AR75" s="563">
        <f t="shared" si="75"/>
        <v>52</v>
      </c>
      <c r="AS75" s="563">
        <f t="shared" si="75"/>
        <v>52</v>
      </c>
      <c r="AT75" s="563">
        <f t="shared" si="75"/>
        <v>51</v>
      </c>
      <c r="AU75" s="579">
        <f t="shared" si="75"/>
        <v>51</v>
      </c>
      <c r="AV75" s="563">
        <f t="shared" si="75"/>
        <v>50</v>
      </c>
      <c r="AW75" s="563">
        <f t="shared" si="75"/>
        <v>50</v>
      </c>
      <c r="AX75" s="563">
        <f t="shared" si="75"/>
        <v>49</v>
      </c>
      <c r="AY75" s="563">
        <f t="shared" si="75"/>
        <v>49</v>
      </c>
      <c r="AZ75" s="580">
        <f t="shared" si="75"/>
        <v>48</v>
      </c>
      <c r="BA75" s="563">
        <f t="shared" si="75"/>
        <v>48</v>
      </c>
      <c r="BB75" s="563">
        <f t="shared" si="75"/>
        <v>47</v>
      </c>
      <c r="BC75" s="563">
        <f t="shared" si="75"/>
        <v>47</v>
      </c>
      <c r="BD75" s="563">
        <f t="shared" si="75"/>
        <v>47</v>
      </c>
      <c r="BE75" s="579">
        <f t="shared" si="75"/>
        <v>47</v>
      </c>
      <c r="BF75" s="563">
        <f t="shared" si="75"/>
        <v>47</v>
      </c>
      <c r="BG75" s="563">
        <f t="shared" si="75"/>
        <v>47</v>
      </c>
      <c r="BH75" s="563">
        <f t="shared" si="75"/>
        <v>47</v>
      </c>
      <c r="BI75" s="563">
        <f t="shared" si="75"/>
        <v>47</v>
      </c>
      <c r="BJ75" s="580">
        <f t="shared" si="75"/>
        <v>47</v>
      </c>
      <c r="BK75" s="563">
        <f t="shared" si="75"/>
        <v>47</v>
      </c>
      <c r="BL75" s="563">
        <f t="shared" si="75"/>
        <v>47</v>
      </c>
      <c r="BM75" s="563">
        <f t="shared" si="75"/>
        <v>47</v>
      </c>
      <c r="BN75" s="563">
        <f t="shared" si="75"/>
        <v>47</v>
      </c>
      <c r="BO75" s="579">
        <f t="shared" si="75"/>
        <v>47</v>
      </c>
      <c r="BP75" s="563">
        <f t="shared" si="75"/>
        <v>47</v>
      </c>
      <c r="BQ75" s="563">
        <f t="shared" si="75"/>
        <v>47</v>
      </c>
      <c r="BR75" s="563">
        <f t="shared" si="75"/>
        <v>47</v>
      </c>
      <c r="BS75" s="563">
        <f t="shared" si="75"/>
        <v>47</v>
      </c>
      <c r="BT75" s="580">
        <f t="shared" si="75"/>
        <v>47</v>
      </c>
      <c r="BU75" s="563">
        <f t="shared" si="75"/>
        <v>47</v>
      </c>
      <c r="BV75" s="563">
        <f t="shared" si="75"/>
        <v>47</v>
      </c>
      <c r="BW75" s="563">
        <f t="shared" si="75"/>
        <v>47</v>
      </c>
      <c r="BX75" s="563">
        <f t="shared" si="75"/>
        <v>49</v>
      </c>
      <c r="BY75" s="579">
        <f t="shared" si="75"/>
        <v>51</v>
      </c>
      <c r="BZ75" s="563">
        <f t="shared" si="75"/>
        <v>53</v>
      </c>
      <c r="CA75" s="563">
        <f t="shared" si="75"/>
        <v>55</v>
      </c>
      <c r="CB75" s="563">
        <f t="shared" si="75"/>
        <v>57</v>
      </c>
      <c r="CC75" s="563">
        <f t="shared" si="75"/>
        <v>59</v>
      </c>
      <c r="CD75" s="580">
        <f t="shared" si="75"/>
        <v>61</v>
      </c>
      <c r="CE75" s="563">
        <f t="shared" si="75"/>
        <v>63</v>
      </c>
      <c r="CF75" s="563">
        <f t="shared" si="75"/>
        <v>65</v>
      </c>
      <c r="CG75" s="563">
        <f t="shared" si="75"/>
        <v>67</v>
      </c>
      <c r="CH75" s="563">
        <f t="shared" si="75"/>
        <v>69</v>
      </c>
      <c r="CI75" s="579">
        <f t="shared" si="75"/>
        <v>71</v>
      </c>
      <c r="CJ75" s="563">
        <f t="shared" si="75"/>
        <v>73</v>
      </c>
      <c r="CK75" s="563">
        <f t="shared" si="75"/>
        <v>75</v>
      </c>
      <c r="CL75" s="563">
        <f t="shared" si="75"/>
        <v>77</v>
      </c>
      <c r="CM75" s="563">
        <f t="shared" si="75"/>
        <v>79</v>
      </c>
      <c r="CN75" s="580">
        <f t="shared" si="75"/>
        <v>81</v>
      </c>
      <c r="CO75" s="563">
        <f t="shared" si="75"/>
        <v>83</v>
      </c>
      <c r="CP75" s="563">
        <f t="shared" si="75"/>
        <v>85</v>
      </c>
      <c r="CQ75" s="563">
        <f t="shared" si="75"/>
        <v>87</v>
      </c>
      <c r="CR75" s="563">
        <f t="shared" si="75"/>
        <v>89</v>
      </c>
      <c r="CS75" s="579">
        <f t="shared" si="75"/>
        <v>91</v>
      </c>
      <c r="CT75" s="563">
        <f t="shared" si="75"/>
        <v>93</v>
      </c>
      <c r="CU75" s="563">
        <f t="shared" si="75"/>
        <v>95</v>
      </c>
      <c r="CV75" s="563">
        <f t="shared" si="75"/>
        <v>97</v>
      </c>
      <c r="CW75" s="563">
        <f t="shared" si="75"/>
        <v>99</v>
      </c>
      <c r="CX75" s="563"/>
    </row>
    <row r="76" ht="10.5" customHeight="1">
      <c r="A76" s="543"/>
      <c r="B76" s="563">
        <f t="shared" si="4"/>
        <v>74</v>
      </c>
      <c r="C76" s="563">
        <f t="shared" ref="C76:CW76" si="76">IF(LT(IF(GT(C$2,MIN($B76,99)),C$2,MIN($B76,99)),99-FLOOR(C$2/2,1)),IF(GT(C$2,MIN($B76,99)),C$2,MIN($B76,99))-FLOOR(C$2/2,1),2*IF(GT(C$2,MIN($B76,99)),C$2,MIN($B76,99))-99)</f>
        <v>74</v>
      </c>
      <c r="D76" s="563">
        <f t="shared" si="76"/>
        <v>73</v>
      </c>
      <c r="E76" s="563">
        <f t="shared" si="76"/>
        <v>73</v>
      </c>
      <c r="F76" s="563">
        <f t="shared" si="76"/>
        <v>72</v>
      </c>
      <c r="G76" s="579">
        <f t="shared" si="76"/>
        <v>72</v>
      </c>
      <c r="H76" s="563">
        <f t="shared" si="76"/>
        <v>71</v>
      </c>
      <c r="I76" s="563">
        <f t="shared" si="76"/>
        <v>71</v>
      </c>
      <c r="J76" s="563">
        <f t="shared" si="76"/>
        <v>70</v>
      </c>
      <c r="K76" s="563">
        <f t="shared" si="76"/>
        <v>70</v>
      </c>
      <c r="L76" s="580">
        <f t="shared" si="76"/>
        <v>69</v>
      </c>
      <c r="M76" s="563">
        <f t="shared" si="76"/>
        <v>69</v>
      </c>
      <c r="N76" s="563">
        <f t="shared" si="76"/>
        <v>68</v>
      </c>
      <c r="O76" s="563">
        <f t="shared" si="76"/>
        <v>68</v>
      </c>
      <c r="P76" s="563">
        <f t="shared" si="76"/>
        <v>67</v>
      </c>
      <c r="Q76" s="579">
        <f t="shared" si="76"/>
        <v>67</v>
      </c>
      <c r="R76" s="563">
        <f t="shared" si="76"/>
        <v>66</v>
      </c>
      <c r="S76" s="563">
        <f t="shared" si="76"/>
        <v>66</v>
      </c>
      <c r="T76" s="563">
        <f t="shared" si="76"/>
        <v>65</v>
      </c>
      <c r="U76" s="563">
        <f t="shared" si="76"/>
        <v>65</v>
      </c>
      <c r="V76" s="580">
        <f t="shared" si="76"/>
        <v>64</v>
      </c>
      <c r="W76" s="563">
        <f t="shared" si="76"/>
        <v>64</v>
      </c>
      <c r="X76" s="563">
        <f t="shared" si="76"/>
        <v>63</v>
      </c>
      <c r="Y76" s="563">
        <f t="shared" si="76"/>
        <v>63</v>
      </c>
      <c r="Z76" s="563">
        <f t="shared" si="76"/>
        <v>62</v>
      </c>
      <c r="AA76" s="579">
        <f t="shared" si="76"/>
        <v>62</v>
      </c>
      <c r="AB76" s="563">
        <f t="shared" si="76"/>
        <v>61</v>
      </c>
      <c r="AC76" s="563">
        <f t="shared" si="76"/>
        <v>61</v>
      </c>
      <c r="AD76" s="563">
        <f t="shared" si="76"/>
        <v>60</v>
      </c>
      <c r="AE76" s="563">
        <f t="shared" si="76"/>
        <v>60</v>
      </c>
      <c r="AF76" s="580">
        <f t="shared" si="76"/>
        <v>59</v>
      </c>
      <c r="AG76" s="563">
        <f t="shared" si="76"/>
        <v>59</v>
      </c>
      <c r="AH76" s="563">
        <f t="shared" si="76"/>
        <v>58</v>
      </c>
      <c r="AI76" s="563">
        <f t="shared" si="76"/>
        <v>58</v>
      </c>
      <c r="AJ76" s="563">
        <f t="shared" si="76"/>
        <v>57</v>
      </c>
      <c r="AK76" s="579">
        <f t="shared" si="76"/>
        <v>57</v>
      </c>
      <c r="AL76" s="563">
        <f t="shared" si="76"/>
        <v>56</v>
      </c>
      <c r="AM76" s="563">
        <f t="shared" si="76"/>
        <v>56</v>
      </c>
      <c r="AN76" s="563">
        <f t="shared" si="76"/>
        <v>55</v>
      </c>
      <c r="AO76" s="563">
        <f t="shared" si="76"/>
        <v>55</v>
      </c>
      <c r="AP76" s="580">
        <f t="shared" si="76"/>
        <v>54</v>
      </c>
      <c r="AQ76" s="563">
        <f t="shared" si="76"/>
        <v>54</v>
      </c>
      <c r="AR76" s="563">
        <f t="shared" si="76"/>
        <v>53</v>
      </c>
      <c r="AS76" s="563">
        <f t="shared" si="76"/>
        <v>53</v>
      </c>
      <c r="AT76" s="563">
        <f t="shared" si="76"/>
        <v>52</v>
      </c>
      <c r="AU76" s="579">
        <f t="shared" si="76"/>
        <v>52</v>
      </c>
      <c r="AV76" s="563">
        <f t="shared" si="76"/>
        <v>51</v>
      </c>
      <c r="AW76" s="563">
        <f t="shared" si="76"/>
        <v>51</v>
      </c>
      <c r="AX76" s="563">
        <f t="shared" si="76"/>
        <v>50</v>
      </c>
      <c r="AY76" s="563">
        <f t="shared" si="76"/>
        <v>50</v>
      </c>
      <c r="AZ76" s="580">
        <f t="shared" si="76"/>
        <v>49</v>
      </c>
      <c r="BA76" s="563">
        <f t="shared" si="76"/>
        <v>49</v>
      </c>
      <c r="BB76" s="563">
        <f t="shared" si="76"/>
        <v>49</v>
      </c>
      <c r="BC76" s="563">
        <f t="shared" si="76"/>
        <v>49</v>
      </c>
      <c r="BD76" s="563">
        <f t="shared" si="76"/>
        <v>49</v>
      </c>
      <c r="BE76" s="579">
        <f t="shared" si="76"/>
        <v>49</v>
      </c>
      <c r="BF76" s="563">
        <f t="shared" si="76"/>
        <v>49</v>
      </c>
      <c r="BG76" s="563">
        <f t="shared" si="76"/>
        <v>49</v>
      </c>
      <c r="BH76" s="563">
        <f t="shared" si="76"/>
        <v>49</v>
      </c>
      <c r="BI76" s="563">
        <f t="shared" si="76"/>
        <v>49</v>
      </c>
      <c r="BJ76" s="580">
        <f t="shared" si="76"/>
        <v>49</v>
      </c>
      <c r="BK76" s="563">
        <f t="shared" si="76"/>
        <v>49</v>
      </c>
      <c r="BL76" s="563">
        <f t="shared" si="76"/>
        <v>49</v>
      </c>
      <c r="BM76" s="563">
        <f t="shared" si="76"/>
        <v>49</v>
      </c>
      <c r="BN76" s="563">
        <f t="shared" si="76"/>
        <v>49</v>
      </c>
      <c r="BO76" s="579">
        <f t="shared" si="76"/>
        <v>49</v>
      </c>
      <c r="BP76" s="563">
        <f t="shared" si="76"/>
        <v>49</v>
      </c>
      <c r="BQ76" s="563">
        <f t="shared" si="76"/>
        <v>49</v>
      </c>
      <c r="BR76" s="563">
        <f t="shared" si="76"/>
        <v>49</v>
      </c>
      <c r="BS76" s="563">
        <f t="shared" si="76"/>
        <v>49</v>
      </c>
      <c r="BT76" s="580">
        <f t="shared" si="76"/>
        <v>49</v>
      </c>
      <c r="BU76" s="563">
        <f t="shared" si="76"/>
        <v>49</v>
      </c>
      <c r="BV76" s="563">
        <f t="shared" si="76"/>
        <v>49</v>
      </c>
      <c r="BW76" s="563">
        <f t="shared" si="76"/>
        <v>49</v>
      </c>
      <c r="BX76" s="563">
        <f t="shared" si="76"/>
        <v>49</v>
      </c>
      <c r="BY76" s="579">
        <f t="shared" si="76"/>
        <v>51</v>
      </c>
      <c r="BZ76" s="563">
        <f t="shared" si="76"/>
        <v>53</v>
      </c>
      <c r="CA76" s="563">
        <f t="shared" si="76"/>
        <v>55</v>
      </c>
      <c r="CB76" s="563">
        <f t="shared" si="76"/>
        <v>57</v>
      </c>
      <c r="CC76" s="563">
        <f t="shared" si="76"/>
        <v>59</v>
      </c>
      <c r="CD76" s="580">
        <f t="shared" si="76"/>
        <v>61</v>
      </c>
      <c r="CE76" s="563">
        <f t="shared" si="76"/>
        <v>63</v>
      </c>
      <c r="CF76" s="563">
        <f t="shared" si="76"/>
        <v>65</v>
      </c>
      <c r="CG76" s="563">
        <f t="shared" si="76"/>
        <v>67</v>
      </c>
      <c r="CH76" s="563">
        <f t="shared" si="76"/>
        <v>69</v>
      </c>
      <c r="CI76" s="579">
        <f t="shared" si="76"/>
        <v>71</v>
      </c>
      <c r="CJ76" s="563">
        <f t="shared" si="76"/>
        <v>73</v>
      </c>
      <c r="CK76" s="563">
        <f t="shared" si="76"/>
        <v>75</v>
      </c>
      <c r="CL76" s="563">
        <f t="shared" si="76"/>
        <v>77</v>
      </c>
      <c r="CM76" s="563">
        <f t="shared" si="76"/>
        <v>79</v>
      </c>
      <c r="CN76" s="580">
        <f t="shared" si="76"/>
        <v>81</v>
      </c>
      <c r="CO76" s="563">
        <f t="shared" si="76"/>
        <v>83</v>
      </c>
      <c r="CP76" s="563">
        <f t="shared" si="76"/>
        <v>85</v>
      </c>
      <c r="CQ76" s="563">
        <f t="shared" si="76"/>
        <v>87</v>
      </c>
      <c r="CR76" s="563">
        <f t="shared" si="76"/>
        <v>89</v>
      </c>
      <c r="CS76" s="579">
        <f t="shared" si="76"/>
        <v>91</v>
      </c>
      <c r="CT76" s="563">
        <f t="shared" si="76"/>
        <v>93</v>
      </c>
      <c r="CU76" s="563">
        <f t="shared" si="76"/>
        <v>95</v>
      </c>
      <c r="CV76" s="563">
        <f t="shared" si="76"/>
        <v>97</v>
      </c>
      <c r="CW76" s="563">
        <f t="shared" si="76"/>
        <v>99</v>
      </c>
      <c r="CX76" s="563"/>
    </row>
    <row r="77" ht="10.5" customHeight="1">
      <c r="A77" s="543"/>
      <c r="B77" s="563">
        <f t="shared" si="4"/>
        <v>75</v>
      </c>
      <c r="C77" s="640">
        <f t="shared" ref="C77:CW77" si="77">IF(LT(IF(GT(C$2,MIN($B77,99)),C$2,MIN($B77,99)),99-FLOOR(C$2/2,1)),IF(GT(C$2,MIN($B77,99)),C$2,MIN($B77,99))-FLOOR(C$2/2,1),2*IF(GT(C$2,MIN($B77,99)),C$2,MIN($B77,99))-99)</f>
        <v>75</v>
      </c>
      <c r="D77" s="640">
        <f t="shared" si="77"/>
        <v>74</v>
      </c>
      <c r="E77" s="640">
        <f t="shared" si="77"/>
        <v>74</v>
      </c>
      <c r="F77" s="640">
        <f t="shared" si="77"/>
        <v>73</v>
      </c>
      <c r="G77" s="641">
        <f t="shared" si="77"/>
        <v>73</v>
      </c>
      <c r="H77" s="640">
        <f t="shared" si="77"/>
        <v>72</v>
      </c>
      <c r="I77" s="640">
        <f t="shared" si="77"/>
        <v>72</v>
      </c>
      <c r="J77" s="640">
        <f t="shared" si="77"/>
        <v>71</v>
      </c>
      <c r="K77" s="640">
        <f t="shared" si="77"/>
        <v>71</v>
      </c>
      <c r="L77" s="643">
        <f t="shared" si="77"/>
        <v>70</v>
      </c>
      <c r="M77" s="640">
        <f t="shared" si="77"/>
        <v>70</v>
      </c>
      <c r="N77" s="640">
        <f t="shared" si="77"/>
        <v>69</v>
      </c>
      <c r="O77" s="640">
        <f t="shared" si="77"/>
        <v>69</v>
      </c>
      <c r="P77" s="640">
        <f t="shared" si="77"/>
        <v>68</v>
      </c>
      <c r="Q77" s="641">
        <f t="shared" si="77"/>
        <v>68</v>
      </c>
      <c r="R77" s="640">
        <f t="shared" si="77"/>
        <v>67</v>
      </c>
      <c r="S77" s="640">
        <f t="shared" si="77"/>
        <v>67</v>
      </c>
      <c r="T77" s="640">
        <f t="shared" si="77"/>
        <v>66</v>
      </c>
      <c r="U77" s="640">
        <f t="shared" si="77"/>
        <v>66</v>
      </c>
      <c r="V77" s="643">
        <f t="shared" si="77"/>
        <v>65</v>
      </c>
      <c r="W77" s="640">
        <f t="shared" si="77"/>
        <v>65</v>
      </c>
      <c r="X77" s="640">
        <f t="shared" si="77"/>
        <v>64</v>
      </c>
      <c r="Y77" s="640">
        <f t="shared" si="77"/>
        <v>64</v>
      </c>
      <c r="Z77" s="640">
        <f t="shared" si="77"/>
        <v>63</v>
      </c>
      <c r="AA77" s="641">
        <f t="shared" si="77"/>
        <v>63</v>
      </c>
      <c r="AB77" s="640">
        <f t="shared" si="77"/>
        <v>62</v>
      </c>
      <c r="AC77" s="640">
        <f t="shared" si="77"/>
        <v>62</v>
      </c>
      <c r="AD77" s="640">
        <f t="shared" si="77"/>
        <v>61</v>
      </c>
      <c r="AE77" s="640">
        <f t="shared" si="77"/>
        <v>61</v>
      </c>
      <c r="AF77" s="643">
        <f t="shared" si="77"/>
        <v>60</v>
      </c>
      <c r="AG77" s="640">
        <f t="shared" si="77"/>
        <v>60</v>
      </c>
      <c r="AH77" s="640">
        <f t="shared" si="77"/>
        <v>59</v>
      </c>
      <c r="AI77" s="640">
        <f t="shared" si="77"/>
        <v>59</v>
      </c>
      <c r="AJ77" s="640">
        <f t="shared" si="77"/>
        <v>58</v>
      </c>
      <c r="AK77" s="641">
        <f t="shared" si="77"/>
        <v>58</v>
      </c>
      <c r="AL77" s="640">
        <f t="shared" si="77"/>
        <v>57</v>
      </c>
      <c r="AM77" s="640">
        <f t="shared" si="77"/>
        <v>57</v>
      </c>
      <c r="AN77" s="640">
        <f t="shared" si="77"/>
        <v>56</v>
      </c>
      <c r="AO77" s="640">
        <f t="shared" si="77"/>
        <v>56</v>
      </c>
      <c r="AP77" s="643">
        <f t="shared" si="77"/>
        <v>55</v>
      </c>
      <c r="AQ77" s="640">
        <f t="shared" si="77"/>
        <v>55</v>
      </c>
      <c r="AR77" s="640">
        <f t="shared" si="77"/>
        <v>54</v>
      </c>
      <c r="AS77" s="640">
        <f t="shared" si="77"/>
        <v>54</v>
      </c>
      <c r="AT77" s="640">
        <f t="shared" si="77"/>
        <v>53</v>
      </c>
      <c r="AU77" s="641">
        <f t="shared" si="77"/>
        <v>53</v>
      </c>
      <c r="AV77" s="640">
        <f t="shared" si="77"/>
        <v>52</v>
      </c>
      <c r="AW77" s="640">
        <f t="shared" si="77"/>
        <v>52</v>
      </c>
      <c r="AX77" s="640">
        <f t="shared" si="77"/>
        <v>51</v>
      </c>
      <c r="AY77" s="640">
        <f t="shared" si="77"/>
        <v>51</v>
      </c>
      <c r="AZ77" s="643">
        <f t="shared" si="77"/>
        <v>51</v>
      </c>
      <c r="BA77" s="640">
        <f t="shared" si="77"/>
        <v>51</v>
      </c>
      <c r="BB77" s="640">
        <f t="shared" si="77"/>
        <v>51</v>
      </c>
      <c r="BC77" s="640">
        <f t="shared" si="77"/>
        <v>51</v>
      </c>
      <c r="BD77" s="640">
        <f t="shared" si="77"/>
        <v>51</v>
      </c>
      <c r="BE77" s="641">
        <f t="shared" si="77"/>
        <v>51</v>
      </c>
      <c r="BF77" s="640">
        <f t="shared" si="77"/>
        <v>51</v>
      </c>
      <c r="BG77" s="640">
        <f t="shared" si="77"/>
        <v>51</v>
      </c>
      <c r="BH77" s="640">
        <f t="shared" si="77"/>
        <v>51</v>
      </c>
      <c r="BI77" s="640">
        <f t="shared" si="77"/>
        <v>51</v>
      </c>
      <c r="BJ77" s="643">
        <f t="shared" si="77"/>
        <v>51</v>
      </c>
      <c r="BK77" s="640">
        <f t="shared" si="77"/>
        <v>51</v>
      </c>
      <c r="BL77" s="640">
        <f t="shared" si="77"/>
        <v>51</v>
      </c>
      <c r="BM77" s="640">
        <f t="shared" si="77"/>
        <v>51</v>
      </c>
      <c r="BN77" s="640">
        <f t="shared" si="77"/>
        <v>51</v>
      </c>
      <c r="BO77" s="641">
        <f t="shared" si="77"/>
        <v>51</v>
      </c>
      <c r="BP77" s="640">
        <f t="shared" si="77"/>
        <v>51</v>
      </c>
      <c r="BQ77" s="640">
        <f t="shared" si="77"/>
        <v>51</v>
      </c>
      <c r="BR77" s="640">
        <f t="shared" si="77"/>
        <v>51</v>
      </c>
      <c r="BS77" s="640">
        <f t="shared" si="77"/>
        <v>51</v>
      </c>
      <c r="BT77" s="643">
        <f t="shared" si="77"/>
        <v>51</v>
      </c>
      <c r="BU77" s="640">
        <f t="shared" si="77"/>
        <v>51</v>
      </c>
      <c r="BV77" s="640">
        <f t="shared" si="77"/>
        <v>51</v>
      </c>
      <c r="BW77" s="640">
        <f t="shared" si="77"/>
        <v>51</v>
      </c>
      <c r="BX77" s="640">
        <f t="shared" si="77"/>
        <v>51</v>
      </c>
      <c r="BY77" s="641">
        <f t="shared" si="77"/>
        <v>51</v>
      </c>
      <c r="BZ77" s="640">
        <f t="shared" si="77"/>
        <v>53</v>
      </c>
      <c r="CA77" s="640">
        <f t="shared" si="77"/>
        <v>55</v>
      </c>
      <c r="CB77" s="640">
        <f t="shared" si="77"/>
        <v>57</v>
      </c>
      <c r="CC77" s="640">
        <f t="shared" si="77"/>
        <v>59</v>
      </c>
      <c r="CD77" s="643">
        <f t="shared" si="77"/>
        <v>61</v>
      </c>
      <c r="CE77" s="640">
        <f t="shared" si="77"/>
        <v>63</v>
      </c>
      <c r="CF77" s="640">
        <f t="shared" si="77"/>
        <v>65</v>
      </c>
      <c r="CG77" s="640">
        <f t="shared" si="77"/>
        <v>67</v>
      </c>
      <c r="CH77" s="640">
        <f t="shared" si="77"/>
        <v>69</v>
      </c>
      <c r="CI77" s="641">
        <f t="shared" si="77"/>
        <v>71</v>
      </c>
      <c r="CJ77" s="640">
        <f t="shared" si="77"/>
        <v>73</v>
      </c>
      <c r="CK77" s="640">
        <f t="shared" si="77"/>
        <v>75</v>
      </c>
      <c r="CL77" s="640">
        <f t="shared" si="77"/>
        <v>77</v>
      </c>
      <c r="CM77" s="640">
        <f t="shared" si="77"/>
        <v>79</v>
      </c>
      <c r="CN77" s="643">
        <f t="shared" si="77"/>
        <v>81</v>
      </c>
      <c r="CO77" s="640">
        <f t="shared" si="77"/>
        <v>83</v>
      </c>
      <c r="CP77" s="640">
        <f t="shared" si="77"/>
        <v>85</v>
      </c>
      <c r="CQ77" s="640">
        <f t="shared" si="77"/>
        <v>87</v>
      </c>
      <c r="CR77" s="640">
        <f t="shared" si="77"/>
        <v>89</v>
      </c>
      <c r="CS77" s="641">
        <f t="shared" si="77"/>
        <v>91</v>
      </c>
      <c r="CT77" s="640">
        <f t="shared" si="77"/>
        <v>93</v>
      </c>
      <c r="CU77" s="640">
        <f t="shared" si="77"/>
        <v>95</v>
      </c>
      <c r="CV77" s="640">
        <f t="shared" si="77"/>
        <v>97</v>
      </c>
      <c r="CW77" s="640">
        <f t="shared" si="77"/>
        <v>99</v>
      </c>
      <c r="CX77" s="563"/>
    </row>
    <row r="78" ht="10.5" customHeight="1">
      <c r="A78" s="543"/>
      <c r="B78" s="563">
        <f t="shared" si="4"/>
        <v>76</v>
      </c>
      <c r="C78" s="563">
        <f t="shared" ref="C78:CW78" si="78">IF(LT(IF(GT(C$2,MIN($B78,99)),C$2,MIN($B78,99)),99-FLOOR(C$2/2,1)),IF(GT(C$2,MIN($B78,99)),C$2,MIN($B78,99))-FLOOR(C$2/2,1),2*IF(GT(C$2,MIN($B78,99)),C$2,MIN($B78,99))-99)</f>
        <v>76</v>
      </c>
      <c r="D78" s="563">
        <f t="shared" si="78"/>
        <v>75</v>
      </c>
      <c r="E78" s="563">
        <f t="shared" si="78"/>
        <v>75</v>
      </c>
      <c r="F78" s="563">
        <f t="shared" si="78"/>
        <v>74</v>
      </c>
      <c r="G78" s="579">
        <f t="shared" si="78"/>
        <v>74</v>
      </c>
      <c r="H78" s="563">
        <f t="shared" si="78"/>
        <v>73</v>
      </c>
      <c r="I78" s="563">
        <f t="shared" si="78"/>
        <v>73</v>
      </c>
      <c r="J78" s="563">
        <f t="shared" si="78"/>
        <v>72</v>
      </c>
      <c r="K78" s="563">
        <f t="shared" si="78"/>
        <v>72</v>
      </c>
      <c r="L78" s="580">
        <f t="shared" si="78"/>
        <v>71</v>
      </c>
      <c r="M78" s="563">
        <f t="shared" si="78"/>
        <v>71</v>
      </c>
      <c r="N78" s="563">
        <f t="shared" si="78"/>
        <v>70</v>
      </c>
      <c r="O78" s="563">
        <f t="shared" si="78"/>
        <v>70</v>
      </c>
      <c r="P78" s="563">
        <f t="shared" si="78"/>
        <v>69</v>
      </c>
      <c r="Q78" s="579">
        <f t="shared" si="78"/>
        <v>69</v>
      </c>
      <c r="R78" s="563">
        <f t="shared" si="78"/>
        <v>68</v>
      </c>
      <c r="S78" s="563">
        <f t="shared" si="78"/>
        <v>68</v>
      </c>
      <c r="T78" s="563">
        <f t="shared" si="78"/>
        <v>67</v>
      </c>
      <c r="U78" s="563">
        <f t="shared" si="78"/>
        <v>67</v>
      </c>
      <c r="V78" s="580">
        <f t="shared" si="78"/>
        <v>66</v>
      </c>
      <c r="W78" s="563">
        <f t="shared" si="78"/>
        <v>66</v>
      </c>
      <c r="X78" s="563">
        <f t="shared" si="78"/>
        <v>65</v>
      </c>
      <c r="Y78" s="563">
        <f t="shared" si="78"/>
        <v>65</v>
      </c>
      <c r="Z78" s="563">
        <f t="shared" si="78"/>
        <v>64</v>
      </c>
      <c r="AA78" s="579">
        <f t="shared" si="78"/>
        <v>64</v>
      </c>
      <c r="AB78" s="563">
        <f t="shared" si="78"/>
        <v>63</v>
      </c>
      <c r="AC78" s="563">
        <f t="shared" si="78"/>
        <v>63</v>
      </c>
      <c r="AD78" s="563">
        <f t="shared" si="78"/>
        <v>62</v>
      </c>
      <c r="AE78" s="563">
        <f t="shared" si="78"/>
        <v>62</v>
      </c>
      <c r="AF78" s="580">
        <f t="shared" si="78"/>
        <v>61</v>
      </c>
      <c r="AG78" s="563">
        <f t="shared" si="78"/>
        <v>61</v>
      </c>
      <c r="AH78" s="563">
        <f t="shared" si="78"/>
        <v>60</v>
      </c>
      <c r="AI78" s="563">
        <f t="shared" si="78"/>
        <v>60</v>
      </c>
      <c r="AJ78" s="563">
        <f t="shared" si="78"/>
        <v>59</v>
      </c>
      <c r="AK78" s="579">
        <f t="shared" si="78"/>
        <v>59</v>
      </c>
      <c r="AL78" s="563">
        <f t="shared" si="78"/>
        <v>58</v>
      </c>
      <c r="AM78" s="563">
        <f t="shared" si="78"/>
        <v>58</v>
      </c>
      <c r="AN78" s="563">
        <f t="shared" si="78"/>
        <v>57</v>
      </c>
      <c r="AO78" s="563">
        <f t="shared" si="78"/>
        <v>57</v>
      </c>
      <c r="AP78" s="580">
        <f t="shared" si="78"/>
        <v>56</v>
      </c>
      <c r="AQ78" s="563">
        <f t="shared" si="78"/>
        <v>56</v>
      </c>
      <c r="AR78" s="563">
        <f t="shared" si="78"/>
        <v>55</v>
      </c>
      <c r="AS78" s="563">
        <f t="shared" si="78"/>
        <v>55</v>
      </c>
      <c r="AT78" s="563">
        <f t="shared" si="78"/>
        <v>54</v>
      </c>
      <c r="AU78" s="579">
        <f t="shared" si="78"/>
        <v>54</v>
      </c>
      <c r="AV78" s="563">
        <f t="shared" si="78"/>
        <v>53</v>
      </c>
      <c r="AW78" s="563">
        <f t="shared" si="78"/>
        <v>53</v>
      </c>
      <c r="AX78" s="563">
        <f t="shared" si="78"/>
        <v>53</v>
      </c>
      <c r="AY78" s="563">
        <f t="shared" si="78"/>
        <v>53</v>
      </c>
      <c r="AZ78" s="580">
        <f t="shared" si="78"/>
        <v>53</v>
      </c>
      <c r="BA78" s="563">
        <f t="shared" si="78"/>
        <v>53</v>
      </c>
      <c r="BB78" s="563">
        <f t="shared" si="78"/>
        <v>53</v>
      </c>
      <c r="BC78" s="563">
        <f t="shared" si="78"/>
        <v>53</v>
      </c>
      <c r="BD78" s="563">
        <f t="shared" si="78"/>
        <v>53</v>
      </c>
      <c r="BE78" s="579">
        <f t="shared" si="78"/>
        <v>53</v>
      </c>
      <c r="BF78" s="563">
        <f t="shared" si="78"/>
        <v>53</v>
      </c>
      <c r="BG78" s="563">
        <f t="shared" si="78"/>
        <v>53</v>
      </c>
      <c r="BH78" s="563">
        <f t="shared" si="78"/>
        <v>53</v>
      </c>
      <c r="BI78" s="563">
        <f t="shared" si="78"/>
        <v>53</v>
      </c>
      <c r="BJ78" s="580">
        <f t="shared" si="78"/>
        <v>53</v>
      </c>
      <c r="BK78" s="563">
        <f t="shared" si="78"/>
        <v>53</v>
      </c>
      <c r="BL78" s="563">
        <f t="shared" si="78"/>
        <v>53</v>
      </c>
      <c r="BM78" s="563">
        <f t="shared" si="78"/>
        <v>53</v>
      </c>
      <c r="BN78" s="563">
        <f t="shared" si="78"/>
        <v>53</v>
      </c>
      <c r="BO78" s="579">
        <f t="shared" si="78"/>
        <v>53</v>
      </c>
      <c r="BP78" s="563">
        <f t="shared" si="78"/>
        <v>53</v>
      </c>
      <c r="BQ78" s="563">
        <f t="shared" si="78"/>
        <v>53</v>
      </c>
      <c r="BR78" s="563">
        <f t="shared" si="78"/>
        <v>53</v>
      </c>
      <c r="BS78" s="563">
        <f t="shared" si="78"/>
        <v>53</v>
      </c>
      <c r="BT78" s="580">
        <f t="shared" si="78"/>
        <v>53</v>
      </c>
      <c r="BU78" s="563">
        <f t="shared" si="78"/>
        <v>53</v>
      </c>
      <c r="BV78" s="563">
        <f t="shared" si="78"/>
        <v>53</v>
      </c>
      <c r="BW78" s="563">
        <f t="shared" si="78"/>
        <v>53</v>
      </c>
      <c r="BX78" s="563">
        <f t="shared" si="78"/>
        <v>53</v>
      </c>
      <c r="BY78" s="579">
        <f t="shared" si="78"/>
        <v>53</v>
      </c>
      <c r="BZ78" s="563">
        <f t="shared" si="78"/>
        <v>53</v>
      </c>
      <c r="CA78" s="563">
        <f t="shared" si="78"/>
        <v>55</v>
      </c>
      <c r="CB78" s="563">
        <f t="shared" si="78"/>
        <v>57</v>
      </c>
      <c r="CC78" s="563">
        <f t="shared" si="78"/>
        <v>59</v>
      </c>
      <c r="CD78" s="580">
        <f t="shared" si="78"/>
        <v>61</v>
      </c>
      <c r="CE78" s="563">
        <f t="shared" si="78"/>
        <v>63</v>
      </c>
      <c r="CF78" s="563">
        <f t="shared" si="78"/>
        <v>65</v>
      </c>
      <c r="CG78" s="563">
        <f t="shared" si="78"/>
        <v>67</v>
      </c>
      <c r="CH78" s="563">
        <f t="shared" si="78"/>
        <v>69</v>
      </c>
      <c r="CI78" s="579">
        <f t="shared" si="78"/>
        <v>71</v>
      </c>
      <c r="CJ78" s="563">
        <f t="shared" si="78"/>
        <v>73</v>
      </c>
      <c r="CK78" s="563">
        <f t="shared" si="78"/>
        <v>75</v>
      </c>
      <c r="CL78" s="563">
        <f t="shared" si="78"/>
        <v>77</v>
      </c>
      <c r="CM78" s="563">
        <f t="shared" si="78"/>
        <v>79</v>
      </c>
      <c r="CN78" s="580">
        <f t="shared" si="78"/>
        <v>81</v>
      </c>
      <c r="CO78" s="563">
        <f t="shared" si="78"/>
        <v>83</v>
      </c>
      <c r="CP78" s="563">
        <f t="shared" si="78"/>
        <v>85</v>
      </c>
      <c r="CQ78" s="563">
        <f t="shared" si="78"/>
        <v>87</v>
      </c>
      <c r="CR78" s="563">
        <f t="shared" si="78"/>
        <v>89</v>
      </c>
      <c r="CS78" s="579">
        <f t="shared" si="78"/>
        <v>91</v>
      </c>
      <c r="CT78" s="563">
        <f t="shared" si="78"/>
        <v>93</v>
      </c>
      <c r="CU78" s="563">
        <f t="shared" si="78"/>
        <v>95</v>
      </c>
      <c r="CV78" s="563">
        <f t="shared" si="78"/>
        <v>97</v>
      </c>
      <c r="CW78" s="563">
        <f t="shared" si="78"/>
        <v>99</v>
      </c>
      <c r="CX78" s="563"/>
    </row>
    <row r="79" ht="10.5" customHeight="1">
      <c r="A79" s="543"/>
      <c r="B79" s="563">
        <f t="shared" si="4"/>
        <v>77</v>
      </c>
      <c r="C79" s="563">
        <f t="shared" ref="C79:CW79" si="79">IF(LT(IF(GT(C$2,MIN($B79,99)),C$2,MIN($B79,99)),99-FLOOR(C$2/2,1)),IF(GT(C$2,MIN($B79,99)),C$2,MIN($B79,99))-FLOOR(C$2/2,1),2*IF(GT(C$2,MIN($B79,99)),C$2,MIN($B79,99))-99)</f>
        <v>77</v>
      </c>
      <c r="D79" s="563">
        <f t="shared" si="79"/>
        <v>76</v>
      </c>
      <c r="E79" s="563">
        <f t="shared" si="79"/>
        <v>76</v>
      </c>
      <c r="F79" s="563">
        <f t="shared" si="79"/>
        <v>75</v>
      </c>
      <c r="G79" s="579">
        <f t="shared" si="79"/>
        <v>75</v>
      </c>
      <c r="H79" s="563">
        <f t="shared" si="79"/>
        <v>74</v>
      </c>
      <c r="I79" s="563">
        <f t="shared" si="79"/>
        <v>74</v>
      </c>
      <c r="J79" s="563">
        <f t="shared" si="79"/>
        <v>73</v>
      </c>
      <c r="K79" s="563">
        <f t="shared" si="79"/>
        <v>73</v>
      </c>
      <c r="L79" s="580">
        <f t="shared" si="79"/>
        <v>72</v>
      </c>
      <c r="M79" s="563">
        <f t="shared" si="79"/>
        <v>72</v>
      </c>
      <c r="N79" s="563">
        <f t="shared" si="79"/>
        <v>71</v>
      </c>
      <c r="O79" s="563">
        <f t="shared" si="79"/>
        <v>71</v>
      </c>
      <c r="P79" s="563">
        <f t="shared" si="79"/>
        <v>70</v>
      </c>
      <c r="Q79" s="579">
        <f t="shared" si="79"/>
        <v>70</v>
      </c>
      <c r="R79" s="563">
        <f t="shared" si="79"/>
        <v>69</v>
      </c>
      <c r="S79" s="563">
        <f t="shared" si="79"/>
        <v>69</v>
      </c>
      <c r="T79" s="563">
        <f t="shared" si="79"/>
        <v>68</v>
      </c>
      <c r="U79" s="563">
        <f t="shared" si="79"/>
        <v>68</v>
      </c>
      <c r="V79" s="580">
        <f t="shared" si="79"/>
        <v>67</v>
      </c>
      <c r="W79" s="563">
        <f t="shared" si="79"/>
        <v>67</v>
      </c>
      <c r="X79" s="563">
        <f t="shared" si="79"/>
        <v>66</v>
      </c>
      <c r="Y79" s="563">
        <f t="shared" si="79"/>
        <v>66</v>
      </c>
      <c r="Z79" s="563">
        <f t="shared" si="79"/>
        <v>65</v>
      </c>
      <c r="AA79" s="579">
        <f t="shared" si="79"/>
        <v>65</v>
      </c>
      <c r="AB79" s="563">
        <f t="shared" si="79"/>
        <v>64</v>
      </c>
      <c r="AC79" s="563">
        <f t="shared" si="79"/>
        <v>64</v>
      </c>
      <c r="AD79" s="563">
        <f t="shared" si="79"/>
        <v>63</v>
      </c>
      <c r="AE79" s="563">
        <f t="shared" si="79"/>
        <v>63</v>
      </c>
      <c r="AF79" s="580">
        <f t="shared" si="79"/>
        <v>62</v>
      </c>
      <c r="AG79" s="563">
        <f t="shared" si="79"/>
        <v>62</v>
      </c>
      <c r="AH79" s="563">
        <f t="shared" si="79"/>
        <v>61</v>
      </c>
      <c r="AI79" s="563">
        <f t="shared" si="79"/>
        <v>61</v>
      </c>
      <c r="AJ79" s="563">
        <f t="shared" si="79"/>
        <v>60</v>
      </c>
      <c r="AK79" s="579">
        <f t="shared" si="79"/>
        <v>60</v>
      </c>
      <c r="AL79" s="563">
        <f t="shared" si="79"/>
        <v>59</v>
      </c>
      <c r="AM79" s="563">
        <f t="shared" si="79"/>
        <v>59</v>
      </c>
      <c r="AN79" s="563">
        <f t="shared" si="79"/>
        <v>58</v>
      </c>
      <c r="AO79" s="563">
        <f t="shared" si="79"/>
        <v>58</v>
      </c>
      <c r="AP79" s="580">
        <f t="shared" si="79"/>
        <v>57</v>
      </c>
      <c r="AQ79" s="563">
        <f t="shared" si="79"/>
        <v>57</v>
      </c>
      <c r="AR79" s="563">
        <f t="shared" si="79"/>
        <v>56</v>
      </c>
      <c r="AS79" s="563">
        <f t="shared" si="79"/>
        <v>56</v>
      </c>
      <c r="AT79" s="563">
        <f t="shared" si="79"/>
        <v>55</v>
      </c>
      <c r="AU79" s="579">
        <f t="shared" si="79"/>
        <v>55</v>
      </c>
      <c r="AV79" s="563">
        <f t="shared" si="79"/>
        <v>55</v>
      </c>
      <c r="AW79" s="563">
        <f t="shared" si="79"/>
        <v>55</v>
      </c>
      <c r="AX79" s="563">
        <f t="shared" si="79"/>
        <v>55</v>
      </c>
      <c r="AY79" s="563">
        <f t="shared" si="79"/>
        <v>55</v>
      </c>
      <c r="AZ79" s="580">
        <f t="shared" si="79"/>
        <v>55</v>
      </c>
      <c r="BA79" s="563">
        <f t="shared" si="79"/>
        <v>55</v>
      </c>
      <c r="BB79" s="563">
        <f t="shared" si="79"/>
        <v>55</v>
      </c>
      <c r="BC79" s="563">
        <f t="shared" si="79"/>
        <v>55</v>
      </c>
      <c r="BD79" s="563">
        <f t="shared" si="79"/>
        <v>55</v>
      </c>
      <c r="BE79" s="579">
        <f t="shared" si="79"/>
        <v>55</v>
      </c>
      <c r="BF79" s="563">
        <f t="shared" si="79"/>
        <v>55</v>
      </c>
      <c r="BG79" s="563">
        <f t="shared" si="79"/>
        <v>55</v>
      </c>
      <c r="BH79" s="563">
        <f t="shared" si="79"/>
        <v>55</v>
      </c>
      <c r="BI79" s="563">
        <f t="shared" si="79"/>
        <v>55</v>
      </c>
      <c r="BJ79" s="580">
        <f t="shared" si="79"/>
        <v>55</v>
      </c>
      <c r="BK79" s="563">
        <f t="shared" si="79"/>
        <v>55</v>
      </c>
      <c r="BL79" s="563">
        <f t="shared" si="79"/>
        <v>55</v>
      </c>
      <c r="BM79" s="563">
        <f t="shared" si="79"/>
        <v>55</v>
      </c>
      <c r="BN79" s="563">
        <f t="shared" si="79"/>
        <v>55</v>
      </c>
      <c r="BO79" s="579">
        <f t="shared" si="79"/>
        <v>55</v>
      </c>
      <c r="BP79" s="563">
        <f t="shared" si="79"/>
        <v>55</v>
      </c>
      <c r="BQ79" s="563">
        <f t="shared" si="79"/>
        <v>55</v>
      </c>
      <c r="BR79" s="563">
        <f t="shared" si="79"/>
        <v>55</v>
      </c>
      <c r="BS79" s="563">
        <f t="shared" si="79"/>
        <v>55</v>
      </c>
      <c r="BT79" s="580">
        <f t="shared" si="79"/>
        <v>55</v>
      </c>
      <c r="BU79" s="563">
        <f t="shared" si="79"/>
        <v>55</v>
      </c>
      <c r="BV79" s="563">
        <f t="shared" si="79"/>
        <v>55</v>
      </c>
      <c r="BW79" s="563">
        <f t="shared" si="79"/>
        <v>55</v>
      </c>
      <c r="BX79" s="563">
        <f t="shared" si="79"/>
        <v>55</v>
      </c>
      <c r="BY79" s="579">
        <f t="shared" si="79"/>
        <v>55</v>
      </c>
      <c r="BZ79" s="563">
        <f t="shared" si="79"/>
        <v>55</v>
      </c>
      <c r="CA79" s="563">
        <f t="shared" si="79"/>
        <v>55</v>
      </c>
      <c r="CB79" s="563">
        <f t="shared" si="79"/>
        <v>57</v>
      </c>
      <c r="CC79" s="563">
        <f t="shared" si="79"/>
        <v>59</v>
      </c>
      <c r="CD79" s="580">
        <f t="shared" si="79"/>
        <v>61</v>
      </c>
      <c r="CE79" s="563">
        <f t="shared" si="79"/>
        <v>63</v>
      </c>
      <c r="CF79" s="563">
        <f t="shared" si="79"/>
        <v>65</v>
      </c>
      <c r="CG79" s="563">
        <f t="shared" si="79"/>
        <v>67</v>
      </c>
      <c r="CH79" s="563">
        <f t="shared" si="79"/>
        <v>69</v>
      </c>
      <c r="CI79" s="579">
        <f t="shared" si="79"/>
        <v>71</v>
      </c>
      <c r="CJ79" s="563">
        <f t="shared" si="79"/>
        <v>73</v>
      </c>
      <c r="CK79" s="563">
        <f t="shared" si="79"/>
        <v>75</v>
      </c>
      <c r="CL79" s="563">
        <f t="shared" si="79"/>
        <v>77</v>
      </c>
      <c r="CM79" s="563">
        <f t="shared" si="79"/>
        <v>79</v>
      </c>
      <c r="CN79" s="580">
        <f t="shared" si="79"/>
        <v>81</v>
      </c>
      <c r="CO79" s="563">
        <f t="shared" si="79"/>
        <v>83</v>
      </c>
      <c r="CP79" s="563">
        <f t="shared" si="79"/>
        <v>85</v>
      </c>
      <c r="CQ79" s="563">
        <f t="shared" si="79"/>
        <v>87</v>
      </c>
      <c r="CR79" s="563">
        <f t="shared" si="79"/>
        <v>89</v>
      </c>
      <c r="CS79" s="579">
        <f t="shared" si="79"/>
        <v>91</v>
      </c>
      <c r="CT79" s="563">
        <f t="shared" si="79"/>
        <v>93</v>
      </c>
      <c r="CU79" s="563">
        <f t="shared" si="79"/>
        <v>95</v>
      </c>
      <c r="CV79" s="563">
        <f t="shared" si="79"/>
        <v>97</v>
      </c>
      <c r="CW79" s="563">
        <f t="shared" si="79"/>
        <v>99</v>
      </c>
      <c r="CX79" s="563"/>
    </row>
    <row r="80" ht="10.5" customHeight="1">
      <c r="A80" s="543"/>
      <c r="B80" s="563">
        <f t="shared" si="4"/>
        <v>78</v>
      </c>
      <c r="C80" s="563">
        <f t="shared" ref="C80:CW80" si="80">IF(LT(IF(GT(C$2,MIN($B80,99)),C$2,MIN($B80,99)),99-FLOOR(C$2/2,1)),IF(GT(C$2,MIN($B80,99)),C$2,MIN($B80,99))-FLOOR(C$2/2,1),2*IF(GT(C$2,MIN($B80,99)),C$2,MIN($B80,99))-99)</f>
        <v>78</v>
      </c>
      <c r="D80" s="563">
        <f t="shared" si="80"/>
        <v>77</v>
      </c>
      <c r="E80" s="563">
        <f t="shared" si="80"/>
        <v>77</v>
      </c>
      <c r="F80" s="563">
        <f t="shared" si="80"/>
        <v>76</v>
      </c>
      <c r="G80" s="579">
        <f t="shared" si="80"/>
        <v>76</v>
      </c>
      <c r="H80" s="563">
        <f t="shared" si="80"/>
        <v>75</v>
      </c>
      <c r="I80" s="563">
        <f t="shared" si="80"/>
        <v>75</v>
      </c>
      <c r="J80" s="563">
        <f t="shared" si="80"/>
        <v>74</v>
      </c>
      <c r="K80" s="563">
        <f t="shared" si="80"/>
        <v>74</v>
      </c>
      <c r="L80" s="580">
        <f t="shared" si="80"/>
        <v>73</v>
      </c>
      <c r="M80" s="563">
        <f t="shared" si="80"/>
        <v>73</v>
      </c>
      <c r="N80" s="563">
        <f t="shared" si="80"/>
        <v>72</v>
      </c>
      <c r="O80" s="563">
        <f t="shared" si="80"/>
        <v>72</v>
      </c>
      <c r="P80" s="563">
        <f t="shared" si="80"/>
        <v>71</v>
      </c>
      <c r="Q80" s="579">
        <f t="shared" si="80"/>
        <v>71</v>
      </c>
      <c r="R80" s="563">
        <f t="shared" si="80"/>
        <v>70</v>
      </c>
      <c r="S80" s="563">
        <f t="shared" si="80"/>
        <v>70</v>
      </c>
      <c r="T80" s="563">
        <f t="shared" si="80"/>
        <v>69</v>
      </c>
      <c r="U80" s="563">
        <f t="shared" si="80"/>
        <v>69</v>
      </c>
      <c r="V80" s="580">
        <f t="shared" si="80"/>
        <v>68</v>
      </c>
      <c r="W80" s="563">
        <f t="shared" si="80"/>
        <v>68</v>
      </c>
      <c r="X80" s="563">
        <f t="shared" si="80"/>
        <v>67</v>
      </c>
      <c r="Y80" s="563">
        <f t="shared" si="80"/>
        <v>67</v>
      </c>
      <c r="Z80" s="563">
        <f t="shared" si="80"/>
        <v>66</v>
      </c>
      <c r="AA80" s="579">
        <f t="shared" si="80"/>
        <v>66</v>
      </c>
      <c r="AB80" s="563">
        <f t="shared" si="80"/>
        <v>65</v>
      </c>
      <c r="AC80" s="563">
        <f t="shared" si="80"/>
        <v>65</v>
      </c>
      <c r="AD80" s="563">
        <f t="shared" si="80"/>
        <v>64</v>
      </c>
      <c r="AE80" s="563">
        <f t="shared" si="80"/>
        <v>64</v>
      </c>
      <c r="AF80" s="580">
        <f t="shared" si="80"/>
        <v>63</v>
      </c>
      <c r="AG80" s="563">
        <f t="shared" si="80"/>
        <v>63</v>
      </c>
      <c r="AH80" s="563">
        <f t="shared" si="80"/>
        <v>62</v>
      </c>
      <c r="AI80" s="563">
        <f t="shared" si="80"/>
        <v>62</v>
      </c>
      <c r="AJ80" s="563">
        <f t="shared" si="80"/>
        <v>61</v>
      </c>
      <c r="AK80" s="579">
        <f t="shared" si="80"/>
        <v>61</v>
      </c>
      <c r="AL80" s="563">
        <f t="shared" si="80"/>
        <v>60</v>
      </c>
      <c r="AM80" s="563">
        <f t="shared" si="80"/>
        <v>60</v>
      </c>
      <c r="AN80" s="563">
        <f t="shared" si="80"/>
        <v>59</v>
      </c>
      <c r="AO80" s="563">
        <f t="shared" si="80"/>
        <v>59</v>
      </c>
      <c r="AP80" s="580">
        <f t="shared" si="80"/>
        <v>58</v>
      </c>
      <c r="AQ80" s="563">
        <f t="shared" si="80"/>
        <v>58</v>
      </c>
      <c r="AR80" s="563">
        <f t="shared" si="80"/>
        <v>57</v>
      </c>
      <c r="AS80" s="563">
        <f t="shared" si="80"/>
        <v>57</v>
      </c>
      <c r="AT80" s="563">
        <f t="shared" si="80"/>
        <v>57</v>
      </c>
      <c r="AU80" s="579">
        <f t="shared" si="80"/>
        <v>57</v>
      </c>
      <c r="AV80" s="563">
        <f t="shared" si="80"/>
        <v>57</v>
      </c>
      <c r="AW80" s="563">
        <f t="shared" si="80"/>
        <v>57</v>
      </c>
      <c r="AX80" s="563">
        <f t="shared" si="80"/>
        <v>57</v>
      </c>
      <c r="AY80" s="563">
        <f t="shared" si="80"/>
        <v>57</v>
      </c>
      <c r="AZ80" s="580">
        <f t="shared" si="80"/>
        <v>57</v>
      </c>
      <c r="BA80" s="563">
        <f t="shared" si="80"/>
        <v>57</v>
      </c>
      <c r="BB80" s="563">
        <f t="shared" si="80"/>
        <v>57</v>
      </c>
      <c r="BC80" s="563">
        <f t="shared" si="80"/>
        <v>57</v>
      </c>
      <c r="BD80" s="563">
        <f t="shared" si="80"/>
        <v>57</v>
      </c>
      <c r="BE80" s="579">
        <f t="shared" si="80"/>
        <v>57</v>
      </c>
      <c r="BF80" s="563">
        <f t="shared" si="80"/>
        <v>57</v>
      </c>
      <c r="BG80" s="563">
        <f t="shared" si="80"/>
        <v>57</v>
      </c>
      <c r="BH80" s="563">
        <f t="shared" si="80"/>
        <v>57</v>
      </c>
      <c r="BI80" s="563">
        <f t="shared" si="80"/>
        <v>57</v>
      </c>
      <c r="BJ80" s="580">
        <f t="shared" si="80"/>
        <v>57</v>
      </c>
      <c r="BK80" s="563">
        <f t="shared" si="80"/>
        <v>57</v>
      </c>
      <c r="BL80" s="563">
        <f t="shared" si="80"/>
        <v>57</v>
      </c>
      <c r="BM80" s="563">
        <f t="shared" si="80"/>
        <v>57</v>
      </c>
      <c r="BN80" s="563">
        <f t="shared" si="80"/>
        <v>57</v>
      </c>
      <c r="BO80" s="579">
        <f t="shared" si="80"/>
        <v>57</v>
      </c>
      <c r="BP80" s="563">
        <f t="shared" si="80"/>
        <v>57</v>
      </c>
      <c r="BQ80" s="563">
        <f t="shared" si="80"/>
        <v>57</v>
      </c>
      <c r="BR80" s="563">
        <f t="shared" si="80"/>
        <v>57</v>
      </c>
      <c r="BS80" s="563">
        <f t="shared" si="80"/>
        <v>57</v>
      </c>
      <c r="BT80" s="580">
        <f t="shared" si="80"/>
        <v>57</v>
      </c>
      <c r="BU80" s="563">
        <f t="shared" si="80"/>
        <v>57</v>
      </c>
      <c r="BV80" s="563">
        <f t="shared" si="80"/>
        <v>57</v>
      </c>
      <c r="BW80" s="563">
        <f t="shared" si="80"/>
        <v>57</v>
      </c>
      <c r="BX80" s="563">
        <f t="shared" si="80"/>
        <v>57</v>
      </c>
      <c r="BY80" s="579">
        <f t="shared" si="80"/>
        <v>57</v>
      </c>
      <c r="BZ80" s="563">
        <f t="shared" si="80"/>
        <v>57</v>
      </c>
      <c r="CA80" s="563">
        <f t="shared" si="80"/>
        <v>57</v>
      </c>
      <c r="CB80" s="563">
        <f t="shared" si="80"/>
        <v>57</v>
      </c>
      <c r="CC80" s="563">
        <f t="shared" si="80"/>
        <v>59</v>
      </c>
      <c r="CD80" s="580">
        <f t="shared" si="80"/>
        <v>61</v>
      </c>
      <c r="CE80" s="563">
        <f t="shared" si="80"/>
        <v>63</v>
      </c>
      <c r="CF80" s="563">
        <f t="shared" si="80"/>
        <v>65</v>
      </c>
      <c r="CG80" s="563">
        <f t="shared" si="80"/>
        <v>67</v>
      </c>
      <c r="CH80" s="563">
        <f t="shared" si="80"/>
        <v>69</v>
      </c>
      <c r="CI80" s="579">
        <f t="shared" si="80"/>
        <v>71</v>
      </c>
      <c r="CJ80" s="563">
        <f t="shared" si="80"/>
        <v>73</v>
      </c>
      <c r="CK80" s="563">
        <f t="shared" si="80"/>
        <v>75</v>
      </c>
      <c r="CL80" s="563">
        <f t="shared" si="80"/>
        <v>77</v>
      </c>
      <c r="CM80" s="563">
        <f t="shared" si="80"/>
        <v>79</v>
      </c>
      <c r="CN80" s="580">
        <f t="shared" si="80"/>
        <v>81</v>
      </c>
      <c r="CO80" s="563">
        <f t="shared" si="80"/>
        <v>83</v>
      </c>
      <c r="CP80" s="563">
        <f t="shared" si="80"/>
        <v>85</v>
      </c>
      <c r="CQ80" s="563">
        <f t="shared" si="80"/>
        <v>87</v>
      </c>
      <c r="CR80" s="563">
        <f t="shared" si="80"/>
        <v>89</v>
      </c>
      <c r="CS80" s="579">
        <f t="shared" si="80"/>
        <v>91</v>
      </c>
      <c r="CT80" s="563">
        <f t="shared" si="80"/>
        <v>93</v>
      </c>
      <c r="CU80" s="563">
        <f t="shared" si="80"/>
        <v>95</v>
      </c>
      <c r="CV80" s="563">
        <f t="shared" si="80"/>
        <v>97</v>
      </c>
      <c r="CW80" s="563">
        <f t="shared" si="80"/>
        <v>99</v>
      </c>
      <c r="CX80" s="563"/>
    </row>
    <row r="81" ht="10.5" customHeight="1">
      <c r="A81" s="543"/>
      <c r="B81" s="563">
        <f t="shared" si="4"/>
        <v>79</v>
      </c>
      <c r="C81" s="563">
        <f t="shared" ref="C81:CW81" si="81">IF(LT(IF(GT(C$2,MIN($B81,99)),C$2,MIN($B81,99)),99-FLOOR(C$2/2,1)),IF(GT(C$2,MIN($B81,99)),C$2,MIN($B81,99))-FLOOR(C$2/2,1),2*IF(GT(C$2,MIN($B81,99)),C$2,MIN($B81,99))-99)</f>
        <v>79</v>
      </c>
      <c r="D81" s="563">
        <f t="shared" si="81"/>
        <v>78</v>
      </c>
      <c r="E81" s="563">
        <f t="shared" si="81"/>
        <v>78</v>
      </c>
      <c r="F81" s="563">
        <f t="shared" si="81"/>
        <v>77</v>
      </c>
      <c r="G81" s="579">
        <f t="shared" si="81"/>
        <v>77</v>
      </c>
      <c r="H81" s="563">
        <f t="shared" si="81"/>
        <v>76</v>
      </c>
      <c r="I81" s="563">
        <f t="shared" si="81"/>
        <v>76</v>
      </c>
      <c r="J81" s="563">
        <f t="shared" si="81"/>
        <v>75</v>
      </c>
      <c r="K81" s="563">
        <f t="shared" si="81"/>
        <v>75</v>
      </c>
      <c r="L81" s="580">
        <f t="shared" si="81"/>
        <v>74</v>
      </c>
      <c r="M81" s="563">
        <f t="shared" si="81"/>
        <v>74</v>
      </c>
      <c r="N81" s="563">
        <f t="shared" si="81"/>
        <v>73</v>
      </c>
      <c r="O81" s="563">
        <f t="shared" si="81"/>
        <v>73</v>
      </c>
      <c r="P81" s="563">
        <f t="shared" si="81"/>
        <v>72</v>
      </c>
      <c r="Q81" s="579">
        <f t="shared" si="81"/>
        <v>72</v>
      </c>
      <c r="R81" s="563">
        <f t="shared" si="81"/>
        <v>71</v>
      </c>
      <c r="S81" s="563">
        <f t="shared" si="81"/>
        <v>71</v>
      </c>
      <c r="T81" s="563">
        <f t="shared" si="81"/>
        <v>70</v>
      </c>
      <c r="U81" s="563">
        <f t="shared" si="81"/>
        <v>70</v>
      </c>
      <c r="V81" s="580">
        <f t="shared" si="81"/>
        <v>69</v>
      </c>
      <c r="W81" s="563">
        <f t="shared" si="81"/>
        <v>69</v>
      </c>
      <c r="X81" s="563">
        <f t="shared" si="81"/>
        <v>68</v>
      </c>
      <c r="Y81" s="563">
        <f t="shared" si="81"/>
        <v>68</v>
      </c>
      <c r="Z81" s="563">
        <f t="shared" si="81"/>
        <v>67</v>
      </c>
      <c r="AA81" s="579">
        <f t="shared" si="81"/>
        <v>67</v>
      </c>
      <c r="AB81" s="563">
        <f t="shared" si="81"/>
        <v>66</v>
      </c>
      <c r="AC81" s="563">
        <f t="shared" si="81"/>
        <v>66</v>
      </c>
      <c r="AD81" s="563">
        <f t="shared" si="81"/>
        <v>65</v>
      </c>
      <c r="AE81" s="563">
        <f t="shared" si="81"/>
        <v>65</v>
      </c>
      <c r="AF81" s="580">
        <f t="shared" si="81"/>
        <v>64</v>
      </c>
      <c r="AG81" s="563">
        <f t="shared" si="81"/>
        <v>64</v>
      </c>
      <c r="AH81" s="563">
        <f t="shared" si="81"/>
        <v>63</v>
      </c>
      <c r="AI81" s="563">
        <f t="shared" si="81"/>
        <v>63</v>
      </c>
      <c r="AJ81" s="563">
        <f t="shared" si="81"/>
        <v>62</v>
      </c>
      <c r="AK81" s="579">
        <f t="shared" si="81"/>
        <v>62</v>
      </c>
      <c r="AL81" s="563">
        <f t="shared" si="81"/>
        <v>61</v>
      </c>
      <c r="AM81" s="563">
        <f t="shared" si="81"/>
        <v>61</v>
      </c>
      <c r="AN81" s="563">
        <f t="shared" si="81"/>
        <v>60</v>
      </c>
      <c r="AO81" s="563">
        <f t="shared" si="81"/>
        <v>60</v>
      </c>
      <c r="AP81" s="580">
        <f t="shared" si="81"/>
        <v>59</v>
      </c>
      <c r="AQ81" s="563">
        <f t="shared" si="81"/>
        <v>59</v>
      </c>
      <c r="AR81" s="563">
        <f t="shared" si="81"/>
        <v>59</v>
      </c>
      <c r="AS81" s="563">
        <f t="shared" si="81"/>
        <v>59</v>
      </c>
      <c r="AT81" s="563">
        <f t="shared" si="81"/>
        <v>59</v>
      </c>
      <c r="AU81" s="579">
        <f t="shared" si="81"/>
        <v>59</v>
      </c>
      <c r="AV81" s="563">
        <f t="shared" si="81"/>
        <v>59</v>
      </c>
      <c r="AW81" s="563">
        <f t="shared" si="81"/>
        <v>59</v>
      </c>
      <c r="AX81" s="563">
        <f t="shared" si="81"/>
        <v>59</v>
      </c>
      <c r="AY81" s="563">
        <f t="shared" si="81"/>
        <v>59</v>
      </c>
      <c r="AZ81" s="580">
        <f t="shared" si="81"/>
        <v>59</v>
      </c>
      <c r="BA81" s="563">
        <f t="shared" si="81"/>
        <v>59</v>
      </c>
      <c r="BB81" s="563">
        <f t="shared" si="81"/>
        <v>59</v>
      </c>
      <c r="BC81" s="563">
        <f t="shared" si="81"/>
        <v>59</v>
      </c>
      <c r="BD81" s="563">
        <f t="shared" si="81"/>
        <v>59</v>
      </c>
      <c r="BE81" s="579">
        <f t="shared" si="81"/>
        <v>59</v>
      </c>
      <c r="BF81" s="563">
        <f t="shared" si="81"/>
        <v>59</v>
      </c>
      <c r="BG81" s="563">
        <f t="shared" si="81"/>
        <v>59</v>
      </c>
      <c r="BH81" s="563">
        <f t="shared" si="81"/>
        <v>59</v>
      </c>
      <c r="BI81" s="563">
        <f t="shared" si="81"/>
        <v>59</v>
      </c>
      <c r="BJ81" s="580">
        <f t="shared" si="81"/>
        <v>59</v>
      </c>
      <c r="BK81" s="563">
        <f t="shared" si="81"/>
        <v>59</v>
      </c>
      <c r="BL81" s="563">
        <f t="shared" si="81"/>
        <v>59</v>
      </c>
      <c r="BM81" s="563">
        <f t="shared" si="81"/>
        <v>59</v>
      </c>
      <c r="BN81" s="563">
        <f t="shared" si="81"/>
        <v>59</v>
      </c>
      <c r="BO81" s="579">
        <f t="shared" si="81"/>
        <v>59</v>
      </c>
      <c r="BP81" s="563">
        <f t="shared" si="81"/>
        <v>59</v>
      </c>
      <c r="BQ81" s="563">
        <f t="shared" si="81"/>
        <v>59</v>
      </c>
      <c r="BR81" s="563">
        <f t="shared" si="81"/>
        <v>59</v>
      </c>
      <c r="BS81" s="563">
        <f t="shared" si="81"/>
        <v>59</v>
      </c>
      <c r="BT81" s="580">
        <f t="shared" si="81"/>
        <v>59</v>
      </c>
      <c r="BU81" s="563">
        <f t="shared" si="81"/>
        <v>59</v>
      </c>
      <c r="BV81" s="563">
        <f t="shared" si="81"/>
        <v>59</v>
      </c>
      <c r="BW81" s="563">
        <f t="shared" si="81"/>
        <v>59</v>
      </c>
      <c r="BX81" s="563">
        <f t="shared" si="81"/>
        <v>59</v>
      </c>
      <c r="BY81" s="579">
        <f t="shared" si="81"/>
        <v>59</v>
      </c>
      <c r="BZ81" s="563">
        <f t="shared" si="81"/>
        <v>59</v>
      </c>
      <c r="CA81" s="563">
        <f t="shared" si="81"/>
        <v>59</v>
      </c>
      <c r="CB81" s="563">
        <f t="shared" si="81"/>
        <v>59</v>
      </c>
      <c r="CC81" s="563">
        <f t="shared" si="81"/>
        <v>59</v>
      </c>
      <c r="CD81" s="580">
        <f t="shared" si="81"/>
        <v>61</v>
      </c>
      <c r="CE81" s="563">
        <f t="shared" si="81"/>
        <v>63</v>
      </c>
      <c r="CF81" s="563">
        <f t="shared" si="81"/>
        <v>65</v>
      </c>
      <c r="CG81" s="563">
        <f t="shared" si="81"/>
        <v>67</v>
      </c>
      <c r="CH81" s="563">
        <f t="shared" si="81"/>
        <v>69</v>
      </c>
      <c r="CI81" s="579">
        <f t="shared" si="81"/>
        <v>71</v>
      </c>
      <c r="CJ81" s="563">
        <f t="shared" si="81"/>
        <v>73</v>
      </c>
      <c r="CK81" s="563">
        <f t="shared" si="81"/>
        <v>75</v>
      </c>
      <c r="CL81" s="563">
        <f t="shared" si="81"/>
        <v>77</v>
      </c>
      <c r="CM81" s="563">
        <f t="shared" si="81"/>
        <v>79</v>
      </c>
      <c r="CN81" s="580">
        <f t="shared" si="81"/>
        <v>81</v>
      </c>
      <c r="CO81" s="563">
        <f t="shared" si="81"/>
        <v>83</v>
      </c>
      <c r="CP81" s="563">
        <f t="shared" si="81"/>
        <v>85</v>
      </c>
      <c r="CQ81" s="563">
        <f t="shared" si="81"/>
        <v>87</v>
      </c>
      <c r="CR81" s="563">
        <f t="shared" si="81"/>
        <v>89</v>
      </c>
      <c r="CS81" s="579">
        <f t="shared" si="81"/>
        <v>91</v>
      </c>
      <c r="CT81" s="563">
        <f t="shared" si="81"/>
        <v>93</v>
      </c>
      <c r="CU81" s="563">
        <f t="shared" si="81"/>
        <v>95</v>
      </c>
      <c r="CV81" s="563">
        <f t="shared" si="81"/>
        <v>97</v>
      </c>
      <c r="CW81" s="563">
        <f t="shared" si="81"/>
        <v>99</v>
      </c>
      <c r="CX81" s="563"/>
    </row>
    <row r="82" ht="10.5" customHeight="1">
      <c r="A82" s="543"/>
      <c r="B82" s="563">
        <f t="shared" si="4"/>
        <v>80</v>
      </c>
      <c r="C82" s="682">
        <f t="shared" ref="C82:CW82" si="82">IF(LT(IF(GT(C$2,MIN($B82,99)),C$2,MIN($B82,99)),99-FLOOR(C$2/2,1)),IF(GT(C$2,MIN($B82,99)),C$2,MIN($B82,99))-FLOOR(C$2/2,1),2*IF(GT(C$2,MIN($B82,99)),C$2,MIN($B82,99))-99)</f>
        <v>80</v>
      </c>
      <c r="D82" s="682">
        <f t="shared" si="82"/>
        <v>79</v>
      </c>
      <c r="E82" s="682">
        <f t="shared" si="82"/>
        <v>79</v>
      </c>
      <c r="F82" s="682">
        <f t="shared" si="82"/>
        <v>78</v>
      </c>
      <c r="G82" s="683">
        <f t="shared" si="82"/>
        <v>78</v>
      </c>
      <c r="H82" s="682">
        <f t="shared" si="82"/>
        <v>77</v>
      </c>
      <c r="I82" s="682">
        <f t="shared" si="82"/>
        <v>77</v>
      </c>
      <c r="J82" s="682">
        <f t="shared" si="82"/>
        <v>76</v>
      </c>
      <c r="K82" s="682">
        <f t="shared" si="82"/>
        <v>76</v>
      </c>
      <c r="L82" s="684">
        <f t="shared" si="82"/>
        <v>75</v>
      </c>
      <c r="M82" s="682">
        <f t="shared" si="82"/>
        <v>75</v>
      </c>
      <c r="N82" s="682">
        <f t="shared" si="82"/>
        <v>74</v>
      </c>
      <c r="O82" s="682">
        <f t="shared" si="82"/>
        <v>74</v>
      </c>
      <c r="P82" s="682">
        <f t="shared" si="82"/>
        <v>73</v>
      </c>
      <c r="Q82" s="683">
        <f t="shared" si="82"/>
        <v>73</v>
      </c>
      <c r="R82" s="682">
        <f t="shared" si="82"/>
        <v>72</v>
      </c>
      <c r="S82" s="682">
        <f t="shared" si="82"/>
        <v>72</v>
      </c>
      <c r="T82" s="682">
        <f t="shared" si="82"/>
        <v>71</v>
      </c>
      <c r="U82" s="682">
        <f t="shared" si="82"/>
        <v>71</v>
      </c>
      <c r="V82" s="684">
        <f t="shared" si="82"/>
        <v>70</v>
      </c>
      <c r="W82" s="682">
        <f t="shared" si="82"/>
        <v>70</v>
      </c>
      <c r="X82" s="682">
        <f t="shared" si="82"/>
        <v>69</v>
      </c>
      <c r="Y82" s="682">
        <f t="shared" si="82"/>
        <v>69</v>
      </c>
      <c r="Z82" s="682">
        <f t="shared" si="82"/>
        <v>68</v>
      </c>
      <c r="AA82" s="683">
        <f t="shared" si="82"/>
        <v>68</v>
      </c>
      <c r="AB82" s="682">
        <f t="shared" si="82"/>
        <v>67</v>
      </c>
      <c r="AC82" s="682">
        <f t="shared" si="82"/>
        <v>67</v>
      </c>
      <c r="AD82" s="682">
        <f t="shared" si="82"/>
        <v>66</v>
      </c>
      <c r="AE82" s="682">
        <f t="shared" si="82"/>
        <v>66</v>
      </c>
      <c r="AF82" s="684">
        <f t="shared" si="82"/>
        <v>65</v>
      </c>
      <c r="AG82" s="682">
        <f t="shared" si="82"/>
        <v>65</v>
      </c>
      <c r="AH82" s="682">
        <f t="shared" si="82"/>
        <v>64</v>
      </c>
      <c r="AI82" s="682">
        <f t="shared" si="82"/>
        <v>64</v>
      </c>
      <c r="AJ82" s="682">
        <f t="shared" si="82"/>
        <v>63</v>
      </c>
      <c r="AK82" s="683">
        <f t="shared" si="82"/>
        <v>63</v>
      </c>
      <c r="AL82" s="682">
        <f t="shared" si="82"/>
        <v>62</v>
      </c>
      <c r="AM82" s="682">
        <f t="shared" si="82"/>
        <v>62</v>
      </c>
      <c r="AN82" s="682">
        <f t="shared" si="82"/>
        <v>61</v>
      </c>
      <c r="AO82" s="682">
        <f t="shared" si="82"/>
        <v>61</v>
      </c>
      <c r="AP82" s="684">
        <f t="shared" si="82"/>
        <v>61</v>
      </c>
      <c r="AQ82" s="682">
        <f t="shared" si="82"/>
        <v>61</v>
      </c>
      <c r="AR82" s="682">
        <f t="shared" si="82"/>
        <v>61</v>
      </c>
      <c r="AS82" s="682">
        <f t="shared" si="82"/>
        <v>61</v>
      </c>
      <c r="AT82" s="682">
        <f t="shared" si="82"/>
        <v>61</v>
      </c>
      <c r="AU82" s="683">
        <f t="shared" si="82"/>
        <v>61</v>
      </c>
      <c r="AV82" s="682">
        <f t="shared" si="82"/>
        <v>61</v>
      </c>
      <c r="AW82" s="682">
        <f t="shared" si="82"/>
        <v>61</v>
      </c>
      <c r="AX82" s="682">
        <f t="shared" si="82"/>
        <v>61</v>
      </c>
      <c r="AY82" s="682">
        <f t="shared" si="82"/>
        <v>61</v>
      </c>
      <c r="AZ82" s="684">
        <f t="shared" si="82"/>
        <v>61</v>
      </c>
      <c r="BA82" s="682">
        <f t="shared" si="82"/>
        <v>61</v>
      </c>
      <c r="BB82" s="682">
        <f t="shared" si="82"/>
        <v>61</v>
      </c>
      <c r="BC82" s="682">
        <f t="shared" si="82"/>
        <v>61</v>
      </c>
      <c r="BD82" s="682">
        <f t="shared" si="82"/>
        <v>61</v>
      </c>
      <c r="BE82" s="683">
        <f t="shared" si="82"/>
        <v>61</v>
      </c>
      <c r="BF82" s="682">
        <f t="shared" si="82"/>
        <v>61</v>
      </c>
      <c r="BG82" s="682">
        <f t="shared" si="82"/>
        <v>61</v>
      </c>
      <c r="BH82" s="682">
        <f t="shared" si="82"/>
        <v>61</v>
      </c>
      <c r="BI82" s="682">
        <f t="shared" si="82"/>
        <v>61</v>
      </c>
      <c r="BJ82" s="684">
        <f t="shared" si="82"/>
        <v>61</v>
      </c>
      <c r="BK82" s="682">
        <f t="shared" si="82"/>
        <v>61</v>
      </c>
      <c r="BL82" s="682">
        <f t="shared" si="82"/>
        <v>61</v>
      </c>
      <c r="BM82" s="682">
        <f t="shared" si="82"/>
        <v>61</v>
      </c>
      <c r="BN82" s="682">
        <f t="shared" si="82"/>
        <v>61</v>
      </c>
      <c r="BO82" s="683">
        <f t="shared" si="82"/>
        <v>61</v>
      </c>
      <c r="BP82" s="682">
        <f t="shared" si="82"/>
        <v>61</v>
      </c>
      <c r="BQ82" s="682">
        <f t="shared" si="82"/>
        <v>61</v>
      </c>
      <c r="BR82" s="682">
        <f t="shared" si="82"/>
        <v>61</v>
      </c>
      <c r="BS82" s="682">
        <f t="shared" si="82"/>
        <v>61</v>
      </c>
      <c r="BT82" s="684">
        <f t="shared" si="82"/>
        <v>61</v>
      </c>
      <c r="BU82" s="682">
        <f t="shared" si="82"/>
        <v>61</v>
      </c>
      <c r="BV82" s="682">
        <f t="shared" si="82"/>
        <v>61</v>
      </c>
      <c r="BW82" s="682">
        <f t="shared" si="82"/>
        <v>61</v>
      </c>
      <c r="BX82" s="682">
        <f t="shared" si="82"/>
        <v>61</v>
      </c>
      <c r="BY82" s="683">
        <f t="shared" si="82"/>
        <v>61</v>
      </c>
      <c r="BZ82" s="682">
        <f t="shared" si="82"/>
        <v>61</v>
      </c>
      <c r="CA82" s="682">
        <f t="shared" si="82"/>
        <v>61</v>
      </c>
      <c r="CB82" s="682">
        <f t="shared" si="82"/>
        <v>61</v>
      </c>
      <c r="CC82" s="682">
        <f t="shared" si="82"/>
        <v>61</v>
      </c>
      <c r="CD82" s="684">
        <f t="shared" si="82"/>
        <v>61</v>
      </c>
      <c r="CE82" s="682">
        <f t="shared" si="82"/>
        <v>63</v>
      </c>
      <c r="CF82" s="682">
        <f t="shared" si="82"/>
        <v>65</v>
      </c>
      <c r="CG82" s="682">
        <f t="shared" si="82"/>
        <v>67</v>
      </c>
      <c r="CH82" s="682">
        <f t="shared" si="82"/>
        <v>69</v>
      </c>
      <c r="CI82" s="683">
        <f t="shared" si="82"/>
        <v>71</v>
      </c>
      <c r="CJ82" s="682">
        <f t="shared" si="82"/>
        <v>73</v>
      </c>
      <c r="CK82" s="682">
        <f t="shared" si="82"/>
        <v>75</v>
      </c>
      <c r="CL82" s="682">
        <f t="shared" si="82"/>
        <v>77</v>
      </c>
      <c r="CM82" s="682">
        <f t="shared" si="82"/>
        <v>79</v>
      </c>
      <c r="CN82" s="684">
        <f t="shared" si="82"/>
        <v>81</v>
      </c>
      <c r="CO82" s="682">
        <f t="shared" si="82"/>
        <v>83</v>
      </c>
      <c r="CP82" s="682">
        <f t="shared" si="82"/>
        <v>85</v>
      </c>
      <c r="CQ82" s="682">
        <f t="shared" si="82"/>
        <v>87</v>
      </c>
      <c r="CR82" s="682">
        <f t="shared" si="82"/>
        <v>89</v>
      </c>
      <c r="CS82" s="683">
        <f t="shared" si="82"/>
        <v>91</v>
      </c>
      <c r="CT82" s="682">
        <f t="shared" si="82"/>
        <v>93</v>
      </c>
      <c r="CU82" s="682">
        <f t="shared" si="82"/>
        <v>95</v>
      </c>
      <c r="CV82" s="682">
        <f t="shared" si="82"/>
        <v>97</v>
      </c>
      <c r="CW82" s="682">
        <f t="shared" si="82"/>
        <v>99</v>
      </c>
      <c r="CX82" s="563"/>
    </row>
    <row r="83" ht="10.5" customHeight="1">
      <c r="A83" s="543"/>
      <c r="B83" s="563">
        <f t="shared" si="4"/>
        <v>81</v>
      </c>
      <c r="C83" s="563">
        <f t="shared" ref="C83:CW83" si="83">IF(LT(IF(GT(C$2,MIN($B83,99)),C$2,MIN($B83,99)),99-FLOOR(C$2/2,1)),IF(GT(C$2,MIN($B83,99)),C$2,MIN($B83,99))-FLOOR(C$2/2,1),2*IF(GT(C$2,MIN($B83,99)),C$2,MIN($B83,99))-99)</f>
        <v>81</v>
      </c>
      <c r="D83" s="563">
        <f t="shared" si="83"/>
        <v>80</v>
      </c>
      <c r="E83" s="563">
        <f t="shared" si="83"/>
        <v>80</v>
      </c>
      <c r="F83" s="563">
        <f t="shared" si="83"/>
        <v>79</v>
      </c>
      <c r="G83" s="579">
        <f t="shared" si="83"/>
        <v>79</v>
      </c>
      <c r="H83" s="563">
        <f t="shared" si="83"/>
        <v>78</v>
      </c>
      <c r="I83" s="563">
        <f t="shared" si="83"/>
        <v>78</v>
      </c>
      <c r="J83" s="563">
        <f t="shared" si="83"/>
        <v>77</v>
      </c>
      <c r="K83" s="563">
        <f t="shared" si="83"/>
        <v>77</v>
      </c>
      <c r="L83" s="580">
        <f t="shared" si="83"/>
        <v>76</v>
      </c>
      <c r="M83" s="563">
        <f t="shared" si="83"/>
        <v>76</v>
      </c>
      <c r="N83" s="563">
        <f t="shared" si="83"/>
        <v>75</v>
      </c>
      <c r="O83" s="563">
        <f t="shared" si="83"/>
        <v>75</v>
      </c>
      <c r="P83" s="563">
        <f t="shared" si="83"/>
        <v>74</v>
      </c>
      <c r="Q83" s="579">
        <f t="shared" si="83"/>
        <v>74</v>
      </c>
      <c r="R83" s="563">
        <f t="shared" si="83"/>
        <v>73</v>
      </c>
      <c r="S83" s="563">
        <f t="shared" si="83"/>
        <v>73</v>
      </c>
      <c r="T83" s="563">
        <f t="shared" si="83"/>
        <v>72</v>
      </c>
      <c r="U83" s="563">
        <f t="shared" si="83"/>
        <v>72</v>
      </c>
      <c r="V83" s="580">
        <f t="shared" si="83"/>
        <v>71</v>
      </c>
      <c r="W83" s="563">
        <f t="shared" si="83"/>
        <v>71</v>
      </c>
      <c r="X83" s="563">
        <f t="shared" si="83"/>
        <v>70</v>
      </c>
      <c r="Y83" s="563">
        <f t="shared" si="83"/>
        <v>70</v>
      </c>
      <c r="Z83" s="563">
        <f t="shared" si="83"/>
        <v>69</v>
      </c>
      <c r="AA83" s="579">
        <f t="shared" si="83"/>
        <v>69</v>
      </c>
      <c r="AB83" s="563">
        <f t="shared" si="83"/>
        <v>68</v>
      </c>
      <c r="AC83" s="563">
        <f t="shared" si="83"/>
        <v>68</v>
      </c>
      <c r="AD83" s="563">
        <f t="shared" si="83"/>
        <v>67</v>
      </c>
      <c r="AE83" s="563">
        <f t="shared" si="83"/>
        <v>67</v>
      </c>
      <c r="AF83" s="580">
        <f t="shared" si="83"/>
        <v>66</v>
      </c>
      <c r="AG83" s="563">
        <f t="shared" si="83"/>
        <v>66</v>
      </c>
      <c r="AH83" s="563">
        <f t="shared" si="83"/>
        <v>65</v>
      </c>
      <c r="AI83" s="563">
        <f t="shared" si="83"/>
        <v>65</v>
      </c>
      <c r="AJ83" s="563">
        <f t="shared" si="83"/>
        <v>64</v>
      </c>
      <c r="AK83" s="579">
        <f t="shared" si="83"/>
        <v>64</v>
      </c>
      <c r="AL83" s="563">
        <f t="shared" si="83"/>
        <v>63</v>
      </c>
      <c r="AM83" s="563">
        <f t="shared" si="83"/>
        <v>63</v>
      </c>
      <c r="AN83" s="563">
        <f t="shared" si="83"/>
        <v>63</v>
      </c>
      <c r="AO83" s="563">
        <f t="shared" si="83"/>
        <v>63</v>
      </c>
      <c r="AP83" s="580">
        <f t="shared" si="83"/>
        <v>63</v>
      </c>
      <c r="AQ83" s="563">
        <f t="shared" si="83"/>
        <v>63</v>
      </c>
      <c r="AR83" s="563">
        <f t="shared" si="83"/>
        <v>63</v>
      </c>
      <c r="AS83" s="563">
        <f t="shared" si="83"/>
        <v>63</v>
      </c>
      <c r="AT83" s="563">
        <f t="shared" si="83"/>
        <v>63</v>
      </c>
      <c r="AU83" s="579">
        <f t="shared" si="83"/>
        <v>63</v>
      </c>
      <c r="AV83" s="563">
        <f t="shared" si="83"/>
        <v>63</v>
      </c>
      <c r="AW83" s="563">
        <f t="shared" si="83"/>
        <v>63</v>
      </c>
      <c r="AX83" s="563">
        <f t="shared" si="83"/>
        <v>63</v>
      </c>
      <c r="AY83" s="563">
        <f t="shared" si="83"/>
        <v>63</v>
      </c>
      <c r="AZ83" s="580">
        <f t="shared" si="83"/>
        <v>63</v>
      </c>
      <c r="BA83" s="563">
        <f t="shared" si="83"/>
        <v>63</v>
      </c>
      <c r="BB83" s="563">
        <f t="shared" si="83"/>
        <v>63</v>
      </c>
      <c r="BC83" s="563">
        <f t="shared" si="83"/>
        <v>63</v>
      </c>
      <c r="BD83" s="563">
        <f t="shared" si="83"/>
        <v>63</v>
      </c>
      <c r="BE83" s="579">
        <f t="shared" si="83"/>
        <v>63</v>
      </c>
      <c r="BF83" s="563">
        <f t="shared" si="83"/>
        <v>63</v>
      </c>
      <c r="BG83" s="563">
        <f t="shared" si="83"/>
        <v>63</v>
      </c>
      <c r="BH83" s="563">
        <f t="shared" si="83"/>
        <v>63</v>
      </c>
      <c r="BI83" s="563">
        <f t="shared" si="83"/>
        <v>63</v>
      </c>
      <c r="BJ83" s="580">
        <f t="shared" si="83"/>
        <v>63</v>
      </c>
      <c r="BK83" s="563">
        <f t="shared" si="83"/>
        <v>63</v>
      </c>
      <c r="BL83" s="563">
        <f t="shared" si="83"/>
        <v>63</v>
      </c>
      <c r="BM83" s="563">
        <f t="shared" si="83"/>
        <v>63</v>
      </c>
      <c r="BN83" s="563">
        <f t="shared" si="83"/>
        <v>63</v>
      </c>
      <c r="BO83" s="579">
        <f t="shared" si="83"/>
        <v>63</v>
      </c>
      <c r="BP83" s="563">
        <f t="shared" si="83"/>
        <v>63</v>
      </c>
      <c r="BQ83" s="563">
        <f t="shared" si="83"/>
        <v>63</v>
      </c>
      <c r="BR83" s="563">
        <f t="shared" si="83"/>
        <v>63</v>
      </c>
      <c r="BS83" s="563">
        <f t="shared" si="83"/>
        <v>63</v>
      </c>
      <c r="BT83" s="580">
        <f t="shared" si="83"/>
        <v>63</v>
      </c>
      <c r="BU83" s="563">
        <f t="shared" si="83"/>
        <v>63</v>
      </c>
      <c r="BV83" s="563">
        <f t="shared" si="83"/>
        <v>63</v>
      </c>
      <c r="BW83" s="563">
        <f t="shared" si="83"/>
        <v>63</v>
      </c>
      <c r="BX83" s="563">
        <f t="shared" si="83"/>
        <v>63</v>
      </c>
      <c r="BY83" s="579">
        <f t="shared" si="83"/>
        <v>63</v>
      </c>
      <c r="BZ83" s="563">
        <f t="shared" si="83"/>
        <v>63</v>
      </c>
      <c r="CA83" s="563">
        <f t="shared" si="83"/>
        <v>63</v>
      </c>
      <c r="CB83" s="563">
        <f t="shared" si="83"/>
        <v>63</v>
      </c>
      <c r="CC83" s="563">
        <f t="shared" si="83"/>
        <v>63</v>
      </c>
      <c r="CD83" s="580">
        <f t="shared" si="83"/>
        <v>63</v>
      </c>
      <c r="CE83" s="563">
        <f t="shared" si="83"/>
        <v>63</v>
      </c>
      <c r="CF83" s="563">
        <f t="shared" si="83"/>
        <v>65</v>
      </c>
      <c r="CG83" s="563">
        <f t="shared" si="83"/>
        <v>67</v>
      </c>
      <c r="CH83" s="563">
        <f t="shared" si="83"/>
        <v>69</v>
      </c>
      <c r="CI83" s="579">
        <f t="shared" si="83"/>
        <v>71</v>
      </c>
      <c r="CJ83" s="563">
        <f t="shared" si="83"/>
        <v>73</v>
      </c>
      <c r="CK83" s="563">
        <f t="shared" si="83"/>
        <v>75</v>
      </c>
      <c r="CL83" s="563">
        <f t="shared" si="83"/>
        <v>77</v>
      </c>
      <c r="CM83" s="563">
        <f t="shared" si="83"/>
        <v>79</v>
      </c>
      <c r="CN83" s="580">
        <f t="shared" si="83"/>
        <v>81</v>
      </c>
      <c r="CO83" s="563">
        <f t="shared" si="83"/>
        <v>83</v>
      </c>
      <c r="CP83" s="563">
        <f t="shared" si="83"/>
        <v>85</v>
      </c>
      <c r="CQ83" s="563">
        <f t="shared" si="83"/>
        <v>87</v>
      </c>
      <c r="CR83" s="563">
        <f t="shared" si="83"/>
        <v>89</v>
      </c>
      <c r="CS83" s="579">
        <f t="shared" si="83"/>
        <v>91</v>
      </c>
      <c r="CT83" s="563">
        <f t="shared" si="83"/>
        <v>93</v>
      </c>
      <c r="CU83" s="563">
        <f t="shared" si="83"/>
        <v>95</v>
      </c>
      <c r="CV83" s="563">
        <f t="shared" si="83"/>
        <v>97</v>
      </c>
      <c r="CW83" s="563">
        <f t="shared" si="83"/>
        <v>99</v>
      </c>
      <c r="CX83" s="563"/>
    </row>
    <row r="84" ht="10.5" customHeight="1">
      <c r="A84" s="543"/>
      <c r="B84" s="563">
        <f t="shared" si="4"/>
        <v>82</v>
      </c>
      <c r="C84" s="563">
        <f t="shared" ref="C84:CW84" si="84">IF(LT(IF(GT(C$2,MIN($B84,99)),C$2,MIN($B84,99)),99-FLOOR(C$2/2,1)),IF(GT(C$2,MIN($B84,99)),C$2,MIN($B84,99))-FLOOR(C$2/2,1),2*IF(GT(C$2,MIN($B84,99)),C$2,MIN($B84,99))-99)</f>
        <v>82</v>
      </c>
      <c r="D84" s="563">
        <f t="shared" si="84"/>
        <v>81</v>
      </c>
      <c r="E84" s="563">
        <f t="shared" si="84"/>
        <v>81</v>
      </c>
      <c r="F84" s="563">
        <f t="shared" si="84"/>
        <v>80</v>
      </c>
      <c r="G84" s="579">
        <f t="shared" si="84"/>
        <v>80</v>
      </c>
      <c r="H84" s="563">
        <f t="shared" si="84"/>
        <v>79</v>
      </c>
      <c r="I84" s="563">
        <f t="shared" si="84"/>
        <v>79</v>
      </c>
      <c r="J84" s="563">
        <f t="shared" si="84"/>
        <v>78</v>
      </c>
      <c r="K84" s="563">
        <f t="shared" si="84"/>
        <v>78</v>
      </c>
      <c r="L84" s="580">
        <f t="shared" si="84"/>
        <v>77</v>
      </c>
      <c r="M84" s="563">
        <f t="shared" si="84"/>
        <v>77</v>
      </c>
      <c r="N84" s="563">
        <f t="shared" si="84"/>
        <v>76</v>
      </c>
      <c r="O84" s="563">
        <f t="shared" si="84"/>
        <v>76</v>
      </c>
      <c r="P84" s="563">
        <f t="shared" si="84"/>
        <v>75</v>
      </c>
      <c r="Q84" s="579">
        <f t="shared" si="84"/>
        <v>75</v>
      </c>
      <c r="R84" s="563">
        <f t="shared" si="84"/>
        <v>74</v>
      </c>
      <c r="S84" s="563">
        <f t="shared" si="84"/>
        <v>74</v>
      </c>
      <c r="T84" s="563">
        <f t="shared" si="84"/>
        <v>73</v>
      </c>
      <c r="U84" s="563">
        <f t="shared" si="84"/>
        <v>73</v>
      </c>
      <c r="V84" s="580">
        <f t="shared" si="84"/>
        <v>72</v>
      </c>
      <c r="W84" s="563">
        <f t="shared" si="84"/>
        <v>72</v>
      </c>
      <c r="X84" s="563">
        <f t="shared" si="84"/>
        <v>71</v>
      </c>
      <c r="Y84" s="563">
        <f t="shared" si="84"/>
        <v>71</v>
      </c>
      <c r="Z84" s="563">
        <f t="shared" si="84"/>
        <v>70</v>
      </c>
      <c r="AA84" s="579">
        <f t="shared" si="84"/>
        <v>70</v>
      </c>
      <c r="AB84" s="563">
        <f t="shared" si="84"/>
        <v>69</v>
      </c>
      <c r="AC84" s="563">
        <f t="shared" si="84"/>
        <v>69</v>
      </c>
      <c r="AD84" s="563">
        <f t="shared" si="84"/>
        <v>68</v>
      </c>
      <c r="AE84" s="563">
        <f t="shared" si="84"/>
        <v>68</v>
      </c>
      <c r="AF84" s="580">
        <f t="shared" si="84"/>
        <v>67</v>
      </c>
      <c r="AG84" s="563">
        <f t="shared" si="84"/>
        <v>67</v>
      </c>
      <c r="AH84" s="563">
        <f t="shared" si="84"/>
        <v>66</v>
      </c>
      <c r="AI84" s="563">
        <f t="shared" si="84"/>
        <v>66</v>
      </c>
      <c r="AJ84" s="563">
        <f t="shared" si="84"/>
        <v>65</v>
      </c>
      <c r="AK84" s="579">
        <f t="shared" si="84"/>
        <v>65</v>
      </c>
      <c r="AL84" s="563">
        <f t="shared" si="84"/>
        <v>65</v>
      </c>
      <c r="AM84" s="563">
        <f t="shared" si="84"/>
        <v>65</v>
      </c>
      <c r="AN84" s="563">
        <f t="shared" si="84"/>
        <v>65</v>
      </c>
      <c r="AO84" s="563">
        <f t="shared" si="84"/>
        <v>65</v>
      </c>
      <c r="AP84" s="580">
        <f t="shared" si="84"/>
        <v>65</v>
      </c>
      <c r="AQ84" s="563">
        <f t="shared" si="84"/>
        <v>65</v>
      </c>
      <c r="AR84" s="563">
        <f t="shared" si="84"/>
        <v>65</v>
      </c>
      <c r="AS84" s="563">
        <f t="shared" si="84"/>
        <v>65</v>
      </c>
      <c r="AT84" s="563">
        <f t="shared" si="84"/>
        <v>65</v>
      </c>
      <c r="AU84" s="579">
        <f t="shared" si="84"/>
        <v>65</v>
      </c>
      <c r="AV84" s="563">
        <f t="shared" si="84"/>
        <v>65</v>
      </c>
      <c r="AW84" s="563">
        <f t="shared" si="84"/>
        <v>65</v>
      </c>
      <c r="AX84" s="563">
        <f t="shared" si="84"/>
        <v>65</v>
      </c>
      <c r="AY84" s="563">
        <f t="shared" si="84"/>
        <v>65</v>
      </c>
      <c r="AZ84" s="580">
        <f t="shared" si="84"/>
        <v>65</v>
      </c>
      <c r="BA84" s="563">
        <f t="shared" si="84"/>
        <v>65</v>
      </c>
      <c r="BB84" s="563">
        <f t="shared" si="84"/>
        <v>65</v>
      </c>
      <c r="BC84" s="563">
        <f t="shared" si="84"/>
        <v>65</v>
      </c>
      <c r="BD84" s="563">
        <f t="shared" si="84"/>
        <v>65</v>
      </c>
      <c r="BE84" s="579">
        <f t="shared" si="84"/>
        <v>65</v>
      </c>
      <c r="BF84" s="563">
        <f t="shared" si="84"/>
        <v>65</v>
      </c>
      <c r="BG84" s="563">
        <f t="shared" si="84"/>
        <v>65</v>
      </c>
      <c r="BH84" s="563">
        <f t="shared" si="84"/>
        <v>65</v>
      </c>
      <c r="BI84" s="563">
        <f t="shared" si="84"/>
        <v>65</v>
      </c>
      <c r="BJ84" s="580">
        <f t="shared" si="84"/>
        <v>65</v>
      </c>
      <c r="BK84" s="563">
        <f t="shared" si="84"/>
        <v>65</v>
      </c>
      <c r="BL84" s="563">
        <f t="shared" si="84"/>
        <v>65</v>
      </c>
      <c r="BM84" s="563">
        <f t="shared" si="84"/>
        <v>65</v>
      </c>
      <c r="BN84" s="563">
        <f t="shared" si="84"/>
        <v>65</v>
      </c>
      <c r="BO84" s="579">
        <f t="shared" si="84"/>
        <v>65</v>
      </c>
      <c r="BP84" s="563">
        <f t="shared" si="84"/>
        <v>65</v>
      </c>
      <c r="BQ84" s="563">
        <f t="shared" si="84"/>
        <v>65</v>
      </c>
      <c r="BR84" s="563">
        <f t="shared" si="84"/>
        <v>65</v>
      </c>
      <c r="BS84" s="563">
        <f t="shared" si="84"/>
        <v>65</v>
      </c>
      <c r="BT84" s="580">
        <f t="shared" si="84"/>
        <v>65</v>
      </c>
      <c r="BU84" s="563">
        <f t="shared" si="84"/>
        <v>65</v>
      </c>
      <c r="BV84" s="563">
        <f t="shared" si="84"/>
        <v>65</v>
      </c>
      <c r="BW84" s="563">
        <f t="shared" si="84"/>
        <v>65</v>
      </c>
      <c r="BX84" s="563">
        <f t="shared" si="84"/>
        <v>65</v>
      </c>
      <c r="BY84" s="579">
        <f t="shared" si="84"/>
        <v>65</v>
      </c>
      <c r="BZ84" s="563">
        <f t="shared" si="84"/>
        <v>65</v>
      </c>
      <c r="CA84" s="563">
        <f t="shared" si="84"/>
        <v>65</v>
      </c>
      <c r="CB84" s="563">
        <f t="shared" si="84"/>
        <v>65</v>
      </c>
      <c r="CC84" s="563">
        <f t="shared" si="84"/>
        <v>65</v>
      </c>
      <c r="CD84" s="580">
        <f t="shared" si="84"/>
        <v>65</v>
      </c>
      <c r="CE84" s="563">
        <f t="shared" si="84"/>
        <v>65</v>
      </c>
      <c r="CF84" s="563">
        <f t="shared" si="84"/>
        <v>65</v>
      </c>
      <c r="CG84" s="563">
        <f t="shared" si="84"/>
        <v>67</v>
      </c>
      <c r="CH84" s="563">
        <f t="shared" si="84"/>
        <v>69</v>
      </c>
      <c r="CI84" s="579">
        <f t="shared" si="84"/>
        <v>71</v>
      </c>
      <c r="CJ84" s="563">
        <f t="shared" si="84"/>
        <v>73</v>
      </c>
      <c r="CK84" s="563">
        <f t="shared" si="84"/>
        <v>75</v>
      </c>
      <c r="CL84" s="563">
        <f t="shared" si="84"/>
        <v>77</v>
      </c>
      <c r="CM84" s="563">
        <f t="shared" si="84"/>
        <v>79</v>
      </c>
      <c r="CN84" s="580">
        <f t="shared" si="84"/>
        <v>81</v>
      </c>
      <c r="CO84" s="563">
        <f t="shared" si="84"/>
        <v>83</v>
      </c>
      <c r="CP84" s="563">
        <f t="shared" si="84"/>
        <v>85</v>
      </c>
      <c r="CQ84" s="563">
        <f t="shared" si="84"/>
        <v>87</v>
      </c>
      <c r="CR84" s="563">
        <f t="shared" si="84"/>
        <v>89</v>
      </c>
      <c r="CS84" s="579">
        <f t="shared" si="84"/>
        <v>91</v>
      </c>
      <c r="CT84" s="563">
        <f t="shared" si="84"/>
        <v>93</v>
      </c>
      <c r="CU84" s="563">
        <f t="shared" si="84"/>
        <v>95</v>
      </c>
      <c r="CV84" s="563">
        <f t="shared" si="84"/>
        <v>97</v>
      </c>
      <c r="CW84" s="563">
        <f t="shared" si="84"/>
        <v>99</v>
      </c>
      <c r="CX84" s="563"/>
    </row>
    <row r="85" ht="10.5" customHeight="1">
      <c r="A85" s="543"/>
      <c r="B85" s="563">
        <f t="shared" si="4"/>
        <v>83</v>
      </c>
      <c r="C85" s="563">
        <f t="shared" ref="C85:CW85" si="85">IF(LT(IF(GT(C$2,MIN($B85,99)),C$2,MIN($B85,99)),99-FLOOR(C$2/2,1)),IF(GT(C$2,MIN($B85,99)),C$2,MIN($B85,99))-FLOOR(C$2/2,1),2*IF(GT(C$2,MIN($B85,99)),C$2,MIN($B85,99))-99)</f>
        <v>83</v>
      </c>
      <c r="D85" s="563">
        <f t="shared" si="85"/>
        <v>82</v>
      </c>
      <c r="E85" s="563">
        <f t="shared" si="85"/>
        <v>82</v>
      </c>
      <c r="F85" s="563">
        <f t="shared" si="85"/>
        <v>81</v>
      </c>
      <c r="G85" s="579">
        <f t="shared" si="85"/>
        <v>81</v>
      </c>
      <c r="H85" s="563">
        <f t="shared" si="85"/>
        <v>80</v>
      </c>
      <c r="I85" s="563">
        <f t="shared" si="85"/>
        <v>80</v>
      </c>
      <c r="J85" s="563">
        <f t="shared" si="85"/>
        <v>79</v>
      </c>
      <c r="K85" s="563">
        <f t="shared" si="85"/>
        <v>79</v>
      </c>
      <c r="L85" s="580">
        <f t="shared" si="85"/>
        <v>78</v>
      </c>
      <c r="M85" s="563">
        <f t="shared" si="85"/>
        <v>78</v>
      </c>
      <c r="N85" s="563">
        <f t="shared" si="85"/>
        <v>77</v>
      </c>
      <c r="O85" s="563">
        <f t="shared" si="85"/>
        <v>77</v>
      </c>
      <c r="P85" s="563">
        <f t="shared" si="85"/>
        <v>76</v>
      </c>
      <c r="Q85" s="579">
        <f t="shared" si="85"/>
        <v>76</v>
      </c>
      <c r="R85" s="563">
        <f t="shared" si="85"/>
        <v>75</v>
      </c>
      <c r="S85" s="563">
        <f t="shared" si="85"/>
        <v>75</v>
      </c>
      <c r="T85" s="563">
        <f t="shared" si="85"/>
        <v>74</v>
      </c>
      <c r="U85" s="563">
        <f t="shared" si="85"/>
        <v>74</v>
      </c>
      <c r="V85" s="580">
        <f t="shared" si="85"/>
        <v>73</v>
      </c>
      <c r="W85" s="563">
        <f t="shared" si="85"/>
        <v>73</v>
      </c>
      <c r="X85" s="563">
        <f t="shared" si="85"/>
        <v>72</v>
      </c>
      <c r="Y85" s="563">
        <f t="shared" si="85"/>
        <v>72</v>
      </c>
      <c r="Z85" s="563">
        <f t="shared" si="85"/>
        <v>71</v>
      </c>
      <c r="AA85" s="579">
        <f t="shared" si="85"/>
        <v>71</v>
      </c>
      <c r="AB85" s="563">
        <f t="shared" si="85"/>
        <v>70</v>
      </c>
      <c r="AC85" s="563">
        <f t="shared" si="85"/>
        <v>70</v>
      </c>
      <c r="AD85" s="563">
        <f t="shared" si="85"/>
        <v>69</v>
      </c>
      <c r="AE85" s="563">
        <f t="shared" si="85"/>
        <v>69</v>
      </c>
      <c r="AF85" s="580">
        <f t="shared" si="85"/>
        <v>68</v>
      </c>
      <c r="AG85" s="563">
        <f t="shared" si="85"/>
        <v>68</v>
      </c>
      <c r="AH85" s="563">
        <f t="shared" si="85"/>
        <v>67</v>
      </c>
      <c r="AI85" s="563">
        <f t="shared" si="85"/>
        <v>67</v>
      </c>
      <c r="AJ85" s="563">
        <f t="shared" si="85"/>
        <v>67</v>
      </c>
      <c r="AK85" s="579">
        <f t="shared" si="85"/>
        <v>67</v>
      </c>
      <c r="AL85" s="563">
        <f t="shared" si="85"/>
        <v>67</v>
      </c>
      <c r="AM85" s="563">
        <f t="shared" si="85"/>
        <v>67</v>
      </c>
      <c r="AN85" s="563">
        <f t="shared" si="85"/>
        <v>67</v>
      </c>
      <c r="AO85" s="563">
        <f t="shared" si="85"/>
        <v>67</v>
      </c>
      <c r="AP85" s="580">
        <f t="shared" si="85"/>
        <v>67</v>
      </c>
      <c r="AQ85" s="563">
        <f t="shared" si="85"/>
        <v>67</v>
      </c>
      <c r="AR85" s="563">
        <f t="shared" si="85"/>
        <v>67</v>
      </c>
      <c r="AS85" s="563">
        <f t="shared" si="85"/>
        <v>67</v>
      </c>
      <c r="AT85" s="563">
        <f t="shared" si="85"/>
        <v>67</v>
      </c>
      <c r="AU85" s="579">
        <f t="shared" si="85"/>
        <v>67</v>
      </c>
      <c r="AV85" s="563">
        <f t="shared" si="85"/>
        <v>67</v>
      </c>
      <c r="AW85" s="563">
        <f t="shared" si="85"/>
        <v>67</v>
      </c>
      <c r="AX85" s="563">
        <f t="shared" si="85"/>
        <v>67</v>
      </c>
      <c r="AY85" s="563">
        <f t="shared" si="85"/>
        <v>67</v>
      </c>
      <c r="AZ85" s="580">
        <f t="shared" si="85"/>
        <v>67</v>
      </c>
      <c r="BA85" s="563">
        <f t="shared" si="85"/>
        <v>67</v>
      </c>
      <c r="BB85" s="563">
        <f t="shared" si="85"/>
        <v>67</v>
      </c>
      <c r="BC85" s="563">
        <f t="shared" si="85"/>
        <v>67</v>
      </c>
      <c r="BD85" s="563">
        <f t="shared" si="85"/>
        <v>67</v>
      </c>
      <c r="BE85" s="579">
        <f t="shared" si="85"/>
        <v>67</v>
      </c>
      <c r="BF85" s="563">
        <f t="shared" si="85"/>
        <v>67</v>
      </c>
      <c r="BG85" s="563">
        <f t="shared" si="85"/>
        <v>67</v>
      </c>
      <c r="BH85" s="563">
        <f t="shared" si="85"/>
        <v>67</v>
      </c>
      <c r="BI85" s="563">
        <f t="shared" si="85"/>
        <v>67</v>
      </c>
      <c r="BJ85" s="580">
        <f t="shared" si="85"/>
        <v>67</v>
      </c>
      <c r="BK85" s="563">
        <f t="shared" si="85"/>
        <v>67</v>
      </c>
      <c r="BL85" s="563">
        <f t="shared" si="85"/>
        <v>67</v>
      </c>
      <c r="BM85" s="563">
        <f t="shared" si="85"/>
        <v>67</v>
      </c>
      <c r="BN85" s="563">
        <f t="shared" si="85"/>
        <v>67</v>
      </c>
      <c r="BO85" s="579">
        <f t="shared" si="85"/>
        <v>67</v>
      </c>
      <c r="BP85" s="563">
        <f t="shared" si="85"/>
        <v>67</v>
      </c>
      <c r="BQ85" s="563">
        <f t="shared" si="85"/>
        <v>67</v>
      </c>
      <c r="BR85" s="563">
        <f t="shared" si="85"/>
        <v>67</v>
      </c>
      <c r="BS85" s="563">
        <f t="shared" si="85"/>
        <v>67</v>
      </c>
      <c r="BT85" s="580">
        <f t="shared" si="85"/>
        <v>67</v>
      </c>
      <c r="BU85" s="563">
        <f t="shared" si="85"/>
        <v>67</v>
      </c>
      <c r="BV85" s="563">
        <f t="shared" si="85"/>
        <v>67</v>
      </c>
      <c r="BW85" s="563">
        <f t="shared" si="85"/>
        <v>67</v>
      </c>
      <c r="BX85" s="563">
        <f t="shared" si="85"/>
        <v>67</v>
      </c>
      <c r="BY85" s="579">
        <f t="shared" si="85"/>
        <v>67</v>
      </c>
      <c r="BZ85" s="563">
        <f t="shared" si="85"/>
        <v>67</v>
      </c>
      <c r="CA85" s="563">
        <f t="shared" si="85"/>
        <v>67</v>
      </c>
      <c r="CB85" s="563">
        <f t="shared" si="85"/>
        <v>67</v>
      </c>
      <c r="CC85" s="563">
        <f t="shared" si="85"/>
        <v>67</v>
      </c>
      <c r="CD85" s="580">
        <f t="shared" si="85"/>
        <v>67</v>
      </c>
      <c r="CE85" s="563">
        <f t="shared" si="85"/>
        <v>67</v>
      </c>
      <c r="CF85" s="563">
        <f t="shared" si="85"/>
        <v>67</v>
      </c>
      <c r="CG85" s="563">
        <f t="shared" si="85"/>
        <v>67</v>
      </c>
      <c r="CH85" s="563">
        <f t="shared" si="85"/>
        <v>69</v>
      </c>
      <c r="CI85" s="579">
        <f t="shared" si="85"/>
        <v>71</v>
      </c>
      <c r="CJ85" s="563">
        <f t="shared" si="85"/>
        <v>73</v>
      </c>
      <c r="CK85" s="563">
        <f t="shared" si="85"/>
        <v>75</v>
      </c>
      <c r="CL85" s="563">
        <f t="shared" si="85"/>
        <v>77</v>
      </c>
      <c r="CM85" s="563">
        <f t="shared" si="85"/>
        <v>79</v>
      </c>
      <c r="CN85" s="580">
        <f t="shared" si="85"/>
        <v>81</v>
      </c>
      <c r="CO85" s="563">
        <f t="shared" si="85"/>
        <v>83</v>
      </c>
      <c r="CP85" s="563">
        <f t="shared" si="85"/>
        <v>85</v>
      </c>
      <c r="CQ85" s="563">
        <f t="shared" si="85"/>
        <v>87</v>
      </c>
      <c r="CR85" s="563">
        <f t="shared" si="85"/>
        <v>89</v>
      </c>
      <c r="CS85" s="579">
        <f t="shared" si="85"/>
        <v>91</v>
      </c>
      <c r="CT85" s="563">
        <f t="shared" si="85"/>
        <v>93</v>
      </c>
      <c r="CU85" s="563">
        <f t="shared" si="85"/>
        <v>95</v>
      </c>
      <c r="CV85" s="563">
        <f t="shared" si="85"/>
        <v>97</v>
      </c>
      <c r="CW85" s="563">
        <f t="shared" si="85"/>
        <v>99</v>
      </c>
      <c r="CX85" s="563"/>
    </row>
    <row r="86" ht="10.5" customHeight="1">
      <c r="A86" s="543"/>
      <c r="B86" s="563">
        <f t="shared" si="4"/>
        <v>84</v>
      </c>
      <c r="C86" s="563">
        <f t="shared" ref="C86:CW86" si="86">IF(LT(IF(GT(C$2,MIN($B86,99)),C$2,MIN($B86,99)),99-FLOOR(C$2/2,1)),IF(GT(C$2,MIN($B86,99)),C$2,MIN($B86,99))-FLOOR(C$2/2,1),2*IF(GT(C$2,MIN($B86,99)),C$2,MIN($B86,99))-99)</f>
        <v>84</v>
      </c>
      <c r="D86" s="563">
        <f t="shared" si="86"/>
        <v>83</v>
      </c>
      <c r="E86" s="563">
        <f t="shared" si="86"/>
        <v>83</v>
      </c>
      <c r="F86" s="563">
        <f t="shared" si="86"/>
        <v>82</v>
      </c>
      <c r="G86" s="579">
        <f t="shared" si="86"/>
        <v>82</v>
      </c>
      <c r="H86" s="563">
        <f t="shared" si="86"/>
        <v>81</v>
      </c>
      <c r="I86" s="563">
        <f t="shared" si="86"/>
        <v>81</v>
      </c>
      <c r="J86" s="563">
        <f t="shared" si="86"/>
        <v>80</v>
      </c>
      <c r="K86" s="563">
        <f t="shared" si="86"/>
        <v>80</v>
      </c>
      <c r="L86" s="580">
        <f t="shared" si="86"/>
        <v>79</v>
      </c>
      <c r="M86" s="563">
        <f t="shared" si="86"/>
        <v>79</v>
      </c>
      <c r="N86" s="563">
        <f t="shared" si="86"/>
        <v>78</v>
      </c>
      <c r="O86" s="563">
        <f t="shared" si="86"/>
        <v>78</v>
      </c>
      <c r="P86" s="563">
        <f t="shared" si="86"/>
        <v>77</v>
      </c>
      <c r="Q86" s="579">
        <f t="shared" si="86"/>
        <v>77</v>
      </c>
      <c r="R86" s="563">
        <f t="shared" si="86"/>
        <v>76</v>
      </c>
      <c r="S86" s="563">
        <f t="shared" si="86"/>
        <v>76</v>
      </c>
      <c r="T86" s="563">
        <f t="shared" si="86"/>
        <v>75</v>
      </c>
      <c r="U86" s="563">
        <f t="shared" si="86"/>
        <v>75</v>
      </c>
      <c r="V86" s="580">
        <f t="shared" si="86"/>
        <v>74</v>
      </c>
      <c r="W86" s="563">
        <f t="shared" si="86"/>
        <v>74</v>
      </c>
      <c r="X86" s="563">
        <f t="shared" si="86"/>
        <v>73</v>
      </c>
      <c r="Y86" s="563">
        <f t="shared" si="86"/>
        <v>73</v>
      </c>
      <c r="Z86" s="563">
        <f t="shared" si="86"/>
        <v>72</v>
      </c>
      <c r="AA86" s="579">
        <f t="shared" si="86"/>
        <v>72</v>
      </c>
      <c r="AB86" s="563">
        <f t="shared" si="86"/>
        <v>71</v>
      </c>
      <c r="AC86" s="563">
        <f t="shared" si="86"/>
        <v>71</v>
      </c>
      <c r="AD86" s="563">
        <f t="shared" si="86"/>
        <v>70</v>
      </c>
      <c r="AE86" s="563">
        <f t="shared" si="86"/>
        <v>70</v>
      </c>
      <c r="AF86" s="580">
        <f t="shared" si="86"/>
        <v>69</v>
      </c>
      <c r="AG86" s="563">
        <f t="shared" si="86"/>
        <v>69</v>
      </c>
      <c r="AH86" s="563">
        <f t="shared" si="86"/>
        <v>69</v>
      </c>
      <c r="AI86" s="563">
        <f t="shared" si="86"/>
        <v>69</v>
      </c>
      <c r="AJ86" s="563">
        <f t="shared" si="86"/>
        <v>69</v>
      </c>
      <c r="AK86" s="579">
        <f t="shared" si="86"/>
        <v>69</v>
      </c>
      <c r="AL86" s="563">
        <f t="shared" si="86"/>
        <v>69</v>
      </c>
      <c r="AM86" s="563">
        <f t="shared" si="86"/>
        <v>69</v>
      </c>
      <c r="AN86" s="563">
        <f t="shared" si="86"/>
        <v>69</v>
      </c>
      <c r="AO86" s="563">
        <f t="shared" si="86"/>
        <v>69</v>
      </c>
      <c r="AP86" s="580">
        <f t="shared" si="86"/>
        <v>69</v>
      </c>
      <c r="AQ86" s="563">
        <f t="shared" si="86"/>
        <v>69</v>
      </c>
      <c r="AR86" s="563">
        <f t="shared" si="86"/>
        <v>69</v>
      </c>
      <c r="AS86" s="563">
        <f t="shared" si="86"/>
        <v>69</v>
      </c>
      <c r="AT86" s="563">
        <f t="shared" si="86"/>
        <v>69</v>
      </c>
      <c r="AU86" s="579">
        <f t="shared" si="86"/>
        <v>69</v>
      </c>
      <c r="AV86" s="563">
        <f t="shared" si="86"/>
        <v>69</v>
      </c>
      <c r="AW86" s="563">
        <f t="shared" si="86"/>
        <v>69</v>
      </c>
      <c r="AX86" s="563">
        <f t="shared" si="86"/>
        <v>69</v>
      </c>
      <c r="AY86" s="563">
        <f t="shared" si="86"/>
        <v>69</v>
      </c>
      <c r="AZ86" s="580">
        <f t="shared" si="86"/>
        <v>69</v>
      </c>
      <c r="BA86" s="563">
        <f t="shared" si="86"/>
        <v>69</v>
      </c>
      <c r="BB86" s="563">
        <f t="shared" si="86"/>
        <v>69</v>
      </c>
      <c r="BC86" s="563">
        <f t="shared" si="86"/>
        <v>69</v>
      </c>
      <c r="BD86" s="563">
        <f t="shared" si="86"/>
        <v>69</v>
      </c>
      <c r="BE86" s="579">
        <f t="shared" si="86"/>
        <v>69</v>
      </c>
      <c r="BF86" s="563">
        <f t="shared" si="86"/>
        <v>69</v>
      </c>
      <c r="BG86" s="563">
        <f t="shared" si="86"/>
        <v>69</v>
      </c>
      <c r="BH86" s="563">
        <f t="shared" si="86"/>
        <v>69</v>
      </c>
      <c r="BI86" s="563">
        <f t="shared" si="86"/>
        <v>69</v>
      </c>
      <c r="BJ86" s="580">
        <f t="shared" si="86"/>
        <v>69</v>
      </c>
      <c r="BK86" s="563">
        <f t="shared" si="86"/>
        <v>69</v>
      </c>
      <c r="BL86" s="563">
        <f t="shared" si="86"/>
        <v>69</v>
      </c>
      <c r="BM86" s="563">
        <f t="shared" si="86"/>
        <v>69</v>
      </c>
      <c r="BN86" s="563">
        <f t="shared" si="86"/>
        <v>69</v>
      </c>
      <c r="BO86" s="579">
        <f t="shared" si="86"/>
        <v>69</v>
      </c>
      <c r="BP86" s="563">
        <f t="shared" si="86"/>
        <v>69</v>
      </c>
      <c r="BQ86" s="563">
        <f t="shared" si="86"/>
        <v>69</v>
      </c>
      <c r="BR86" s="563">
        <f t="shared" si="86"/>
        <v>69</v>
      </c>
      <c r="BS86" s="563">
        <f t="shared" si="86"/>
        <v>69</v>
      </c>
      <c r="BT86" s="580">
        <f t="shared" si="86"/>
        <v>69</v>
      </c>
      <c r="BU86" s="563">
        <f t="shared" si="86"/>
        <v>69</v>
      </c>
      <c r="BV86" s="563">
        <f t="shared" si="86"/>
        <v>69</v>
      </c>
      <c r="BW86" s="563">
        <f t="shared" si="86"/>
        <v>69</v>
      </c>
      <c r="BX86" s="563">
        <f t="shared" si="86"/>
        <v>69</v>
      </c>
      <c r="BY86" s="579">
        <f t="shared" si="86"/>
        <v>69</v>
      </c>
      <c r="BZ86" s="563">
        <f t="shared" si="86"/>
        <v>69</v>
      </c>
      <c r="CA86" s="563">
        <f t="shared" si="86"/>
        <v>69</v>
      </c>
      <c r="CB86" s="563">
        <f t="shared" si="86"/>
        <v>69</v>
      </c>
      <c r="CC86" s="563">
        <f t="shared" si="86"/>
        <v>69</v>
      </c>
      <c r="CD86" s="580">
        <f t="shared" si="86"/>
        <v>69</v>
      </c>
      <c r="CE86" s="563">
        <f t="shared" si="86"/>
        <v>69</v>
      </c>
      <c r="CF86" s="563">
        <f t="shared" si="86"/>
        <v>69</v>
      </c>
      <c r="CG86" s="563">
        <f t="shared" si="86"/>
        <v>69</v>
      </c>
      <c r="CH86" s="563">
        <f t="shared" si="86"/>
        <v>69</v>
      </c>
      <c r="CI86" s="579">
        <f t="shared" si="86"/>
        <v>71</v>
      </c>
      <c r="CJ86" s="563">
        <f t="shared" si="86"/>
        <v>73</v>
      </c>
      <c r="CK86" s="563">
        <f t="shared" si="86"/>
        <v>75</v>
      </c>
      <c r="CL86" s="563">
        <f t="shared" si="86"/>
        <v>77</v>
      </c>
      <c r="CM86" s="563">
        <f t="shared" si="86"/>
        <v>79</v>
      </c>
      <c r="CN86" s="580">
        <f t="shared" si="86"/>
        <v>81</v>
      </c>
      <c r="CO86" s="563">
        <f t="shared" si="86"/>
        <v>83</v>
      </c>
      <c r="CP86" s="563">
        <f t="shared" si="86"/>
        <v>85</v>
      </c>
      <c r="CQ86" s="563">
        <f t="shared" si="86"/>
        <v>87</v>
      </c>
      <c r="CR86" s="563">
        <f t="shared" si="86"/>
        <v>89</v>
      </c>
      <c r="CS86" s="579">
        <f t="shared" si="86"/>
        <v>91</v>
      </c>
      <c r="CT86" s="563">
        <f t="shared" si="86"/>
        <v>93</v>
      </c>
      <c r="CU86" s="563">
        <f t="shared" si="86"/>
        <v>95</v>
      </c>
      <c r="CV86" s="563">
        <f t="shared" si="86"/>
        <v>97</v>
      </c>
      <c r="CW86" s="563">
        <f t="shared" si="86"/>
        <v>99</v>
      </c>
      <c r="CX86" s="563"/>
    </row>
    <row r="87" ht="10.5" customHeight="1">
      <c r="A87" s="543"/>
      <c r="B87" s="563">
        <f t="shared" si="4"/>
        <v>85</v>
      </c>
      <c r="C87" s="640">
        <f t="shared" ref="C87:CW87" si="87">IF(LT(IF(GT(C$2,MIN($B87,99)),C$2,MIN($B87,99)),99-FLOOR(C$2/2,1)),IF(GT(C$2,MIN($B87,99)),C$2,MIN($B87,99))-FLOOR(C$2/2,1),2*IF(GT(C$2,MIN($B87,99)),C$2,MIN($B87,99))-99)</f>
        <v>85</v>
      </c>
      <c r="D87" s="640">
        <f t="shared" si="87"/>
        <v>84</v>
      </c>
      <c r="E87" s="640">
        <f t="shared" si="87"/>
        <v>84</v>
      </c>
      <c r="F87" s="640">
        <f t="shared" si="87"/>
        <v>83</v>
      </c>
      <c r="G87" s="641">
        <f t="shared" si="87"/>
        <v>83</v>
      </c>
      <c r="H87" s="640">
        <f t="shared" si="87"/>
        <v>82</v>
      </c>
      <c r="I87" s="640">
        <f t="shared" si="87"/>
        <v>82</v>
      </c>
      <c r="J87" s="640">
        <f t="shared" si="87"/>
        <v>81</v>
      </c>
      <c r="K87" s="640">
        <f t="shared" si="87"/>
        <v>81</v>
      </c>
      <c r="L87" s="643">
        <f t="shared" si="87"/>
        <v>80</v>
      </c>
      <c r="M87" s="640">
        <f t="shared" si="87"/>
        <v>80</v>
      </c>
      <c r="N87" s="640">
        <f t="shared" si="87"/>
        <v>79</v>
      </c>
      <c r="O87" s="640">
        <f t="shared" si="87"/>
        <v>79</v>
      </c>
      <c r="P87" s="640">
        <f t="shared" si="87"/>
        <v>78</v>
      </c>
      <c r="Q87" s="641">
        <f t="shared" si="87"/>
        <v>78</v>
      </c>
      <c r="R87" s="640">
        <f t="shared" si="87"/>
        <v>77</v>
      </c>
      <c r="S87" s="640">
        <f t="shared" si="87"/>
        <v>77</v>
      </c>
      <c r="T87" s="640">
        <f t="shared" si="87"/>
        <v>76</v>
      </c>
      <c r="U87" s="640">
        <f t="shared" si="87"/>
        <v>76</v>
      </c>
      <c r="V87" s="643">
        <f t="shared" si="87"/>
        <v>75</v>
      </c>
      <c r="W87" s="640">
        <f t="shared" si="87"/>
        <v>75</v>
      </c>
      <c r="X87" s="640">
        <f t="shared" si="87"/>
        <v>74</v>
      </c>
      <c r="Y87" s="640">
        <f t="shared" si="87"/>
        <v>74</v>
      </c>
      <c r="Z87" s="640">
        <f t="shared" si="87"/>
        <v>73</v>
      </c>
      <c r="AA87" s="641">
        <f t="shared" si="87"/>
        <v>73</v>
      </c>
      <c r="AB87" s="640">
        <f t="shared" si="87"/>
        <v>72</v>
      </c>
      <c r="AC87" s="640">
        <f t="shared" si="87"/>
        <v>72</v>
      </c>
      <c r="AD87" s="640">
        <f t="shared" si="87"/>
        <v>71</v>
      </c>
      <c r="AE87" s="640">
        <f t="shared" si="87"/>
        <v>71</v>
      </c>
      <c r="AF87" s="643">
        <f t="shared" si="87"/>
        <v>71</v>
      </c>
      <c r="AG87" s="640">
        <f t="shared" si="87"/>
        <v>71</v>
      </c>
      <c r="AH87" s="640">
        <f t="shared" si="87"/>
        <v>71</v>
      </c>
      <c r="AI87" s="640">
        <f t="shared" si="87"/>
        <v>71</v>
      </c>
      <c r="AJ87" s="640">
        <f t="shared" si="87"/>
        <v>71</v>
      </c>
      <c r="AK87" s="641">
        <f t="shared" si="87"/>
        <v>71</v>
      </c>
      <c r="AL87" s="640">
        <f t="shared" si="87"/>
        <v>71</v>
      </c>
      <c r="AM87" s="640">
        <f t="shared" si="87"/>
        <v>71</v>
      </c>
      <c r="AN87" s="640">
        <f t="shared" si="87"/>
        <v>71</v>
      </c>
      <c r="AO87" s="640">
        <f t="shared" si="87"/>
        <v>71</v>
      </c>
      <c r="AP87" s="643">
        <f t="shared" si="87"/>
        <v>71</v>
      </c>
      <c r="AQ87" s="640">
        <f t="shared" si="87"/>
        <v>71</v>
      </c>
      <c r="AR87" s="640">
        <f t="shared" si="87"/>
        <v>71</v>
      </c>
      <c r="AS87" s="640">
        <f t="shared" si="87"/>
        <v>71</v>
      </c>
      <c r="AT87" s="640">
        <f t="shared" si="87"/>
        <v>71</v>
      </c>
      <c r="AU87" s="641">
        <f t="shared" si="87"/>
        <v>71</v>
      </c>
      <c r="AV87" s="640">
        <f t="shared" si="87"/>
        <v>71</v>
      </c>
      <c r="AW87" s="640">
        <f t="shared" si="87"/>
        <v>71</v>
      </c>
      <c r="AX87" s="640">
        <f t="shared" si="87"/>
        <v>71</v>
      </c>
      <c r="AY87" s="640">
        <f t="shared" si="87"/>
        <v>71</v>
      </c>
      <c r="AZ87" s="643">
        <f t="shared" si="87"/>
        <v>71</v>
      </c>
      <c r="BA87" s="640">
        <f t="shared" si="87"/>
        <v>71</v>
      </c>
      <c r="BB87" s="640">
        <f t="shared" si="87"/>
        <v>71</v>
      </c>
      <c r="BC87" s="640">
        <f t="shared" si="87"/>
        <v>71</v>
      </c>
      <c r="BD87" s="640">
        <f t="shared" si="87"/>
        <v>71</v>
      </c>
      <c r="BE87" s="641">
        <f t="shared" si="87"/>
        <v>71</v>
      </c>
      <c r="BF87" s="640">
        <f t="shared" si="87"/>
        <v>71</v>
      </c>
      <c r="BG87" s="640">
        <f t="shared" si="87"/>
        <v>71</v>
      </c>
      <c r="BH87" s="640">
        <f t="shared" si="87"/>
        <v>71</v>
      </c>
      <c r="BI87" s="640">
        <f t="shared" si="87"/>
        <v>71</v>
      </c>
      <c r="BJ87" s="643">
        <f t="shared" si="87"/>
        <v>71</v>
      </c>
      <c r="BK87" s="640">
        <f t="shared" si="87"/>
        <v>71</v>
      </c>
      <c r="BL87" s="640">
        <f t="shared" si="87"/>
        <v>71</v>
      </c>
      <c r="BM87" s="640">
        <f t="shared" si="87"/>
        <v>71</v>
      </c>
      <c r="BN87" s="640">
        <f t="shared" si="87"/>
        <v>71</v>
      </c>
      <c r="BO87" s="641">
        <f t="shared" si="87"/>
        <v>71</v>
      </c>
      <c r="BP87" s="640">
        <f t="shared" si="87"/>
        <v>71</v>
      </c>
      <c r="BQ87" s="640">
        <f t="shared" si="87"/>
        <v>71</v>
      </c>
      <c r="BR87" s="640">
        <f t="shared" si="87"/>
        <v>71</v>
      </c>
      <c r="BS87" s="640">
        <f t="shared" si="87"/>
        <v>71</v>
      </c>
      <c r="BT87" s="643">
        <f t="shared" si="87"/>
        <v>71</v>
      </c>
      <c r="BU87" s="640">
        <f t="shared" si="87"/>
        <v>71</v>
      </c>
      <c r="BV87" s="640">
        <f t="shared" si="87"/>
        <v>71</v>
      </c>
      <c r="BW87" s="640">
        <f t="shared" si="87"/>
        <v>71</v>
      </c>
      <c r="BX87" s="640">
        <f t="shared" si="87"/>
        <v>71</v>
      </c>
      <c r="BY87" s="641">
        <f t="shared" si="87"/>
        <v>71</v>
      </c>
      <c r="BZ87" s="640">
        <f t="shared" si="87"/>
        <v>71</v>
      </c>
      <c r="CA87" s="640">
        <f t="shared" si="87"/>
        <v>71</v>
      </c>
      <c r="CB87" s="640">
        <f t="shared" si="87"/>
        <v>71</v>
      </c>
      <c r="CC87" s="640">
        <f t="shared" si="87"/>
        <v>71</v>
      </c>
      <c r="CD87" s="643">
        <f t="shared" si="87"/>
        <v>71</v>
      </c>
      <c r="CE87" s="640">
        <f t="shared" si="87"/>
        <v>71</v>
      </c>
      <c r="CF87" s="640">
        <f t="shared" si="87"/>
        <v>71</v>
      </c>
      <c r="CG87" s="640">
        <f t="shared" si="87"/>
        <v>71</v>
      </c>
      <c r="CH87" s="640">
        <f t="shared" si="87"/>
        <v>71</v>
      </c>
      <c r="CI87" s="641">
        <f t="shared" si="87"/>
        <v>71</v>
      </c>
      <c r="CJ87" s="640">
        <f t="shared" si="87"/>
        <v>73</v>
      </c>
      <c r="CK87" s="640">
        <f t="shared" si="87"/>
        <v>75</v>
      </c>
      <c r="CL87" s="640">
        <f t="shared" si="87"/>
        <v>77</v>
      </c>
      <c r="CM87" s="640">
        <f t="shared" si="87"/>
        <v>79</v>
      </c>
      <c r="CN87" s="643">
        <f t="shared" si="87"/>
        <v>81</v>
      </c>
      <c r="CO87" s="640">
        <f t="shared" si="87"/>
        <v>83</v>
      </c>
      <c r="CP87" s="640">
        <f t="shared" si="87"/>
        <v>85</v>
      </c>
      <c r="CQ87" s="640">
        <f t="shared" si="87"/>
        <v>87</v>
      </c>
      <c r="CR87" s="640">
        <f t="shared" si="87"/>
        <v>89</v>
      </c>
      <c r="CS87" s="641">
        <f t="shared" si="87"/>
        <v>91</v>
      </c>
      <c r="CT87" s="640">
        <f t="shared" si="87"/>
        <v>93</v>
      </c>
      <c r="CU87" s="640">
        <f t="shared" si="87"/>
        <v>95</v>
      </c>
      <c r="CV87" s="640">
        <f t="shared" si="87"/>
        <v>97</v>
      </c>
      <c r="CW87" s="640">
        <f t="shared" si="87"/>
        <v>99</v>
      </c>
      <c r="CX87" s="563"/>
    </row>
    <row r="88" ht="10.5" customHeight="1">
      <c r="A88" s="543"/>
      <c r="B88" s="563">
        <f t="shared" si="4"/>
        <v>86</v>
      </c>
      <c r="C88" s="563">
        <f t="shared" ref="C88:CW88" si="88">IF(LT(IF(GT(C$2,MIN($B88,99)),C$2,MIN($B88,99)),99-FLOOR(C$2/2,1)),IF(GT(C$2,MIN($B88,99)),C$2,MIN($B88,99))-FLOOR(C$2/2,1),2*IF(GT(C$2,MIN($B88,99)),C$2,MIN($B88,99))-99)</f>
        <v>86</v>
      </c>
      <c r="D88" s="563">
        <f t="shared" si="88"/>
        <v>85</v>
      </c>
      <c r="E88" s="563">
        <f t="shared" si="88"/>
        <v>85</v>
      </c>
      <c r="F88" s="563">
        <f t="shared" si="88"/>
        <v>84</v>
      </c>
      <c r="G88" s="579">
        <f t="shared" si="88"/>
        <v>84</v>
      </c>
      <c r="H88" s="563">
        <f t="shared" si="88"/>
        <v>83</v>
      </c>
      <c r="I88" s="563">
        <f t="shared" si="88"/>
        <v>83</v>
      </c>
      <c r="J88" s="563">
        <f t="shared" si="88"/>
        <v>82</v>
      </c>
      <c r="K88" s="563">
        <f t="shared" si="88"/>
        <v>82</v>
      </c>
      <c r="L88" s="580">
        <f t="shared" si="88"/>
        <v>81</v>
      </c>
      <c r="M88" s="563">
        <f t="shared" si="88"/>
        <v>81</v>
      </c>
      <c r="N88" s="563">
        <f t="shared" si="88"/>
        <v>80</v>
      </c>
      <c r="O88" s="563">
        <f t="shared" si="88"/>
        <v>80</v>
      </c>
      <c r="P88" s="563">
        <f t="shared" si="88"/>
        <v>79</v>
      </c>
      <c r="Q88" s="579">
        <f t="shared" si="88"/>
        <v>79</v>
      </c>
      <c r="R88" s="563">
        <f t="shared" si="88"/>
        <v>78</v>
      </c>
      <c r="S88" s="563">
        <f t="shared" si="88"/>
        <v>78</v>
      </c>
      <c r="T88" s="563">
        <f t="shared" si="88"/>
        <v>77</v>
      </c>
      <c r="U88" s="563">
        <f t="shared" si="88"/>
        <v>77</v>
      </c>
      <c r="V88" s="580">
        <f t="shared" si="88"/>
        <v>76</v>
      </c>
      <c r="W88" s="563">
        <f t="shared" si="88"/>
        <v>76</v>
      </c>
      <c r="X88" s="563">
        <f t="shared" si="88"/>
        <v>75</v>
      </c>
      <c r="Y88" s="563">
        <f t="shared" si="88"/>
        <v>75</v>
      </c>
      <c r="Z88" s="563">
        <f t="shared" si="88"/>
        <v>74</v>
      </c>
      <c r="AA88" s="579">
        <f t="shared" si="88"/>
        <v>74</v>
      </c>
      <c r="AB88" s="563">
        <f t="shared" si="88"/>
        <v>73</v>
      </c>
      <c r="AC88" s="563">
        <f t="shared" si="88"/>
        <v>73</v>
      </c>
      <c r="AD88" s="563">
        <f t="shared" si="88"/>
        <v>73</v>
      </c>
      <c r="AE88" s="563">
        <f t="shared" si="88"/>
        <v>73</v>
      </c>
      <c r="AF88" s="580">
        <f t="shared" si="88"/>
        <v>73</v>
      </c>
      <c r="AG88" s="563">
        <f t="shared" si="88"/>
        <v>73</v>
      </c>
      <c r="AH88" s="563">
        <f t="shared" si="88"/>
        <v>73</v>
      </c>
      <c r="AI88" s="563">
        <f t="shared" si="88"/>
        <v>73</v>
      </c>
      <c r="AJ88" s="563">
        <f t="shared" si="88"/>
        <v>73</v>
      </c>
      <c r="AK88" s="579">
        <f t="shared" si="88"/>
        <v>73</v>
      </c>
      <c r="AL88" s="563">
        <f t="shared" si="88"/>
        <v>73</v>
      </c>
      <c r="AM88" s="563">
        <f t="shared" si="88"/>
        <v>73</v>
      </c>
      <c r="AN88" s="563">
        <f t="shared" si="88"/>
        <v>73</v>
      </c>
      <c r="AO88" s="563">
        <f t="shared" si="88"/>
        <v>73</v>
      </c>
      <c r="AP88" s="580">
        <f t="shared" si="88"/>
        <v>73</v>
      </c>
      <c r="AQ88" s="563">
        <f t="shared" si="88"/>
        <v>73</v>
      </c>
      <c r="AR88" s="563">
        <f t="shared" si="88"/>
        <v>73</v>
      </c>
      <c r="AS88" s="563">
        <f t="shared" si="88"/>
        <v>73</v>
      </c>
      <c r="AT88" s="563">
        <f t="shared" si="88"/>
        <v>73</v>
      </c>
      <c r="AU88" s="579">
        <f t="shared" si="88"/>
        <v>73</v>
      </c>
      <c r="AV88" s="563">
        <f t="shared" si="88"/>
        <v>73</v>
      </c>
      <c r="AW88" s="563">
        <f t="shared" si="88"/>
        <v>73</v>
      </c>
      <c r="AX88" s="563">
        <f t="shared" si="88"/>
        <v>73</v>
      </c>
      <c r="AY88" s="563">
        <f t="shared" si="88"/>
        <v>73</v>
      </c>
      <c r="AZ88" s="580">
        <f t="shared" si="88"/>
        <v>73</v>
      </c>
      <c r="BA88" s="563">
        <f t="shared" si="88"/>
        <v>73</v>
      </c>
      <c r="BB88" s="563">
        <f t="shared" si="88"/>
        <v>73</v>
      </c>
      <c r="BC88" s="563">
        <f t="shared" si="88"/>
        <v>73</v>
      </c>
      <c r="BD88" s="563">
        <f t="shared" si="88"/>
        <v>73</v>
      </c>
      <c r="BE88" s="579">
        <f t="shared" si="88"/>
        <v>73</v>
      </c>
      <c r="BF88" s="563">
        <f t="shared" si="88"/>
        <v>73</v>
      </c>
      <c r="BG88" s="563">
        <f t="shared" si="88"/>
        <v>73</v>
      </c>
      <c r="BH88" s="563">
        <f t="shared" si="88"/>
        <v>73</v>
      </c>
      <c r="BI88" s="563">
        <f t="shared" si="88"/>
        <v>73</v>
      </c>
      <c r="BJ88" s="580">
        <f t="shared" si="88"/>
        <v>73</v>
      </c>
      <c r="BK88" s="563">
        <f t="shared" si="88"/>
        <v>73</v>
      </c>
      <c r="BL88" s="563">
        <f t="shared" si="88"/>
        <v>73</v>
      </c>
      <c r="BM88" s="563">
        <f t="shared" si="88"/>
        <v>73</v>
      </c>
      <c r="BN88" s="563">
        <f t="shared" si="88"/>
        <v>73</v>
      </c>
      <c r="BO88" s="579">
        <f t="shared" si="88"/>
        <v>73</v>
      </c>
      <c r="BP88" s="563">
        <f t="shared" si="88"/>
        <v>73</v>
      </c>
      <c r="BQ88" s="563">
        <f t="shared" si="88"/>
        <v>73</v>
      </c>
      <c r="BR88" s="563">
        <f t="shared" si="88"/>
        <v>73</v>
      </c>
      <c r="BS88" s="563">
        <f t="shared" si="88"/>
        <v>73</v>
      </c>
      <c r="BT88" s="580">
        <f t="shared" si="88"/>
        <v>73</v>
      </c>
      <c r="BU88" s="563">
        <f t="shared" si="88"/>
        <v>73</v>
      </c>
      <c r="BV88" s="563">
        <f t="shared" si="88"/>
        <v>73</v>
      </c>
      <c r="BW88" s="563">
        <f t="shared" si="88"/>
        <v>73</v>
      </c>
      <c r="BX88" s="563">
        <f t="shared" si="88"/>
        <v>73</v>
      </c>
      <c r="BY88" s="579">
        <f t="shared" si="88"/>
        <v>73</v>
      </c>
      <c r="BZ88" s="563">
        <f t="shared" si="88"/>
        <v>73</v>
      </c>
      <c r="CA88" s="563">
        <f t="shared" si="88"/>
        <v>73</v>
      </c>
      <c r="CB88" s="563">
        <f t="shared" si="88"/>
        <v>73</v>
      </c>
      <c r="CC88" s="563">
        <f t="shared" si="88"/>
        <v>73</v>
      </c>
      <c r="CD88" s="580">
        <f t="shared" si="88"/>
        <v>73</v>
      </c>
      <c r="CE88" s="563">
        <f t="shared" si="88"/>
        <v>73</v>
      </c>
      <c r="CF88" s="563">
        <f t="shared" si="88"/>
        <v>73</v>
      </c>
      <c r="CG88" s="563">
        <f t="shared" si="88"/>
        <v>73</v>
      </c>
      <c r="CH88" s="563">
        <f t="shared" si="88"/>
        <v>73</v>
      </c>
      <c r="CI88" s="579">
        <f t="shared" si="88"/>
        <v>73</v>
      </c>
      <c r="CJ88" s="563">
        <f t="shared" si="88"/>
        <v>73</v>
      </c>
      <c r="CK88" s="563">
        <f t="shared" si="88"/>
        <v>75</v>
      </c>
      <c r="CL88" s="563">
        <f t="shared" si="88"/>
        <v>77</v>
      </c>
      <c r="CM88" s="563">
        <f t="shared" si="88"/>
        <v>79</v>
      </c>
      <c r="CN88" s="580">
        <f t="shared" si="88"/>
        <v>81</v>
      </c>
      <c r="CO88" s="563">
        <f t="shared" si="88"/>
        <v>83</v>
      </c>
      <c r="CP88" s="563">
        <f t="shared" si="88"/>
        <v>85</v>
      </c>
      <c r="CQ88" s="563">
        <f t="shared" si="88"/>
        <v>87</v>
      </c>
      <c r="CR88" s="563">
        <f t="shared" si="88"/>
        <v>89</v>
      </c>
      <c r="CS88" s="579">
        <f t="shared" si="88"/>
        <v>91</v>
      </c>
      <c r="CT88" s="563">
        <f t="shared" si="88"/>
        <v>93</v>
      </c>
      <c r="CU88" s="563">
        <f t="shared" si="88"/>
        <v>95</v>
      </c>
      <c r="CV88" s="563">
        <f t="shared" si="88"/>
        <v>97</v>
      </c>
      <c r="CW88" s="563">
        <f t="shared" si="88"/>
        <v>99</v>
      </c>
      <c r="CX88" s="563"/>
    </row>
    <row r="89" ht="10.5" customHeight="1">
      <c r="A89" s="543"/>
      <c r="B89" s="563">
        <f t="shared" si="4"/>
        <v>87</v>
      </c>
      <c r="C89" s="563">
        <f t="shared" ref="C89:CW89" si="89">IF(LT(IF(GT(C$2,MIN($B89,99)),C$2,MIN($B89,99)),99-FLOOR(C$2/2,1)),IF(GT(C$2,MIN($B89,99)),C$2,MIN($B89,99))-FLOOR(C$2/2,1),2*IF(GT(C$2,MIN($B89,99)),C$2,MIN($B89,99))-99)</f>
        <v>87</v>
      </c>
      <c r="D89" s="563">
        <f t="shared" si="89"/>
        <v>86</v>
      </c>
      <c r="E89" s="563">
        <f t="shared" si="89"/>
        <v>86</v>
      </c>
      <c r="F89" s="563">
        <f t="shared" si="89"/>
        <v>85</v>
      </c>
      <c r="G89" s="579">
        <f t="shared" si="89"/>
        <v>85</v>
      </c>
      <c r="H89" s="563">
        <f t="shared" si="89"/>
        <v>84</v>
      </c>
      <c r="I89" s="563">
        <f t="shared" si="89"/>
        <v>84</v>
      </c>
      <c r="J89" s="563">
        <f t="shared" si="89"/>
        <v>83</v>
      </c>
      <c r="K89" s="563">
        <f t="shared" si="89"/>
        <v>83</v>
      </c>
      <c r="L89" s="580">
        <f t="shared" si="89"/>
        <v>82</v>
      </c>
      <c r="M89" s="563">
        <f t="shared" si="89"/>
        <v>82</v>
      </c>
      <c r="N89" s="563">
        <f t="shared" si="89"/>
        <v>81</v>
      </c>
      <c r="O89" s="563">
        <f t="shared" si="89"/>
        <v>81</v>
      </c>
      <c r="P89" s="563">
        <f t="shared" si="89"/>
        <v>80</v>
      </c>
      <c r="Q89" s="579">
        <f t="shared" si="89"/>
        <v>80</v>
      </c>
      <c r="R89" s="563">
        <f t="shared" si="89"/>
        <v>79</v>
      </c>
      <c r="S89" s="563">
        <f t="shared" si="89"/>
        <v>79</v>
      </c>
      <c r="T89" s="563">
        <f t="shared" si="89"/>
        <v>78</v>
      </c>
      <c r="U89" s="563">
        <f t="shared" si="89"/>
        <v>78</v>
      </c>
      <c r="V89" s="580">
        <f t="shared" si="89"/>
        <v>77</v>
      </c>
      <c r="W89" s="563">
        <f t="shared" si="89"/>
        <v>77</v>
      </c>
      <c r="X89" s="563">
        <f t="shared" si="89"/>
        <v>76</v>
      </c>
      <c r="Y89" s="563">
        <f t="shared" si="89"/>
        <v>76</v>
      </c>
      <c r="Z89" s="563">
        <f t="shared" si="89"/>
        <v>75</v>
      </c>
      <c r="AA89" s="579">
        <f t="shared" si="89"/>
        <v>75</v>
      </c>
      <c r="AB89" s="563">
        <f t="shared" si="89"/>
        <v>75</v>
      </c>
      <c r="AC89" s="563">
        <f t="shared" si="89"/>
        <v>75</v>
      </c>
      <c r="AD89" s="563">
        <f t="shared" si="89"/>
        <v>75</v>
      </c>
      <c r="AE89" s="563">
        <f t="shared" si="89"/>
        <v>75</v>
      </c>
      <c r="AF89" s="580">
        <f t="shared" si="89"/>
        <v>75</v>
      </c>
      <c r="AG89" s="563">
        <f t="shared" si="89"/>
        <v>75</v>
      </c>
      <c r="AH89" s="563">
        <f t="shared" si="89"/>
        <v>75</v>
      </c>
      <c r="AI89" s="563">
        <f t="shared" si="89"/>
        <v>75</v>
      </c>
      <c r="AJ89" s="563">
        <f t="shared" si="89"/>
        <v>75</v>
      </c>
      <c r="AK89" s="579">
        <f t="shared" si="89"/>
        <v>75</v>
      </c>
      <c r="AL89" s="563">
        <f t="shared" si="89"/>
        <v>75</v>
      </c>
      <c r="AM89" s="563">
        <f t="shared" si="89"/>
        <v>75</v>
      </c>
      <c r="AN89" s="563">
        <f t="shared" si="89"/>
        <v>75</v>
      </c>
      <c r="AO89" s="563">
        <f t="shared" si="89"/>
        <v>75</v>
      </c>
      <c r="AP89" s="580">
        <f t="shared" si="89"/>
        <v>75</v>
      </c>
      <c r="AQ89" s="563">
        <f t="shared" si="89"/>
        <v>75</v>
      </c>
      <c r="AR89" s="563">
        <f t="shared" si="89"/>
        <v>75</v>
      </c>
      <c r="AS89" s="563">
        <f t="shared" si="89"/>
        <v>75</v>
      </c>
      <c r="AT89" s="563">
        <f t="shared" si="89"/>
        <v>75</v>
      </c>
      <c r="AU89" s="579">
        <f t="shared" si="89"/>
        <v>75</v>
      </c>
      <c r="AV89" s="563">
        <f t="shared" si="89"/>
        <v>75</v>
      </c>
      <c r="AW89" s="563">
        <f t="shared" si="89"/>
        <v>75</v>
      </c>
      <c r="AX89" s="563">
        <f t="shared" si="89"/>
        <v>75</v>
      </c>
      <c r="AY89" s="563">
        <f t="shared" si="89"/>
        <v>75</v>
      </c>
      <c r="AZ89" s="580">
        <f t="shared" si="89"/>
        <v>75</v>
      </c>
      <c r="BA89" s="563">
        <f t="shared" si="89"/>
        <v>75</v>
      </c>
      <c r="BB89" s="563">
        <f t="shared" si="89"/>
        <v>75</v>
      </c>
      <c r="BC89" s="563">
        <f t="shared" si="89"/>
        <v>75</v>
      </c>
      <c r="BD89" s="563">
        <f t="shared" si="89"/>
        <v>75</v>
      </c>
      <c r="BE89" s="579">
        <f t="shared" si="89"/>
        <v>75</v>
      </c>
      <c r="BF89" s="563">
        <f t="shared" si="89"/>
        <v>75</v>
      </c>
      <c r="BG89" s="563">
        <f t="shared" si="89"/>
        <v>75</v>
      </c>
      <c r="BH89" s="563">
        <f t="shared" si="89"/>
        <v>75</v>
      </c>
      <c r="BI89" s="563">
        <f t="shared" si="89"/>
        <v>75</v>
      </c>
      <c r="BJ89" s="580">
        <f t="shared" si="89"/>
        <v>75</v>
      </c>
      <c r="BK89" s="563">
        <f t="shared" si="89"/>
        <v>75</v>
      </c>
      <c r="BL89" s="563">
        <f t="shared" si="89"/>
        <v>75</v>
      </c>
      <c r="BM89" s="563">
        <f t="shared" si="89"/>
        <v>75</v>
      </c>
      <c r="BN89" s="563">
        <f t="shared" si="89"/>
        <v>75</v>
      </c>
      <c r="BO89" s="579">
        <f t="shared" si="89"/>
        <v>75</v>
      </c>
      <c r="BP89" s="563">
        <f t="shared" si="89"/>
        <v>75</v>
      </c>
      <c r="BQ89" s="563">
        <f t="shared" si="89"/>
        <v>75</v>
      </c>
      <c r="BR89" s="563">
        <f t="shared" si="89"/>
        <v>75</v>
      </c>
      <c r="BS89" s="563">
        <f t="shared" si="89"/>
        <v>75</v>
      </c>
      <c r="BT89" s="580">
        <f t="shared" si="89"/>
        <v>75</v>
      </c>
      <c r="BU89" s="563">
        <f t="shared" si="89"/>
        <v>75</v>
      </c>
      <c r="BV89" s="563">
        <f t="shared" si="89"/>
        <v>75</v>
      </c>
      <c r="BW89" s="563">
        <f t="shared" si="89"/>
        <v>75</v>
      </c>
      <c r="BX89" s="563">
        <f t="shared" si="89"/>
        <v>75</v>
      </c>
      <c r="BY89" s="579">
        <f t="shared" si="89"/>
        <v>75</v>
      </c>
      <c r="BZ89" s="563">
        <f t="shared" si="89"/>
        <v>75</v>
      </c>
      <c r="CA89" s="563">
        <f t="shared" si="89"/>
        <v>75</v>
      </c>
      <c r="CB89" s="563">
        <f t="shared" si="89"/>
        <v>75</v>
      </c>
      <c r="CC89" s="563">
        <f t="shared" si="89"/>
        <v>75</v>
      </c>
      <c r="CD89" s="580">
        <f t="shared" si="89"/>
        <v>75</v>
      </c>
      <c r="CE89" s="563">
        <f t="shared" si="89"/>
        <v>75</v>
      </c>
      <c r="CF89" s="563">
        <f t="shared" si="89"/>
        <v>75</v>
      </c>
      <c r="CG89" s="563">
        <f t="shared" si="89"/>
        <v>75</v>
      </c>
      <c r="CH89" s="563">
        <f t="shared" si="89"/>
        <v>75</v>
      </c>
      <c r="CI89" s="579">
        <f t="shared" si="89"/>
        <v>75</v>
      </c>
      <c r="CJ89" s="563">
        <f t="shared" si="89"/>
        <v>75</v>
      </c>
      <c r="CK89" s="563">
        <f t="shared" si="89"/>
        <v>75</v>
      </c>
      <c r="CL89" s="563">
        <f t="shared" si="89"/>
        <v>77</v>
      </c>
      <c r="CM89" s="563">
        <f t="shared" si="89"/>
        <v>79</v>
      </c>
      <c r="CN89" s="580">
        <f t="shared" si="89"/>
        <v>81</v>
      </c>
      <c r="CO89" s="563">
        <f t="shared" si="89"/>
        <v>83</v>
      </c>
      <c r="CP89" s="563">
        <f t="shared" si="89"/>
        <v>85</v>
      </c>
      <c r="CQ89" s="563">
        <f t="shared" si="89"/>
        <v>87</v>
      </c>
      <c r="CR89" s="563">
        <f t="shared" si="89"/>
        <v>89</v>
      </c>
      <c r="CS89" s="579">
        <f t="shared" si="89"/>
        <v>91</v>
      </c>
      <c r="CT89" s="563">
        <f t="shared" si="89"/>
        <v>93</v>
      </c>
      <c r="CU89" s="563">
        <f t="shared" si="89"/>
        <v>95</v>
      </c>
      <c r="CV89" s="563">
        <f t="shared" si="89"/>
        <v>97</v>
      </c>
      <c r="CW89" s="563">
        <f t="shared" si="89"/>
        <v>99</v>
      </c>
      <c r="CX89" s="563"/>
    </row>
    <row r="90" ht="10.5" customHeight="1">
      <c r="A90" s="543"/>
      <c r="B90" s="563">
        <f t="shared" si="4"/>
        <v>88</v>
      </c>
      <c r="C90" s="563">
        <f t="shared" ref="C90:CW90" si="90">IF(LT(IF(GT(C$2,MIN($B90,99)),C$2,MIN($B90,99)),99-FLOOR(C$2/2,1)),IF(GT(C$2,MIN($B90,99)),C$2,MIN($B90,99))-FLOOR(C$2/2,1),2*IF(GT(C$2,MIN($B90,99)),C$2,MIN($B90,99))-99)</f>
        <v>88</v>
      </c>
      <c r="D90" s="563">
        <f t="shared" si="90"/>
        <v>87</v>
      </c>
      <c r="E90" s="563">
        <f t="shared" si="90"/>
        <v>87</v>
      </c>
      <c r="F90" s="563">
        <f t="shared" si="90"/>
        <v>86</v>
      </c>
      <c r="G90" s="579">
        <f t="shared" si="90"/>
        <v>86</v>
      </c>
      <c r="H90" s="563">
        <f t="shared" si="90"/>
        <v>85</v>
      </c>
      <c r="I90" s="563">
        <f t="shared" si="90"/>
        <v>85</v>
      </c>
      <c r="J90" s="563">
        <f t="shared" si="90"/>
        <v>84</v>
      </c>
      <c r="K90" s="563">
        <f t="shared" si="90"/>
        <v>84</v>
      </c>
      <c r="L90" s="580">
        <f t="shared" si="90"/>
        <v>83</v>
      </c>
      <c r="M90" s="563">
        <f t="shared" si="90"/>
        <v>83</v>
      </c>
      <c r="N90" s="563">
        <f t="shared" si="90"/>
        <v>82</v>
      </c>
      <c r="O90" s="563">
        <f t="shared" si="90"/>
        <v>82</v>
      </c>
      <c r="P90" s="563">
        <f t="shared" si="90"/>
        <v>81</v>
      </c>
      <c r="Q90" s="579">
        <f t="shared" si="90"/>
        <v>81</v>
      </c>
      <c r="R90" s="563">
        <f t="shared" si="90"/>
        <v>80</v>
      </c>
      <c r="S90" s="563">
        <f t="shared" si="90"/>
        <v>80</v>
      </c>
      <c r="T90" s="563">
        <f t="shared" si="90"/>
        <v>79</v>
      </c>
      <c r="U90" s="563">
        <f t="shared" si="90"/>
        <v>79</v>
      </c>
      <c r="V90" s="580">
        <f t="shared" si="90"/>
        <v>78</v>
      </c>
      <c r="W90" s="563">
        <f t="shared" si="90"/>
        <v>78</v>
      </c>
      <c r="X90" s="563">
        <f t="shared" si="90"/>
        <v>77</v>
      </c>
      <c r="Y90" s="563">
        <f t="shared" si="90"/>
        <v>77</v>
      </c>
      <c r="Z90" s="563">
        <f t="shared" si="90"/>
        <v>77</v>
      </c>
      <c r="AA90" s="579">
        <f t="shared" si="90"/>
        <v>77</v>
      </c>
      <c r="AB90" s="563">
        <f t="shared" si="90"/>
        <v>77</v>
      </c>
      <c r="AC90" s="563">
        <f t="shared" si="90"/>
        <v>77</v>
      </c>
      <c r="AD90" s="563">
        <f t="shared" si="90"/>
        <v>77</v>
      </c>
      <c r="AE90" s="563">
        <f t="shared" si="90"/>
        <v>77</v>
      </c>
      <c r="AF90" s="580">
        <f t="shared" si="90"/>
        <v>77</v>
      </c>
      <c r="AG90" s="563">
        <f t="shared" si="90"/>
        <v>77</v>
      </c>
      <c r="AH90" s="563">
        <f t="shared" si="90"/>
        <v>77</v>
      </c>
      <c r="AI90" s="563">
        <f t="shared" si="90"/>
        <v>77</v>
      </c>
      <c r="AJ90" s="563">
        <f t="shared" si="90"/>
        <v>77</v>
      </c>
      <c r="AK90" s="579">
        <f t="shared" si="90"/>
        <v>77</v>
      </c>
      <c r="AL90" s="563">
        <f t="shared" si="90"/>
        <v>77</v>
      </c>
      <c r="AM90" s="563">
        <f t="shared" si="90"/>
        <v>77</v>
      </c>
      <c r="AN90" s="563">
        <f t="shared" si="90"/>
        <v>77</v>
      </c>
      <c r="AO90" s="563">
        <f t="shared" si="90"/>
        <v>77</v>
      </c>
      <c r="AP90" s="580">
        <f t="shared" si="90"/>
        <v>77</v>
      </c>
      <c r="AQ90" s="563">
        <f t="shared" si="90"/>
        <v>77</v>
      </c>
      <c r="AR90" s="563">
        <f t="shared" si="90"/>
        <v>77</v>
      </c>
      <c r="AS90" s="563">
        <f t="shared" si="90"/>
        <v>77</v>
      </c>
      <c r="AT90" s="563">
        <f t="shared" si="90"/>
        <v>77</v>
      </c>
      <c r="AU90" s="579">
        <f t="shared" si="90"/>
        <v>77</v>
      </c>
      <c r="AV90" s="563">
        <f t="shared" si="90"/>
        <v>77</v>
      </c>
      <c r="AW90" s="563">
        <f t="shared" si="90"/>
        <v>77</v>
      </c>
      <c r="AX90" s="563">
        <f t="shared" si="90"/>
        <v>77</v>
      </c>
      <c r="AY90" s="563">
        <f t="shared" si="90"/>
        <v>77</v>
      </c>
      <c r="AZ90" s="580">
        <f t="shared" si="90"/>
        <v>77</v>
      </c>
      <c r="BA90" s="563">
        <f t="shared" si="90"/>
        <v>77</v>
      </c>
      <c r="BB90" s="563">
        <f t="shared" si="90"/>
        <v>77</v>
      </c>
      <c r="BC90" s="563">
        <f t="shared" si="90"/>
        <v>77</v>
      </c>
      <c r="BD90" s="563">
        <f t="shared" si="90"/>
        <v>77</v>
      </c>
      <c r="BE90" s="579">
        <f t="shared" si="90"/>
        <v>77</v>
      </c>
      <c r="BF90" s="563">
        <f t="shared" si="90"/>
        <v>77</v>
      </c>
      <c r="BG90" s="563">
        <f t="shared" si="90"/>
        <v>77</v>
      </c>
      <c r="BH90" s="563">
        <f t="shared" si="90"/>
        <v>77</v>
      </c>
      <c r="BI90" s="563">
        <f t="shared" si="90"/>
        <v>77</v>
      </c>
      <c r="BJ90" s="580">
        <f t="shared" si="90"/>
        <v>77</v>
      </c>
      <c r="BK90" s="563">
        <f t="shared" si="90"/>
        <v>77</v>
      </c>
      <c r="BL90" s="563">
        <f t="shared" si="90"/>
        <v>77</v>
      </c>
      <c r="BM90" s="563">
        <f t="shared" si="90"/>
        <v>77</v>
      </c>
      <c r="BN90" s="563">
        <f t="shared" si="90"/>
        <v>77</v>
      </c>
      <c r="BO90" s="579">
        <f t="shared" si="90"/>
        <v>77</v>
      </c>
      <c r="BP90" s="563">
        <f t="shared" si="90"/>
        <v>77</v>
      </c>
      <c r="BQ90" s="563">
        <f t="shared" si="90"/>
        <v>77</v>
      </c>
      <c r="BR90" s="563">
        <f t="shared" si="90"/>
        <v>77</v>
      </c>
      <c r="BS90" s="563">
        <f t="shared" si="90"/>
        <v>77</v>
      </c>
      <c r="BT90" s="580">
        <f t="shared" si="90"/>
        <v>77</v>
      </c>
      <c r="BU90" s="563">
        <f t="shared" si="90"/>
        <v>77</v>
      </c>
      <c r="BV90" s="563">
        <f t="shared" si="90"/>
        <v>77</v>
      </c>
      <c r="BW90" s="563">
        <f t="shared" si="90"/>
        <v>77</v>
      </c>
      <c r="BX90" s="563">
        <f t="shared" si="90"/>
        <v>77</v>
      </c>
      <c r="BY90" s="579">
        <f t="shared" si="90"/>
        <v>77</v>
      </c>
      <c r="BZ90" s="563">
        <f t="shared" si="90"/>
        <v>77</v>
      </c>
      <c r="CA90" s="563">
        <f t="shared" si="90"/>
        <v>77</v>
      </c>
      <c r="CB90" s="563">
        <f t="shared" si="90"/>
        <v>77</v>
      </c>
      <c r="CC90" s="563">
        <f t="shared" si="90"/>
        <v>77</v>
      </c>
      <c r="CD90" s="580">
        <f t="shared" si="90"/>
        <v>77</v>
      </c>
      <c r="CE90" s="563">
        <f t="shared" si="90"/>
        <v>77</v>
      </c>
      <c r="CF90" s="563">
        <f t="shared" si="90"/>
        <v>77</v>
      </c>
      <c r="CG90" s="563">
        <f t="shared" si="90"/>
        <v>77</v>
      </c>
      <c r="CH90" s="563">
        <f t="shared" si="90"/>
        <v>77</v>
      </c>
      <c r="CI90" s="579">
        <f t="shared" si="90"/>
        <v>77</v>
      </c>
      <c r="CJ90" s="563">
        <f t="shared" si="90"/>
        <v>77</v>
      </c>
      <c r="CK90" s="563">
        <f t="shared" si="90"/>
        <v>77</v>
      </c>
      <c r="CL90" s="563">
        <f t="shared" si="90"/>
        <v>77</v>
      </c>
      <c r="CM90" s="563">
        <f t="shared" si="90"/>
        <v>79</v>
      </c>
      <c r="CN90" s="580">
        <f t="shared" si="90"/>
        <v>81</v>
      </c>
      <c r="CO90" s="563">
        <f t="shared" si="90"/>
        <v>83</v>
      </c>
      <c r="CP90" s="563">
        <f t="shared" si="90"/>
        <v>85</v>
      </c>
      <c r="CQ90" s="563">
        <f t="shared" si="90"/>
        <v>87</v>
      </c>
      <c r="CR90" s="563">
        <f t="shared" si="90"/>
        <v>89</v>
      </c>
      <c r="CS90" s="579">
        <f t="shared" si="90"/>
        <v>91</v>
      </c>
      <c r="CT90" s="563">
        <f t="shared" si="90"/>
        <v>93</v>
      </c>
      <c r="CU90" s="563">
        <f t="shared" si="90"/>
        <v>95</v>
      </c>
      <c r="CV90" s="563">
        <f t="shared" si="90"/>
        <v>97</v>
      </c>
      <c r="CW90" s="563">
        <f t="shared" si="90"/>
        <v>99</v>
      </c>
      <c r="CX90" s="563"/>
    </row>
    <row r="91" ht="10.5" customHeight="1">
      <c r="A91" s="543"/>
      <c r="B91" s="563">
        <f t="shared" si="4"/>
        <v>89</v>
      </c>
      <c r="C91" s="563">
        <f t="shared" ref="C91:CW91" si="91">IF(LT(IF(GT(C$2,MIN($B91,99)),C$2,MIN($B91,99)),99-FLOOR(C$2/2,1)),IF(GT(C$2,MIN($B91,99)),C$2,MIN($B91,99))-FLOOR(C$2/2,1),2*IF(GT(C$2,MIN($B91,99)),C$2,MIN($B91,99))-99)</f>
        <v>89</v>
      </c>
      <c r="D91" s="563">
        <f t="shared" si="91"/>
        <v>88</v>
      </c>
      <c r="E91" s="563">
        <f t="shared" si="91"/>
        <v>88</v>
      </c>
      <c r="F91" s="563">
        <f t="shared" si="91"/>
        <v>87</v>
      </c>
      <c r="G91" s="579">
        <f t="shared" si="91"/>
        <v>87</v>
      </c>
      <c r="H91" s="563">
        <f t="shared" si="91"/>
        <v>86</v>
      </c>
      <c r="I91" s="563">
        <f t="shared" si="91"/>
        <v>86</v>
      </c>
      <c r="J91" s="563">
        <f t="shared" si="91"/>
        <v>85</v>
      </c>
      <c r="K91" s="563">
        <f t="shared" si="91"/>
        <v>85</v>
      </c>
      <c r="L91" s="580">
        <f t="shared" si="91"/>
        <v>84</v>
      </c>
      <c r="M91" s="563">
        <f t="shared" si="91"/>
        <v>84</v>
      </c>
      <c r="N91" s="563">
        <f t="shared" si="91"/>
        <v>83</v>
      </c>
      <c r="O91" s="563">
        <f t="shared" si="91"/>
        <v>83</v>
      </c>
      <c r="P91" s="563">
        <f t="shared" si="91"/>
        <v>82</v>
      </c>
      <c r="Q91" s="579">
        <f t="shared" si="91"/>
        <v>82</v>
      </c>
      <c r="R91" s="563">
        <f t="shared" si="91"/>
        <v>81</v>
      </c>
      <c r="S91" s="563">
        <f t="shared" si="91"/>
        <v>81</v>
      </c>
      <c r="T91" s="563">
        <f t="shared" si="91"/>
        <v>80</v>
      </c>
      <c r="U91" s="563">
        <f t="shared" si="91"/>
        <v>80</v>
      </c>
      <c r="V91" s="580">
        <f t="shared" si="91"/>
        <v>79</v>
      </c>
      <c r="W91" s="563">
        <f t="shared" si="91"/>
        <v>79</v>
      </c>
      <c r="X91" s="563">
        <f t="shared" si="91"/>
        <v>79</v>
      </c>
      <c r="Y91" s="563">
        <f t="shared" si="91"/>
        <v>79</v>
      </c>
      <c r="Z91" s="563">
        <f t="shared" si="91"/>
        <v>79</v>
      </c>
      <c r="AA91" s="579">
        <f t="shared" si="91"/>
        <v>79</v>
      </c>
      <c r="AB91" s="563">
        <f t="shared" si="91"/>
        <v>79</v>
      </c>
      <c r="AC91" s="563">
        <f t="shared" si="91"/>
        <v>79</v>
      </c>
      <c r="AD91" s="563">
        <f t="shared" si="91"/>
        <v>79</v>
      </c>
      <c r="AE91" s="563">
        <f t="shared" si="91"/>
        <v>79</v>
      </c>
      <c r="AF91" s="580">
        <f t="shared" si="91"/>
        <v>79</v>
      </c>
      <c r="AG91" s="563">
        <f t="shared" si="91"/>
        <v>79</v>
      </c>
      <c r="AH91" s="563">
        <f t="shared" si="91"/>
        <v>79</v>
      </c>
      <c r="AI91" s="563">
        <f t="shared" si="91"/>
        <v>79</v>
      </c>
      <c r="AJ91" s="563">
        <f t="shared" si="91"/>
        <v>79</v>
      </c>
      <c r="AK91" s="579">
        <f t="shared" si="91"/>
        <v>79</v>
      </c>
      <c r="AL91" s="563">
        <f t="shared" si="91"/>
        <v>79</v>
      </c>
      <c r="AM91" s="563">
        <f t="shared" si="91"/>
        <v>79</v>
      </c>
      <c r="AN91" s="563">
        <f t="shared" si="91"/>
        <v>79</v>
      </c>
      <c r="AO91" s="563">
        <f t="shared" si="91"/>
        <v>79</v>
      </c>
      <c r="AP91" s="580">
        <f t="shared" si="91"/>
        <v>79</v>
      </c>
      <c r="AQ91" s="563">
        <f t="shared" si="91"/>
        <v>79</v>
      </c>
      <c r="AR91" s="563">
        <f t="shared" si="91"/>
        <v>79</v>
      </c>
      <c r="AS91" s="563">
        <f t="shared" si="91"/>
        <v>79</v>
      </c>
      <c r="AT91" s="563">
        <f t="shared" si="91"/>
        <v>79</v>
      </c>
      <c r="AU91" s="579">
        <f t="shared" si="91"/>
        <v>79</v>
      </c>
      <c r="AV91" s="563">
        <f t="shared" si="91"/>
        <v>79</v>
      </c>
      <c r="AW91" s="563">
        <f t="shared" si="91"/>
        <v>79</v>
      </c>
      <c r="AX91" s="563">
        <f t="shared" si="91"/>
        <v>79</v>
      </c>
      <c r="AY91" s="563">
        <f t="shared" si="91"/>
        <v>79</v>
      </c>
      <c r="AZ91" s="580">
        <f t="shared" si="91"/>
        <v>79</v>
      </c>
      <c r="BA91" s="563">
        <f t="shared" si="91"/>
        <v>79</v>
      </c>
      <c r="BB91" s="563">
        <f t="shared" si="91"/>
        <v>79</v>
      </c>
      <c r="BC91" s="563">
        <f t="shared" si="91"/>
        <v>79</v>
      </c>
      <c r="BD91" s="563">
        <f t="shared" si="91"/>
        <v>79</v>
      </c>
      <c r="BE91" s="579">
        <f t="shared" si="91"/>
        <v>79</v>
      </c>
      <c r="BF91" s="563">
        <f t="shared" si="91"/>
        <v>79</v>
      </c>
      <c r="BG91" s="563">
        <f t="shared" si="91"/>
        <v>79</v>
      </c>
      <c r="BH91" s="563">
        <f t="shared" si="91"/>
        <v>79</v>
      </c>
      <c r="BI91" s="563">
        <f t="shared" si="91"/>
        <v>79</v>
      </c>
      <c r="BJ91" s="580">
        <f t="shared" si="91"/>
        <v>79</v>
      </c>
      <c r="BK91" s="563">
        <f t="shared" si="91"/>
        <v>79</v>
      </c>
      <c r="BL91" s="563">
        <f t="shared" si="91"/>
        <v>79</v>
      </c>
      <c r="BM91" s="563">
        <f t="shared" si="91"/>
        <v>79</v>
      </c>
      <c r="BN91" s="563">
        <f t="shared" si="91"/>
        <v>79</v>
      </c>
      <c r="BO91" s="579">
        <f t="shared" si="91"/>
        <v>79</v>
      </c>
      <c r="BP91" s="563">
        <f t="shared" si="91"/>
        <v>79</v>
      </c>
      <c r="BQ91" s="563">
        <f t="shared" si="91"/>
        <v>79</v>
      </c>
      <c r="BR91" s="563">
        <f t="shared" si="91"/>
        <v>79</v>
      </c>
      <c r="BS91" s="563">
        <f t="shared" si="91"/>
        <v>79</v>
      </c>
      <c r="BT91" s="580">
        <f t="shared" si="91"/>
        <v>79</v>
      </c>
      <c r="BU91" s="563">
        <f t="shared" si="91"/>
        <v>79</v>
      </c>
      <c r="BV91" s="563">
        <f t="shared" si="91"/>
        <v>79</v>
      </c>
      <c r="BW91" s="563">
        <f t="shared" si="91"/>
        <v>79</v>
      </c>
      <c r="BX91" s="563">
        <f t="shared" si="91"/>
        <v>79</v>
      </c>
      <c r="BY91" s="579">
        <f t="shared" si="91"/>
        <v>79</v>
      </c>
      <c r="BZ91" s="563">
        <f t="shared" si="91"/>
        <v>79</v>
      </c>
      <c r="CA91" s="563">
        <f t="shared" si="91"/>
        <v>79</v>
      </c>
      <c r="CB91" s="563">
        <f t="shared" si="91"/>
        <v>79</v>
      </c>
      <c r="CC91" s="563">
        <f t="shared" si="91"/>
        <v>79</v>
      </c>
      <c r="CD91" s="580">
        <f t="shared" si="91"/>
        <v>79</v>
      </c>
      <c r="CE91" s="563">
        <f t="shared" si="91"/>
        <v>79</v>
      </c>
      <c r="CF91" s="563">
        <f t="shared" si="91"/>
        <v>79</v>
      </c>
      <c r="CG91" s="563">
        <f t="shared" si="91"/>
        <v>79</v>
      </c>
      <c r="CH91" s="563">
        <f t="shared" si="91"/>
        <v>79</v>
      </c>
      <c r="CI91" s="579">
        <f t="shared" si="91"/>
        <v>79</v>
      </c>
      <c r="CJ91" s="563">
        <f t="shared" si="91"/>
        <v>79</v>
      </c>
      <c r="CK91" s="563">
        <f t="shared" si="91"/>
        <v>79</v>
      </c>
      <c r="CL91" s="563">
        <f t="shared" si="91"/>
        <v>79</v>
      </c>
      <c r="CM91" s="563">
        <f t="shared" si="91"/>
        <v>79</v>
      </c>
      <c r="CN91" s="580">
        <f t="shared" si="91"/>
        <v>81</v>
      </c>
      <c r="CO91" s="563">
        <f t="shared" si="91"/>
        <v>83</v>
      </c>
      <c r="CP91" s="563">
        <f t="shared" si="91"/>
        <v>85</v>
      </c>
      <c r="CQ91" s="563">
        <f t="shared" si="91"/>
        <v>87</v>
      </c>
      <c r="CR91" s="563">
        <f t="shared" si="91"/>
        <v>89</v>
      </c>
      <c r="CS91" s="579">
        <f t="shared" si="91"/>
        <v>91</v>
      </c>
      <c r="CT91" s="563">
        <f t="shared" si="91"/>
        <v>93</v>
      </c>
      <c r="CU91" s="563">
        <f t="shared" si="91"/>
        <v>95</v>
      </c>
      <c r="CV91" s="563">
        <f t="shared" si="91"/>
        <v>97</v>
      </c>
      <c r="CW91" s="563">
        <f t="shared" si="91"/>
        <v>99</v>
      </c>
      <c r="CX91" s="563"/>
    </row>
    <row r="92" ht="10.5" customHeight="1">
      <c r="A92" s="543"/>
      <c r="B92" s="563">
        <f t="shared" si="4"/>
        <v>90</v>
      </c>
      <c r="C92" s="682">
        <f t="shared" ref="C92:CW92" si="92">IF(LT(IF(GT(C$2,MIN($B92,99)),C$2,MIN($B92,99)),99-FLOOR(C$2/2,1)),IF(GT(C$2,MIN($B92,99)),C$2,MIN($B92,99))-FLOOR(C$2/2,1),2*IF(GT(C$2,MIN($B92,99)),C$2,MIN($B92,99))-99)</f>
        <v>90</v>
      </c>
      <c r="D92" s="682">
        <f t="shared" si="92"/>
        <v>89</v>
      </c>
      <c r="E92" s="682">
        <f t="shared" si="92"/>
        <v>89</v>
      </c>
      <c r="F92" s="682">
        <f t="shared" si="92"/>
        <v>88</v>
      </c>
      <c r="G92" s="683">
        <f t="shared" si="92"/>
        <v>88</v>
      </c>
      <c r="H92" s="682">
        <f t="shared" si="92"/>
        <v>87</v>
      </c>
      <c r="I92" s="682">
        <f t="shared" si="92"/>
        <v>87</v>
      </c>
      <c r="J92" s="682">
        <f t="shared" si="92"/>
        <v>86</v>
      </c>
      <c r="K92" s="682">
        <f t="shared" si="92"/>
        <v>86</v>
      </c>
      <c r="L92" s="684">
        <f t="shared" si="92"/>
        <v>85</v>
      </c>
      <c r="M92" s="682">
        <f t="shared" si="92"/>
        <v>85</v>
      </c>
      <c r="N92" s="682">
        <f t="shared" si="92"/>
        <v>84</v>
      </c>
      <c r="O92" s="682">
        <f t="shared" si="92"/>
        <v>84</v>
      </c>
      <c r="P92" s="682">
        <f t="shared" si="92"/>
        <v>83</v>
      </c>
      <c r="Q92" s="683">
        <f t="shared" si="92"/>
        <v>83</v>
      </c>
      <c r="R92" s="682">
        <f t="shared" si="92"/>
        <v>82</v>
      </c>
      <c r="S92" s="682">
        <f t="shared" si="92"/>
        <v>82</v>
      </c>
      <c r="T92" s="682">
        <f t="shared" si="92"/>
        <v>81</v>
      </c>
      <c r="U92" s="682">
        <f t="shared" si="92"/>
        <v>81</v>
      </c>
      <c r="V92" s="684">
        <f t="shared" si="92"/>
        <v>81</v>
      </c>
      <c r="W92" s="682">
        <f t="shared" si="92"/>
        <v>81</v>
      </c>
      <c r="X92" s="682">
        <f t="shared" si="92"/>
        <v>81</v>
      </c>
      <c r="Y92" s="682">
        <f t="shared" si="92"/>
        <v>81</v>
      </c>
      <c r="Z92" s="682">
        <f t="shared" si="92"/>
        <v>81</v>
      </c>
      <c r="AA92" s="683">
        <f t="shared" si="92"/>
        <v>81</v>
      </c>
      <c r="AB92" s="682">
        <f t="shared" si="92"/>
        <v>81</v>
      </c>
      <c r="AC92" s="682">
        <f t="shared" si="92"/>
        <v>81</v>
      </c>
      <c r="AD92" s="682">
        <f t="shared" si="92"/>
        <v>81</v>
      </c>
      <c r="AE92" s="682">
        <f t="shared" si="92"/>
        <v>81</v>
      </c>
      <c r="AF92" s="684">
        <f t="shared" si="92"/>
        <v>81</v>
      </c>
      <c r="AG92" s="682">
        <f t="shared" si="92"/>
        <v>81</v>
      </c>
      <c r="AH92" s="682">
        <f t="shared" si="92"/>
        <v>81</v>
      </c>
      <c r="AI92" s="682">
        <f t="shared" si="92"/>
        <v>81</v>
      </c>
      <c r="AJ92" s="682">
        <f t="shared" si="92"/>
        <v>81</v>
      </c>
      <c r="AK92" s="683">
        <f t="shared" si="92"/>
        <v>81</v>
      </c>
      <c r="AL92" s="682">
        <f t="shared" si="92"/>
        <v>81</v>
      </c>
      <c r="AM92" s="682">
        <f t="shared" si="92"/>
        <v>81</v>
      </c>
      <c r="AN92" s="682">
        <f t="shared" si="92"/>
        <v>81</v>
      </c>
      <c r="AO92" s="682">
        <f t="shared" si="92"/>
        <v>81</v>
      </c>
      <c r="AP92" s="684">
        <f t="shared" si="92"/>
        <v>81</v>
      </c>
      <c r="AQ92" s="682">
        <f t="shared" si="92"/>
        <v>81</v>
      </c>
      <c r="AR92" s="682">
        <f t="shared" si="92"/>
        <v>81</v>
      </c>
      <c r="AS92" s="682">
        <f t="shared" si="92"/>
        <v>81</v>
      </c>
      <c r="AT92" s="682">
        <f t="shared" si="92"/>
        <v>81</v>
      </c>
      <c r="AU92" s="683">
        <f t="shared" si="92"/>
        <v>81</v>
      </c>
      <c r="AV92" s="682">
        <f t="shared" si="92"/>
        <v>81</v>
      </c>
      <c r="AW92" s="682">
        <f t="shared" si="92"/>
        <v>81</v>
      </c>
      <c r="AX92" s="682">
        <f t="shared" si="92"/>
        <v>81</v>
      </c>
      <c r="AY92" s="682">
        <f t="shared" si="92"/>
        <v>81</v>
      </c>
      <c r="AZ92" s="684">
        <f t="shared" si="92"/>
        <v>81</v>
      </c>
      <c r="BA92" s="682">
        <f t="shared" si="92"/>
        <v>81</v>
      </c>
      <c r="BB92" s="682">
        <f t="shared" si="92"/>
        <v>81</v>
      </c>
      <c r="BC92" s="682">
        <f t="shared" si="92"/>
        <v>81</v>
      </c>
      <c r="BD92" s="682">
        <f t="shared" si="92"/>
        <v>81</v>
      </c>
      <c r="BE92" s="683">
        <f t="shared" si="92"/>
        <v>81</v>
      </c>
      <c r="BF92" s="682">
        <f t="shared" si="92"/>
        <v>81</v>
      </c>
      <c r="BG92" s="682">
        <f t="shared" si="92"/>
        <v>81</v>
      </c>
      <c r="BH92" s="682">
        <f t="shared" si="92"/>
        <v>81</v>
      </c>
      <c r="BI92" s="682">
        <f t="shared" si="92"/>
        <v>81</v>
      </c>
      <c r="BJ92" s="684">
        <f t="shared" si="92"/>
        <v>81</v>
      </c>
      <c r="BK92" s="682">
        <f t="shared" si="92"/>
        <v>81</v>
      </c>
      <c r="BL92" s="682">
        <f t="shared" si="92"/>
        <v>81</v>
      </c>
      <c r="BM92" s="682">
        <f t="shared" si="92"/>
        <v>81</v>
      </c>
      <c r="BN92" s="682">
        <f t="shared" si="92"/>
        <v>81</v>
      </c>
      <c r="BO92" s="683">
        <f t="shared" si="92"/>
        <v>81</v>
      </c>
      <c r="BP92" s="682">
        <f t="shared" si="92"/>
        <v>81</v>
      </c>
      <c r="BQ92" s="682">
        <f t="shared" si="92"/>
        <v>81</v>
      </c>
      <c r="BR92" s="682">
        <f t="shared" si="92"/>
        <v>81</v>
      </c>
      <c r="BS92" s="682">
        <f t="shared" si="92"/>
        <v>81</v>
      </c>
      <c r="BT92" s="684">
        <f t="shared" si="92"/>
        <v>81</v>
      </c>
      <c r="BU92" s="682">
        <f t="shared" si="92"/>
        <v>81</v>
      </c>
      <c r="BV92" s="682">
        <f t="shared" si="92"/>
        <v>81</v>
      </c>
      <c r="BW92" s="682">
        <f t="shared" si="92"/>
        <v>81</v>
      </c>
      <c r="BX92" s="682">
        <f t="shared" si="92"/>
        <v>81</v>
      </c>
      <c r="BY92" s="683">
        <f t="shared" si="92"/>
        <v>81</v>
      </c>
      <c r="BZ92" s="682">
        <f t="shared" si="92"/>
        <v>81</v>
      </c>
      <c r="CA92" s="682">
        <f t="shared" si="92"/>
        <v>81</v>
      </c>
      <c r="CB92" s="682">
        <f t="shared" si="92"/>
        <v>81</v>
      </c>
      <c r="CC92" s="682">
        <f t="shared" si="92"/>
        <v>81</v>
      </c>
      <c r="CD92" s="684">
        <f t="shared" si="92"/>
        <v>81</v>
      </c>
      <c r="CE92" s="682">
        <f t="shared" si="92"/>
        <v>81</v>
      </c>
      <c r="CF92" s="682">
        <f t="shared" si="92"/>
        <v>81</v>
      </c>
      <c r="CG92" s="682">
        <f t="shared" si="92"/>
        <v>81</v>
      </c>
      <c r="CH92" s="682">
        <f t="shared" si="92"/>
        <v>81</v>
      </c>
      <c r="CI92" s="683">
        <f t="shared" si="92"/>
        <v>81</v>
      </c>
      <c r="CJ92" s="682">
        <f t="shared" si="92"/>
        <v>81</v>
      </c>
      <c r="CK92" s="682">
        <f t="shared" si="92"/>
        <v>81</v>
      </c>
      <c r="CL92" s="682">
        <f t="shared" si="92"/>
        <v>81</v>
      </c>
      <c r="CM92" s="682">
        <f t="shared" si="92"/>
        <v>81</v>
      </c>
      <c r="CN92" s="684">
        <f t="shared" si="92"/>
        <v>81</v>
      </c>
      <c r="CO92" s="682">
        <f t="shared" si="92"/>
        <v>83</v>
      </c>
      <c r="CP92" s="682">
        <f t="shared" si="92"/>
        <v>85</v>
      </c>
      <c r="CQ92" s="682">
        <f t="shared" si="92"/>
        <v>87</v>
      </c>
      <c r="CR92" s="682">
        <f t="shared" si="92"/>
        <v>89</v>
      </c>
      <c r="CS92" s="683">
        <f t="shared" si="92"/>
        <v>91</v>
      </c>
      <c r="CT92" s="682">
        <f t="shared" si="92"/>
        <v>93</v>
      </c>
      <c r="CU92" s="682">
        <f t="shared" si="92"/>
        <v>95</v>
      </c>
      <c r="CV92" s="682">
        <f t="shared" si="92"/>
        <v>97</v>
      </c>
      <c r="CW92" s="682">
        <f t="shared" si="92"/>
        <v>99</v>
      </c>
      <c r="CX92" s="563"/>
    </row>
    <row r="93" ht="10.5" customHeight="1">
      <c r="A93" s="543"/>
      <c r="B93" s="563">
        <f t="shared" si="4"/>
        <v>91</v>
      </c>
      <c r="C93" s="563">
        <f t="shared" ref="C93:CW93" si="93">IF(LT(IF(GT(C$2,MIN($B93,99)),C$2,MIN($B93,99)),99-FLOOR(C$2/2,1)),IF(GT(C$2,MIN($B93,99)),C$2,MIN($B93,99))-FLOOR(C$2/2,1),2*IF(GT(C$2,MIN($B93,99)),C$2,MIN($B93,99))-99)</f>
        <v>91</v>
      </c>
      <c r="D93" s="563">
        <f t="shared" si="93"/>
        <v>90</v>
      </c>
      <c r="E93" s="563">
        <f t="shared" si="93"/>
        <v>90</v>
      </c>
      <c r="F93" s="563">
        <f t="shared" si="93"/>
        <v>89</v>
      </c>
      <c r="G93" s="579">
        <f t="shared" si="93"/>
        <v>89</v>
      </c>
      <c r="H93" s="563">
        <f t="shared" si="93"/>
        <v>88</v>
      </c>
      <c r="I93" s="563">
        <f t="shared" si="93"/>
        <v>88</v>
      </c>
      <c r="J93" s="563">
        <f t="shared" si="93"/>
        <v>87</v>
      </c>
      <c r="K93" s="563">
        <f t="shared" si="93"/>
        <v>87</v>
      </c>
      <c r="L93" s="580">
        <f t="shared" si="93"/>
        <v>86</v>
      </c>
      <c r="M93" s="563">
        <f t="shared" si="93"/>
        <v>86</v>
      </c>
      <c r="N93" s="563">
        <f t="shared" si="93"/>
        <v>85</v>
      </c>
      <c r="O93" s="563">
        <f t="shared" si="93"/>
        <v>85</v>
      </c>
      <c r="P93" s="563">
        <f t="shared" si="93"/>
        <v>84</v>
      </c>
      <c r="Q93" s="579">
        <f t="shared" si="93"/>
        <v>84</v>
      </c>
      <c r="R93" s="563">
        <f t="shared" si="93"/>
        <v>83</v>
      </c>
      <c r="S93" s="563">
        <f t="shared" si="93"/>
        <v>83</v>
      </c>
      <c r="T93" s="563">
        <f t="shared" si="93"/>
        <v>83</v>
      </c>
      <c r="U93" s="563">
        <f t="shared" si="93"/>
        <v>83</v>
      </c>
      <c r="V93" s="580">
        <f t="shared" si="93"/>
        <v>83</v>
      </c>
      <c r="W93" s="563">
        <f t="shared" si="93"/>
        <v>83</v>
      </c>
      <c r="X93" s="563">
        <f t="shared" si="93"/>
        <v>83</v>
      </c>
      <c r="Y93" s="563">
        <f t="shared" si="93"/>
        <v>83</v>
      </c>
      <c r="Z93" s="563">
        <f t="shared" si="93"/>
        <v>83</v>
      </c>
      <c r="AA93" s="579">
        <f t="shared" si="93"/>
        <v>83</v>
      </c>
      <c r="AB93" s="563">
        <f t="shared" si="93"/>
        <v>83</v>
      </c>
      <c r="AC93" s="563">
        <f t="shared" si="93"/>
        <v>83</v>
      </c>
      <c r="AD93" s="563">
        <f t="shared" si="93"/>
        <v>83</v>
      </c>
      <c r="AE93" s="563">
        <f t="shared" si="93"/>
        <v>83</v>
      </c>
      <c r="AF93" s="580">
        <f t="shared" si="93"/>
        <v>83</v>
      </c>
      <c r="AG93" s="563">
        <f t="shared" si="93"/>
        <v>83</v>
      </c>
      <c r="AH93" s="563">
        <f t="shared" si="93"/>
        <v>83</v>
      </c>
      <c r="AI93" s="563">
        <f t="shared" si="93"/>
        <v>83</v>
      </c>
      <c r="AJ93" s="563">
        <f t="shared" si="93"/>
        <v>83</v>
      </c>
      <c r="AK93" s="579">
        <f t="shared" si="93"/>
        <v>83</v>
      </c>
      <c r="AL93" s="563">
        <f t="shared" si="93"/>
        <v>83</v>
      </c>
      <c r="AM93" s="563">
        <f t="shared" si="93"/>
        <v>83</v>
      </c>
      <c r="AN93" s="563">
        <f t="shared" si="93"/>
        <v>83</v>
      </c>
      <c r="AO93" s="563">
        <f t="shared" si="93"/>
        <v>83</v>
      </c>
      <c r="AP93" s="580">
        <f t="shared" si="93"/>
        <v>83</v>
      </c>
      <c r="AQ93" s="563">
        <f t="shared" si="93"/>
        <v>83</v>
      </c>
      <c r="AR93" s="563">
        <f t="shared" si="93"/>
        <v>83</v>
      </c>
      <c r="AS93" s="563">
        <f t="shared" si="93"/>
        <v>83</v>
      </c>
      <c r="AT93" s="563">
        <f t="shared" si="93"/>
        <v>83</v>
      </c>
      <c r="AU93" s="579">
        <f t="shared" si="93"/>
        <v>83</v>
      </c>
      <c r="AV93" s="563">
        <f t="shared" si="93"/>
        <v>83</v>
      </c>
      <c r="AW93" s="563">
        <f t="shared" si="93"/>
        <v>83</v>
      </c>
      <c r="AX93" s="563">
        <f t="shared" si="93"/>
        <v>83</v>
      </c>
      <c r="AY93" s="563">
        <f t="shared" si="93"/>
        <v>83</v>
      </c>
      <c r="AZ93" s="580">
        <f t="shared" si="93"/>
        <v>83</v>
      </c>
      <c r="BA93" s="563">
        <f t="shared" si="93"/>
        <v>83</v>
      </c>
      <c r="BB93" s="563">
        <f t="shared" si="93"/>
        <v>83</v>
      </c>
      <c r="BC93" s="563">
        <f t="shared" si="93"/>
        <v>83</v>
      </c>
      <c r="BD93" s="563">
        <f t="shared" si="93"/>
        <v>83</v>
      </c>
      <c r="BE93" s="579">
        <f t="shared" si="93"/>
        <v>83</v>
      </c>
      <c r="BF93" s="563">
        <f t="shared" si="93"/>
        <v>83</v>
      </c>
      <c r="BG93" s="563">
        <f t="shared" si="93"/>
        <v>83</v>
      </c>
      <c r="BH93" s="563">
        <f t="shared" si="93"/>
        <v>83</v>
      </c>
      <c r="BI93" s="563">
        <f t="shared" si="93"/>
        <v>83</v>
      </c>
      <c r="BJ93" s="580">
        <f t="shared" si="93"/>
        <v>83</v>
      </c>
      <c r="BK93" s="563">
        <f t="shared" si="93"/>
        <v>83</v>
      </c>
      <c r="BL93" s="563">
        <f t="shared" si="93"/>
        <v>83</v>
      </c>
      <c r="BM93" s="563">
        <f t="shared" si="93"/>
        <v>83</v>
      </c>
      <c r="BN93" s="563">
        <f t="shared" si="93"/>
        <v>83</v>
      </c>
      <c r="BO93" s="579">
        <f t="shared" si="93"/>
        <v>83</v>
      </c>
      <c r="BP93" s="563">
        <f t="shared" si="93"/>
        <v>83</v>
      </c>
      <c r="BQ93" s="563">
        <f t="shared" si="93"/>
        <v>83</v>
      </c>
      <c r="BR93" s="563">
        <f t="shared" si="93"/>
        <v>83</v>
      </c>
      <c r="BS93" s="563">
        <f t="shared" si="93"/>
        <v>83</v>
      </c>
      <c r="BT93" s="580">
        <f t="shared" si="93"/>
        <v>83</v>
      </c>
      <c r="BU93" s="563">
        <f t="shared" si="93"/>
        <v>83</v>
      </c>
      <c r="BV93" s="563">
        <f t="shared" si="93"/>
        <v>83</v>
      </c>
      <c r="BW93" s="563">
        <f t="shared" si="93"/>
        <v>83</v>
      </c>
      <c r="BX93" s="563">
        <f t="shared" si="93"/>
        <v>83</v>
      </c>
      <c r="BY93" s="579">
        <f t="shared" si="93"/>
        <v>83</v>
      </c>
      <c r="BZ93" s="563">
        <f t="shared" si="93"/>
        <v>83</v>
      </c>
      <c r="CA93" s="563">
        <f t="shared" si="93"/>
        <v>83</v>
      </c>
      <c r="CB93" s="563">
        <f t="shared" si="93"/>
        <v>83</v>
      </c>
      <c r="CC93" s="563">
        <f t="shared" si="93"/>
        <v>83</v>
      </c>
      <c r="CD93" s="580">
        <f t="shared" si="93"/>
        <v>83</v>
      </c>
      <c r="CE93" s="563">
        <f t="shared" si="93"/>
        <v>83</v>
      </c>
      <c r="CF93" s="563">
        <f t="shared" si="93"/>
        <v>83</v>
      </c>
      <c r="CG93" s="563">
        <f t="shared" si="93"/>
        <v>83</v>
      </c>
      <c r="CH93" s="563">
        <f t="shared" si="93"/>
        <v>83</v>
      </c>
      <c r="CI93" s="579">
        <f t="shared" si="93"/>
        <v>83</v>
      </c>
      <c r="CJ93" s="563">
        <f t="shared" si="93"/>
        <v>83</v>
      </c>
      <c r="CK93" s="563">
        <f t="shared" si="93"/>
        <v>83</v>
      </c>
      <c r="CL93" s="563">
        <f t="shared" si="93"/>
        <v>83</v>
      </c>
      <c r="CM93" s="563">
        <f t="shared" si="93"/>
        <v>83</v>
      </c>
      <c r="CN93" s="580">
        <f t="shared" si="93"/>
        <v>83</v>
      </c>
      <c r="CO93" s="563">
        <f t="shared" si="93"/>
        <v>83</v>
      </c>
      <c r="CP93" s="563">
        <f t="shared" si="93"/>
        <v>85</v>
      </c>
      <c r="CQ93" s="563">
        <f t="shared" si="93"/>
        <v>87</v>
      </c>
      <c r="CR93" s="563">
        <f t="shared" si="93"/>
        <v>89</v>
      </c>
      <c r="CS93" s="579">
        <f t="shared" si="93"/>
        <v>91</v>
      </c>
      <c r="CT93" s="563">
        <f t="shared" si="93"/>
        <v>93</v>
      </c>
      <c r="CU93" s="563">
        <f t="shared" si="93"/>
        <v>95</v>
      </c>
      <c r="CV93" s="563">
        <f t="shared" si="93"/>
        <v>97</v>
      </c>
      <c r="CW93" s="563">
        <f t="shared" si="93"/>
        <v>99</v>
      </c>
      <c r="CX93" s="563"/>
    </row>
    <row r="94" ht="10.5" customHeight="1">
      <c r="A94" s="543"/>
      <c r="B94" s="563">
        <f t="shared" si="4"/>
        <v>92</v>
      </c>
      <c r="C94" s="563">
        <f t="shared" ref="C94:CW94" si="94">IF(LT(IF(GT(C$2,MIN($B94,99)),C$2,MIN($B94,99)),99-FLOOR(C$2/2,1)),IF(GT(C$2,MIN($B94,99)),C$2,MIN($B94,99))-FLOOR(C$2/2,1),2*IF(GT(C$2,MIN($B94,99)),C$2,MIN($B94,99))-99)</f>
        <v>92</v>
      </c>
      <c r="D94" s="563">
        <f t="shared" si="94"/>
        <v>91</v>
      </c>
      <c r="E94" s="563">
        <f t="shared" si="94"/>
        <v>91</v>
      </c>
      <c r="F94" s="563">
        <f t="shared" si="94"/>
        <v>90</v>
      </c>
      <c r="G94" s="579">
        <f t="shared" si="94"/>
        <v>90</v>
      </c>
      <c r="H94" s="563">
        <f t="shared" si="94"/>
        <v>89</v>
      </c>
      <c r="I94" s="563">
        <f t="shared" si="94"/>
        <v>89</v>
      </c>
      <c r="J94" s="563">
        <f t="shared" si="94"/>
        <v>88</v>
      </c>
      <c r="K94" s="563">
        <f t="shared" si="94"/>
        <v>88</v>
      </c>
      <c r="L94" s="580">
        <f t="shared" si="94"/>
        <v>87</v>
      </c>
      <c r="M94" s="563">
        <f t="shared" si="94"/>
        <v>87</v>
      </c>
      <c r="N94" s="563">
        <f t="shared" si="94"/>
        <v>86</v>
      </c>
      <c r="O94" s="563">
        <f t="shared" si="94"/>
        <v>86</v>
      </c>
      <c r="P94" s="563">
        <f t="shared" si="94"/>
        <v>85</v>
      </c>
      <c r="Q94" s="579">
        <f t="shared" si="94"/>
        <v>85</v>
      </c>
      <c r="R94" s="563">
        <f t="shared" si="94"/>
        <v>85</v>
      </c>
      <c r="S94" s="563">
        <f t="shared" si="94"/>
        <v>85</v>
      </c>
      <c r="T94" s="563">
        <f t="shared" si="94"/>
        <v>85</v>
      </c>
      <c r="U94" s="563">
        <f t="shared" si="94"/>
        <v>85</v>
      </c>
      <c r="V94" s="580">
        <f t="shared" si="94"/>
        <v>85</v>
      </c>
      <c r="W94" s="563">
        <f t="shared" si="94"/>
        <v>85</v>
      </c>
      <c r="X94" s="563">
        <f t="shared" si="94"/>
        <v>85</v>
      </c>
      <c r="Y94" s="563">
        <f t="shared" si="94"/>
        <v>85</v>
      </c>
      <c r="Z94" s="563">
        <f t="shared" si="94"/>
        <v>85</v>
      </c>
      <c r="AA94" s="579">
        <f t="shared" si="94"/>
        <v>85</v>
      </c>
      <c r="AB94" s="563">
        <f t="shared" si="94"/>
        <v>85</v>
      </c>
      <c r="AC94" s="563">
        <f t="shared" si="94"/>
        <v>85</v>
      </c>
      <c r="AD94" s="563">
        <f t="shared" si="94"/>
        <v>85</v>
      </c>
      <c r="AE94" s="563">
        <f t="shared" si="94"/>
        <v>85</v>
      </c>
      <c r="AF94" s="580">
        <f t="shared" si="94"/>
        <v>85</v>
      </c>
      <c r="AG94" s="563">
        <f t="shared" si="94"/>
        <v>85</v>
      </c>
      <c r="AH94" s="563">
        <f t="shared" si="94"/>
        <v>85</v>
      </c>
      <c r="AI94" s="563">
        <f t="shared" si="94"/>
        <v>85</v>
      </c>
      <c r="AJ94" s="563">
        <f t="shared" si="94"/>
        <v>85</v>
      </c>
      <c r="AK94" s="579">
        <f t="shared" si="94"/>
        <v>85</v>
      </c>
      <c r="AL94" s="563">
        <f t="shared" si="94"/>
        <v>85</v>
      </c>
      <c r="AM94" s="563">
        <f t="shared" si="94"/>
        <v>85</v>
      </c>
      <c r="AN94" s="563">
        <f t="shared" si="94"/>
        <v>85</v>
      </c>
      <c r="AO94" s="563">
        <f t="shared" si="94"/>
        <v>85</v>
      </c>
      <c r="AP94" s="580">
        <f t="shared" si="94"/>
        <v>85</v>
      </c>
      <c r="AQ94" s="563">
        <f t="shared" si="94"/>
        <v>85</v>
      </c>
      <c r="AR94" s="563">
        <f t="shared" si="94"/>
        <v>85</v>
      </c>
      <c r="AS94" s="563">
        <f t="shared" si="94"/>
        <v>85</v>
      </c>
      <c r="AT94" s="563">
        <f t="shared" si="94"/>
        <v>85</v>
      </c>
      <c r="AU94" s="579">
        <f t="shared" si="94"/>
        <v>85</v>
      </c>
      <c r="AV94" s="563">
        <f t="shared" si="94"/>
        <v>85</v>
      </c>
      <c r="AW94" s="563">
        <f t="shared" si="94"/>
        <v>85</v>
      </c>
      <c r="AX94" s="563">
        <f t="shared" si="94"/>
        <v>85</v>
      </c>
      <c r="AY94" s="563">
        <f t="shared" si="94"/>
        <v>85</v>
      </c>
      <c r="AZ94" s="580">
        <f t="shared" si="94"/>
        <v>85</v>
      </c>
      <c r="BA94" s="563">
        <f t="shared" si="94"/>
        <v>85</v>
      </c>
      <c r="BB94" s="563">
        <f t="shared" si="94"/>
        <v>85</v>
      </c>
      <c r="BC94" s="563">
        <f t="shared" si="94"/>
        <v>85</v>
      </c>
      <c r="BD94" s="563">
        <f t="shared" si="94"/>
        <v>85</v>
      </c>
      <c r="BE94" s="579">
        <f t="shared" si="94"/>
        <v>85</v>
      </c>
      <c r="BF94" s="563">
        <f t="shared" si="94"/>
        <v>85</v>
      </c>
      <c r="BG94" s="563">
        <f t="shared" si="94"/>
        <v>85</v>
      </c>
      <c r="BH94" s="563">
        <f t="shared" si="94"/>
        <v>85</v>
      </c>
      <c r="BI94" s="563">
        <f t="shared" si="94"/>
        <v>85</v>
      </c>
      <c r="BJ94" s="580">
        <f t="shared" si="94"/>
        <v>85</v>
      </c>
      <c r="BK94" s="563">
        <f t="shared" si="94"/>
        <v>85</v>
      </c>
      <c r="BL94" s="563">
        <f t="shared" si="94"/>
        <v>85</v>
      </c>
      <c r="BM94" s="563">
        <f t="shared" si="94"/>
        <v>85</v>
      </c>
      <c r="BN94" s="563">
        <f t="shared" si="94"/>
        <v>85</v>
      </c>
      <c r="BO94" s="579">
        <f t="shared" si="94"/>
        <v>85</v>
      </c>
      <c r="BP94" s="563">
        <f t="shared" si="94"/>
        <v>85</v>
      </c>
      <c r="BQ94" s="563">
        <f t="shared" si="94"/>
        <v>85</v>
      </c>
      <c r="BR94" s="563">
        <f t="shared" si="94"/>
        <v>85</v>
      </c>
      <c r="BS94" s="563">
        <f t="shared" si="94"/>
        <v>85</v>
      </c>
      <c r="BT94" s="580">
        <f t="shared" si="94"/>
        <v>85</v>
      </c>
      <c r="BU94" s="563">
        <f t="shared" si="94"/>
        <v>85</v>
      </c>
      <c r="BV94" s="563">
        <f t="shared" si="94"/>
        <v>85</v>
      </c>
      <c r="BW94" s="563">
        <f t="shared" si="94"/>
        <v>85</v>
      </c>
      <c r="BX94" s="563">
        <f t="shared" si="94"/>
        <v>85</v>
      </c>
      <c r="BY94" s="579">
        <f t="shared" si="94"/>
        <v>85</v>
      </c>
      <c r="BZ94" s="563">
        <f t="shared" si="94"/>
        <v>85</v>
      </c>
      <c r="CA94" s="563">
        <f t="shared" si="94"/>
        <v>85</v>
      </c>
      <c r="CB94" s="563">
        <f t="shared" si="94"/>
        <v>85</v>
      </c>
      <c r="CC94" s="563">
        <f t="shared" si="94"/>
        <v>85</v>
      </c>
      <c r="CD94" s="580">
        <f t="shared" si="94"/>
        <v>85</v>
      </c>
      <c r="CE94" s="563">
        <f t="shared" si="94"/>
        <v>85</v>
      </c>
      <c r="CF94" s="563">
        <f t="shared" si="94"/>
        <v>85</v>
      </c>
      <c r="CG94" s="563">
        <f t="shared" si="94"/>
        <v>85</v>
      </c>
      <c r="CH94" s="563">
        <f t="shared" si="94"/>
        <v>85</v>
      </c>
      <c r="CI94" s="579">
        <f t="shared" si="94"/>
        <v>85</v>
      </c>
      <c r="CJ94" s="563">
        <f t="shared" si="94"/>
        <v>85</v>
      </c>
      <c r="CK94" s="563">
        <f t="shared" si="94"/>
        <v>85</v>
      </c>
      <c r="CL94" s="563">
        <f t="shared" si="94"/>
        <v>85</v>
      </c>
      <c r="CM94" s="563">
        <f t="shared" si="94"/>
        <v>85</v>
      </c>
      <c r="CN94" s="580">
        <f t="shared" si="94"/>
        <v>85</v>
      </c>
      <c r="CO94" s="563">
        <f t="shared" si="94"/>
        <v>85</v>
      </c>
      <c r="CP94" s="563">
        <f t="shared" si="94"/>
        <v>85</v>
      </c>
      <c r="CQ94" s="563">
        <f t="shared" si="94"/>
        <v>87</v>
      </c>
      <c r="CR94" s="563">
        <f t="shared" si="94"/>
        <v>89</v>
      </c>
      <c r="CS94" s="579">
        <f t="shared" si="94"/>
        <v>91</v>
      </c>
      <c r="CT94" s="563">
        <f t="shared" si="94"/>
        <v>93</v>
      </c>
      <c r="CU94" s="563">
        <f t="shared" si="94"/>
        <v>95</v>
      </c>
      <c r="CV94" s="563">
        <f t="shared" si="94"/>
        <v>97</v>
      </c>
      <c r="CW94" s="563">
        <f t="shared" si="94"/>
        <v>99</v>
      </c>
      <c r="CX94" s="563"/>
    </row>
    <row r="95" ht="10.5" customHeight="1">
      <c r="A95" s="543"/>
      <c r="B95" s="563">
        <f t="shared" si="4"/>
        <v>93</v>
      </c>
      <c r="C95" s="563">
        <f t="shared" ref="C95:CW95" si="95">IF(LT(IF(GT(C$2,MIN($B95,99)),C$2,MIN($B95,99)),99-FLOOR(C$2/2,1)),IF(GT(C$2,MIN($B95,99)),C$2,MIN($B95,99))-FLOOR(C$2/2,1),2*IF(GT(C$2,MIN($B95,99)),C$2,MIN($B95,99))-99)</f>
        <v>93</v>
      </c>
      <c r="D95" s="563">
        <f t="shared" si="95"/>
        <v>92</v>
      </c>
      <c r="E95" s="563">
        <f t="shared" si="95"/>
        <v>92</v>
      </c>
      <c r="F95" s="563">
        <f t="shared" si="95"/>
        <v>91</v>
      </c>
      <c r="G95" s="579">
        <f t="shared" si="95"/>
        <v>91</v>
      </c>
      <c r="H95" s="563">
        <f t="shared" si="95"/>
        <v>90</v>
      </c>
      <c r="I95" s="563">
        <f t="shared" si="95"/>
        <v>90</v>
      </c>
      <c r="J95" s="563">
        <f t="shared" si="95"/>
        <v>89</v>
      </c>
      <c r="K95" s="563">
        <f t="shared" si="95"/>
        <v>89</v>
      </c>
      <c r="L95" s="580">
        <f t="shared" si="95"/>
        <v>88</v>
      </c>
      <c r="M95" s="563">
        <f t="shared" si="95"/>
        <v>88</v>
      </c>
      <c r="N95" s="563">
        <f t="shared" si="95"/>
        <v>87</v>
      </c>
      <c r="O95" s="563">
        <f t="shared" si="95"/>
        <v>87</v>
      </c>
      <c r="P95" s="563">
        <f t="shared" si="95"/>
        <v>87</v>
      </c>
      <c r="Q95" s="579">
        <f t="shared" si="95"/>
        <v>87</v>
      </c>
      <c r="R95" s="563">
        <f t="shared" si="95"/>
        <v>87</v>
      </c>
      <c r="S95" s="563">
        <f t="shared" si="95"/>
        <v>87</v>
      </c>
      <c r="T95" s="563">
        <f t="shared" si="95"/>
        <v>87</v>
      </c>
      <c r="U95" s="563">
        <f t="shared" si="95"/>
        <v>87</v>
      </c>
      <c r="V95" s="580">
        <f t="shared" si="95"/>
        <v>87</v>
      </c>
      <c r="W95" s="563">
        <f t="shared" si="95"/>
        <v>87</v>
      </c>
      <c r="X95" s="563">
        <f t="shared" si="95"/>
        <v>87</v>
      </c>
      <c r="Y95" s="563">
        <f t="shared" si="95"/>
        <v>87</v>
      </c>
      <c r="Z95" s="563">
        <f t="shared" si="95"/>
        <v>87</v>
      </c>
      <c r="AA95" s="579">
        <f t="shared" si="95"/>
        <v>87</v>
      </c>
      <c r="AB95" s="563">
        <f t="shared" si="95"/>
        <v>87</v>
      </c>
      <c r="AC95" s="563">
        <f t="shared" si="95"/>
        <v>87</v>
      </c>
      <c r="AD95" s="563">
        <f t="shared" si="95"/>
        <v>87</v>
      </c>
      <c r="AE95" s="563">
        <f t="shared" si="95"/>
        <v>87</v>
      </c>
      <c r="AF95" s="580">
        <f t="shared" si="95"/>
        <v>87</v>
      </c>
      <c r="AG95" s="563">
        <f t="shared" si="95"/>
        <v>87</v>
      </c>
      <c r="AH95" s="563">
        <f t="shared" si="95"/>
        <v>87</v>
      </c>
      <c r="AI95" s="563">
        <f t="shared" si="95"/>
        <v>87</v>
      </c>
      <c r="AJ95" s="563">
        <f t="shared" si="95"/>
        <v>87</v>
      </c>
      <c r="AK95" s="579">
        <f t="shared" si="95"/>
        <v>87</v>
      </c>
      <c r="AL95" s="563">
        <f t="shared" si="95"/>
        <v>87</v>
      </c>
      <c r="AM95" s="563">
        <f t="shared" si="95"/>
        <v>87</v>
      </c>
      <c r="AN95" s="563">
        <f t="shared" si="95"/>
        <v>87</v>
      </c>
      <c r="AO95" s="563">
        <f t="shared" si="95"/>
        <v>87</v>
      </c>
      <c r="AP95" s="580">
        <f t="shared" si="95"/>
        <v>87</v>
      </c>
      <c r="AQ95" s="563">
        <f t="shared" si="95"/>
        <v>87</v>
      </c>
      <c r="AR95" s="563">
        <f t="shared" si="95"/>
        <v>87</v>
      </c>
      <c r="AS95" s="563">
        <f t="shared" si="95"/>
        <v>87</v>
      </c>
      <c r="AT95" s="563">
        <f t="shared" si="95"/>
        <v>87</v>
      </c>
      <c r="AU95" s="579">
        <f t="shared" si="95"/>
        <v>87</v>
      </c>
      <c r="AV95" s="563">
        <f t="shared" si="95"/>
        <v>87</v>
      </c>
      <c r="AW95" s="563">
        <f t="shared" si="95"/>
        <v>87</v>
      </c>
      <c r="AX95" s="563">
        <f t="shared" si="95"/>
        <v>87</v>
      </c>
      <c r="AY95" s="563">
        <f t="shared" si="95"/>
        <v>87</v>
      </c>
      <c r="AZ95" s="580">
        <f t="shared" si="95"/>
        <v>87</v>
      </c>
      <c r="BA95" s="563">
        <f t="shared" si="95"/>
        <v>87</v>
      </c>
      <c r="BB95" s="563">
        <f t="shared" si="95"/>
        <v>87</v>
      </c>
      <c r="BC95" s="563">
        <f t="shared" si="95"/>
        <v>87</v>
      </c>
      <c r="BD95" s="563">
        <f t="shared" si="95"/>
        <v>87</v>
      </c>
      <c r="BE95" s="579">
        <f t="shared" si="95"/>
        <v>87</v>
      </c>
      <c r="BF95" s="563">
        <f t="shared" si="95"/>
        <v>87</v>
      </c>
      <c r="BG95" s="563">
        <f t="shared" si="95"/>
        <v>87</v>
      </c>
      <c r="BH95" s="563">
        <f t="shared" si="95"/>
        <v>87</v>
      </c>
      <c r="BI95" s="563">
        <f t="shared" si="95"/>
        <v>87</v>
      </c>
      <c r="BJ95" s="580">
        <f t="shared" si="95"/>
        <v>87</v>
      </c>
      <c r="BK95" s="563">
        <f t="shared" si="95"/>
        <v>87</v>
      </c>
      <c r="BL95" s="563">
        <f t="shared" si="95"/>
        <v>87</v>
      </c>
      <c r="BM95" s="563">
        <f t="shared" si="95"/>
        <v>87</v>
      </c>
      <c r="BN95" s="563">
        <f t="shared" si="95"/>
        <v>87</v>
      </c>
      <c r="BO95" s="579">
        <f t="shared" si="95"/>
        <v>87</v>
      </c>
      <c r="BP95" s="563">
        <f t="shared" si="95"/>
        <v>87</v>
      </c>
      <c r="BQ95" s="563">
        <f t="shared" si="95"/>
        <v>87</v>
      </c>
      <c r="BR95" s="563">
        <f t="shared" si="95"/>
        <v>87</v>
      </c>
      <c r="BS95" s="563">
        <f t="shared" si="95"/>
        <v>87</v>
      </c>
      <c r="BT95" s="580">
        <f t="shared" si="95"/>
        <v>87</v>
      </c>
      <c r="BU95" s="563">
        <f t="shared" si="95"/>
        <v>87</v>
      </c>
      <c r="BV95" s="563">
        <f t="shared" si="95"/>
        <v>87</v>
      </c>
      <c r="BW95" s="563">
        <f t="shared" si="95"/>
        <v>87</v>
      </c>
      <c r="BX95" s="563">
        <f t="shared" si="95"/>
        <v>87</v>
      </c>
      <c r="BY95" s="579">
        <f t="shared" si="95"/>
        <v>87</v>
      </c>
      <c r="BZ95" s="563">
        <f t="shared" si="95"/>
        <v>87</v>
      </c>
      <c r="CA95" s="563">
        <f t="shared" si="95"/>
        <v>87</v>
      </c>
      <c r="CB95" s="563">
        <f t="shared" si="95"/>
        <v>87</v>
      </c>
      <c r="CC95" s="563">
        <f t="shared" si="95"/>
        <v>87</v>
      </c>
      <c r="CD95" s="580">
        <f t="shared" si="95"/>
        <v>87</v>
      </c>
      <c r="CE95" s="563">
        <f t="shared" si="95"/>
        <v>87</v>
      </c>
      <c r="CF95" s="563">
        <f t="shared" si="95"/>
        <v>87</v>
      </c>
      <c r="CG95" s="563">
        <f t="shared" si="95"/>
        <v>87</v>
      </c>
      <c r="CH95" s="563">
        <f t="shared" si="95"/>
        <v>87</v>
      </c>
      <c r="CI95" s="579">
        <f t="shared" si="95"/>
        <v>87</v>
      </c>
      <c r="CJ95" s="563">
        <f t="shared" si="95"/>
        <v>87</v>
      </c>
      <c r="CK95" s="563">
        <f t="shared" si="95"/>
        <v>87</v>
      </c>
      <c r="CL95" s="563">
        <f t="shared" si="95"/>
        <v>87</v>
      </c>
      <c r="CM95" s="563">
        <f t="shared" si="95"/>
        <v>87</v>
      </c>
      <c r="CN95" s="580">
        <f t="shared" si="95"/>
        <v>87</v>
      </c>
      <c r="CO95" s="563">
        <f t="shared" si="95"/>
        <v>87</v>
      </c>
      <c r="CP95" s="563">
        <f t="shared" si="95"/>
        <v>87</v>
      </c>
      <c r="CQ95" s="563">
        <f t="shared" si="95"/>
        <v>87</v>
      </c>
      <c r="CR95" s="563">
        <f t="shared" si="95"/>
        <v>89</v>
      </c>
      <c r="CS95" s="579">
        <f t="shared" si="95"/>
        <v>91</v>
      </c>
      <c r="CT95" s="563">
        <f t="shared" si="95"/>
        <v>93</v>
      </c>
      <c r="CU95" s="563">
        <f t="shared" si="95"/>
        <v>95</v>
      </c>
      <c r="CV95" s="563">
        <f t="shared" si="95"/>
        <v>97</v>
      </c>
      <c r="CW95" s="563">
        <f t="shared" si="95"/>
        <v>99</v>
      </c>
      <c r="CX95" s="563"/>
    </row>
    <row r="96" ht="10.5" customHeight="1">
      <c r="A96" s="543"/>
      <c r="B96" s="563">
        <f t="shared" si="4"/>
        <v>94</v>
      </c>
      <c r="C96" s="563">
        <f t="shared" ref="C96:CW96" si="96">IF(LT(IF(GT(C$2,MIN($B96,99)),C$2,MIN($B96,99)),99-FLOOR(C$2/2,1)),IF(GT(C$2,MIN($B96,99)),C$2,MIN($B96,99))-FLOOR(C$2/2,1),2*IF(GT(C$2,MIN($B96,99)),C$2,MIN($B96,99))-99)</f>
        <v>94</v>
      </c>
      <c r="D96" s="563">
        <f t="shared" si="96"/>
        <v>93</v>
      </c>
      <c r="E96" s="563">
        <f t="shared" si="96"/>
        <v>93</v>
      </c>
      <c r="F96" s="563">
        <f t="shared" si="96"/>
        <v>92</v>
      </c>
      <c r="G96" s="579">
        <f t="shared" si="96"/>
        <v>92</v>
      </c>
      <c r="H96" s="563">
        <f t="shared" si="96"/>
        <v>91</v>
      </c>
      <c r="I96" s="563">
        <f t="shared" si="96"/>
        <v>91</v>
      </c>
      <c r="J96" s="563">
        <f t="shared" si="96"/>
        <v>90</v>
      </c>
      <c r="K96" s="563">
        <f t="shared" si="96"/>
        <v>90</v>
      </c>
      <c r="L96" s="580">
        <f t="shared" si="96"/>
        <v>89</v>
      </c>
      <c r="M96" s="563">
        <f t="shared" si="96"/>
        <v>89</v>
      </c>
      <c r="N96" s="563">
        <f t="shared" si="96"/>
        <v>89</v>
      </c>
      <c r="O96" s="563">
        <f t="shared" si="96"/>
        <v>89</v>
      </c>
      <c r="P96" s="563">
        <f t="shared" si="96"/>
        <v>89</v>
      </c>
      <c r="Q96" s="579">
        <f t="shared" si="96"/>
        <v>89</v>
      </c>
      <c r="R96" s="563">
        <f t="shared" si="96"/>
        <v>89</v>
      </c>
      <c r="S96" s="563">
        <f t="shared" si="96"/>
        <v>89</v>
      </c>
      <c r="T96" s="563">
        <f t="shared" si="96"/>
        <v>89</v>
      </c>
      <c r="U96" s="563">
        <f t="shared" si="96"/>
        <v>89</v>
      </c>
      <c r="V96" s="580">
        <f t="shared" si="96"/>
        <v>89</v>
      </c>
      <c r="W96" s="563">
        <f t="shared" si="96"/>
        <v>89</v>
      </c>
      <c r="X96" s="563">
        <f t="shared" si="96"/>
        <v>89</v>
      </c>
      <c r="Y96" s="563">
        <f t="shared" si="96"/>
        <v>89</v>
      </c>
      <c r="Z96" s="563">
        <f t="shared" si="96"/>
        <v>89</v>
      </c>
      <c r="AA96" s="579">
        <f t="shared" si="96"/>
        <v>89</v>
      </c>
      <c r="AB96" s="563">
        <f t="shared" si="96"/>
        <v>89</v>
      </c>
      <c r="AC96" s="563">
        <f t="shared" si="96"/>
        <v>89</v>
      </c>
      <c r="AD96" s="563">
        <f t="shared" si="96"/>
        <v>89</v>
      </c>
      <c r="AE96" s="563">
        <f t="shared" si="96"/>
        <v>89</v>
      </c>
      <c r="AF96" s="580">
        <f t="shared" si="96"/>
        <v>89</v>
      </c>
      <c r="AG96" s="563">
        <f t="shared" si="96"/>
        <v>89</v>
      </c>
      <c r="AH96" s="563">
        <f t="shared" si="96"/>
        <v>89</v>
      </c>
      <c r="AI96" s="563">
        <f t="shared" si="96"/>
        <v>89</v>
      </c>
      <c r="AJ96" s="563">
        <f t="shared" si="96"/>
        <v>89</v>
      </c>
      <c r="AK96" s="579">
        <f t="shared" si="96"/>
        <v>89</v>
      </c>
      <c r="AL96" s="563">
        <f t="shared" si="96"/>
        <v>89</v>
      </c>
      <c r="AM96" s="563">
        <f t="shared" si="96"/>
        <v>89</v>
      </c>
      <c r="AN96" s="563">
        <f t="shared" si="96"/>
        <v>89</v>
      </c>
      <c r="AO96" s="563">
        <f t="shared" si="96"/>
        <v>89</v>
      </c>
      <c r="AP96" s="580">
        <f t="shared" si="96"/>
        <v>89</v>
      </c>
      <c r="AQ96" s="563">
        <f t="shared" si="96"/>
        <v>89</v>
      </c>
      <c r="AR96" s="563">
        <f t="shared" si="96"/>
        <v>89</v>
      </c>
      <c r="AS96" s="563">
        <f t="shared" si="96"/>
        <v>89</v>
      </c>
      <c r="AT96" s="563">
        <f t="shared" si="96"/>
        <v>89</v>
      </c>
      <c r="AU96" s="579">
        <f t="shared" si="96"/>
        <v>89</v>
      </c>
      <c r="AV96" s="563">
        <f t="shared" si="96"/>
        <v>89</v>
      </c>
      <c r="AW96" s="563">
        <f t="shared" si="96"/>
        <v>89</v>
      </c>
      <c r="AX96" s="563">
        <f t="shared" si="96"/>
        <v>89</v>
      </c>
      <c r="AY96" s="563">
        <f t="shared" si="96"/>
        <v>89</v>
      </c>
      <c r="AZ96" s="580">
        <f t="shared" si="96"/>
        <v>89</v>
      </c>
      <c r="BA96" s="563">
        <f t="shared" si="96"/>
        <v>89</v>
      </c>
      <c r="BB96" s="563">
        <f t="shared" si="96"/>
        <v>89</v>
      </c>
      <c r="BC96" s="563">
        <f t="shared" si="96"/>
        <v>89</v>
      </c>
      <c r="BD96" s="563">
        <f t="shared" si="96"/>
        <v>89</v>
      </c>
      <c r="BE96" s="579">
        <f t="shared" si="96"/>
        <v>89</v>
      </c>
      <c r="BF96" s="563">
        <f t="shared" si="96"/>
        <v>89</v>
      </c>
      <c r="BG96" s="563">
        <f t="shared" si="96"/>
        <v>89</v>
      </c>
      <c r="BH96" s="563">
        <f t="shared" si="96"/>
        <v>89</v>
      </c>
      <c r="BI96" s="563">
        <f t="shared" si="96"/>
        <v>89</v>
      </c>
      <c r="BJ96" s="580">
        <f t="shared" si="96"/>
        <v>89</v>
      </c>
      <c r="BK96" s="563">
        <f t="shared" si="96"/>
        <v>89</v>
      </c>
      <c r="BL96" s="563">
        <f t="shared" si="96"/>
        <v>89</v>
      </c>
      <c r="BM96" s="563">
        <f t="shared" si="96"/>
        <v>89</v>
      </c>
      <c r="BN96" s="563">
        <f t="shared" si="96"/>
        <v>89</v>
      </c>
      <c r="BO96" s="579">
        <f t="shared" si="96"/>
        <v>89</v>
      </c>
      <c r="BP96" s="563">
        <f t="shared" si="96"/>
        <v>89</v>
      </c>
      <c r="BQ96" s="563">
        <f t="shared" si="96"/>
        <v>89</v>
      </c>
      <c r="BR96" s="563">
        <f t="shared" si="96"/>
        <v>89</v>
      </c>
      <c r="BS96" s="563">
        <f t="shared" si="96"/>
        <v>89</v>
      </c>
      <c r="BT96" s="580">
        <f t="shared" si="96"/>
        <v>89</v>
      </c>
      <c r="BU96" s="563">
        <f t="shared" si="96"/>
        <v>89</v>
      </c>
      <c r="BV96" s="563">
        <f t="shared" si="96"/>
        <v>89</v>
      </c>
      <c r="BW96" s="563">
        <f t="shared" si="96"/>
        <v>89</v>
      </c>
      <c r="BX96" s="563">
        <f t="shared" si="96"/>
        <v>89</v>
      </c>
      <c r="BY96" s="579">
        <f t="shared" si="96"/>
        <v>89</v>
      </c>
      <c r="BZ96" s="563">
        <f t="shared" si="96"/>
        <v>89</v>
      </c>
      <c r="CA96" s="563">
        <f t="shared" si="96"/>
        <v>89</v>
      </c>
      <c r="CB96" s="563">
        <f t="shared" si="96"/>
        <v>89</v>
      </c>
      <c r="CC96" s="563">
        <f t="shared" si="96"/>
        <v>89</v>
      </c>
      <c r="CD96" s="580">
        <f t="shared" si="96"/>
        <v>89</v>
      </c>
      <c r="CE96" s="563">
        <f t="shared" si="96"/>
        <v>89</v>
      </c>
      <c r="CF96" s="563">
        <f t="shared" si="96"/>
        <v>89</v>
      </c>
      <c r="CG96" s="563">
        <f t="shared" si="96"/>
        <v>89</v>
      </c>
      <c r="CH96" s="563">
        <f t="shared" si="96"/>
        <v>89</v>
      </c>
      <c r="CI96" s="579">
        <f t="shared" si="96"/>
        <v>89</v>
      </c>
      <c r="CJ96" s="563">
        <f t="shared" si="96"/>
        <v>89</v>
      </c>
      <c r="CK96" s="563">
        <f t="shared" si="96"/>
        <v>89</v>
      </c>
      <c r="CL96" s="563">
        <f t="shared" si="96"/>
        <v>89</v>
      </c>
      <c r="CM96" s="563">
        <f t="shared" si="96"/>
        <v>89</v>
      </c>
      <c r="CN96" s="580">
        <f t="shared" si="96"/>
        <v>89</v>
      </c>
      <c r="CO96" s="563">
        <f t="shared" si="96"/>
        <v>89</v>
      </c>
      <c r="CP96" s="563">
        <f t="shared" si="96"/>
        <v>89</v>
      </c>
      <c r="CQ96" s="563">
        <f t="shared" si="96"/>
        <v>89</v>
      </c>
      <c r="CR96" s="563">
        <f t="shared" si="96"/>
        <v>89</v>
      </c>
      <c r="CS96" s="579">
        <f t="shared" si="96"/>
        <v>91</v>
      </c>
      <c r="CT96" s="563">
        <f t="shared" si="96"/>
        <v>93</v>
      </c>
      <c r="CU96" s="563">
        <f t="shared" si="96"/>
        <v>95</v>
      </c>
      <c r="CV96" s="563">
        <f t="shared" si="96"/>
        <v>97</v>
      </c>
      <c r="CW96" s="563">
        <f t="shared" si="96"/>
        <v>99</v>
      </c>
      <c r="CX96" s="563"/>
    </row>
    <row r="97" ht="10.5" customHeight="1">
      <c r="A97" s="543"/>
      <c r="B97" s="563">
        <f t="shared" si="4"/>
        <v>95</v>
      </c>
      <c r="C97" s="640">
        <f t="shared" ref="C97:CW97" si="97">IF(LT(IF(GT(C$2,MIN($B97,99)),C$2,MIN($B97,99)),99-FLOOR(C$2/2,1)),IF(GT(C$2,MIN($B97,99)),C$2,MIN($B97,99))-FLOOR(C$2/2,1),2*IF(GT(C$2,MIN($B97,99)),C$2,MIN($B97,99))-99)</f>
        <v>95</v>
      </c>
      <c r="D97" s="640">
        <f t="shared" si="97"/>
        <v>94</v>
      </c>
      <c r="E97" s="640">
        <f t="shared" si="97"/>
        <v>94</v>
      </c>
      <c r="F97" s="640">
        <f t="shared" si="97"/>
        <v>93</v>
      </c>
      <c r="G97" s="641">
        <f t="shared" si="97"/>
        <v>93</v>
      </c>
      <c r="H97" s="640">
        <f t="shared" si="97"/>
        <v>92</v>
      </c>
      <c r="I97" s="640">
        <f t="shared" si="97"/>
        <v>92</v>
      </c>
      <c r="J97" s="640">
        <f t="shared" si="97"/>
        <v>91</v>
      </c>
      <c r="K97" s="640">
        <f t="shared" si="97"/>
        <v>91</v>
      </c>
      <c r="L97" s="643">
        <f t="shared" si="97"/>
        <v>91</v>
      </c>
      <c r="M97" s="640">
        <f t="shared" si="97"/>
        <v>91</v>
      </c>
      <c r="N97" s="640">
        <f t="shared" si="97"/>
        <v>91</v>
      </c>
      <c r="O97" s="640">
        <f t="shared" si="97"/>
        <v>91</v>
      </c>
      <c r="P97" s="640">
        <f t="shared" si="97"/>
        <v>91</v>
      </c>
      <c r="Q97" s="641">
        <f t="shared" si="97"/>
        <v>91</v>
      </c>
      <c r="R97" s="640">
        <f t="shared" si="97"/>
        <v>91</v>
      </c>
      <c r="S97" s="640">
        <f t="shared" si="97"/>
        <v>91</v>
      </c>
      <c r="T97" s="640">
        <f t="shared" si="97"/>
        <v>91</v>
      </c>
      <c r="U97" s="640">
        <f t="shared" si="97"/>
        <v>91</v>
      </c>
      <c r="V97" s="643">
        <f t="shared" si="97"/>
        <v>91</v>
      </c>
      <c r="W97" s="640">
        <f t="shared" si="97"/>
        <v>91</v>
      </c>
      <c r="X97" s="640">
        <f t="shared" si="97"/>
        <v>91</v>
      </c>
      <c r="Y97" s="640">
        <f t="shared" si="97"/>
        <v>91</v>
      </c>
      <c r="Z97" s="640">
        <f t="shared" si="97"/>
        <v>91</v>
      </c>
      <c r="AA97" s="641">
        <f t="shared" si="97"/>
        <v>91</v>
      </c>
      <c r="AB97" s="640">
        <f t="shared" si="97"/>
        <v>91</v>
      </c>
      <c r="AC97" s="640">
        <f t="shared" si="97"/>
        <v>91</v>
      </c>
      <c r="AD97" s="640">
        <f t="shared" si="97"/>
        <v>91</v>
      </c>
      <c r="AE97" s="640">
        <f t="shared" si="97"/>
        <v>91</v>
      </c>
      <c r="AF97" s="643">
        <f t="shared" si="97"/>
        <v>91</v>
      </c>
      <c r="AG97" s="640">
        <f t="shared" si="97"/>
        <v>91</v>
      </c>
      <c r="AH97" s="640">
        <f t="shared" si="97"/>
        <v>91</v>
      </c>
      <c r="AI97" s="640">
        <f t="shared" si="97"/>
        <v>91</v>
      </c>
      <c r="AJ97" s="640">
        <f t="shared" si="97"/>
        <v>91</v>
      </c>
      <c r="AK97" s="641">
        <f t="shared" si="97"/>
        <v>91</v>
      </c>
      <c r="AL97" s="640">
        <f t="shared" si="97"/>
        <v>91</v>
      </c>
      <c r="AM97" s="640">
        <f t="shared" si="97"/>
        <v>91</v>
      </c>
      <c r="AN97" s="640">
        <f t="shared" si="97"/>
        <v>91</v>
      </c>
      <c r="AO97" s="640">
        <f t="shared" si="97"/>
        <v>91</v>
      </c>
      <c r="AP97" s="643">
        <f t="shared" si="97"/>
        <v>91</v>
      </c>
      <c r="AQ97" s="640">
        <f t="shared" si="97"/>
        <v>91</v>
      </c>
      <c r="AR97" s="640">
        <f t="shared" si="97"/>
        <v>91</v>
      </c>
      <c r="AS97" s="640">
        <f t="shared" si="97"/>
        <v>91</v>
      </c>
      <c r="AT97" s="640">
        <f t="shared" si="97"/>
        <v>91</v>
      </c>
      <c r="AU97" s="641">
        <f t="shared" si="97"/>
        <v>91</v>
      </c>
      <c r="AV97" s="640">
        <f t="shared" si="97"/>
        <v>91</v>
      </c>
      <c r="AW97" s="640">
        <f t="shared" si="97"/>
        <v>91</v>
      </c>
      <c r="AX97" s="640">
        <f t="shared" si="97"/>
        <v>91</v>
      </c>
      <c r="AY97" s="640">
        <f t="shared" si="97"/>
        <v>91</v>
      </c>
      <c r="AZ97" s="643">
        <f t="shared" si="97"/>
        <v>91</v>
      </c>
      <c r="BA97" s="640">
        <f t="shared" si="97"/>
        <v>91</v>
      </c>
      <c r="BB97" s="640">
        <f t="shared" si="97"/>
        <v>91</v>
      </c>
      <c r="BC97" s="640">
        <f t="shared" si="97"/>
        <v>91</v>
      </c>
      <c r="BD97" s="640">
        <f t="shared" si="97"/>
        <v>91</v>
      </c>
      <c r="BE97" s="641">
        <f t="shared" si="97"/>
        <v>91</v>
      </c>
      <c r="BF97" s="640">
        <f t="shared" si="97"/>
        <v>91</v>
      </c>
      <c r="BG97" s="640">
        <f t="shared" si="97"/>
        <v>91</v>
      </c>
      <c r="BH97" s="640">
        <f t="shared" si="97"/>
        <v>91</v>
      </c>
      <c r="BI97" s="640">
        <f t="shared" si="97"/>
        <v>91</v>
      </c>
      <c r="BJ97" s="643">
        <f t="shared" si="97"/>
        <v>91</v>
      </c>
      <c r="BK97" s="640">
        <f t="shared" si="97"/>
        <v>91</v>
      </c>
      <c r="BL97" s="640">
        <f t="shared" si="97"/>
        <v>91</v>
      </c>
      <c r="BM97" s="640">
        <f t="shared" si="97"/>
        <v>91</v>
      </c>
      <c r="BN97" s="640">
        <f t="shared" si="97"/>
        <v>91</v>
      </c>
      <c r="BO97" s="641">
        <f t="shared" si="97"/>
        <v>91</v>
      </c>
      <c r="BP97" s="640">
        <f t="shared" si="97"/>
        <v>91</v>
      </c>
      <c r="BQ97" s="640">
        <f t="shared" si="97"/>
        <v>91</v>
      </c>
      <c r="BR97" s="640">
        <f t="shared" si="97"/>
        <v>91</v>
      </c>
      <c r="BS97" s="640">
        <f t="shared" si="97"/>
        <v>91</v>
      </c>
      <c r="BT97" s="643">
        <f t="shared" si="97"/>
        <v>91</v>
      </c>
      <c r="BU97" s="640">
        <f t="shared" si="97"/>
        <v>91</v>
      </c>
      <c r="BV97" s="640">
        <f t="shared" si="97"/>
        <v>91</v>
      </c>
      <c r="BW97" s="640">
        <f t="shared" si="97"/>
        <v>91</v>
      </c>
      <c r="BX97" s="640">
        <f t="shared" si="97"/>
        <v>91</v>
      </c>
      <c r="BY97" s="641">
        <f t="shared" si="97"/>
        <v>91</v>
      </c>
      <c r="BZ97" s="640">
        <f t="shared" si="97"/>
        <v>91</v>
      </c>
      <c r="CA97" s="640">
        <f t="shared" si="97"/>
        <v>91</v>
      </c>
      <c r="CB97" s="640">
        <f t="shared" si="97"/>
        <v>91</v>
      </c>
      <c r="CC97" s="640">
        <f t="shared" si="97"/>
        <v>91</v>
      </c>
      <c r="CD97" s="643">
        <f t="shared" si="97"/>
        <v>91</v>
      </c>
      <c r="CE97" s="640">
        <f t="shared" si="97"/>
        <v>91</v>
      </c>
      <c r="CF97" s="640">
        <f t="shared" si="97"/>
        <v>91</v>
      </c>
      <c r="CG97" s="640">
        <f t="shared" si="97"/>
        <v>91</v>
      </c>
      <c r="CH97" s="640">
        <f t="shared" si="97"/>
        <v>91</v>
      </c>
      <c r="CI97" s="641">
        <f t="shared" si="97"/>
        <v>91</v>
      </c>
      <c r="CJ97" s="640">
        <f t="shared" si="97"/>
        <v>91</v>
      </c>
      <c r="CK97" s="640">
        <f t="shared" si="97"/>
        <v>91</v>
      </c>
      <c r="CL97" s="640">
        <f t="shared" si="97"/>
        <v>91</v>
      </c>
      <c r="CM97" s="640">
        <f t="shared" si="97"/>
        <v>91</v>
      </c>
      <c r="CN97" s="643">
        <f t="shared" si="97"/>
        <v>91</v>
      </c>
      <c r="CO97" s="640">
        <f t="shared" si="97"/>
        <v>91</v>
      </c>
      <c r="CP97" s="640">
        <f t="shared" si="97"/>
        <v>91</v>
      </c>
      <c r="CQ97" s="640">
        <f t="shared" si="97"/>
        <v>91</v>
      </c>
      <c r="CR97" s="640">
        <f t="shared" si="97"/>
        <v>91</v>
      </c>
      <c r="CS97" s="641">
        <f t="shared" si="97"/>
        <v>91</v>
      </c>
      <c r="CT97" s="640">
        <f t="shared" si="97"/>
        <v>93</v>
      </c>
      <c r="CU97" s="640">
        <f t="shared" si="97"/>
        <v>95</v>
      </c>
      <c r="CV97" s="640">
        <f t="shared" si="97"/>
        <v>97</v>
      </c>
      <c r="CW97" s="640">
        <f t="shared" si="97"/>
        <v>99</v>
      </c>
      <c r="CX97" s="563"/>
    </row>
    <row r="98" ht="10.5" customHeight="1">
      <c r="A98" s="543"/>
      <c r="B98" s="563">
        <f t="shared" si="4"/>
        <v>96</v>
      </c>
      <c r="C98" s="563">
        <f t="shared" ref="C98:CW98" si="98">IF(LT(IF(GT(C$2,MIN($B98,99)),C$2,MIN($B98,99)),99-FLOOR(C$2/2,1)),IF(GT(C$2,MIN($B98,99)),C$2,MIN($B98,99))-FLOOR(C$2/2,1),2*IF(GT(C$2,MIN($B98,99)),C$2,MIN($B98,99))-99)</f>
        <v>96</v>
      </c>
      <c r="D98" s="563">
        <f t="shared" si="98"/>
        <v>95</v>
      </c>
      <c r="E98" s="563">
        <f t="shared" si="98"/>
        <v>95</v>
      </c>
      <c r="F98" s="563">
        <f t="shared" si="98"/>
        <v>94</v>
      </c>
      <c r="G98" s="579">
        <f t="shared" si="98"/>
        <v>94</v>
      </c>
      <c r="H98" s="563">
        <f t="shared" si="98"/>
        <v>93</v>
      </c>
      <c r="I98" s="563">
        <f t="shared" si="98"/>
        <v>93</v>
      </c>
      <c r="J98" s="563">
        <f t="shared" si="98"/>
        <v>93</v>
      </c>
      <c r="K98" s="563">
        <f t="shared" si="98"/>
        <v>93</v>
      </c>
      <c r="L98" s="580">
        <f t="shared" si="98"/>
        <v>93</v>
      </c>
      <c r="M98" s="563">
        <f t="shared" si="98"/>
        <v>93</v>
      </c>
      <c r="N98" s="563">
        <f t="shared" si="98"/>
        <v>93</v>
      </c>
      <c r="O98" s="563">
        <f t="shared" si="98"/>
        <v>93</v>
      </c>
      <c r="P98" s="563">
        <f t="shared" si="98"/>
        <v>93</v>
      </c>
      <c r="Q98" s="579">
        <f t="shared" si="98"/>
        <v>93</v>
      </c>
      <c r="R98" s="563">
        <f t="shared" si="98"/>
        <v>93</v>
      </c>
      <c r="S98" s="563">
        <f t="shared" si="98"/>
        <v>93</v>
      </c>
      <c r="T98" s="563">
        <f t="shared" si="98"/>
        <v>93</v>
      </c>
      <c r="U98" s="563">
        <f t="shared" si="98"/>
        <v>93</v>
      </c>
      <c r="V98" s="580">
        <f t="shared" si="98"/>
        <v>93</v>
      </c>
      <c r="W98" s="563">
        <f t="shared" si="98"/>
        <v>93</v>
      </c>
      <c r="X98" s="563">
        <f t="shared" si="98"/>
        <v>93</v>
      </c>
      <c r="Y98" s="563">
        <f t="shared" si="98"/>
        <v>93</v>
      </c>
      <c r="Z98" s="563">
        <f t="shared" si="98"/>
        <v>93</v>
      </c>
      <c r="AA98" s="579">
        <f t="shared" si="98"/>
        <v>93</v>
      </c>
      <c r="AB98" s="563">
        <f t="shared" si="98"/>
        <v>93</v>
      </c>
      <c r="AC98" s="563">
        <f t="shared" si="98"/>
        <v>93</v>
      </c>
      <c r="AD98" s="563">
        <f t="shared" si="98"/>
        <v>93</v>
      </c>
      <c r="AE98" s="563">
        <f t="shared" si="98"/>
        <v>93</v>
      </c>
      <c r="AF98" s="580">
        <f t="shared" si="98"/>
        <v>93</v>
      </c>
      <c r="AG98" s="563">
        <f t="shared" si="98"/>
        <v>93</v>
      </c>
      <c r="AH98" s="563">
        <f t="shared" si="98"/>
        <v>93</v>
      </c>
      <c r="AI98" s="563">
        <f t="shared" si="98"/>
        <v>93</v>
      </c>
      <c r="AJ98" s="563">
        <f t="shared" si="98"/>
        <v>93</v>
      </c>
      <c r="AK98" s="579">
        <f t="shared" si="98"/>
        <v>93</v>
      </c>
      <c r="AL98" s="563">
        <f t="shared" si="98"/>
        <v>93</v>
      </c>
      <c r="AM98" s="563">
        <f t="shared" si="98"/>
        <v>93</v>
      </c>
      <c r="AN98" s="563">
        <f t="shared" si="98"/>
        <v>93</v>
      </c>
      <c r="AO98" s="563">
        <f t="shared" si="98"/>
        <v>93</v>
      </c>
      <c r="AP98" s="580">
        <f t="shared" si="98"/>
        <v>93</v>
      </c>
      <c r="AQ98" s="563">
        <f t="shared" si="98"/>
        <v>93</v>
      </c>
      <c r="AR98" s="563">
        <f t="shared" si="98"/>
        <v>93</v>
      </c>
      <c r="AS98" s="563">
        <f t="shared" si="98"/>
        <v>93</v>
      </c>
      <c r="AT98" s="563">
        <f t="shared" si="98"/>
        <v>93</v>
      </c>
      <c r="AU98" s="579">
        <f t="shared" si="98"/>
        <v>93</v>
      </c>
      <c r="AV98" s="563">
        <f t="shared" si="98"/>
        <v>93</v>
      </c>
      <c r="AW98" s="563">
        <f t="shared" si="98"/>
        <v>93</v>
      </c>
      <c r="AX98" s="563">
        <f t="shared" si="98"/>
        <v>93</v>
      </c>
      <c r="AY98" s="563">
        <f t="shared" si="98"/>
        <v>93</v>
      </c>
      <c r="AZ98" s="580">
        <f t="shared" si="98"/>
        <v>93</v>
      </c>
      <c r="BA98" s="563">
        <f t="shared" si="98"/>
        <v>93</v>
      </c>
      <c r="BB98" s="563">
        <f t="shared" si="98"/>
        <v>93</v>
      </c>
      <c r="BC98" s="563">
        <f t="shared" si="98"/>
        <v>93</v>
      </c>
      <c r="BD98" s="563">
        <f t="shared" si="98"/>
        <v>93</v>
      </c>
      <c r="BE98" s="579">
        <f t="shared" si="98"/>
        <v>93</v>
      </c>
      <c r="BF98" s="563">
        <f t="shared" si="98"/>
        <v>93</v>
      </c>
      <c r="BG98" s="563">
        <f t="shared" si="98"/>
        <v>93</v>
      </c>
      <c r="BH98" s="563">
        <f t="shared" si="98"/>
        <v>93</v>
      </c>
      <c r="BI98" s="563">
        <f t="shared" si="98"/>
        <v>93</v>
      </c>
      <c r="BJ98" s="580">
        <f t="shared" si="98"/>
        <v>93</v>
      </c>
      <c r="BK98" s="563">
        <f t="shared" si="98"/>
        <v>93</v>
      </c>
      <c r="BL98" s="563">
        <f t="shared" si="98"/>
        <v>93</v>
      </c>
      <c r="BM98" s="563">
        <f t="shared" si="98"/>
        <v>93</v>
      </c>
      <c r="BN98" s="563">
        <f t="shared" si="98"/>
        <v>93</v>
      </c>
      <c r="BO98" s="579">
        <f t="shared" si="98"/>
        <v>93</v>
      </c>
      <c r="BP98" s="563">
        <f t="shared" si="98"/>
        <v>93</v>
      </c>
      <c r="BQ98" s="563">
        <f t="shared" si="98"/>
        <v>93</v>
      </c>
      <c r="BR98" s="563">
        <f t="shared" si="98"/>
        <v>93</v>
      </c>
      <c r="BS98" s="563">
        <f t="shared" si="98"/>
        <v>93</v>
      </c>
      <c r="BT98" s="580">
        <f t="shared" si="98"/>
        <v>93</v>
      </c>
      <c r="BU98" s="563">
        <f t="shared" si="98"/>
        <v>93</v>
      </c>
      <c r="BV98" s="563">
        <f t="shared" si="98"/>
        <v>93</v>
      </c>
      <c r="BW98" s="563">
        <f t="shared" si="98"/>
        <v>93</v>
      </c>
      <c r="BX98" s="563">
        <f t="shared" si="98"/>
        <v>93</v>
      </c>
      <c r="BY98" s="579">
        <f t="shared" si="98"/>
        <v>93</v>
      </c>
      <c r="BZ98" s="563">
        <f t="shared" si="98"/>
        <v>93</v>
      </c>
      <c r="CA98" s="563">
        <f t="shared" si="98"/>
        <v>93</v>
      </c>
      <c r="CB98" s="563">
        <f t="shared" si="98"/>
        <v>93</v>
      </c>
      <c r="CC98" s="563">
        <f t="shared" si="98"/>
        <v>93</v>
      </c>
      <c r="CD98" s="580">
        <f t="shared" si="98"/>
        <v>93</v>
      </c>
      <c r="CE98" s="563">
        <f t="shared" si="98"/>
        <v>93</v>
      </c>
      <c r="CF98" s="563">
        <f t="shared" si="98"/>
        <v>93</v>
      </c>
      <c r="CG98" s="563">
        <f t="shared" si="98"/>
        <v>93</v>
      </c>
      <c r="CH98" s="563">
        <f t="shared" si="98"/>
        <v>93</v>
      </c>
      <c r="CI98" s="579">
        <f t="shared" si="98"/>
        <v>93</v>
      </c>
      <c r="CJ98" s="563">
        <f t="shared" si="98"/>
        <v>93</v>
      </c>
      <c r="CK98" s="563">
        <f t="shared" si="98"/>
        <v>93</v>
      </c>
      <c r="CL98" s="563">
        <f t="shared" si="98"/>
        <v>93</v>
      </c>
      <c r="CM98" s="563">
        <f t="shared" si="98"/>
        <v>93</v>
      </c>
      <c r="CN98" s="580">
        <f t="shared" si="98"/>
        <v>93</v>
      </c>
      <c r="CO98" s="563">
        <f t="shared" si="98"/>
        <v>93</v>
      </c>
      <c r="CP98" s="563">
        <f t="shared" si="98"/>
        <v>93</v>
      </c>
      <c r="CQ98" s="563">
        <f t="shared" si="98"/>
        <v>93</v>
      </c>
      <c r="CR98" s="563">
        <f t="shared" si="98"/>
        <v>93</v>
      </c>
      <c r="CS98" s="579">
        <f t="shared" si="98"/>
        <v>93</v>
      </c>
      <c r="CT98" s="563">
        <f t="shared" si="98"/>
        <v>93</v>
      </c>
      <c r="CU98" s="563">
        <f t="shared" si="98"/>
        <v>95</v>
      </c>
      <c r="CV98" s="563">
        <f t="shared" si="98"/>
        <v>97</v>
      </c>
      <c r="CW98" s="563">
        <f t="shared" si="98"/>
        <v>99</v>
      </c>
      <c r="CX98" s="563"/>
    </row>
    <row r="99" ht="10.5" customHeight="1">
      <c r="A99" s="543"/>
      <c r="B99" s="563">
        <f t="shared" si="4"/>
        <v>97</v>
      </c>
      <c r="C99" s="563">
        <f t="shared" ref="C99:CW99" si="99">IF(LT(IF(GT(C$2,MIN($B99,99)),C$2,MIN($B99,99)),99-FLOOR(C$2/2,1)),IF(GT(C$2,MIN($B99,99)),C$2,MIN($B99,99))-FLOOR(C$2/2,1),2*IF(GT(C$2,MIN($B99,99)),C$2,MIN($B99,99))-99)</f>
        <v>97</v>
      </c>
      <c r="D99" s="563">
        <f t="shared" si="99"/>
        <v>96</v>
      </c>
      <c r="E99" s="563">
        <f t="shared" si="99"/>
        <v>96</v>
      </c>
      <c r="F99" s="563">
        <f t="shared" si="99"/>
        <v>95</v>
      </c>
      <c r="G99" s="579">
        <f t="shared" si="99"/>
        <v>95</v>
      </c>
      <c r="H99" s="563">
        <f t="shared" si="99"/>
        <v>95</v>
      </c>
      <c r="I99" s="563">
        <f t="shared" si="99"/>
        <v>95</v>
      </c>
      <c r="J99" s="563">
        <f t="shared" si="99"/>
        <v>95</v>
      </c>
      <c r="K99" s="563">
        <f t="shared" si="99"/>
        <v>95</v>
      </c>
      <c r="L99" s="580">
        <f t="shared" si="99"/>
        <v>95</v>
      </c>
      <c r="M99" s="563">
        <f t="shared" si="99"/>
        <v>95</v>
      </c>
      <c r="N99" s="563">
        <f t="shared" si="99"/>
        <v>95</v>
      </c>
      <c r="O99" s="563">
        <f t="shared" si="99"/>
        <v>95</v>
      </c>
      <c r="P99" s="563">
        <f t="shared" si="99"/>
        <v>95</v>
      </c>
      <c r="Q99" s="579">
        <f t="shared" si="99"/>
        <v>95</v>
      </c>
      <c r="R99" s="563">
        <f t="shared" si="99"/>
        <v>95</v>
      </c>
      <c r="S99" s="563">
        <f t="shared" si="99"/>
        <v>95</v>
      </c>
      <c r="T99" s="563">
        <f t="shared" si="99"/>
        <v>95</v>
      </c>
      <c r="U99" s="563">
        <f t="shared" si="99"/>
        <v>95</v>
      </c>
      <c r="V99" s="580">
        <f t="shared" si="99"/>
        <v>95</v>
      </c>
      <c r="W99" s="563">
        <f t="shared" si="99"/>
        <v>95</v>
      </c>
      <c r="X99" s="563">
        <f t="shared" si="99"/>
        <v>95</v>
      </c>
      <c r="Y99" s="563">
        <f t="shared" si="99"/>
        <v>95</v>
      </c>
      <c r="Z99" s="563">
        <f t="shared" si="99"/>
        <v>95</v>
      </c>
      <c r="AA99" s="579">
        <f t="shared" si="99"/>
        <v>95</v>
      </c>
      <c r="AB99" s="563">
        <f t="shared" si="99"/>
        <v>95</v>
      </c>
      <c r="AC99" s="563">
        <f t="shared" si="99"/>
        <v>95</v>
      </c>
      <c r="AD99" s="563">
        <f t="shared" si="99"/>
        <v>95</v>
      </c>
      <c r="AE99" s="563">
        <f t="shared" si="99"/>
        <v>95</v>
      </c>
      <c r="AF99" s="580">
        <f t="shared" si="99"/>
        <v>95</v>
      </c>
      <c r="AG99" s="563">
        <f t="shared" si="99"/>
        <v>95</v>
      </c>
      <c r="AH99" s="563">
        <f t="shared" si="99"/>
        <v>95</v>
      </c>
      <c r="AI99" s="563">
        <f t="shared" si="99"/>
        <v>95</v>
      </c>
      <c r="AJ99" s="563">
        <f t="shared" si="99"/>
        <v>95</v>
      </c>
      <c r="AK99" s="579">
        <f t="shared" si="99"/>
        <v>95</v>
      </c>
      <c r="AL99" s="563">
        <f t="shared" si="99"/>
        <v>95</v>
      </c>
      <c r="AM99" s="563">
        <f t="shared" si="99"/>
        <v>95</v>
      </c>
      <c r="AN99" s="563">
        <f t="shared" si="99"/>
        <v>95</v>
      </c>
      <c r="AO99" s="563">
        <f t="shared" si="99"/>
        <v>95</v>
      </c>
      <c r="AP99" s="580">
        <f t="shared" si="99"/>
        <v>95</v>
      </c>
      <c r="AQ99" s="563">
        <f t="shared" si="99"/>
        <v>95</v>
      </c>
      <c r="AR99" s="563">
        <f t="shared" si="99"/>
        <v>95</v>
      </c>
      <c r="AS99" s="563">
        <f t="shared" si="99"/>
        <v>95</v>
      </c>
      <c r="AT99" s="563">
        <f t="shared" si="99"/>
        <v>95</v>
      </c>
      <c r="AU99" s="579">
        <f t="shared" si="99"/>
        <v>95</v>
      </c>
      <c r="AV99" s="563">
        <f t="shared" si="99"/>
        <v>95</v>
      </c>
      <c r="AW99" s="563">
        <f t="shared" si="99"/>
        <v>95</v>
      </c>
      <c r="AX99" s="563">
        <f t="shared" si="99"/>
        <v>95</v>
      </c>
      <c r="AY99" s="563">
        <f t="shared" si="99"/>
        <v>95</v>
      </c>
      <c r="AZ99" s="580">
        <f t="shared" si="99"/>
        <v>95</v>
      </c>
      <c r="BA99" s="563">
        <f t="shared" si="99"/>
        <v>95</v>
      </c>
      <c r="BB99" s="563">
        <f t="shared" si="99"/>
        <v>95</v>
      </c>
      <c r="BC99" s="563">
        <f t="shared" si="99"/>
        <v>95</v>
      </c>
      <c r="BD99" s="563">
        <f t="shared" si="99"/>
        <v>95</v>
      </c>
      <c r="BE99" s="579">
        <f t="shared" si="99"/>
        <v>95</v>
      </c>
      <c r="BF99" s="563">
        <f t="shared" si="99"/>
        <v>95</v>
      </c>
      <c r="BG99" s="563">
        <f t="shared" si="99"/>
        <v>95</v>
      </c>
      <c r="BH99" s="563">
        <f t="shared" si="99"/>
        <v>95</v>
      </c>
      <c r="BI99" s="563">
        <f t="shared" si="99"/>
        <v>95</v>
      </c>
      <c r="BJ99" s="580">
        <f t="shared" si="99"/>
        <v>95</v>
      </c>
      <c r="BK99" s="563">
        <f t="shared" si="99"/>
        <v>95</v>
      </c>
      <c r="BL99" s="563">
        <f t="shared" si="99"/>
        <v>95</v>
      </c>
      <c r="BM99" s="563">
        <f t="shared" si="99"/>
        <v>95</v>
      </c>
      <c r="BN99" s="563">
        <f t="shared" si="99"/>
        <v>95</v>
      </c>
      <c r="BO99" s="579">
        <f t="shared" si="99"/>
        <v>95</v>
      </c>
      <c r="BP99" s="563">
        <f t="shared" si="99"/>
        <v>95</v>
      </c>
      <c r="BQ99" s="563">
        <f t="shared" si="99"/>
        <v>95</v>
      </c>
      <c r="BR99" s="563">
        <f t="shared" si="99"/>
        <v>95</v>
      </c>
      <c r="BS99" s="563">
        <f t="shared" si="99"/>
        <v>95</v>
      </c>
      <c r="BT99" s="580">
        <f t="shared" si="99"/>
        <v>95</v>
      </c>
      <c r="BU99" s="563">
        <f t="shared" si="99"/>
        <v>95</v>
      </c>
      <c r="BV99" s="563">
        <f t="shared" si="99"/>
        <v>95</v>
      </c>
      <c r="BW99" s="563">
        <f t="shared" si="99"/>
        <v>95</v>
      </c>
      <c r="BX99" s="563">
        <f t="shared" si="99"/>
        <v>95</v>
      </c>
      <c r="BY99" s="579">
        <f t="shared" si="99"/>
        <v>95</v>
      </c>
      <c r="BZ99" s="563">
        <f t="shared" si="99"/>
        <v>95</v>
      </c>
      <c r="CA99" s="563">
        <f t="shared" si="99"/>
        <v>95</v>
      </c>
      <c r="CB99" s="563">
        <f t="shared" si="99"/>
        <v>95</v>
      </c>
      <c r="CC99" s="563">
        <f t="shared" si="99"/>
        <v>95</v>
      </c>
      <c r="CD99" s="580">
        <f t="shared" si="99"/>
        <v>95</v>
      </c>
      <c r="CE99" s="563">
        <f t="shared" si="99"/>
        <v>95</v>
      </c>
      <c r="CF99" s="563">
        <f t="shared" si="99"/>
        <v>95</v>
      </c>
      <c r="CG99" s="563">
        <f t="shared" si="99"/>
        <v>95</v>
      </c>
      <c r="CH99" s="563">
        <f t="shared" si="99"/>
        <v>95</v>
      </c>
      <c r="CI99" s="579">
        <f t="shared" si="99"/>
        <v>95</v>
      </c>
      <c r="CJ99" s="563">
        <f t="shared" si="99"/>
        <v>95</v>
      </c>
      <c r="CK99" s="563">
        <f t="shared" si="99"/>
        <v>95</v>
      </c>
      <c r="CL99" s="563">
        <f t="shared" si="99"/>
        <v>95</v>
      </c>
      <c r="CM99" s="563">
        <f t="shared" si="99"/>
        <v>95</v>
      </c>
      <c r="CN99" s="580">
        <f t="shared" si="99"/>
        <v>95</v>
      </c>
      <c r="CO99" s="563">
        <f t="shared" si="99"/>
        <v>95</v>
      </c>
      <c r="CP99" s="563">
        <f t="shared" si="99"/>
        <v>95</v>
      </c>
      <c r="CQ99" s="563">
        <f t="shared" si="99"/>
        <v>95</v>
      </c>
      <c r="CR99" s="563">
        <f t="shared" si="99"/>
        <v>95</v>
      </c>
      <c r="CS99" s="579">
        <f t="shared" si="99"/>
        <v>95</v>
      </c>
      <c r="CT99" s="563">
        <f t="shared" si="99"/>
        <v>95</v>
      </c>
      <c r="CU99" s="563">
        <f t="shared" si="99"/>
        <v>95</v>
      </c>
      <c r="CV99" s="563">
        <f t="shared" si="99"/>
        <v>97</v>
      </c>
      <c r="CW99" s="563">
        <f t="shared" si="99"/>
        <v>99</v>
      </c>
      <c r="CX99" s="563"/>
    </row>
    <row r="100" ht="10.5" customHeight="1">
      <c r="A100" s="543"/>
      <c r="B100" s="563">
        <f t="shared" si="4"/>
        <v>98</v>
      </c>
      <c r="C100" s="563">
        <f t="shared" ref="C100:CW100" si="100">IF(LT(IF(GT(C$2,MIN($B100,99)),C$2,MIN($B100,99)),99-FLOOR(C$2/2,1)),IF(GT(C$2,MIN($B100,99)),C$2,MIN($B100,99))-FLOOR(C$2/2,1),2*IF(GT(C$2,MIN($B100,99)),C$2,MIN($B100,99))-99)</f>
        <v>98</v>
      </c>
      <c r="D100" s="563">
        <f t="shared" si="100"/>
        <v>97</v>
      </c>
      <c r="E100" s="563">
        <f t="shared" si="100"/>
        <v>97</v>
      </c>
      <c r="F100" s="563">
        <f t="shared" si="100"/>
        <v>97</v>
      </c>
      <c r="G100" s="579">
        <f t="shared" si="100"/>
        <v>97</v>
      </c>
      <c r="H100" s="563">
        <f t="shared" si="100"/>
        <v>97</v>
      </c>
      <c r="I100" s="563">
        <f t="shared" si="100"/>
        <v>97</v>
      </c>
      <c r="J100" s="563">
        <f t="shared" si="100"/>
        <v>97</v>
      </c>
      <c r="K100" s="563">
        <f t="shared" si="100"/>
        <v>97</v>
      </c>
      <c r="L100" s="580">
        <f t="shared" si="100"/>
        <v>97</v>
      </c>
      <c r="M100" s="563">
        <f t="shared" si="100"/>
        <v>97</v>
      </c>
      <c r="N100" s="563">
        <f t="shared" si="100"/>
        <v>97</v>
      </c>
      <c r="O100" s="563">
        <f t="shared" si="100"/>
        <v>97</v>
      </c>
      <c r="P100" s="563">
        <f t="shared" si="100"/>
        <v>97</v>
      </c>
      <c r="Q100" s="579">
        <f t="shared" si="100"/>
        <v>97</v>
      </c>
      <c r="R100" s="563">
        <f t="shared" si="100"/>
        <v>97</v>
      </c>
      <c r="S100" s="563">
        <f t="shared" si="100"/>
        <v>97</v>
      </c>
      <c r="T100" s="563">
        <f t="shared" si="100"/>
        <v>97</v>
      </c>
      <c r="U100" s="563">
        <f t="shared" si="100"/>
        <v>97</v>
      </c>
      <c r="V100" s="580">
        <f t="shared" si="100"/>
        <v>97</v>
      </c>
      <c r="W100" s="563">
        <f t="shared" si="100"/>
        <v>97</v>
      </c>
      <c r="X100" s="563">
        <f t="shared" si="100"/>
        <v>97</v>
      </c>
      <c r="Y100" s="563">
        <f t="shared" si="100"/>
        <v>97</v>
      </c>
      <c r="Z100" s="563">
        <f t="shared" si="100"/>
        <v>97</v>
      </c>
      <c r="AA100" s="579">
        <f t="shared" si="100"/>
        <v>97</v>
      </c>
      <c r="AB100" s="563">
        <f t="shared" si="100"/>
        <v>97</v>
      </c>
      <c r="AC100" s="563">
        <f t="shared" si="100"/>
        <v>97</v>
      </c>
      <c r="AD100" s="563">
        <f t="shared" si="100"/>
        <v>97</v>
      </c>
      <c r="AE100" s="563">
        <f t="shared" si="100"/>
        <v>97</v>
      </c>
      <c r="AF100" s="580">
        <f t="shared" si="100"/>
        <v>97</v>
      </c>
      <c r="AG100" s="563">
        <f t="shared" si="100"/>
        <v>97</v>
      </c>
      <c r="AH100" s="563">
        <f t="shared" si="100"/>
        <v>97</v>
      </c>
      <c r="AI100" s="563">
        <f t="shared" si="100"/>
        <v>97</v>
      </c>
      <c r="AJ100" s="563">
        <f t="shared" si="100"/>
        <v>97</v>
      </c>
      <c r="AK100" s="579">
        <f t="shared" si="100"/>
        <v>97</v>
      </c>
      <c r="AL100" s="563">
        <f t="shared" si="100"/>
        <v>97</v>
      </c>
      <c r="AM100" s="563">
        <f t="shared" si="100"/>
        <v>97</v>
      </c>
      <c r="AN100" s="563">
        <f t="shared" si="100"/>
        <v>97</v>
      </c>
      <c r="AO100" s="563">
        <f t="shared" si="100"/>
        <v>97</v>
      </c>
      <c r="AP100" s="580">
        <f t="shared" si="100"/>
        <v>97</v>
      </c>
      <c r="AQ100" s="563">
        <f t="shared" si="100"/>
        <v>97</v>
      </c>
      <c r="AR100" s="563">
        <f t="shared" si="100"/>
        <v>97</v>
      </c>
      <c r="AS100" s="563">
        <f t="shared" si="100"/>
        <v>97</v>
      </c>
      <c r="AT100" s="563">
        <f t="shared" si="100"/>
        <v>97</v>
      </c>
      <c r="AU100" s="579">
        <f t="shared" si="100"/>
        <v>97</v>
      </c>
      <c r="AV100" s="563">
        <f t="shared" si="100"/>
        <v>97</v>
      </c>
      <c r="AW100" s="563">
        <f t="shared" si="100"/>
        <v>97</v>
      </c>
      <c r="AX100" s="563">
        <f t="shared" si="100"/>
        <v>97</v>
      </c>
      <c r="AY100" s="563">
        <f t="shared" si="100"/>
        <v>97</v>
      </c>
      <c r="AZ100" s="580">
        <f t="shared" si="100"/>
        <v>97</v>
      </c>
      <c r="BA100" s="563">
        <f t="shared" si="100"/>
        <v>97</v>
      </c>
      <c r="BB100" s="563">
        <f t="shared" si="100"/>
        <v>97</v>
      </c>
      <c r="BC100" s="563">
        <f t="shared" si="100"/>
        <v>97</v>
      </c>
      <c r="BD100" s="563">
        <f t="shared" si="100"/>
        <v>97</v>
      </c>
      <c r="BE100" s="579">
        <f t="shared" si="100"/>
        <v>97</v>
      </c>
      <c r="BF100" s="563">
        <f t="shared" si="100"/>
        <v>97</v>
      </c>
      <c r="BG100" s="563">
        <f t="shared" si="100"/>
        <v>97</v>
      </c>
      <c r="BH100" s="563">
        <f t="shared" si="100"/>
        <v>97</v>
      </c>
      <c r="BI100" s="563">
        <f t="shared" si="100"/>
        <v>97</v>
      </c>
      <c r="BJ100" s="580">
        <f t="shared" si="100"/>
        <v>97</v>
      </c>
      <c r="BK100" s="563">
        <f t="shared" si="100"/>
        <v>97</v>
      </c>
      <c r="BL100" s="563">
        <f t="shared" si="100"/>
        <v>97</v>
      </c>
      <c r="BM100" s="563">
        <f t="shared" si="100"/>
        <v>97</v>
      </c>
      <c r="BN100" s="563">
        <f t="shared" si="100"/>
        <v>97</v>
      </c>
      <c r="BO100" s="579">
        <f t="shared" si="100"/>
        <v>97</v>
      </c>
      <c r="BP100" s="563">
        <f t="shared" si="100"/>
        <v>97</v>
      </c>
      <c r="BQ100" s="563">
        <f t="shared" si="100"/>
        <v>97</v>
      </c>
      <c r="BR100" s="563">
        <f t="shared" si="100"/>
        <v>97</v>
      </c>
      <c r="BS100" s="563">
        <f t="shared" si="100"/>
        <v>97</v>
      </c>
      <c r="BT100" s="580">
        <f t="shared" si="100"/>
        <v>97</v>
      </c>
      <c r="BU100" s="563">
        <f t="shared" si="100"/>
        <v>97</v>
      </c>
      <c r="BV100" s="563">
        <f t="shared" si="100"/>
        <v>97</v>
      </c>
      <c r="BW100" s="563">
        <f t="shared" si="100"/>
        <v>97</v>
      </c>
      <c r="BX100" s="563">
        <f t="shared" si="100"/>
        <v>97</v>
      </c>
      <c r="BY100" s="579">
        <f t="shared" si="100"/>
        <v>97</v>
      </c>
      <c r="BZ100" s="563">
        <f t="shared" si="100"/>
        <v>97</v>
      </c>
      <c r="CA100" s="563">
        <f t="shared" si="100"/>
        <v>97</v>
      </c>
      <c r="CB100" s="563">
        <f t="shared" si="100"/>
        <v>97</v>
      </c>
      <c r="CC100" s="563">
        <f t="shared" si="100"/>
        <v>97</v>
      </c>
      <c r="CD100" s="580">
        <f t="shared" si="100"/>
        <v>97</v>
      </c>
      <c r="CE100" s="563">
        <f t="shared" si="100"/>
        <v>97</v>
      </c>
      <c r="CF100" s="563">
        <f t="shared" si="100"/>
        <v>97</v>
      </c>
      <c r="CG100" s="563">
        <f t="shared" si="100"/>
        <v>97</v>
      </c>
      <c r="CH100" s="563">
        <f t="shared" si="100"/>
        <v>97</v>
      </c>
      <c r="CI100" s="579">
        <f t="shared" si="100"/>
        <v>97</v>
      </c>
      <c r="CJ100" s="563">
        <f t="shared" si="100"/>
        <v>97</v>
      </c>
      <c r="CK100" s="563">
        <f t="shared" si="100"/>
        <v>97</v>
      </c>
      <c r="CL100" s="563">
        <f t="shared" si="100"/>
        <v>97</v>
      </c>
      <c r="CM100" s="563">
        <f t="shared" si="100"/>
        <v>97</v>
      </c>
      <c r="CN100" s="580">
        <f t="shared" si="100"/>
        <v>97</v>
      </c>
      <c r="CO100" s="563">
        <f t="shared" si="100"/>
        <v>97</v>
      </c>
      <c r="CP100" s="563">
        <f t="shared" si="100"/>
        <v>97</v>
      </c>
      <c r="CQ100" s="563">
        <f t="shared" si="100"/>
        <v>97</v>
      </c>
      <c r="CR100" s="563">
        <f t="shared" si="100"/>
        <v>97</v>
      </c>
      <c r="CS100" s="579">
        <f t="shared" si="100"/>
        <v>97</v>
      </c>
      <c r="CT100" s="563">
        <f t="shared" si="100"/>
        <v>97</v>
      </c>
      <c r="CU100" s="563">
        <f t="shared" si="100"/>
        <v>97</v>
      </c>
      <c r="CV100" s="563">
        <f t="shared" si="100"/>
        <v>97</v>
      </c>
      <c r="CW100" s="563">
        <f t="shared" si="100"/>
        <v>99</v>
      </c>
      <c r="CX100" s="563"/>
    </row>
    <row r="101" ht="10.5" customHeight="1">
      <c r="A101" s="543" t="s">
        <v>1261</v>
      </c>
      <c r="B101" s="563">
        <f t="shared" si="4"/>
        <v>99</v>
      </c>
      <c r="C101" s="563">
        <f t="shared" ref="C101:CW101" si="101">IF(LT(IF(GT(C$2,MIN($B101,99)),C$2,MIN($B101,99)),99-FLOOR(C$2/2,1)),IF(GT(C$2,MIN($B101,99)),C$2,MIN($B101,99))-FLOOR(C$2/2,1),2*IF(GT(C$2,MIN($B101,99)),C$2,MIN($B101,99))-99)</f>
        <v>99</v>
      </c>
      <c r="D101" s="563">
        <f t="shared" si="101"/>
        <v>99</v>
      </c>
      <c r="E101" s="563">
        <f t="shared" si="101"/>
        <v>99</v>
      </c>
      <c r="F101" s="563">
        <f t="shared" si="101"/>
        <v>99</v>
      </c>
      <c r="G101" s="579">
        <f t="shared" si="101"/>
        <v>99</v>
      </c>
      <c r="H101" s="563">
        <f t="shared" si="101"/>
        <v>99</v>
      </c>
      <c r="I101" s="563">
        <f t="shared" si="101"/>
        <v>99</v>
      </c>
      <c r="J101" s="563">
        <f t="shared" si="101"/>
        <v>99</v>
      </c>
      <c r="K101" s="563">
        <f t="shared" si="101"/>
        <v>99</v>
      </c>
      <c r="L101" s="580">
        <f t="shared" si="101"/>
        <v>99</v>
      </c>
      <c r="M101" s="563">
        <f t="shared" si="101"/>
        <v>99</v>
      </c>
      <c r="N101" s="563">
        <f t="shared" si="101"/>
        <v>99</v>
      </c>
      <c r="O101" s="563">
        <f t="shared" si="101"/>
        <v>99</v>
      </c>
      <c r="P101" s="563">
        <f t="shared" si="101"/>
        <v>99</v>
      </c>
      <c r="Q101" s="579">
        <f t="shared" si="101"/>
        <v>99</v>
      </c>
      <c r="R101" s="563">
        <f t="shared" si="101"/>
        <v>99</v>
      </c>
      <c r="S101" s="563">
        <f t="shared" si="101"/>
        <v>99</v>
      </c>
      <c r="T101" s="563">
        <f t="shared" si="101"/>
        <v>99</v>
      </c>
      <c r="U101" s="563">
        <f t="shared" si="101"/>
        <v>99</v>
      </c>
      <c r="V101" s="580">
        <f t="shared" si="101"/>
        <v>99</v>
      </c>
      <c r="W101" s="563">
        <f t="shared" si="101"/>
        <v>99</v>
      </c>
      <c r="X101" s="563">
        <f t="shared" si="101"/>
        <v>99</v>
      </c>
      <c r="Y101" s="563">
        <f t="shared" si="101"/>
        <v>99</v>
      </c>
      <c r="Z101" s="563">
        <f t="shared" si="101"/>
        <v>99</v>
      </c>
      <c r="AA101" s="579">
        <f t="shared" si="101"/>
        <v>99</v>
      </c>
      <c r="AB101" s="563">
        <f t="shared" si="101"/>
        <v>99</v>
      </c>
      <c r="AC101" s="563">
        <f t="shared" si="101"/>
        <v>99</v>
      </c>
      <c r="AD101" s="563">
        <f t="shared" si="101"/>
        <v>99</v>
      </c>
      <c r="AE101" s="563">
        <f t="shared" si="101"/>
        <v>99</v>
      </c>
      <c r="AF101" s="580">
        <f t="shared" si="101"/>
        <v>99</v>
      </c>
      <c r="AG101" s="563">
        <f t="shared" si="101"/>
        <v>99</v>
      </c>
      <c r="AH101" s="563">
        <f t="shared" si="101"/>
        <v>99</v>
      </c>
      <c r="AI101" s="563">
        <f t="shared" si="101"/>
        <v>99</v>
      </c>
      <c r="AJ101" s="563">
        <f t="shared" si="101"/>
        <v>99</v>
      </c>
      <c r="AK101" s="579">
        <f t="shared" si="101"/>
        <v>99</v>
      </c>
      <c r="AL101" s="563">
        <f t="shared" si="101"/>
        <v>99</v>
      </c>
      <c r="AM101" s="563">
        <f t="shared" si="101"/>
        <v>99</v>
      </c>
      <c r="AN101" s="563">
        <f t="shared" si="101"/>
        <v>99</v>
      </c>
      <c r="AO101" s="563">
        <f t="shared" si="101"/>
        <v>99</v>
      </c>
      <c r="AP101" s="580">
        <f t="shared" si="101"/>
        <v>99</v>
      </c>
      <c r="AQ101" s="563">
        <f t="shared" si="101"/>
        <v>99</v>
      </c>
      <c r="AR101" s="563">
        <f t="shared" si="101"/>
        <v>99</v>
      </c>
      <c r="AS101" s="563">
        <f t="shared" si="101"/>
        <v>99</v>
      </c>
      <c r="AT101" s="563">
        <f t="shared" si="101"/>
        <v>99</v>
      </c>
      <c r="AU101" s="579">
        <f t="shared" si="101"/>
        <v>99</v>
      </c>
      <c r="AV101" s="563">
        <f t="shared" si="101"/>
        <v>99</v>
      </c>
      <c r="AW101" s="563">
        <f t="shared" si="101"/>
        <v>99</v>
      </c>
      <c r="AX101" s="563">
        <f t="shared" si="101"/>
        <v>99</v>
      </c>
      <c r="AY101" s="563">
        <f t="shared" si="101"/>
        <v>99</v>
      </c>
      <c r="AZ101" s="580">
        <f t="shared" si="101"/>
        <v>99</v>
      </c>
      <c r="BA101" s="563">
        <f t="shared" si="101"/>
        <v>99</v>
      </c>
      <c r="BB101" s="563">
        <f t="shared" si="101"/>
        <v>99</v>
      </c>
      <c r="BC101" s="563">
        <f t="shared" si="101"/>
        <v>99</v>
      </c>
      <c r="BD101" s="563">
        <f t="shared" si="101"/>
        <v>99</v>
      </c>
      <c r="BE101" s="579">
        <f t="shared" si="101"/>
        <v>99</v>
      </c>
      <c r="BF101" s="563">
        <f t="shared" si="101"/>
        <v>99</v>
      </c>
      <c r="BG101" s="563">
        <f t="shared" si="101"/>
        <v>99</v>
      </c>
      <c r="BH101" s="563">
        <f t="shared" si="101"/>
        <v>99</v>
      </c>
      <c r="BI101" s="563">
        <f t="shared" si="101"/>
        <v>99</v>
      </c>
      <c r="BJ101" s="580">
        <f t="shared" si="101"/>
        <v>99</v>
      </c>
      <c r="BK101" s="563">
        <f t="shared" si="101"/>
        <v>99</v>
      </c>
      <c r="BL101" s="563">
        <f t="shared" si="101"/>
        <v>99</v>
      </c>
      <c r="BM101" s="563">
        <f t="shared" si="101"/>
        <v>99</v>
      </c>
      <c r="BN101" s="563">
        <f t="shared" si="101"/>
        <v>99</v>
      </c>
      <c r="BO101" s="579">
        <f t="shared" si="101"/>
        <v>99</v>
      </c>
      <c r="BP101" s="563">
        <f t="shared" si="101"/>
        <v>99</v>
      </c>
      <c r="BQ101" s="563">
        <f t="shared" si="101"/>
        <v>99</v>
      </c>
      <c r="BR101" s="563">
        <f t="shared" si="101"/>
        <v>99</v>
      </c>
      <c r="BS101" s="563">
        <f t="shared" si="101"/>
        <v>99</v>
      </c>
      <c r="BT101" s="580">
        <f t="shared" si="101"/>
        <v>99</v>
      </c>
      <c r="BU101" s="563">
        <f t="shared" si="101"/>
        <v>99</v>
      </c>
      <c r="BV101" s="563">
        <f t="shared" si="101"/>
        <v>99</v>
      </c>
      <c r="BW101" s="563">
        <f t="shared" si="101"/>
        <v>99</v>
      </c>
      <c r="BX101" s="563">
        <f t="shared" si="101"/>
        <v>99</v>
      </c>
      <c r="BY101" s="579">
        <f t="shared" si="101"/>
        <v>99</v>
      </c>
      <c r="BZ101" s="563">
        <f t="shared" si="101"/>
        <v>99</v>
      </c>
      <c r="CA101" s="563">
        <f t="shared" si="101"/>
        <v>99</v>
      </c>
      <c r="CB101" s="563">
        <f t="shared" si="101"/>
        <v>99</v>
      </c>
      <c r="CC101" s="563">
        <f t="shared" si="101"/>
        <v>99</v>
      </c>
      <c r="CD101" s="580">
        <f t="shared" si="101"/>
        <v>99</v>
      </c>
      <c r="CE101" s="563">
        <f t="shared" si="101"/>
        <v>99</v>
      </c>
      <c r="CF101" s="563">
        <f t="shared" si="101"/>
        <v>99</v>
      </c>
      <c r="CG101" s="563">
        <f t="shared" si="101"/>
        <v>99</v>
      </c>
      <c r="CH101" s="563">
        <f t="shared" si="101"/>
        <v>99</v>
      </c>
      <c r="CI101" s="579">
        <f t="shared" si="101"/>
        <v>99</v>
      </c>
      <c r="CJ101" s="563">
        <f t="shared" si="101"/>
        <v>99</v>
      </c>
      <c r="CK101" s="563">
        <f t="shared" si="101"/>
        <v>99</v>
      </c>
      <c r="CL101" s="563">
        <f t="shared" si="101"/>
        <v>99</v>
      </c>
      <c r="CM101" s="563">
        <f t="shared" si="101"/>
        <v>99</v>
      </c>
      <c r="CN101" s="580">
        <f t="shared" si="101"/>
        <v>99</v>
      </c>
      <c r="CO101" s="563">
        <f t="shared" si="101"/>
        <v>99</v>
      </c>
      <c r="CP101" s="563">
        <f t="shared" si="101"/>
        <v>99</v>
      </c>
      <c r="CQ101" s="563">
        <f t="shared" si="101"/>
        <v>99</v>
      </c>
      <c r="CR101" s="563">
        <f t="shared" si="101"/>
        <v>99</v>
      </c>
      <c r="CS101" s="579">
        <f t="shared" si="101"/>
        <v>99</v>
      </c>
      <c r="CT101" s="563">
        <f t="shared" si="101"/>
        <v>99</v>
      </c>
      <c r="CU101" s="563">
        <f t="shared" si="101"/>
        <v>99</v>
      </c>
      <c r="CV101" s="563">
        <f t="shared" si="101"/>
        <v>99</v>
      </c>
      <c r="CW101" s="563">
        <f t="shared" si="101"/>
        <v>99</v>
      </c>
      <c r="CX101" s="563"/>
    </row>
    <row r="102" ht="14.25" customHeight="1">
      <c r="A102" s="897"/>
      <c r="B102" s="897"/>
      <c r="C102" s="681" t="s">
        <v>2350</v>
      </c>
      <c r="CX102" s="897"/>
    </row>
    <row r="103" ht="14.25" customHeight="1">
      <c r="A103" s="897"/>
      <c r="B103" s="897"/>
      <c r="C103" s="681" t="s">
        <v>2351</v>
      </c>
      <c r="CX103" s="897"/>
    </row>
    <row r="104" ht="14.25" customHeight="1">
      <c r="A104" s="897"/>
      <c r="B104" s="897"/>
      <c r="C104" s="681" t="s">
        <v>2352</v>
      </c>
      <c r="CX104" s="897"/>
    </row>
    <row r="105" ht="14.25" customHeight="1">
      <c r="A105" s="897"/>
      <c r="B105" s="897"/>
      <c r="C105" s="898" t="s">
        <v>2353</v>
      </c>
      <c r="CX105" s="897"/>
    </row>
  </sheetData>
  <mergeCells count="4">
    <mergeCell ref="C102:CW102"/>
    <mergeCell ref="C103:CW103"/>
    <mergeCell ref="C104:CW104"/>
    <mergeCell ref="C105:CW105"/>
  </mergeCells>
  <conditionalFormatting sqref="C3:CW101 CX8:CX101">
    <cfRule type="colorScale" priority="1">
      <colorScale>
        <cfvo type="min"/>
        <cfvo type="percentile" val="50"/>
        <cfvo type="max"/>
        <color rgb="FF6FA8DC"/>
        <color rgb="FFFAFB30"/>
        <color rgb="FFF74848"/>
      </colorScale>
    </cfRule>
  </conditionalFormatting>
  <conditionalFormatting sqref="C3:CW101 CX8:CX101">
    <cfRule type="expression" dxfId="1" priority="2">
      <formula>GT(C$2,$B3)</formula>
    </cfRule>
  </conditionalFormatting>
  <conditionalFormatting sqref="C3:CW101 CX8:CX101">
    <cfRule type="expression" dxfId="2" priority="3">
      <formula>EQ(A3,C3)</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26" width="26.0"/>
  </cols>
  <sheetData>
    <row r="1">
      <c r="A1" s="636"/>
      <c r="B1" s="636"/>
      <c r="C1" s="636"/>
      <c r="D1" s="636"/>
      <c r="E1" s="636"/>
    </row>
    <row r="2">
      <c r="A2" s="637"/>
      <c r="B2" s="637"/>
      <c r="C2" s="637"/>
      <c r="D2" s="637"/>
      <c r="E2" s="637"/>
    </row>
    <row r="3">
      <c r="A3" s="637"/>
      <c r="B3" s="637"/>
      <c r="C3" s="637"/>
      <c r="D3" s="637"/>
      <c r="E3" s="638"/>
    </row>
    <row r="4">
      <c r="A4" s="637"/>
      <c r="B4" s="637"/>
      <c r="C4" s="637"/>
      <c r="D4" s="637"/>
      <c r="E4" s="638"/>
    </row>
    <row r="5">
      <c r="A5" s="637"/>
      <c r="B5" s="637"/>
      <c r="C5" s="637"/>
      <c r="D5" s="637"/>
      <c r="E5" s="637"/>
    </row>
    <row r="6">
      <c r="A6" s="637"/>
      <c r="B6" s="637"/>
      <c r="C6" s="637"/>
      <c r="D6" s="637"/>
      <c r="E6" s="637"/>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0.75" footer="0.0" header="0.0" left="0.7" right="0.7" top="0.75"/>
  <pageSetup paperSize="8"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26" width="26.0"/>
  </cols>
  <sheetData>
    <row r="1">
      <c r="A1" s="636"/>
      <c r="B1" s="636"/>
      <c r="C1" s="636"/>
      <c r="D1" s="636"/>
      <c r="E1" s="636"/>
    </row>
    <row r="2">
      <c r="A2" s="637"/>
      <c r="B2" s="637"/>
      <c r="C2" s="637"/>
      <c r="D2" s="637"/>
      <c r="E2" s="642"/>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0.75" footer="0.0" header="0.0" left="0.7" right="0.7" top="0.75"/>
  <pageSetup paperSize="8"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26" width="26.0"/>
  </cols>
  <sheetData>
    <row r="1" ht="14.25" customHeight="1">
      <c r="A1" s="636"/>
      <c r="B1" s="636"/>
      <c r="C1" s="636"/>
      <c r="D1" s="636"/>
      <c r="E1" s="636"/>
      <c r="F1" s="658"/>
      <c r="G1" s="658"/>
      <c r="H1" s="658"/>
      <c r="I1" s="658"/>
      <c r="J1" s="658"/>
      <c r="K1" s="658"/>
      <c r="L1" s="658"/>
      <c r="M1" s="658"/>
      <c r="N1" s="658"/>
      <c r="O1" s="658"/>
      <c r="P1" s="658"/>
      <c r="Q1" s="658"/>
      <c r="R1" s="658"/>
      <c r="S1" s="658"/>
      <c r="T1" s="658"/>
      <c r="U1" s="658"/>
      <c r="V1" s="658"/>
      <c r="W1" s="658"/>
      <c r="X1" s="658"/>
      <c r="Y1" s="658"/>
      <c r="Z1" s="658"/>
    </row>
    <row r="2" ht="14.25" customHeight="1">
      <c r="A2" s="637"/>
      <c r="B2" s="637"/>
      <c r="C2" s="637"/>
      <c r="D2" s="637"/>
      <c r="E2" s="637"/>
      <c r="F2" s="658"/>
      <c r="G2" s="658"/>
      <c r="H2" s="658"/>
      <c r="I2" s="658"/>
      <c r="J2" s="658"/>
      <c r="K2" s="658"/>
      <c r="L2" s="658"/>
      <c r="M2" s="658"/>
      <c r="N2" s="658"/>
      <c r="O2" s="658"/>
      <c r="P2" s="658"/>
      <c r="Q2" s="658"/>
      <c r="R2" s="658"/>
      <c r="S2" s="658"/>
      <c r="T2" s="658"/>
      <c r="U2" s="658"/>
      <c r="V2" s="658"/>
      <c r="W2" s="658"/>
      <c r="X2" s="658"/>
      <c r="Y2" s="658"/>
      <c r="Z2" s="658"/>
    </row>
    <row r="3" ht="14.25" customHeight="1">
      <c r="A3" s="637"/>
      <c r="B3" s="637"/>
      <c r="C3" s="637"/>
      <c r="D3" s="637"/>
      <c r="E3" s="637"/>
      <c r="F3" s="658"/>
      <c r="G3" s="658"/>
      <c r="H3" s="658"/>
      <c r="I3" s="658"/>
      <c r="J3" s="658"/>
      <c r="K3" s="658"/>
      <c r="L3" s="658"/>
      <c r="M3" s="658"/>
      <c r="N3" s="658"/>
      <c r="O3" s="658"/>
      <c r="P3" s="658"/>
      <c r="Q3" s="658"/>
      <c r="R3" s="658"/>
      <c r="S3" s="658"/>
      <c r="T3" s="658"/>
      <c r="U3" s="658"/>
      <c r="V3" s="658"/>
      <c r="W3" s="658"/>
      <c r="X3" s="658"/>
      <c r="Y3" s="658"/>
      <c r="Z3" s="658"/>
    </row>
    <row r="4" ht="14.25" customHeight="1">
      <c r="A4" s="660"/>
      <c r="B4" s="637"/>
      <c r="C4" s="637"/>
      <c r="D4" s="661"/>
      <c r="E4" s="661"/>
      <c r="F4" s="658"/>
      <c r="G4" s="658"/>
      <c r="H4" s="658"/>
      <c r="I4" s="658"/>
      <c r="J4" s="658"/>
      <c r="K4" s="658"/>
      <c r="L4" s="658"/>
      <c r="M4" s="658"/>
      <c r="N4" s="658"/>
      <c r="O4" s="658"/>
      <c r="P4" s="658"/>
      <c r="Q4" s="658"/>
      <c r="R4" s="658"/>
      <c r="S4" s="658"/>
      <c r="T4" s="658"/>
      <c r="U4" s="658"/>
      <c r="V4" s="658"/>
      <c r="W4" s="658"/>
      <c r="X4" s="658"/>
      <c r="Y4" s="658"/>
      <c r="Z4" s="658"/>
    </row>
    <row r="5" ht="14.25" customHeight="1">
      <c r="A5" s="637"/>
      <c r="B5" s="637"/>
      <c r="C5" s="637"/>
      <c r="D5" s="637"/>
      <c r="E5" s="637"/>
      <c r="F5" s="658"/>
      <c r="G5" s="658"/>
      <c r="H5" s="658"/>
      <c r="I5" s="658"/>
      <c r="J5" s="658"/>
      <c r="K5" s="658"/>
      <c r="L5" s="658"/>
      <c r="M5" s="658"/>
      <c r="N5" s="658"/>
      <c r="O5" s="658"/>
      <c r="P5" s="658"/>
      <c r="Q5" s="658"/>
      <c r="R5" s="658"/>
      <c r="S5" s="658"/>
      <c r="T5" s="658"/>
      <c r="U5" s="658"/>
      <c r="V5" s="658"/>
      <c r="W5" s="658"/>
      <c r="X5" s="658"/>
      <c r="Y5" s="658"/>
      <c r="Z5" s="658"/>
    </row>
    <row r="6" ht="14.25" customHeight="1">
      <c r="A6" s="658"/>
      <c r="B6" s="658"/>
      <c r="C6" s="658"/>
      <c r="D6" s="658"/>
      <c r="E6" s="658"/>
      <c r="F6" s="658"/>
      <c r="G6" s="658"/>
      <c r="H6" s="658"/>
      <c r="I6" s="658"/>
      <c r="J6" s="658"/>
      <c r="K6" s="658"/>
      <c r="L6" s="658"/>
      <c r="M6" s="658"/>
      <c r="N6" s="658"/>
      <c r="O6" s="658"/>
      <c r="P6" s="658"/>
      <c r="Q6" s="658"/>
      <c r="R6" s="658"/>
      <c r="S6" s="658"/>
      <c r="T6" s="658"/>
      <c r="U6" s="658"/>
      <c r="V6" s="658"/>
      <c r="W6" s="658"/>
      <c r="X6" s="658"/>
      <c r="Y6" s="658"/>
      <c r="Z6" s="658"/>
    </row>
    <row r="7" ht="14.25" customHeight="1">
      <c r="A7" s="658"/>
      <c r="B7" s="658"/>
      <c r="C7" s="658"/>
      <c r="D7" s="658"/>
      <c r="E7" s="658"/>
      <c r="F7" s="658"/>
      <c r="G7" s="658"/>
      <c r="H7" s="658"/>
      <c r="I7" s="658"/>
      <c r="J7" s="658"/>
      <c r="K7" s="658"/>
      <c r="L7" s="658"/>
      <c r="M7" s="658"/>
      <c r="N7" s="658"/>
      <c r="O7" s="658"/>
      <c r="P7" s="658"/>
      <c r="Q7" s="658"/>
      <c r="R7" s="658"/>
      <c r="S7" s="658"/>
      <c r="T7" s="658"/>
      <c r="U7" s="658"/>
      <c r="V7" s="658"/>
      <c r="W7" s="658"/>
      <c r="X7" s="658"/>
      <c r="Y7" s="658"/>
      <c r="Z7" s="658"/>
    </row>
    <row r="8" ht="14.25" customHeight="1">
      <c r="A8" s="658"/>
      <c r="B8" s="658"/>
      <c r="C8" s="658"/>
      <c r="D8" s="658"/>
      <c r="E8" s="658"/>
      <c r="F8" s="658"/>
      <c r="G8" s="658"/>
      <c r="H8" s="658"/>
      <c r="I8" s="658"/>
      <c r="J8" s="658"/>
      <c r="K8" s="658"/>
      <c r="L8" s="658"/>
      <c r="M8" s="658"/>
      <c r="N8" s="658"/>
      <c r="O8" s="658"/>
      <c r="P8" s="658"/>
      <c r="Q8" s="658"/>
      <c r="R8" s="658"/>
      <c r="S8" s="658"/>
      <c r="T8" s="658"/>
      <c r="U8" s="658"/>
      <c r="V8" s="658"/>
      <c r="W8" s="658"/>
      <c r="X8" s="658"/>
      <c r="Y8" s="658"/>
      <c r="Z8" s="658"/>
    </row>
    <row r="9" ht="14.25" customHeight="1">
      <c r="A9" s="658"/>
      <c r="B9" s="658"/>
      <c r="C9" s="658"/>
      <c r="D9" s="658"/>
      <c r="E9" s="658"/>
      <c r="F9" s="658"/>
      <c r="G9" s="658"/>
      <c r="H9" s="658"/>
      <c r="I9" s="658"/>
      <c r="J9" s="658"/>
      <c r="K9" s="658"/>
      <c r="L9" s="658"/>
      <c r="M9" s="658"/>
      <c r="N9" s="658"/>
      <c r="O9" s="658"/>
      <c r="P9" s="658"/>
      <c r="Q9" s="658"/>
      <c r="R9" s="658"/>
      <c r="S9" s="658"/>
      <c r="T9" s="658"/>
      <c r="U9" s="658"/>
      <c r="V9" s="658"/>
      <c r="W9" s="658"/>
      <c r="X9" s="658"/>
      <c r="Y9" s="658"/>
      <c r="Z9" s="658"/>
    </row>
    <row r="10" ht="14.25" customHeight="1">
      <c r="A10" s="658"/>
      <c r="B10" s="658"/>
      <c r="C10" s="658"/>
      <c r="D10" s="658"/>
      <c r="E10" s="658"/>
      <c r="F10" s="658"/>
      <c r="G10" s="658"/>
      <c r="H10" s="658"/>
      <c r="I10" s="658"/>
      <c r="J10" s="658"/>
      <c r="K10" s="658"/>
      <c r="L10" s="658"/>
      <c r="M10" s="658"/>
      <c r="N10" s="658"/>
      <c r="O10" s="658"/>
      <c r="P10" s="658"/>
      <c r="Q10" s="658"/>
      <c r="R10" s="658"/>
      <c r="S10" s="658"/>
      <c r="T10" s="658"/>
      <c r="U10" s="658"/>
      <c r="V10" s="658"/>
      <c r="W10" s="658"/>
      <c r="X10" s="658"/>
      <c r="Y10" s="658"/>
      <c r="Z10" s="658"/>
    </row>
    <row r="11" ht="14.25" customHeight="1">
      <c r="A11" s="658"/>
      <c r="B11" s="658"/>
      <c r="C11" s="658"/>
      <c r="D11" s="658"/>
      <c r="E11" s="658"/>
      <c r="F11" s="658"/>
      <c r="G11" s="658"/>
      <c r="H11" s="658"/>
      <c r="I11" s="658"/>
      <c r="J11" s="658"/>
      <c r="K11" s="658"/>
      <c r="L11" s="658"/>
      <c r="M11" s="658"/>
      <c r="N11" s="658"/>
      <c r="O11" s="658"/>
      <c r="P11" s="658"/>
      <c r="Q11" s="658"/>
      <c r="R11" s="658"/>
      <c r="S11" s="658"/>
      <c r="T11" s="658"/>
      <c r="U11" s="658"/>
      <c r="V11" s="658"/>
      <c r="W11" s="658"/>
      <c r="X11" s="658"/>
      <c r="Y11" s="658"/>
      <c r="Z11" s="658"/>
    </row>
    <row r="12" ht="14.25" customHeight="1">
      <c r="A12" s="658"/>
      <c r="B12" s="658"/>
      <c r="C12" s="658"/>
      <c r="D12" s="658"/>
      <c r="E12" s="658"/>
      <c r="F12" s="658"/>
      <c r="G12" s="658"/>
      <c r="H12" s="658"/>
      <c r="I12" s="658"/>
      <c r="J12" s="658"/>
      <c r="K12" s="658"/>
      <c r="L12" s="658"/>
      <c r="M12" s="658"/>
      <c r="N12" s="658"/>
      <c r="O12" s="658"/>
      <c r="P12" s="658"/>
      <c r="Q12" s="658"/>
      <c r="R12" s="658"/>
      <c r="S12" s="658"/>
      <c r="T12" s="658"/>
      <c r="U12" s="658"/>
      <c r="V12" s="658"/>
      <c r="W12" s="658"/>
      <c r="X12" s="658"/>
      <c r="Y12" s="658"/>
      <c r="Z12" s="658"/>
    </row>
    <row r="13" ht="14.25" customHeight="1">
      <c r="A13" s="658"/>
      <c r="B13" s="658"/>
      <c r="C13" s="658"/>
      <c r="D13" s="658"/>
      <c r="E13" s="658"/>
      <c r="F13" s="658"/>
      <c r="G13" s="658"/>
      <c r="H13" s="658"/>
      <c r="I13" s="658"/>
      <c r="J13" s="658"/>
      <c r="K13" s="658"/>
      <c r="L13" s="658"/>
      <c r="M13" s="658"/>
      <c r="N13" s="658"/>
      <c r="O13" s="658"/>
      <c r="P13" s="658"/>
      <c r="Q13" s="658"/>
      <c r="R13" s="658"/>
      <c r="S13" s="658"/>
      <c r="T13" s="658"/>
      <c r="U13" s="658"/>
      <c r="V13" s="658"/>
      <c r="W13" s="658"/>
      <c r="X13" s="658"/>
      <c r="Y13" s="658"/>
      <c r="Z13" s="658"/>
    </row>
    <row r="14" ht="14.25" customHeight="1">
      <c r="A14" s="658"/>
      <c r="B14" s="658"/>
      <c r="C14" s="658"/>
      <c r="D14" s="658"/>
      <c r="E14" s="658"/>
      <c r="F14" s="658"/>
      <c r="G14" s="658"/>
      <c r="H14" s="658"/>
      <c r="I14" s="658"/>
      <c r="J14" s="658"/>
      <c r="K14" s="658"/>
      <c r="L14" s="658"/>
      <c r="M14" s="658"/>
      <c r="N14" s="658"/>
      <c r="O14" s="658"/>
      <c r="P14" s="658"/>
      <c r="Q14" s="658"/>
      <c r="R14" s="658"/>
      <c r="S14" s="658"/>
      <c r="T14" s="658"/>
      <c r="U14" s="658"/>
      <c r="V14" s="658"/>
      <c r="W14" s="658"/>
      <c r="X14" s="658"/>
      <c r="Y14" s="658"/>
      <c r="Z14" s="658"/>
    </row>
    <row r="15" ht="14.25" customHeight="1">
      <c r="A15" s="658"/>
      <c r="B15" s="658"/>
      <c r="C15" s="658"/>
      <c r="D15" s="658"/>
      <c r="E15" s="658"/>
      <c r="F15" s="658"/>
      <c r="G15" s="658"/>
      <c r="H15" s="658"/>
      <c r="I15" s="658"/>
      <c r="J15" s="658"/>
      <c r="K15" s="658"/>
      <c r="L15" s="658"/>
      <c r="M15" s="658"/>
      <c r="N15" s="658"/>
      <c r="O15" s="658"/>
      <c r="P15" s="658"/>
      <c r="Q15" s="658"/>
      <c r="R15" s="658"/>
      <c r="S15" s="658"/>
      <c r="T15" s="658"/>
      <c r="U15" s="658"/>
      <c r="V15" s="658"/>
      <c r="W15" s="658"/>
      <c r="X15" s="658"/>
      <c r="Y15" s="658"/>
      <c r="Z15" s="658"/>
    </row>
    <row r="16" ht="14.25" customHeight="1">
      <c r="A16" s="658"/>
      <c r="B16" s="658"/>
      <c r="C16" s="658"/>
      <c r="D16" s="658"/>
      <c r="E16" s="658"/>
      <c r="F16" s="658"/>
      <c r="G16" s="658"/>
      <c r="H16" s="658"/>
      <c r="I16" s="658"/>
      <c r="J16" s="658"/>
      <c r="K16" s="658"/>
      <c r="L16" s="658"/>
      <c r="M16" s="658"/>
      <c r="N16" s="658"/>
      <c r="O16" s="658"/>
      <c r="P16" s="658"/>
      <c r="Q16" s="658"/>
      <c r="R16" s="658"/>
      <c r="S16" s="658"/>
      <c r="T16" s="658"/>
      <c r="U16" s="658"/>
      <c r="V16" s="658"/>
      <c r="W16" s="658"/>
      <c r="X16" s="658"/>
      <c r="Y16" s="658"/>
      <c r="Z16" s="658"/>
    </row>
    <row r="17" ht="14.25" customHeight="1">
      <c r="A17" s="658"/>
      <c r="B17" s="658"/>
      <c r="C17" s="658"/>
      <c r="D17" s="658"/>
      <c r="E17" s="658"/>
      <c r="F17" s="658"/>
      <c r="G17" s="658"/>
      <c r="H17" s="658"/>
      <c r="I17" s="658"/>
      <c r="J17" s="658"/>
      <c r="K17" s="658"/>
      <c r="L17" s="658"/>
      <c r="M17" s="658"/>
      <c r="N17" s="658"/>
      <c r="O17" s="658"/>
      <c r="P17" s="658"/>
      <c r="Q17" s="658"/>
      <c r="R17" s="658"/>
      <c r="S17" s="658"/>
      <c r="T17" s="658"/>
      <c r="U17" s="658"/>
      <c r="V17" s="658"/>
      <c r="W17" s="658"/>
      <c r="X17" s="658"/>
      <c r="Y17" s="658"/>
      <c r="Z17" s="658"/>
    </row>
    <row r="18" ht="14.25" customHeight="1">
      <c r="A18" s="658"/>
      <c r="B18" s="658"/>
      <c r="C18" s="658"/>
      <c r="D18" s="658"/>
      <c r="E18" s="658"/>
      <c r="F18" s="658"/>
      <c r="G18" s="658"/>
      <c r="H18" s="658"/>
      <c r="I18" s="658"/>
      <c r="J18" s="658"/>
      <c r="K18" s="658"/>
      <c r="L18" s="658"/>
      <c r="M18" s="658"/>
      <c r="N18" s="658"/>
      <c r="O18" s="658"/>
      <c r="P18" s="658"/>
      <c r="Q18" s="658"/>
      <c r="R18" s="658"/>
      <c r="S18" s="658"/>
      <c r="T18" s="658"/>
      <c r="U18" s="658"/>
      <c r="V18" s="658"/>
      <c r="W18" s="658"/>
      <c r="X18" s="658"/>
      <c r="Y18" s="658"/>
      <c r="Z18" s="658"/>
    </row>
    <row r="19" ht="14.25" customHeight="1">
      <c r="A19" s="658"/>
      <c r="B19" s="658"/>
      <c r="C19" s="658"/>
      <c r="D19" s="658"/>
      <c r="E19" s="658"/>
      <c r="F19" s="658"/>
      <c r="G19" s="658"/>
      <c r="H19" s="658"/>
      <c r="I19" s="658"/>
      <c r="J19" s="658"/>
      <c r="K19" s="658"/>
      <c r="L19" s="658"/>
      <c r="M19" s="658"/>
      <c r="N19" s="658"/>
      <c r="O19" s="658"/>
      <c r="P19" s="658"/>
      <c r="Q19" s="658"/>
      <c r="R19" s="658"/>
      <c r="S19" s="658"/>
      <c r="T19" s="658"/>
      <c r="U19" s="658"/>
      <c r="V19" s="658"/>
      <c r="W19" s="658"/>
      <c r="X19" s="658"/>
      <c r="Y19" s="658"/>
      <c r="Z19" s="658"/>
    </row>
    <row r="20" ht="14.25" customHeight="1">
      <c r="A20" s="658"/>
      <c r="B20" s="658"/>
      <c r="C20" s="658"/>
      <c r="D20" s="658"/>
      <c r="E20" s="658"/>
      <c r="F20" s="658"/>
      <c r="G20" s="658"/>
      <c r="H20" s="658"/>
      <c r="I20" s="658"/>
      <c r="J20" s="658"/>
      <c r="K20" s="658"/>
      <c r="L20" s="658"/>
      <c r="M20" s="658"/>
      <c r="N20" s="658"/>
      <c r="O20" s="658"/>
      <c r="P20" s="658"/>
      <c r="Q20" s="658"/>
      <c r="R20" s="658"/>
      <c r="S20" s="658"/>
      <c r="T20" s="658"/>
      <c r="U20" s="658"/>
      <c r="V20" s="658"/>
      <c r="W20" s="658"/>
      <c r="X20" s="658"/>
      <c r="Y20" s="658"/>
      <c r="Z20" s="658"/>
    </row>
    <row r="21" ht="14.25" customHeight="1">
      <c r="A21" s="658"/>
      <c r="B21" s="658"/>
      <c r="C21" s="658"/>
      <c r="D21" s="658"/>
      <c r="E21" s="658"/>
      <c r="F21" s="658"/>
      <c r="G21" s="658"/>
      <c r="H21" s="658"/>
      <c r="I21" s="658"/>
      <c r="J21" s="658"/>
      <c r="K21" s="658"/>
      <c r="L21" s="658"/>
      <c r="M21" s="658"/>
      <c r="N21" s="658"/>
      <c r="O21" s="658"/>
      <c r="P21" s="658"/>
      <c r="Q21" s="658"/>
      <c r="R21" s="658"/>
      <c r="S21" s="658"/>
      <c r="T21" s="658"/>
      <c r="U21" s="658"/>
      <c r="V21" s="658"/>
      <c r="W21" s="658"/>
      <c r="X21" s="658"/>
      <c r="Y21" s="658"/>
      <c r="Z21" s="658"/>
    </row>
    <row r="22" ht="14.25" customHeight="1">
      <c r="A22" s="658"/>
      <c r="B22" s="658"/>
      <c r="C22" s="658"/>
      <c r="D22" s="658"/>
      <c r="E22" s="658"/>
      <c r="F22" s="658"/>
      <c r="G22" s="658"/>
      <c r="H22" s="658"/>
      <c r="I22" s="658"/>
      <c r="J22" s="658"/>
      <c r="K22" s="658"/>
      <c r="L22" s="658"/>
      <c r="M22" s="658"/>
      <c r="N22" s="658"/>
      <c r="O22" s="658"/>
      <c r="P22" s="658"/>
      <c r="Q22" s="658"/>
      <c r="R22" s="658"/>
      <c r="S22" s="658"/>
      <c r="T22" s="658"/>
      <c r="U22" s="658"/>
      <c r="V22" s="658"/>
      <c r="W22" s="658"/>
      <c r="X22" s="658"/>
      <c r="Y22" s="658"/>
      <c r="Z22" s="658"/>
    </row>
    <row r="23" ht="14.25" customHeight="1">
      <c r="A23" s="658"/>
      <c r="B23" s="658"/>
      <c r="C23" s="658"/>
      <c r="D23" s="658"/>
      <c r="E23" s="658"/>
      <c r="F23" s="658"/>
      <c r="G23" s="658"/>
      <c r="H23" s="658"/>
      <c r="I23" s="658"/>
      <c r="J23" s="658"/>
      <c r="K23" s="658"/>
      <c r="L23" s="658"/>
      <c r="M23" s="658"/>
      <c r="N23" s="658"/>
      <c r="O23" s="658"/>
      <c r="P23" s="658"/>
      <c r="Q23" s="658"/>
      <c r="R23" s="658"/>
      <c r="S23" s="658"/>
      <c r="T23" s="658"/>
      <c r="U23" s="658"/>
      <c r="V23" s="658"/>
      <c r="W23" s="658"/>
      <c r="X23" s="658"/>
      <c r="Y23" s="658"/>
      <c r="Z23" s="658"/>
    </row>
    <row r="24" ht="14.25" customHeight="1">
      <c r="A24" s="658"/>
      <c r="B24" s="658"/>
      <c r="C24" s="658"/>
      <c r="D24" s="658"/>
      <c r="E24" s="658"/>
      <c r="F24" s="658"/>
      <c r="G24" s="658"/>
      <c r="H24" s="658"/>
      <c r="I24" s="658"/>
      <c r="J24" s="658"/>
      <c r="K24" s="658"/>
      <c r="L24" s="658"/>
      <c r="M24" s="658"/>
      <c r="N24" s="658"/>
      <c r="O24" s="658"/>
      <c r="P24" s="658"/>
      <c r="Q24" s="658"/>
      <c r="R24" s="658"/>
      <c r="S24" s="658"/>
      <c r="T24" s="658"/>
      <c r="U24" s="658"/>
      <c r="V24" s="658"/>
      <c r="W24" s="658"/>
      <c r="X24" s="658"/>
      <c r="Y24" s="658"/>
      <c r="Z24" s="658"/>
    </row>
    <row r="25" ht="14.25" customHeight="1">
      <c r="A25" s="658"/>
      <c r="B25" s="658"/>
      <c r="C25" s="658"/>
      <c r="D25" s="658"/>
      <c r="E25" s="658"/>
      <c r="F25" s="658"/>
      <c r="G25" s="658"/>
      <c r="H25" s="658"/>
      <c r="I25" s="658"/>
      <c r="J25" s="658"/>
      <c r="K25" s="658"/>
      <c r="L25" s="658"/>
      <c r="M25" s="658"/>
      <c r="N25" s="658"/>
      <c r="O25" s="658"/>
      <c r="P25" s="658"/>
      <c r="Q25" s="658"/>
      <c r="R25" s="658"/>
      <c r="S25" s="658"/>
      <c r="T25" s="658"/>
      <c r="U25" s="658"/>
      <c r="V25" s="658"/>
      <c r="W25" s="658"/>
      <c r="X25" s="658"/>
      <c r="Y25" s="658"/>
      <c r="Z25" s="658"/>
    </row>
    <row r="26" ht="14.25" customHeight="1">
      <c r="A26" s="658"/>
      <c r="B26" s="658"/>
      <c r="C26" s="658"/>
      <c r="D26" s="658"/>
      <c r="E26" s="658"/>
      <c r="F26" s="658"/>
      <c r="G26" s="658"/>
      <c r="H26" s="658"/>
      <c r="I26" s="658"/>
      <c r="J26" s="658"/>
      <c r="K26" s="658"/>
      <c r="L26" s="658"/>
      <c r="M26" s="658"/>
      <c r="N26" s="658"/>
      <c r="O26" s="658"/>
      <c r="P26" s="658"/>
      <c r="Q26" s="658"/>
      <c r="R26" s="658"/>
      <c r="S26" s="658"/>
      <c r="T26" s="658"/>
      <c r="U26" s="658"/>
      <c r="V26" s="658"/>
      <c r="W26" s="658"/>
      <c r="X26" s="658"/>
      <c r="Y26" s="658"/>
      <c r="Z26" s="658"/>
    </row>
    <row r="27" ht="14.25" customHeight="1">
      <c r="A27" s="658"/>
      <c r="B27" s="658"/>
      <c r="C27" s="658"/>
      <c r="D27" s="658"/>
      <c r="E27" s="658"/>
      <c r="F27" s="658"/>
      <c r="G27" s="658"/>
      <c r="H27" s="658"/>
      <c r="I27" s="658"/>
      <c r="J27" s="658"/>
      <c r="K27" s="658"/>
      <c r="L27" s="658"/>
      <c r="M27" s="658"/>
      <c r="N27" s="658"/>
      <c r="O27" s="658"/>
      <c r="P27" s="658"/>
      <c r="Q27" s="658"/>
      <c r="R27" s="658"/>
      <c r="S27" s="658"/>
      <c r="T27" s="658"/>
      <c r="U27" s="658"/>
      <c r="V27" s="658"/>
      <c r="W27" s="658"/>
      <c r="X27" s="658"/>
      <c r="Y27" s="658"/>
      <c r="Z27" s="658"/>
    </row>
    <row r="28" ht="14.25" customHeight="1">
      <c r="A28" s="658"/>
      <c r="B28" s="658"/>
      <c r="C28" s="658"/>
      <c r="D28" s="658"/>
      <c r="E28" s="658"/>
      <c r="F28" s="658"/>
      <c r="G28" s="658"/>
      <c r="H28" s="658"/>
      <c r="I28" s="658"/>
      <c r="J28" s="658"/>
      <c r="K28" s="658"/>
      <c r="L28" s="658"/>
      <c r="M28" s="658"/>
      <c r="N28" s="658"/>
      <c r="O28" s="658"/>
      <c r="P28" s="658"/>
      <c r="Q28" s="658"/>
      <c r="R28" s="658"/>
      <c r="S28" s="658"/>
      <c r="T28" s="658"/>
      <c r="U28" s="658"/>
      <c r="V28" s="658"/>
      <c r="W28" s="658"/>
      <c r="X28" s="658"/>
      <c r="Y28" s="658"/>
      <c r="Z28" s="658"/>
    </row>
    <row r="29" ht="14.25" customHeight="1">
      <c r="A29" s="658"/>
      <c r="B29" s="658"/>
      <c r="C29" s="658"/>
      <c r="D29" s="658"/>
      <c r="E29" s="658"/>
      <c r="F29" s="658"/>
      <c r="G29" s="658"/>
      <c r="H29" s="658"/>
      <c r="I29" s="658"/>
      <c r="J29" s="658"/>
      <c r="K29" s="658"/>
      <c r="L29" s="658"/>
      <c r="M29" s="658"/>
      <c r="N29" s="658"/>
      <c r="O29" s="658"/>
      <c r="P29" s="658"/>
      <c r="Q29" s="658"/>
      <c r="R29" s="658"/>
      <c r="S29" s="658"/>
      <c r="T29" s="658"/>
      <c r="U29" s="658"/>
      <c r="V29" s="658"/>
      <c r="W29" s="658"/>
      <c r="X29" s="658"/>
      <c r="Y29" s="658"/>
      <c r="Z29" s="658"/>
    </row>
    <row r="30" ht="14.25" customHeight="1">
      <c r="A30" s="658"/>
      <c r="B30" s="658"/>
      <c r="C30" s="658"/>
      <c r="D30" s="658"/>
      <c r="E30" s="658"/>
      <c r="F30" s="658"/>
      <c r="G30" s="658"/>
      <c r="H30" s="658"/>
      <c r="I30" s="658"/>
      <c r="J30" s="658"/>
      <c r="K30" s="658"/>
      <c r="L30" s="658"/>
      <c r="M30" s="658"/>
      <c r="N30" s="658"/>
      <c r="O30" s="658"/>
      <c r="P30" s="658"/>
      <c r="Q30" s="658"/>
      <c r="R30" s="658"/>
      <c r="S30" s="658"/>
      <c r="T30" s="658"/>
      <c r="U30" s="658"/>
      <c r="V30" s="658"/>
      <c r="W30" s="658"/>
      <c r="X30" s="658"/>
      <c r="Y30" s="658"/>
      <c r="Z30" s="658"/>
    </row>
    <row r="31" ht="14.25" customHeight="1">
      <c r="A31" s="658"/>
      <c r="B31" s="658"/>
      <c r="C31" s="658"/>
      <c r="D31" s="658"/>
      <c r="E31" s="658"/>
      <c r="F31" s="658"/>
      <c r="G31" s="658"/>
      <c r="H31" s="658"/>
      <c r="I31" s="658"/>
      <c r="J31" s="658"/>
      <c r="K31" s="658"/>
      <c r="L31" s="658"/>
      <c r="M31" s="658"/>
      <c r="N31" s="658"/>
      <c r="O31" s="658"/>
      <c r="P31" s="658"/>
      <c r="Q31" s="658"/>
      <c r="R31" s="658"/>
      <c r="S31" s="658"/>
      <c r="T31" s="658"/>
      <c r="U31" s="658"/>
      <c r="V31" s="658"/>
      <c r="W31" s="658"/>
      <c r="X31" s="658"/>
      <c r="Y31" s="658"/>
      <c r="Z31" s="658"/>
    </row>
    <row r="32" ht="14.25" customHeight="1">
      <c r="A32" s="658"/>
      <c r="B32" s="658"/>
      <c r="C32" s="658"/>
      <c r="D32" s="658"/>
      <c r="E32" s="658"/>
      <c r="F32" s="658"/>
      <c r="G32" s="658"/>
      <c r="H32" s="658"/>
      <c r="I32" s="658"/>
      <c r="J32" s="658"/>
      <c r="K32" s="658"/>
      <c r="L32" s="658"/>
      <c r="M32" s="658"/>
      <c r="N32" s="658"/>
      <c r="O32" s="658"/>
      <c r="P32" s="658"/>
      <c r="Q32" s="658"/>
      <c r="R32" s="658"/>
      <c r="S32" s="658"/>
      <c r="T32" s="658"/>
      <c r="U32" s="658"/>
      <c r="V32" s="658"/>
      <c r="W32" s="658"/>
      <c r="X32" s="658"/>
      <c r="Y32" s="658"/>
      <c r="Z32" s="658"/>
    </row>
    <row r="33" ht="14.25" customHeight="1">
      <c r="A33" s="658"/>
      <c r="B33" s="658"/>
      <c r="C33" s="658"/>
      <c r="D33" s="658"/>
      <c r="E33" s="658"/>
      <c r="F33" s="658"/>
      <c r="G33" s="658"/>
      <c r="H33" s="658"/>
      <c r="I33" s="658"/>
      <c r="J33" s="658"/>
      <c r="K33" s="658"/>
      <c r="L33" s="658"/>
      <c r="M33" s="658"/>
      <c r="N33" s="658"/>
      <c r="O33" s="658"/>
      <c r="P33" s="658"/>
      <c r="Q33" s="658"/>
      <c r="R33" s="658"/>
      <c r="S33" s="658"/>
      <c r="T33" s="658"/>
      <c r="U33" s="658"/>
      <c r="V33" s="658"/>
      <c r="W33" s="658"/>
      <c r="X33" s="658"/>
      <c r="Y33" s="658"/>
      <c r="Z33" s="658"/>
    </row>
    <row r="34" ht="14.25" customHeight="1">
      <c r="A34" s="658"/>
      <c r="B34" s="658"/>
      <c r="C34" s="658"/>
      <c r="D34" s="658"/>
      <c r="E34" s="658"/>
      <c r="F34" s="658"/>
      <c r="G34" s="658"/>
      <c r="H34" s="658"/>
      <c r="I34" s="658"/>
      <c r="J34" s="658"/>
      <c r="K34" s="658"/>
      <c r="L34" s="658"/>
      <c r="M34" s="658"/>
      <c r="N34" s="658"/>
      <c r="O34" s="658"/>
      <c r="P34" s="658"/>
      <c r="Q34" s="658"/>
      <c r="R34" s="658"/>
      <c r="S34" s="658"/>
      <c r="T34" s="658"/>
      <c r="U34" s="658"/>
      <c r="V34" s="658"/>
      <c r="W34" s="658"/>
      <c r="X34" s="658"/>
      <c r="Y34" s="658"/>
      <c r="Z34" s="658"/>
    </row>
    <row r="35" ht="14.25" customHeight="1">
      <c r="A35" s="658"/>
      <c r="B35" s="658"/>
      <c r="C35" s="658"/>
      <c r="D35" s="658"/>
      <c r="E35" s="658"/>
      <c r="F35" s="658"/>
      <c r="G35" s="658"/>
      <c r="H35" s="658"/>
      <c r="I35" s="658"/>
      <c r="J35" s="658"/>
      <c r="K35" s="658"/>
      <c r="L35" s="658"/>
      <c r="M35" s="658"/>
      <c r="N35" s="658"/>
      <c r="O35" s="658"/>
      <c r="P35" s="658"/>
      <c r="Q35" s="658"/>
      <c r="R35" s="658"/>
      <c r="S35" s="658"/>
      <c r="T35" s="658"/>
      <c r="U35" s="658"/>
      <c r="V35" s="658"/>
      <c r="W35" s="658"/>
      <c r="X35" s="658"/>
      <c r="Y35" s="658"/>
      <c r="Z35" s="658"/>
    </row>
    <row r="36" ht="14.25" customHeight="1">
      <c r="A36" s="658"/>
      <c r="B36" s="658"/>
      <c r="C36" s="658"/>
      <c r="D36" s="658"/>
      <c r="E36" s="658"/>
      <c r="F36" s="658"/>
      <c r="G36" s="658"/>
      <c r="H36" s="658"/>
      <c r="I36" s="658"/>
      <c r="J36" s="658"/>
      <c r="K36" s="658"/>
      <c r="L36" s="658"/>
      <c r="M36" s="658"/>
      <c r="N36" s="658"/>
      <c r="O36" s="658"/>
      <c r="P36" s="658"/>
      <c r="Q36" s="658"/>
      <c r="R36" s="658"/>
      <c r="S36" s="658"/>
      <c r="T36" s="658"/>
      <c r="U36" s="658"/>
      <c r="V36" s="658"/>
      <c r="W36" s="658"/>
      <c r="X36" s="658"/>
      <c r="Y36" s="658"/>
      <c r="Z36" s="658"/>
    </row>
    <row r="37" ht="14.25" customHeight="1">
      <c r="A37" s="658"/>
      <c r="B37" s="658"/>
      <c r="C37" s="658"/>
      <c r="D37" s="658"/>
      <c r="E37" s="658"/>
      <c r="F37" s="658"/>
      <c r="G37" s="658"/>
      <c r="H37" s="658"/>
      <c r="I37" s="658"/>
      <c r="J37" s="658"/>
      <c r="K37" s="658"/>
      <c r="L37" s="658"/>
      <c r="M37" s="658"/>
      <c r="N37" s="658"/>
      <c r="O37" s="658"/>
      <c r="P37" s="658"/>
      <c r="Q37" s="658"/>
      <c r="R37" s="658"/>
      <c r="S37" s="658"/>
      <c r="T37" s="658"/>
      <c r="U37" s="658"/>
      <c r="V37" s="658"/>
      <c r="W37" s="658"/>
      <c r="X37" s="658"/>
      <c r="Y37" s="658"/>
      <c r="Z37" s="658"/>
    </row>
    <row r="38" ht="14.25" customHeight="1">
      <c r="A38" s="658"/>
      <c r="B38" s="658"/>
      <c r="C38" s="658"/>
      <c r="D38" s="658"/>
      <c r="E38" s="658"/>
      <c r="F38" s="658"/>
      <c r="G38" s="658"/>
      <c r="H38" s="658"/>
      <c r="I38" s="658"/>
      <c r="J38" s="658"/>
      <c r="K38" s="658"/>
      <c r="L38" s="658"/>
      <c r="M38" s="658"/>
      <c r="N38" s="658"/>
      <c r="O38" s="658"/>
      <c r="P38" s="658"/>
      <c r="Q38" s="658"/>
      <c r="R38" s="658"/>
      <c r="S38" s="658"/>
      <c r="T38" s="658"/>
      <c r="U38" s="658"/>
      <c r="V38" s="658"/>
      <c r="W38" s="658"/>
      <c r="X38" s="658"/>
      <c r="Y38" s="658"/>
      <c r="Z38" s="658"/>
    </row>
    <row r="39" ht="14.25" customHeight="1">
      <c r="A39" s="658"/>
      <c r="B39" s="658"/>
      <c r="C39" s="658"/>
      <c r="D39" s="658"/>
      <c r="E39" s="658"/>
      <c r="F39" s="658"/>
      <c r="G39" s="658"/>
      <c r="H39" s="658"/>
      <c r="I39" s="658"/>
      <c r="J39" s="658"/>
      <c r="K39" s="658"/>
      <c r="L39" s="658"/>
      <c r="M39" s="658"/>
      <c r="N39" s="658"/>
      <c r="O39" s="658"/>
      <c r="P39" s="658"/>
      <c r="Q39" s="658"/>
      <c r="R39" s="658"/>
      <c r="S39" s="658"/>
      <c r="T39" s="658"/>
      <c r="U39" s="658"/>
      <c r="V39" s="658"/>
      <c r="W39" s="658"/>
      <c r="X39" s="658"/>
      <c r="Y39" s="658"/>
      <c r="Z39" s="658"/>
    </row>
    <row r="40" ht="14.25" customHeight="1">
      <c r="A40" s="658"/>
      <c r="B40" s="658"/>
      <c r="C40" s="658"/>
      <c r="D40" s="658"/>
      <c r="E40" s="658"/>
      <c r="F40" s="658"/>
      <c r="G40" s="658"/>
      <c r="H40" s="658"/>
      <c r="I40" s="658"/>
      <c r="J40" s="658"/>
      <c r="K40" s="658"/>
      <c r="L40" s="658"/>
      <c r="M40" s="658"/>
      <c r="N40" s="658"/>
      <c r="O40" s="658"/>
      <c r="P40" s="658"/>
      <c r="Q40" s="658"/>
      <c r="R40" s="658"/>
      <c r="S40" s="658"/>
      <c r="T40" s="658"/>
      <c r="U40" s="658"/>
      <c r="V40" s="658"/>
      <c r="W40" s="658"/>
      <c r="X40" s="658"/>
      <c r="Y40" s="658"/>
      <c r="Z40" s="658"/>
    </row>
    <row r="41" ht="14.25" customHeight="1">
      <c r="A41" s="658"/>
      <c r="B41" s="658"/>
      <c r="C41" s="658"/>
      <c r="D41" s="658"/>
      <c r="E41" s="658"/>
      <c r="F41" s="658"/>
      <c r="G41" s="658"/>
      <c r="H41" s="658"/>
      <c r="I41" s="658"/>
      <c r="J41" s="658"/>
      <c r="K41" s="658"/>
      <c r="L41" s="658"/>
      <c r="M41" s="658"/>
      <c r="N41" s="658"/>
      <c r="O41" s="658"/>
      <c r="P41" s="658"/>
      <c r="Q41" s="658"/>
      <c r="R41" s="658"/>
      <c r="S41" s="658"/>
      <c r="T41" s="658"/>
      <c r="U41" s="658"/>
      <c r="V41" s="658"/>
      <c r="W41" s="658"/>
      <c r="X41" s="658"/>
      <c r="Y41" s="658"/>
      <c r="Z41" s="658"/>
    </row>
    <row r="42" ht="14.25" customHeight="1">
      <c r="A42" s="658"/>
      <c r="B42" s="658"/>
      <c r="C42" s="658"/>
      <c r="D42" s="658"/>
      <c r="E42" s="658"/>
      <c r="F42" s="658"/>
      <c r="G42" s="658"/>
      <c r="H42" s="658"/>
      <c r="I42" s="658"/>
      <c r="J42" s="658"/>
      <c r="K42" s="658"/>
      <c r="L42" s="658"/>
      <c r="M42" s="658"/>
      <c r="N42" s="658"/>
      <c r="O42" s="658"/>
      <c r="P42" s="658"/>
      <c r="Q42" s="658"/>
      <c r="R42" s="658"/>
      <c r="S42" s="658"/>
      <c r="T42" s="658"/>
      <c r="U42" s="658"/>
      <c r="V42" s="658"/>
      <c r="W42" s="658"/>
      <c r="X42" s="658"/>
      <c r="Y42" s="658"/>
      <c r="Z42" s="658"/>
    </row>
    <row r="43" ht="14.25" customHeight="1">
      <c r="A43" s="658"/>
      <c r="B43" s="658"/>
      <c r="C43" s="658"/>
      <c r="D43" s="658"/>
      <c r="E43" s="658"/>
      <c r="F43" s="658"/>
      <c r="G43" s="658"/>
      <c r="H43" s="658"/>
      <c r="I43" s="658"/>
      <c r="J43" s="658"/>
      <c r="K43" s="658"/>
      <c r="L43" s="658"/>
      <c r="M43" s="658"/>
      <c r="N43" s="658"/>
      <c r="O43" s="658"/>
      <c r="P43" s="658"/>
      <c r="Q43" s="658"/>
      <c r="R43" s="658"/>
      <c r="S43" s="658"/>
      <c r="T43" s="658"/>
      <c r="U43" s="658"/>
      <c r="V43" s="658"/>
      <c r="W43" s="658"/>
      <c r="X43" s="658"/>
      <c r="Y43" s="658"/>
      <c r="Z43" s="658"/>
    </row>
    <row r="44" ht="14.25" customHeight="1">
      <c r="A44" s="658"/>
      <c r="B44" s="658"/>
      <c r="C44" s="658"/>
      <c r="D44" s="658"/>
      <c r="E44" s="658"/>
      <c r="F44" s="658"/>
      <c r="G44" s="658"/>
      <c r="H44" s="658"/>
      <c r="I44" s="658"/>
      <c r="J44" s="658"/>
      <c r="K44" s="658"/>
      <c r="L44" s="658"/>
      <c r="M44" s="658"/>
      <c r="N44" s="658"/>
      <c r="O44" s="658"/>
      <c r="P44" s="658"/>
      <c r="Q44" s="658"/>
      <c r="R44" s="658"/>
      <c r="S44" s="658"/>
      <c r="T44" s="658"/>
      <c r="U44" s="658"/>
      <c r="V44" s="658"/>
      <c r="W44" s="658"/>
      <c r="X44" s="658"/>
      <c r="Y44" s="658"/>
      <c r="Z44" s="658"/>
    </row>
    <row r="45" ht="14.25" customHeight="1">
      <c r="A45" s="658"/>
      <c r="B45" s="658"/>
      <c r="C45" s="658"/>
      <c r="D45" s="658"/>
      <c r="E45" s="658"/>
      <c r="F45" s="658"/>
      <c r="G45" s="658"/>
      <c r="H45" s="658"/>
      <c r="I45" s="658"/>
      <c r="J45" s="658"/>
      <c r="K45" s="658"/>
      <c r="L45" s="658"/>
      <c r="M45" s="658"/>
      <c r="N45" s="658"/>
      <c r="O45" s="658"/>
      <c r="P45" s="658"/>
      <c r="Q45" s="658"/>
      <c r="R45" s="658"/>
      <c r="S45" s="658"/>
      <c r="T45" s="658"/>
      <c r="U45" s="658"/>
      <c r="V45" s="658"/>
      <c r="W45" s="658"/>
      <c r="X45" s="658"/>
      <c r="Y45" s="658"/>
      <c r="Z45" s="658"/>
    </row>
    <row r="46" ht="14.25" customHeight="1">
      <c r="A46" s="658"/>
      <c r="B46" s="658"/>
      <c r="C46" s="658"/>
      <c r="D46" s="658"/>
      <c r="E46" s="658"/>
      <c r="F46" s="658"/>
      <c r="G46" s="658"/>
      <c r="H46" s="658"/>
      <c r="I46" s="658"/>
      <c r="J46" s="658"/>
      <c r="K46" s="658"/>
      <c r="L46" s="658"/>
      <c r="M46" s="658"/>
      <c r="N46" s="658"/>
      <c r="O46" s="658"/>
      <c r="P46" s="658"/>
      <c r="Q46" s="658"/>
      <c r="R46" s="658"/>
      <c r="S46" s="658"/>
      <c r="T46" s="658"/>
      <c r="U46" s="658"/>
      <c r="V46" s="658"/>
      <c r="W46" s="658"/>
      <c r="X46" s="658"/>
      <c r="Y46" s="658"/>
      <c r="Z46" s="658"/>
    </row>
    <row r="47" ht="14.25" customHeight="1">
      <c r="A47" s="658"/>
      <c r="B47" s="658"/>
      <c r="C47" s="658"/>
      <c r="D47" s="658"/>
      <c r="E47" s="658"/>
      <c r="F47" s="658"/>
      <c r="G47" s="658"/>
      <c r="H47" s="658"/>
      <c r="I47" s="658"/>
      <c r="J47" s="658"/>
      <c r="K47" s="658"/>
      <c r="L47" s="658"/>
      <c r="M47" s="658"/>
      <c r="N47" s="658"/>
      <c r="O47" s="658"/>
      <c r="P47" s="658"/>
      <c r="Q47" s="658"/>
      <c r="R47" s="658"/>
      <c r="S47" s="658"/>
      <c r="T47" s="658"/>
      <c r="U47" s="658"/>
      <c r="V47" s="658"/>
      <c r="W47" s="658"/>
      <c r="X47" s="658"/>
      <c r="Y47" s="658"/>
      <c r="Z47" s="658"/>
    </row>
    <row r="48" ht="14.25" customHeight="1">
      <c r="A48" s="658"/>
      <c r="B48" s="658"/>
      <c r="C48" s="658"/>
      <c r="D48" s="658"/>
      <c r="E48" s="658"/>
      <c r="F48" s="658"/>
      <c r="G48" s="658"/>
      <c r="H48" s="658"/>
      <c r="I48" s="658"/>
      <c r="J48" s="658"/>
      <c r="K48" s="658"/>
      <c r="L48" s="658"/>
      <c r="M48" s="658"/>
      <c r="N48" s="658"/>
      <c r="O48" s="658"/>
      <c r="P48" s="658"/>
      <c r="Q48" s="658"/>
      <c r="R48" s="658"/>
      <c r="S48" s="658"/>
      <c r="T48" s="658"/>
      <c r="U48" s="658"/>
      <c r="V48" s="658"/>
      <c r="W48" s="658"/>
      <c r="X48" s="658"/>
      <c r="Y48" s="658"/>
      <c r="Z48" s="658"/>
    </row>
    <row r="49" ht="14.25" customHeight="1">
      <c r="A49" s="658"/>
      <c r="B49" s="658"/>
      <c r="C49" s="658"/>
      <c r="D49" s="658"/>
      <c r="E49" s="658"/>
      <c r="F49" s="658"/>
      <c r="G49" s="658"/>
      <c r="H49" s="658"/>
      <c r="I49" s="658"/>
      <c r="J49" s="658"/>
      <c r="K49" s="658"/>
      <c r="L49" s="658"/>
      <c r="M49" s="658"/>
      <c r="N49" s="658"/>
      <c r="O49" s="658"/>
      <c r="P49" s="658"/>
      <c r="Q49" s="658"/>
      <c r="R49" s="658"/>
      <c r="S49" s="658"/>
      <c r="T49" s="658"/>
      <c r="U49" s="658"/>
      <c r="V49" s="658"/>
      <c r="W49" s="658"/>
      <c r="X49" s="658"/>
      <c r="Y49" s="658"/>
      <c r="Z49" s="658"/>
    </row>
    <row r="50" ht="14.25" customHeight="1">
      <c r="A50" s="658"/>
      <c r="B50" s="658"/>
      <c r="C50" s="658"/>
      <c r="D50" s="658"/>
      <c r="E50" s="658"/>
      <c r="F50" s="658"/>
      <c r="G50" s="658"/>
      <c r="H50" s="658"/>
      <c r="I50" s="658"/>
      <c r="J50" s="658"/>
      <c r="K50" s="658"/>
      <c r="L50" s="658"/>
      <c r="M50" s="658"/>
      <c r="N50" s="658"/>
      <c r="O50" s="658"/>
      <c r="P50" s="658"/>
      <c r="Q50" s="658"/>
      <c r="R50" s="658"/>
      <c r="S50" s="658"/>
      <c r="T50" s="658"/>
      <c r="U50" s="658"/>
      <c r="V50" s="658"/>
      <c r="W50" s="658"/>
      <c r="X50" s="658"/>
      <c r="Y50" s="658"/>
      <c r="Z50" s="658"/>
    </row>
    <row r="51" ht="14.25" customHeight="1">
      <c r="A51" s="658"/>
      <c r="B51" s="658"/>
      <c r="C51" s="658"/>
      <c r="D51" s="658"/>
      <c r="E51" s="658"/>
      <c r="F51" s="658"/>
      <c r="G51" s="658"/>
      <c r="H51" s="658"/>
      <c r="I51" s="658"/>
      <c r="J51" s="658"/>
      <c r="K51" s="658"/>
      <c r="L51" s="658"/>
      <c r="M51" s="658"/>
      <c r="N51" s="658"/>
      <c r="O51" s="658"/>
      <c r="P51" s="658"/>
      <c r="Q51" s="658"/>
      <c r="R51" s="658"/>
      <c r="S51" s="658"/>
      <c r="T51" s="658"/>
      <c r="U51" s="658"/>
      <c r="V51" s="658"/>
      <c r="W51" s="658"/>
      <c r="X51" s="658"/>
      <c r="Y51" s="658"/>
      <c r="Z51" s="658"/>
    </row>
    <row r="52" ht="14.25" customHeight="1">
      <c r="A52" s="658"/>
      <c r="B52" s="658"/>
      <c r="C52" s="658"/>
      <c r="D52" s="658"/>
      <c r="E52" s="658"/>
      <c r="F52" s="658"/>
      <c r="G52" s="658"/>
      <c r="H52" s="658"/>
      <c r="I52" s="658"/>
      <c r="J52" s="658"/>
      <c r="K52" s="658"/>
      <c r="L52" s="658"/>
      <c r="M52" s="658"/>
      <c r="N52" s="658"/>
      <c r="O52" s="658"/>
      <c r="P52" s="658"/>
      <c r="Q52" s="658"/>
      <c r="R52" s="658"/>
      <c r="S52" s="658"/>
      <c r="T52" s="658"/>
      <c r="U52" s="658"/>
      <c r="V52" s="658"/>
      <c r="W52" s="658"/>
      <c r="X52" s="658"/>
      <c r="Y52" s="658"/>
      <c r="Z52" s="658"/>
    </row>
    <row r="53" ht="14.25" customHeight="1">
      <c r="A53" s="658"/>
      <c r="B53" s="658"/>
      <c r="C53" s="658"/>
      <c r="D53" s="658"/>
      <c r="E53" s="658"/>
      <c r="F53" s="658"/>
      <c r="G53" s="658"/>
      <c r="H53" s="658"/>
      <c r="I53" s="658"/>
      <c r="J53" s="658"/>
      <c r="K53" s="658"/>
      <c r="L53" s="658"/>
      <c r="M53" s="658"/>
      <c r="N53" s="658"/>
      <c r="O53" s="658"/>
      <c r="P53" s="658"/>
      <c r="Q53" s="658"/>
      <c r="R53" s="658"/>
      <c r="S53" s="658"/>
      <c r="T53" s="658"/>
      <c r="U53" s="658"/>
      <c r="V53" s="658"/>
      <c r="W53" s="658"/>
      <c r="X53" s="658"/>
      <c r="Y53" s="658"/>
      <c r="Z53" s="658"/>
    </row>
    <row r="54" ht="14.25" customHeight="1">
      <c r="A54" s="658"/>
      <c r="B54" s="658"/>
      <c r="C54" s="658"/>
      <c r="D54" s="658"/>
      <c r="E54" s="658"/>
      <c r="F54" s="658"/>
      <c r="G54" s="658"/>
      <c r="H54" s="658"/>
      <c r="I54" s="658"/>
      <c r="J54" s="658"/>
      <c r="K54" s="658"/>
      <c r="L54" s="658"/>
      <c r="M54" s="658"/>
      <c r="N54" s="658"/>
      <c r="O54" s="658"/>
      <c r="P54" s="658"/>
      <c r="Q54" s="658"/>
      <c r="R54" s="658"/>
      <c r="S54" s="658"/>
      <c r="T54" s="658"/>
      <c r="U54" s="658"/>
      <c r="V54" s="658"/>
      <c r="W54" s="658"/>
      <c r="X54" s="658"/>
      <c r="Y54" s="658"/>
      <c r="Z54" s="658"/>
    </row>
    <row r="55" ht="14.25" customHeight="1">
      <c r="A55" s="658"/>
      <c r="B55" s="658"/>
      <c r="C55" s="658"/>
      <c r="D55" s="658"/>
      <c r="E55" s="658"/>
      <c r="F55" s="658"/>
      <c r="G55" s="658"/>
      <c r="H55" s="658"/>
      <c r="I55" s="658"/>
      <c r="J55" s="658"/>
      <c r="K55" s="658"/>
      <c r="L55" s="658"/>
      <c r="M55" s="658"/>
      <c r="N55" s="658"/>
      <c r="O55" s="658"/>
      <c r="P55" s="658"/>
      <c r="Q55" s="658"/>
      <c r="R55" s="658"/>
      <c r="S55" s="658"/>
      <c r="T55" s="658"/>
      <c r="U55" s="658"/>
      <c r="V55" s="658"/>
      <c r="W55" s="658"/>
      <c r="X55" s="658"/>
      <c r="Y55" s="658"/>
      <c r="Z55" s="658"/>
    </row>
    <row r="56" ht="14.25" customHeight="1">
      <c r="A56" s="658"/>
      <c r="B56" s="658"/>
      <c r="C56" s="658"/>
      <c r="D56" s="658"/>
      <c r="E56" s="658"/>
      <c r="F56" s="658"/>
      <c r="G56" s="658"/>
      <c r="H56" s="658"/>
      <c r="I56" s="658"/>
      <c r="J56" s="658"/>
      <c r="K56" s="658"/>
      <c r="L56" s="658"/>
      <c r="M56" s="658"/>
      <c r="N56" s="658"/>
      <c r="O56" s="658"/>
      <c r="P56" s="658"/>
      <c r="Q56" s="658"/>
      <c r="R56" s="658"/>
      <c r="S56" s="658"/>
      <c r="T56" s="658"/>
      <c r="U56" s="658"/>
      <c r="V56" s="658"/>
      <c r="W56" s="658"/>
      <c r="X56" s="658"/>
      <c r="Y56" s="658"/>
      <c r="Z56" s="658"/>
    </row>
    <row r="57" ht="14.25" customHeight="1">
      <c r="A57" s="658"/>
      <c r="B57" s="658"/>
      <c r="C57" s="658"/>
      <c r="D57" s="658"/>
      <c r="E57" s="658"/>
      <c r="F57" s="658"/>
      <c r="G57" s="658"/>
      <c r="H57" s="658"/>
      <c r="I57" s="658"/>
      <c r="J57" s="658"/>
      <c r="K57" s="658"/>
      <c r="L57" s="658"/>
      <c r="M57" s="658"/>
      <c r="N57" s="658"/>
      <c r="O57" s="658"/>
      <c r="P57" s="658"/>
      <c r="Q57" s="658"/>
      <c r="R57" s="658"/>
      <c r="S57" s="658"/>
      <c r="T57" s="658"/>
      <c r="U57" s="658"/>
      <c r="V57" s="658"/>
      <c r="W57" s="658"/>
      <c r="X57" s="658"/>
      <c r="Y57" s="658"/>
      <c r="Z57" s="658"/>
    </row>
    <row r="58" ht="14.25" customHeight="1">
      <c r="A58" s="658"/>
      <c r="B58" s="658"/>
      <c r="C58" s="658"/>
      <c r="D58" s="658"/>
      <c r="E58" s="658"/>
      <c r="F58" s="658"/>
      <c r="G58" s="658"/>
      <c r="H58" s="658"/>
      <c r="I58" s="658"/>
      <c r="J58" s="658"/>
      <c r="K58" s="658"/>
      <c r="L58" s="658"/>
      <c r="M58" s="658"/>
      <c r="N58" s="658"/>
      <c r="O58" s="658"/>
      <c r="P58" s="658"/>
      <c r="Q58" s="658"/>
      <c r="R58" s="658"/>
      <c r="S58" s="658"/>
      <c r="T58" s="658"/>
      <c r="U58" s="658"/>
      <c r="V58" s="658"/>
      <c r="W58" s="658"/>
      <c r="X58" s="658"/>
      <c r="Y58" s="658"/>
      <c r="Z58" s="658"/>
    </row>
    <row r="59" ht="14.25" customHeight="1">
      <c r="A59" s="658"/>
      <c r="B59" s="658"/>
      <c r="C59" s="658"/>
      <c r="D59" s="658"/>
      <c r="E59" s="658"/>
      <c r="F59" s="658"/>
      <c r="G59" s="658"/>
      <c r="H59" s="658"/>
      <c r="I59" s="658"/>
      <c r="J59" s="658"/>
      <c r="K59" s="658"/>
      <c r="L59" s="658"/>
      <c r="M59" s="658"/>
      <c r="N59" s="658"/>
      <c r="O59" s="658"/>
      <c r="P59" s="658"/>
      <c r="Q59" s="658"/>
      <c r="R59" s="658"/>
      <c r="S59" s="658"/>
      <c r="T59" s="658"/>
      <c r="U59" s="658"/>
      <c r="V59" s="658"/>
      <c r="W59" s="658"/>
      <c r="X59" s="658"/>
      <c r="Y59" s="658"/>
      <c r="Z59" s="658"/>
    </row>
    <row r="60" ht="14.25" customHeight="1">
      <c r="A60" s="658"/>
      <c r="B60" s="658"/>
      <c r="C60" s="658"/>
      <c r="D60" s="658"/>
      <c r="E60" s="658"/>
      <c r="F60" s="658"/>
      <c r="G60" s="658"/>
      <c r="H60" s="658"/>
      <c r="I60" s="658"/>
      <c r="J60" s="658"/>
      <c r="K60" s="658"/>
      <c r="L60" s="658"/>
      <c r="M60" s="658"/>
      <c r="N60" s="658"/>
      <c r="O60" s="658"/>
      <c r="P60" s="658"/>
      <c r="Q60" s="658"/>
      <c r="R60" s="658"/>
      <c r="S60" s="658"/>
      <c r="T60" s="658"/>
      <c r="U60" s="658"/>
      <c r="V60" s="658"/>
      <c r="W60" s="658"/>
      <c r="X60" s="658"/>
      <c r="Y60" s="658"/>
      <c r="Z60" s="658"/>
    </row>
    <row r="61" ht="14.25" customHeight="1">
      <c r="A61" s="658"/>
      <c r="B61" s="658"/>
      <c r="C61" s="658"/>
      <c r="D61" s="658"/>
      <c r="E61" s="658"/>
      <c r="F61" s="658"/>
      <c r="G61" s="658"/>
      <c r="H61" s="658"/>
      <c r="I61" s="658"/>
      <c r="J61" s="658"/>
      <c r="K61" s="658"/>
      <c r="L61" s="658"/>
      <c r="M61" s="658"/>
      <c r="N61" s="658"/>
      <c r="O61" s="658"/>
      <c r="P61" s="658"/>
      <c r="Q61" s="658"/>
      <c r="R61" s="658"/>
      <c r="S61" s="658"/>
      <c r="T61" s="658"/>
      <c r="U61" s="658"/>
      <c r="V61" s="658"/>
      <c r="W61" s="658"/>
      <c r="X61" s="658"/>
      <c r="Y61" s="658"/>
      <c r="Z61" s="658"/>
    </row>
    <row r="62" ht="14.25" customHeight="1">
      <c r="A62" s="658"/>
      <c r="B62" s="658"/>
      <c r="C62" s="658"/>
      <c r="D62" s="658"/>
      <c r="E62" s="658"/>
      <c r="F62" s="658"/>
      <c r="G62" s="658"/>
      <c r="H62" s="658"/>
      <c r="I62" s="658"/>
      <c r="J62" s="658"/>
      <c r="K62" s="658"/>
      <c r="L62" s="658"/>
      <c r="M62" s="658"/>
      <c r="N62" s="658"/>
      <c r="O62" s="658"/>
      <c r="P62" s="658"/>
      <c r="Q62" s="658"/>
      <c r="R62" s="658"/>
      <c r="S62" s="658"/>
      <c r="T62" s="658"/>
      <c r="U62" s="658"/>
      <c r="V62" s="658"/>
      <c r="W62" s="658"/>
      <c r="X62" s="658"/>
      <c r="Y62" s="658"/>
      <c r="Z62" s="658"/>
    </row>
    <row r="63" ht="14.25" customHeight="1">
      <c r="A63" s="658"/>
      <c r="B63" s="658"/>
      <c r="C63" s="658"/>
      <c r="D63" s="658"/>
      <c r="E63" s="658"/>
      <c r="F63" s="658"/>
      <c r="G63" s="658"/>
      <c r="H63" s="658"/>
      <c r="I63" s="658"/>
      <c r="J63" s="658"/>
      <c r="K63" s="658"/>
      <c r="L63" s="658"/>
      <c r="M63" s="658"/>
      <c r="N63" s="658"/>
      <c r="O63" s="658"/>
      <c r="P63" s="658"/>
      <c r="Q63" s="658"/>
      <c r="R63" s="658"/>
      <c r="S63" s="658"/>
      <c r="T63" s="658"/>
      <c r="U63" s="658"/>
      <c r="V63" s="658"/>
      <c r="W63" s="658"/>
      <c r="X63" s="658"/>
      <c r="Y63" s="658"/>
      <c r="Z63" s="658"/>
    </row>
    <row r="64" ht="14.25" customHeight="1">
      <c r="A64" s="658"/>
      <c r="B64" s="658"/>
      <c r="C64" s="658"/>
      <c r="D64" s="658"/>
      <c r="E64" s="658"/>
      <c r="F64" s="658"/>
      <c r="G64" s="658"/>
      <c r="H64" s="658"/>
      <c r="I64" s="658"/>
      <c r="J64" s="658"/>
      <c r="K64" s="658"/>
      <c r="L64" s="658"/>
      <c r="M64" s="658"/>
      <c r="N64" s="658"/>
      <c r="O64" s="658"/>
      <c r="P64" s="658"/>
      <c r="Q64" s="658"/>
      <c r="R64" s="658"/>
      <c r="S64" s="658"/>
      <c r="T64" s="658"/>
      <c r="U64" s="658"/>
      <c r="V64" s="658"/>
      <c r="W64" s="658"/>
      <c r="X64" s="658"/>
      <c r="Y64" s="658"/>
      <c r="Z64" s="658"/>
    </row>
    <row r="65" ht="14.25" customHeight="1">
      <c r="A65" s="658"/>
      <c r="B65" s="658"/>
      <c r="C65" s="658"/>
      <c r="D65" s="658"/>
      <c r="E65" s="658"/>
      <c r="F65" s="658"/>
      <c r="G65" s="658"/>
      <c r="H65" s="658"/>
      <c r="I65" s="658"/>
      <c r="J65" s="658"/>
      <c r="K65" s="658"/>
      <c r="L65" s="658"/>
      <c r="M65" s="658"/>
      <c r="N65" s="658"/>
      <c r="O65" s="658"/>
      <c r="P65" s="658"/>
      <c r="Q65" s="658"/>
      <c r="R65" s="658"/>
      <c r="S65" s="658"/>
      <c r="T65" s="658"/>
      <c r="U65" s="658"/>
      <c r="V65" s="658"/>
      <c r="W65" s="658"/>
      <c r="X65" s="658"/>
      <c r="Y65" s="658"/>
      <c r="Z65" s="658"/>
    </row>
    <row r="66" ht="14.25" customHeight="1">
      <c r="A66" s="658"/>
      <c r="B66" s="658"/>
      <c r="C66" s="658"/>
      <c r="D66" s="658"/>
      <c r="E66" s="658"/>
      <c r="F66" s="658"/>
      <c r="G66" s="658"/>
      <c r="H66" s="658"/>
      <c r="I66" s="658"/>
      <c r="J66" s="658"/>
      <c r="K66" s="658"/>
      <c r="L66" s="658"/>
      <c r="M66" s="658"/>
      <c r="N66" s="658"/>
      <c r="O66" s="658"/>
      <c r="P66" s="658"/>
      <c r="Q66" s="658"/>
      <c r="R66" s="658"/>
      <c r="S66" s="658"/>
      <c r="T66" s="658"/>
      <c r="U66" s="658"/>
      <c r="V66" s="658"/>
      <c r="W66" s="658"/>
      <c r="X66" s="658"/>
      <c r="Y66" s="658"/>
      <c r="Z66" s="658"/>
    </row>
    <row r="67" ht="14.25" customHeight="1">
      <c r="A67" s="658"/>
      <c r="B67" s="658"/>
      <c r="C67" s="658"/>
      <c r="D67" s="658"/>
      <c r="E67" s="658"/>
      <c r="F67" s="658"/>
      <c r="G67" s="658"/>
      <c r="H67" s="658"/>
      <c r="I67" s="658"/>
      <c r="J67" s="658"/>
      <c r="K67" s="658"/>
      <c r="L67" s="658"/>
      <c r="M67" s="658"/>
      <c r="N67" s="658"/>
      <c r="O67" s="658"/>
      <c r="P67" s="658"/>
      <c r="Q67" s="658"/>
      <c r="R67" s="658"/>
      <c r="S67" s="658"/>
      <c r="T67" s="658"/>
      <c r="U67" s="658"/>
      <c r="V67" s="658"/>
      <c r="W67" s="658"/>
      <c r="X67" s="658"/>
      <c r="Y67" s="658"/>
      <c r="Z67" s="658"/>
    </row>
    <row r="68" ht="14.25" customHeight="1">
      <c r="A68" s="658"/>
      <c r="B68" s="658"/>
      <c r="C68" s="658"/>
      <c r="D68" s="658"/>
      <c r="E68" s="658"/>
      <c r="F68" s="658"/>
      <c r="G68" s="658"/>
      <c r="H68" s="658"/>
      <c r="I68" s="658"/>
      <c r="J68" s="658"/>
      <c r="K68" s="658"/>
      <c r="L68" s="658"/>
      <c r="M68" s="658"/>
      <c r="N68" s="658"/>
      <c r="O68" s="658"/>
      <c r="P68" s="658"/>
      <c r="Q68" s="658"/>
      <c r="R68" s="658"/>
      <c r="S68" s="658"/>
      <c r="T68" s="658"/>
      <c r="U68" s="658"/>
      <c r="V68" s="658"/>
      <c r="W68" s="658"/>
      <c r="X68" s="658"/>
      <c r="Y68" s="658"/>
      <c r="Z68" s="658"/>
    </row>
    <row r="69" ht="14.25" customHeight="1">
      <c r="A69" s="658"/>
      <c r="B69" s="658"/>
      <c r="C69" s="658"/>
      <c r="D69" s="658"/>
      <c r="E69" s="658"/>
      <c r="F69" s="658"/>
      <c r="G69" s="658"/>
      <c r="H69" s="658"/>
      <c r="I69" s="658"/>
      <c r="J69" s="658"/>
      <c r="K69" s="658"/>
      <c r="L69" s="658"/>
      <c r="M69" s="658"/>
      <c r="N69" s="658"/>
      <c r="O69" s="658"/>
      <c r="P69" s="658"/>
      <c r="Q69" s="658"/>
      <c r="R69" s="658"/>
      <c r="S69" s="658"/>
      <c r="T69" s="658"/>
      <c r="U69" s="658"/>
      <c r="V69" s="658"/>
      <c r="W69" s="658"/>
      <c r="X69" s="658"/>
      <c r="Y69" s="658"/>
      <c r="Z69" s="658"/>
    </row>
    <row r="70" ht="14.25" customHeight="1">
      <c r="A70" s="658"/>
      <c r="B70" s="658"/>
      <c r="C70" s="658"/>
      <c r="D70" s="658"/>
      <c r="E70" s="658"/>
      <c r="F70" s="658"/>
      <c r="G70" s="658"/>
      <c r="H70" s="658"/>
      <c r="I70" s="658"/>
      <c r="J70" s="658"/>
      <c r="K70" s="658"/>
      <c r="L70" s="658"/>
      <c r="M70" s="658"/>
      <c r="N70" s="658"/>
      <c r="O70" s="658"/>
      <c r="P70" s="658"/>
      <c r="Q70" s="658"/>
      <c r="R70" s="658"/>
      <c r="S70" s="658"/>
      <c r="T70" s="658"/>
      <c r="U70" s="658"/>
      <c r="V70" s="658"/>
      <c r="W70" s="658"/>
      <c r="X70" s="658"/>
      <c r="Y70" s="658"/>
      <c r="Z70" s="658"/>
    </row>
    <row r="71" ht="14.25" customHeight="1">
      <c r="A71" s="658"/>
      <c r="B71" s="658"/>
      <c r="C71" s="658"/>
      <c r="D71" s="658"/>
      <c r="E71" s="658"/>
      <c r="F71" s="658"/>
      <c r="G71" s="658"/>
      <c r="H71" s="658"/>
      <c r="I71" s="658"/>
      <c r="J71" s="658"/>
      <c r="K71" s="658"/>
      <c r="L71" s="658"/>
      <c r="M71" s="658"/>
      <c r="N71" s="658"/>
      <c r="O71" s="658"/>
      <c r="P71" s="658"/>
      <c r="Q71" s="658"/>
      <c r="R71" s="658"/>
      <c r="S71" s="658"/>
      <c r="T71" s="658"/>
      <c r="U71" s="658"/>
      <c r="V71" s="658"/>
      <c r="W71" s="658"/>
      <c r="X71" s="658"/>
      <c r="Y71" s="658"/>
      <c r="Z71" s="658"/>
    </row>
    <row r="72" ht="14.25" customHeight="1">
      <c r="A72" s="658"/>
      <c r="B72" s="658"/>
      <c r="C72" s="658"/>
      <c r="D72" s="658"/>
      <c r="E72" s="658"/>
      <c r="F72" s="658"/>
      <c r="G72" s="658"/>
      <c r="H72" s="658"/>
      <c r="I72" s="658"/>
      <c r="J72" s="658"/>
      <c r="K72" s="658"/>
      <c r="L72" s="658"/>
      <c r="M72" s="658"/>
      <c r="N72" s="658"/>
      <c r="O72" s="658"/>
      <c r="P72" s="658"/>
      <c r="Q72" s="658"/>
      <c r="R72" s="658"/>
      <c r="S72" s="658"/>
      <c r="T72" s="658"/>
      <c r="U72" s="658"/>
      <c r="V72" s="658"/>
      <c r="W72" s="658"/>
      <c r="X72" s="658"/>
      <c r="Y72" s="658"/>
      <c r="Z72" s="658"/>
    </row>
    <row r="73" ht="14.25" customHeight="1">
      <c r="A73" s="658"/>
      <c r="B73" s="658"/>
      <c r="C73" s="658"/>
      <c r="D73" s="658"/>
      <c r="E73" s="658"/>
      <c r="F73" s="658"/>
      <c r="G73" s="658"/>
      <c r="H73" s="658"/>
      <c r="I73" s="658"/>
      <c r="J73" s="658"/>
      <c r="K73" s="658"/>
      <c r="L73" s="658"/>
      <c r="M73" s="658"/>
      <c r="N73" s="658"/>
      <c r="O73" s="658"/>
      <c r="P73" s="658"/>
      <c r="Q73" s="658"/>
      <c r="R73" s="658"/>
      <c r="S73" s="658"/>
      <c r="T73" s="658"/>
      <c r="U73" s="658"/>
      <c r="V73" s="658"/>
      <c r="W73" s="658"/>
      <c r="X73" s="658"/>
      <c r="Y73" s="658"/>
      <c r="Z73" s="658"/>
    </row>
    <row r="74" ht="14.25" customHeight="1">
      <c r="A74" s="658"/>
      <c r="B74" s="658"/>
      <c r="C74" s="658"/>
      <c r="D74" s="658"/>
      <c r="E74" s="658"/>
      <c r="F74" s="658"/>
      <c r="G74" s="658"/>
      <c r="H74" s="658"/>
      <c r="I74" s="658"/>
      <c r="J74" s="658"/>
      <c r="K74" s="658"/>
      <c r="L74" s="658"/>
      <c r="M74" s="658"/>
      <c r="N74" s="658"/>
      <c r="O74" s="658"/>
      <c r="P74" s="658"/>
      <c r="Q74" s="658"/>
      <c r="R74" s="658"/>
      <c r="S74" s="658"/>
      <c r="T74" s="658"/>
      <c r="U74" s="658"/>
      <c r="V74" s="658"/>
      <c r="W74" s="658"/>
      <c r="X74" s="658"/>
      <c r="Y74" s="658"/>
      <c r="Z74" s="658"/>
    </row>
    <row r="75" ht="14.25" customHeight="1">
      <c r="A75" s="658"/>
      <c r="B75" s="658"/>
      <c r="C75" s="658"/>
      <c r="D75" s="658"/>
      <c r="E75" s="658"/>
      <c r="F75" s="658"/>
      <c r="G75" s="658"/>
      <c r="H75" s="658"/>
      <c r="I75" s="658"/>
      <c r="J75" s="658"/>
      <c r="K75" s="658"/>
      <c r="L75" s="658"/>
      <c r="M75" s="658"/>
      <c r="N75" s="658"/>
      <c r="O75" s="658"/>
      <c r="P75" s="658"/>
      <c r="Q75" s="658"/>
      <c r="R75" s="658"/>
      <c r="S75" s="658"/>
      <c r="T75" s="658"/>
      <c r="U75" s="658"/>
      <c r="V75" s="658"/>
      <c r="W75" s="658"/>
      <c r="X75" s="658"/>
      <c r="Y75" s="658"/>
      <c r="Z75" s="658"/>
    </row>
    <row r="76" ht="14.25" customHeight="1">
      <c r="A76" s="658"/>
      <c r="B76" s="658"/>
      <c r="C76" s="658"/>
      <c r="D76" s="658"/>
      <c r="E76" s="658"/>
      <c r="F76" s="658"/>
      <c r="G76" s="658"/>
      <c r="H76" s="658"/>
      <c r="I76" s="658"/>
      <c r="J76" s="658"/>
      <c r="K76" s="658"/>
      <c r="L76" s="658"/>
      <c r="M76" s="658"/>
      <c r="N76" s="658"/>
      <c r="O76" s="658"/>
      <c r="P76" s="658"/>
      <c r="Q76" s="658"/>
      <c r="R76" s="658"/>
      <c r="S76" s="658"/>
      <c r="T76" s="658"/>
      <c r="U76" s="658"/>
      <c r="V76" s="658"/>
      <c r="W76" s="658"/>
      <c r="X76" s="658"/>
      <c r="Y76" s="658"/>
      <c r="Z76" s="658"/>
    </row>
    <row r="77" ht="14.25" customHeight="1">
      <c r="A77" s="658"/>
      <c r="B77" s="658"/>
      <c r="C77" s="658"/>
      <c r="D77" s="658"/>
      <c r="E77" s="658"/>
      <c r="F77" s="658"/>
      <c r="G77" s="658"/>
      <c r="H77" s="658"/>
      <c r="I77" s="658"/>
      <c r="J77" s="658"/>
      <c r="K77" s="658"/>
      <c r="L77" s="658"/>
      <c r="M77" s="658"/>
      <c r="N77" s="658"/>
      <c r="O77" s="658"/>
      <c r="P77" s="658"/>
      <c r="Q77" s="658"/>
      <c r="R77" s="658"/>
      <c r="S77" s="658"/>
      <c r="T77" s="658"/>
      <c r="U77" s="658"/>
      <c r="V77" s="658"/>
      <c r="W77" s="658"/>
      <c r="X77" s="658"/>
      <c r="Y77" s="658"/>
      <c r="Z77" s="658"/>
    </row>
    <row r="78" ht="14.25" customHeight="1">
      <c r="A78" s="658"/>
      <c r="B78" s="658"/>
      <c r="C78" s="658"/>
      <c r="D78" s="658"/>
      <c r="E78" s="658"/>
      <c r="F78" s="658"/>
      <c r="G78" s="658"/>
      <c r="H78" s="658"/>
      <c r="I78" s="658"/>
      <c r="J78" s="658"/>
      <c r="K78" s="658"/>
      <c r="L78" s="658"/>
      <c r="M78" s="658"/>
      <c r="N78" s="658"/>
      <c r="O78" s="658"/>
      <c r="P78" s="658"/>
      <c r="Q78" s="658"/>
      <c r="R78" s="658"/>
      <c r="S78" s="658"/>
      <c r="T78" s="658"/>
      <c r="U78" s="658"/>
      <c r="V78" s="658"/>
      <c r="W78" s="658"/>
      <c r="X78" s="658"/>
      <c r="Y78" s="658"/>
      <c r="Z78" s="658"/>
    </row>
    <row r="79" ht="14.25" customHeight="1">
      <c r="A79" s="658"/>
      <c r="B79" s="658"/>
      <c r="C79" s="658"/>
      <c r="D79" s="658"/>
      <c r="E79" s="658"/>
      <c r="F79" s="658"/>
      <c r="G79" s="658"/>
      <c r="H79" s="658"/>
      <c r="I79" s="658"/>
      <c r="J79" s="658"/>
      <c r="K79" s="658"/>
      <c r="L79" s="658"/>
      <c r="M79" s="658"/>
      <c r="N79" s="658"/>
      <c r="O79" s="658"/>
      <c r="P79" s="658"/>
      <c r="Q79" s="658"/>
      <c r="R79" s="658"/>
      <c r="S79" s="658"/>
      <c r="T79" s="658"/>
      <c r="U79" s="658"/>
      <c r="V79" s="658"/>
      <c r="W79" s="658"/>
      <c r="X79" s="658"/>
      <c r="Y79" s="658"/>
      <c r="Z79" s="658"/>
    </row>
    <row r="80" ht="14.25" customHeight="1">
      <c r="A80" s="658"/>
      <c r="B80" s="658"/>
      <c r="C80" s="658"/>
      <c r="D80" s="658"/>
      <c r="E80" s="658"/>
      <c r="F80" s="658"/>
      <c r="G80" s="658"/>
      <c r="H80" s="658"/>
      <c r="I80" s="658"/>
      <c r="J80" s="658"/>
      <c r="K80" s="658"/>
      <c r="L80" s="658"/>
      <c r="M80" s="658"/>
      <c r="N80" s="658"/>
      <c r="O80" s="658"/>
      <c r="P80" s="658"/>
      <c r="Q80" s="658"/>
      <c r="R80" s="658"/>
      <c r="S80" s="658"/>
      <c r="T80" s="658"/>
      <c r="U80" s="658"/>
      <c r="V80" s="658"/>
      <c r="W80" s="658"/>
      <c r="X80" s="658"/>
      <c r="Y80" s="658"/>
      <c r="Z80" s="658"/>
    </row>
    <row r="81" ht="14.25" customHeight="1">
      <c r="A81" s="658"/>
      <c r="B81" s="658"/>
      <c r="C81" s="658"/>
      <c r="D81" s="658"/>
      <c r="E81" s="658"/>
      <c r="F81" s="658"/>
      <c r="G81" s="658"/>
      <c r="H81" s="658"/>
      <c r="I81" s="658"/>
      <c r="J81" s="658"/>
      <c r="K81" s="658"/>
      <c r="L81" s="658"/>
      <c r="M81" s="658"/>
      <c r="N81" s="658"/>
      <c r="O81" s="658"/>
      <c r="P81" s="658"/>
      <c r="Q81" s="658"/>
      <c r="R81" s="658"/>
      <c r="S81" s="658"/>
      <c r="T81" s="658"/>
      <c r="U81" s="658"/>
      <c r="V81" s="658"/>
      <c r="W81" s="658"/>
      <c r="X81" s="658"/>
      <c r="Y81" s="658"/>
      <c r="Z81" s="658"/>
    </row>
    <row r="82" ht="14.25" customHeight="1">
      <c r="A82" s="658"/>
      <c r="B82" s="658"/>
      <c r="C82" s="658"/>
      <c r="D82" s="658"/>
      <c r="E82" s="658"/>
      <c r="F82" s="658"/>
      <c r="G82" s="658"/>
      <c r="H82" s="658"/>
      <c r="I82" s="658"/>
      <c r="J82" s="658"/>
      <c r="K82" s="658"/>
      <c r="L82" s="658"/>
      <c r="M82" s="658"/>
      <c r="N82" s="658"/>
      <c r="O82" s="658"/>
      <c r="P82" s="658"/>
      <c r="Q82" s="658"/>
      <c r="R82" s="658"/>
      <c r="S82" s="658"/>
      <c r="T82" s="658"/>
      <c r="U82" s="658"/>
      <c r="V82" s="658"/>
      <c r="W82" s="658"/>
      <c r="X82" s="658"/>
      <c r="Y82" s="658"/>
      <c r="Z82" s="658"/>
    </row>
    <row r="83" ht="14.25" customHeight="1">
      <c r="A83" s="658"/>
      <c r="B83" s="658"/>
      <c r="C83" s="658"/>
      <c r="D83" s="658"/>
      <c r="E83" s="658"/>
      <c r="F83" s="658"/>
      <c r="G83" s="658"/>
      <c r="H83" s="658"/>
      <c r="I83" s="658"/>
      <c r="J83" s="658"/>
      <c r="K83" s="658"/>
      <c r="L83" s="658"/>
      <c r="M83" s="658"/>
      <c r="N83" s="658"/>
      <c r="O83" s="658"/>
      <c r="P83" s="658"/>
      <c r="Q83" s="658"/>
      <c r="R83" s="658"/>
      <c r="S83" s="658"/>
      <c r="T83" s="658"/>
      <c r="U83" s="658"/>
      <c r="V83" s="658"/>
      <c r="W83" s="658"/>
      <c r="X83" s="658"/>
      <c r="Y83" s="658"/>
      <c r="Z83" s="658"/>
    </row>
    <row r="84" ht="14.25" customHeight="1">
      <c r="A84" s="658"/>
      <c r="B84" s="658"/>
      <c r="C84" s="658"/>
      <c r="D84" s="658"/>
      <c r="E84" s="658"/>
      <c r="F84" s="658"/>
      <c r="G84" s="658"/>
      <c r="H84" s="658"/>
      <c r="I84" s="658"/>
      <c r="J84" s="658"/>
      <c r="K84" s="658"/>
      <c r="L84" s="658"/>
      <c r="M84" s="658"/>
      <c r="N84" s="658"/>
      <c r="O84" s="658"/>
      <c r="P84" s="658"/>
      <c r="Q84" s="658"/>
      <c r="R84" s="658"/>
      <c r="S84" s="658"/>
      <c r="T84" s="658"/>
      <c r="U84" s="658"/>
      <c r="V84" s="658"/>
      <c r="W84" s="658"/>
      <c r="X84" s="658"/>
      <c r="Y84" s="658"/>
      <c r="Z84" s="658"/>
    </row>
    <row r="85" ht="14.25" customHeight="1">
      <c r="A85" s="658"/>
      <c r="B85" s="658"/>
      <c r="C85" s="658"/>
      <c r="D85" s="658"/>
      <c r="E85" s="658"/>
      <c r="F85" s="658"/>
      <c r="G85" s="658"/>
      <c r="H85" s="658"/>
      <c r="I85" s="658"/>
      <c r="J85" s="658"/>
      <c r="K85" s="658"/>
      <c r="L85" s="658"/>
      <c r="M85" s="658"/>
      <c r="N85" s="658"/>
      <c r="O85" s="658"/>
      <c r="P85" s="658"/>
      <c r="Q85" s="658"/>
      <c r="R85" s="658"/>
      <c r="S85" s="658"/>
      <c r="T85" s="658"/>
      <c r="U85" s="658"/>
      <c r="V85" s="658"/>
      <c r="W85" s="658"/>
      <c r="X85" s="658"/>
      <c r="Y85" s="658"/>
      <c r="Z85" s="658"/>
    </row>
    <row r="86" ht="14.25" customHeight="1">
      <c r="A86" s="658"/>
      <c r="B86" s="658"/>
      <c r="C86" s="658"/>
      <c r="D86" s="658"/>
      <c r="E86" s="658"/>
      <c r="F86" s="658"/>
      <c r="G86" s="658"/>
      <c r="H86" s="658"/>
      <c r="I86" s="658"/>
      <c r="J86" s="658"/>
      <c r="K86" s="658"/>
      <c r="L86" s="658"/>
      <c r="M86" s="658"/>
      <c r="N86" s="658"/>
      <c r="O86" s="658"/>
      <c r="P86" s="658"/>
      <c r="Q86" s="658"/>
      <c r="R86" s="658"/>
      <c r="S86" s="658"/>
      <c r="T86" s="658"/>
      <c r="U86" s="658"/>
      <c r="V86" s="658"/>
      <c r="W86" s="658"/>
      <c r="X86" s="658"/>
      <c r="Y86" s="658"/>
      <c r="Z86" s="658"/>
    </row>
    <row r="87" ht="14.25" customHeight="1">
      <c r="A87" s="658"/>
      <c r="B87" s="658"/>
      <c r="C87" s="658"/>
      <c r="D87" s="658"/>
      <c r="E87" s="658"/>
      <c r="F87" s="658"/>
      <c r="G87" s="658"/>
      <c r="H87" s="658"/>
      <c r="I87" s="658"/>
      <c r="J87" s="658"/>
      <c r="K87" s="658"/>
      <c r="L87" s="658"/>
      <c r="M87" s="658"/>
      <c r="N87" s="658"/>
      <c r="O87" s="658"/>
      <c r="P87" s="658"/>
      <c r="Q87" s="658"/>
      <c r="R87" s="658"/>
      <c r="S87" s="658"/>
      <c r="T87" s="658"/>
      <c r="U87" s="658"/>
      <c r="V87" s="658"/>
      <c r="W87" s="658"/>
      <c r="X87" s="658"/>
      <c r="Y87" s="658"/>
      <c r="Z87" s="658"/>
    </row>
    <row r="88" ht="14.25" customHeight="1">
      <c r="A88" s="658"/>
      <c r="B88" s="658"/>
      <c r="C88" s="658"/>
      <c r="D88" s="658"/>
      <c r="E88" s="658"/>
      <c r="F88" s="658"/>
      <c r="G88" s="658"/>
      <c r="H88" s="658"/>
      <c r="I88" s="658"/>
      <c r="J88" s="658"/>
      <c r="K88" s="658"/>
      <c r="L88" s="658"/>
      <c r="M88" s="658"/>
      <c r="N88" s="658"/>
      <c r="O88" s="658"/>
      <c r="P88" s="658"/>
      <c r="Q88" s="658"/>
      <c r="R88" s="658"/>
      <c r="S88" s="658"/>
      <c r="T88" s="658"/>
      <c r="U88" s="658"/>
      <c r="V88" s="658"/>
      <c r="W88" s="658"/>
      <c r="X88" s="658"/>
      <c r="Y88" s="658"/>
      <c r="Z88" s="658"/>
    </row>
    <row r="89" ht="14.25" customHeight="1">
      <c r="A89" s="658"/>
      <c r="B89" s="658"/>
      <c r="C89" s="658"/>
      <c r="D89" s="658"/>
      <c r="E89" s="658"/>
      <c r="F89" s="658"/>
      <c r="G89" s="658"/>
      <c r="H89" s="658"/>
      <c r="I89" s="658"/>
      <c r="J89" s="658"/>
      <c r="K89" s="658"/>
      <c r="L89" s="658"/>
      <c r="M89" s="658"/>
      <c r="N89" s="658"/>
      <c r="O89" s="658"/>
      <c r="P89" s="658"/>
      <c r="Q89" s="658"/>
      <c r="R89" s="658"/>
      <c r="S89" s="658"/>
      <c r="T89" s="658"/>
      <c r="U89" s="658"/>
      <c r="V89" s="658"/>
      <c r="W89" s="658"/>
      <c r="X89" s="658"/>
      <c r="Y89" s="658"/>
      <c r="Z89" s="658"/>
    </row>
    <row r="90" ht="14.25" customHeight="1">
      <c r="A90" s="658"/>
      <c r="B90" s="658"/>
      <c r="C90" s="658"/>
      <c r="D90" s="658"/>
      <c r="E90" s="658"/>
      <c r="F90" s="658"/>
      <c r="G90" s="658"/>
      <c r="H90" s="658"/>
      <c r="I90" s="658"/>
      <c r="J90" s="658"/>
      <c r="K90" s="658"/>
      <c r="L90" s="658"/>
      <c r="M90" s="658"/>
      <c r="N90" s="658"/>
      <c r="O90" s="658"/>
      <c r="P90" s="658"/>
      <c r="Q90" s="658"/>
      <c r="R90" s="658"/>
      <c r="S90" s="658"/>
      <c r="T90" s="658"/>
      <c r="U90" s="658"/>
      <c r="V90" s="658"/>
      <c r="W90" s="658"/>
      <c r="X90" s="658"/>
      <c r="Y90" s="658"/>
      <c r="Z90" s="658"/>
    </row>
    <row r="91" ht="14.25" customHeight="1">
      <c r="A91" s="658"/>
      <c r="B91" s="658"/>
      <c r="C91" s="658"/>
      <c r="D91" s="658"/>
      <c r="E91" s="658"/>
      <c r="F91" s="658"/>
      <c r="G91" s="658"/>
      <c r="H91" s="658"/>
      <c r="I91" s="658"/>
      <c r="J91" s="658"/>
      <c r="K91" s="658"/>
      <c r="L91" s="658"/>
      <c r="M91" s="658"/>
      <c r="N91" s="658"/>
      <c r="O91" s="658"/>
      <c r="P91" s="658"/>
      <c r="Q91" s="658"/>
      <c r="R91" s="658"/>
      <c r="S91" s="658"/>
      <c r="T91" s="658"/>
      <c r="U91" s="658"/>
      <c r="V91" s="658"/>
      <c r="W91" s="658"/>
      <c r="X91" s="658"/>
      <c r="Y91" s="658"/>
      <c r="Z91" s="658"/>
    </row>
    <row r="92" ht="14.25" customHeight="1">
      <c r="A92" s="658"/>
      <c r="B92" s="658"/>
      <c r="C92" s="658"/>
      <c r="D92" s="658"/>
      <c r="E92" s="658"/>
      <c r="F92" s="658"/>
      <c r="G92" s="658"/>
      <c r="H92" s="658"/>
      <c r="I92" s="658"/>
      <c r="J92" s="658"/>
      <c r="K92" s="658"/>
      <c r="L92" s="658"/>
      <c r="M92" s="658"/>
      <c r="N92" s="658"/>
      <c r="O92" s="658"/>
      <c r="P92" s="658"/>
      <c r="Q92" s="658"/>
      <c r="R92" s="658"/>
      <c r="S92" s="658"/>
      <c r="T92" s="658"/>
      <c r="U92" s="658"/>
      <c r="V92" s="658"/>
      <c r="W92" s="658"/>
      <c r="X92" s="658"/>
      <c r="Y92" s="658"/>
      <c r="Z92" s="658"/>
    </row>
    <row r="93" ht="14.25" customHeight="1">
      <c r="A93" s="658"/>
      <c r="B93" s="658"/>
      <c r="C93" s="658"/>
      <c r="D93" s="658"/>
      <c r="E93" s="658"/>
      <c r="F93" s="658"/>
      <c r="G93" s="658"/>
      <c r="H93" s="658"/>
      <c r="I93" s="658"/>
      <c r="J93" s="658"/>
      <c r="K93" s="658"/>
      <c r="L93" s="658"/>
      <c r="M93" s="658"/>
      <c r="N93" s="658"/>
      <c r="O93" s="658"/>
      <c r="P93" s="658"/>
      <c r="Q93" s="658"/>
      <c r="R93" s="658"/>
      <c r="S93" s="658"/>
      <c r="T93" s="658"/>
      <c r="U93" s="658"/>
      <c r="V93" s="658"/>
      <c r="W93" s="658"/>
      <c r="X93" s="658"/>
      <c r="Y93" s="658"/>
      <c r="Z93" s="658"/>
    </row>
    <row r="94" ht="14.25" customHeight="1">
      <c r="A94" s="658"/>
      <c r="B94" s="658"/>
      <c r="C94" s="658"/>
      <c r="D94" s="658"/>
      <c r="E94" s="658"/>
      <c r="F94" s="658"/>
      <c r="G94" s="658"/>
      <c r="H94" s="658"/>
      <c r="I94" s="658"/>
      <c r="J94" s="658"/>
      <c r="K94" s="658"/>
      <c r="L94" s="658"/>
      <c r="M94" s="658"/>
      <c r="N94" s="658"/>
      <c r="O94" s="658"/>
      <c r="P94" s="658"/>
      <c r="Q94" s="658"/>
      <c r="R94" s="658"/>
      <c r="S94" s="658"/>
      <c r="T94" s="658"/>
      <c r="U94" s="658"/>
      <c r="V94" s="658"/>
      <c r="W94" s="658"/>
      <c r="X94" s="658"/>
      <c r="Y94" s="658"/>
      <c r="Z94" s="658"/>
    </row>
    <row r="95" ht="14.25" customHeight="1">
      <c r="A95" s="658"/>
      <c r="B95" s="658"/>
      <c r="C95" s="658"/>
      <c r="D95" s="658"/>
      <c r="E95" s="658"/>
      <c r="F95" s="658"/>
      <c r="G95" s="658"/>
      <c r="H95" s="658"/>
      <c r="I95" s="658"/>
      <c r="J95" s="658"/>
      <c r="K95" s="658"/>
      <c r="L95" s="658"/>
      <c r="M95" s="658"/>
      <c r="N95" s="658"/>
      <c r="O95" s="658"/>
      <c r="P95" s="658"/>
      <c r="Q95" s="658"/>
      <c r="R95" s="658"/>
      <c r="S95" s="658"/>
      <c r="T95" s="658"/>
      <c r="U95" s="658"/>
      <c r="V95" s="658"/>
      <c r="W95" s="658"/>
      <c r="X95" s="658"/>
      <c r="Y95" s="658"/>
      <c r="Z95" s="658"/>
    </row>
    <row r="96" ht="14.25" customHeight="1">
      <c r="A96" s="658"/>
      <c r="B96" s="658"/>
      <c r="C96" s="658"/>
      <c r="D96" s="658"/>
      <c r="E96" s="658"/>
      <c r="F96" s="658"/>
      <c r="G96" s="658"/>
      <c r="H96" s="658"/>
      <c r="I96" s="658"/>
      <c r="J96" s="658"/>
      <c r="K96" s="658"/>
      <c r="L96" s="658"/>
      <c r="M96" s="658"/>
      <c r="N96" s="658"/>
      <c r="O96" s="658"/>
      <c r="P96" s="658"/>
      <c r="Q96" s="658"/>
      <c r="R96" s="658"/>
      <c r="S96" s="658"/>
      <c r="T96" s="658"/>
      <c r="U96" s="658"/>
      <c r="V96" s="658"/>
      <c r="W96" s="658"/>
      <c r="X96" s="658"/>
      <c r="Y96" s="658"/>
      <c r="Z96" s="658"/>
    </row>
    <row r="97" ht="14.25" customHeight="1">
      <c r="A97" s="658"/>
      <c r="B97" s="658"/>
      <c r="C97" s="658"/>
      <c r="D97" s="658"/>
      <c r="E97" s="658"/>
      <c r="F97" s="658"/>
      <c r="G97" s="658"/>
      <c r="H97" s="658"/>
      <c r="I97" s="658"/>
      <c r="J97" s="658"/>
      <c r="K97" s="658"/>
      <c r="L97" s="658"/>
      <c r="M97" s="658"/>
      <c r="N97" s="658"/>
      <c r="O97" s="658"/>
      <c r="P97" s="658"/>
      <c r="Q97" s="658"/>
      <c r="R97" s="658"/>
      <c r="S97" s="658"/>
      <c r="T97" s="658"/>
      <c r="U97" s="658"/>
      <c r="V97" s="658"/>
      <c r="W97" s="658"/>
      <c r="X97" s="658"/>
      <c r="Y97" s="658"/>
      <c r="Z97" s="658"/>
    </row>
    <row r="98" ht="14.25" customHeight="1">
      <c r="A98" s="658"/>
      <c r="B98" s="658"/>
      <c r="C98" s="658"/>
      <c r="D98" s="658"/>
      <c r="E98" s="658"/>
      <c r="F98" s="658"/>
      <c r="G98" s="658"/>
      <c r="H98" s="658"/>
      <c r="I98" s="658"/>
      <c r="J98" s="658"/>
      <c r="K98" s="658"/>
      <c r="L98" s="658"/>
      <c r="M98" s="658"/>
      <c r="N98" s="658"/>
      <c r="O98" s="658"/>
      <c r="P98" s="658"/>
      <c r="Q98" s="658"/>
      <c r="R98" s="658"/>
      <c r="S98" s="658"/>
      <c r="T98" s="658"/>
      <c r="U98" s="658"/>
      <c r="V98" s="658"/>
      <c r="W98" s="658"/>
      <c r="X98" s="658"/>
      <c r="Y98" s="658"/>
      <c r="Z98" s="658"/>
    </row>
    <row r="99" ht="14.25" customHeight="1">
      <c r="A99" s="658"/>
      <c r="B99" s="658"/>
      <c r="C99" s="658"/>
      <c r="D99" s="658"/>
      <c r="E99" s="658"/>
      <c r="F99" s="658"/>
      <c r="G99" s="658"/>
      <c r="H99" s="658"/>
      <c r="I99" s="658"/>
      <c r="J99" s="658"/>
      <c r="K99" s="658"/>
      <c r="L99" s="658"/>
      <c r="M99" s="658"/>
      <c r="N99" s="658"/>
      <c r="O99" s="658"/>
      <c r="P99" s="658"/>
      <c r="Q99" s="658"/>
      <c r="R99" s="658"/>
      <c r="S99" s="658"/>
      <c r="T99" s="658"/>
      <c r="U99" s="658"/>
      <c r="V99" s="658"/>
      <c r="W99" s="658"/>
      <c r="X99" s="658"/>
      <c r="Y99" s="658"/>
      <c r="Z99" s="658"/>
    </row>
    <row r="100" ht="14.25" customHeight="1">
      <c r="A100" s="658"/>
      <c r="B100" s="658"/>
      <c r="C100" s="658"/>
      <c r="D100" s="658"/>
      <c r="E100" s="658"/>
      <c r="F100" s="658"/>
      <c r="G100" s="658"/>
      <c r="H100" s="658"/>
      <c r="I100" s="658"/>
      <c r="J100" s="658"/>
      <c r="K100" s="658"/>
      <c r="L100" s="658"/>
      <c r="M100" s="658"/>
      <c r="N100" s="658"/>
      <c r="O100" s="658"/>
      <c r="P100" s="658"/>
      <c r="Q100" s="658"/>
      <c r="R100" s="658"/>
      <c r="S100" s="658"/>
      <c r="T100" s="658"/>
      <c r="U100" s="658"/>
      <c r="V100" s="658"/>
      <c r="W100" s="658"/>
      <c r="X100" s="658"/>
      <c r="Y100" s="658"/>
      <c r="Z100" s="658"/>
    </row>
    <row r="101" ht="14.25" customHeight="1">
      <c r="A101" s="658"/>
      <c r="B101" s="658"/>
      <c r="C101" s="658"/>
      <c r="D101" s="658"/>
      <c r="E101" s="658"/>
      <c r="F101" s="658"/>
      <c r="G101" s="658"/>
      <c r="H101" s="658"/>
      <c r="I101" s="658"/>
      <c r="J101" s="658"/>
      <c r="K101" s="658"/>
      <c r="L101" s="658"/>
      <c r="M101" s="658"/>
      <c r="N101" s="658"/>
      <c r="O101" s="658"/>
      <c r="P101" s="658"/>
      <c r="Q101" s="658"/>
      <c r="R101" s="658"/>
      <c r="S101" s="658"/>
      <c r="T101" s="658"/>
      <c r="U101" s="658"/>
      <c r="V101" s="658"/>
      <c r="W101" s="658"/>
      <c r="X101" s="658"/>
      <c r="Y101" s="658"/>
      <c r="Z101" s="658"/>
    </row>
    <row r="102" ht="14.25" customHeight="1">
      <c r="A102" s="658"/>
      <c r="B102" s="658"/>
      <c r="C102" s="658"/>
      <c r="D102" s="658"/>
      <c r="E102" s="658"/>
      <c r="F102" s="658"/>
      <c r="G102" s="658"/>
      <c r="H102" s="658"/>
      <c r="I102" s="658"/>
      <c r="J102" s="658"/>
      <c r="K102" s="658"/>
      <c r="L102" s="658"/>
      <c r="M102" s="658"/>
      <c r="N102" s="658"/>
      <c r="O102" s="658"/>
      <c r="P102" s="658"/>
      <c r="Q102" s="658"/>
      <c r="R102" s="658"/>
      <c r="S102" s="658"/>
      <c r="T102" s="658"/>
      <c r="U102" s="658"/>
      <c r="V102" s="658"/>
      <c r="W102" s="658"/>
      <c r="X102" s="658"/>
      <c r="Y102" s="658"/>
      <c r="Z102" s="658"/>
    </row>
    <row r="103" ht="14.25" customHeight="1">
      <c r="A103" s="658"/>
      <c r="B103" s="658"/>
      <c r="C103" s="658"/>
      <c r="D103" s="658"/>
      <c r="E103" s="658"/>
      <c r="F103" s="658"/>
      <c r="G103" s="658"/>
      <c r="H103" s="658"/>
      <c r="I103" s="658"/>
      <c r="J103" s="658"/>
      <c r="K103" s="658"/>
      <c r="L103" s="658"/>
      <c r="M103" s="658"/>
      <c r="N103" s="658"/>
      <c r="O103" s="658"/>
      <c r="P103" s="658"/>
      <c r="Q103" s="658"/>
      <c r="R103" s="658"/>
      <c r="S103" s="658"/>
      <c r="T103" s="658"/>
      <c r="U103" s="658"/>
      <c r="V103" s="658"/>
      <c r="W103" s="658"/>
      <c r="X103" s="658"/>
      <c r="Y103" s="658"/>
      <c r="Z103" s="658"/>
    </row>
    <row r="104" ht="14.25" customHeight="1">
      <c r="A104" s="658"/>
      <c r="B104" s="658"/>
      <c r="C104" s="658"/>
      <c r="D104" s="658"/>
      <c r="E104" s="658"/>
      <c r="F104" s="658"/>
      <c r="G104" s="658"/>
      <c r="H104" s="658"/>
      <c r="I104" s="658"/>
      <c r="J104" s="658"/>
      <c r="K104" s="658"/>
      <c r="L104" s="658"/>
      <c r="M104" s="658"/>
      <c r="N104" s="658"/>
      <c r="O104" s="658"/>
      <c r="P104" s="658"/>
      <c r="Q104" s="658"/>
      <c r="R104" s="658"/>
      <c r="S104" s="658"/>
      <c r="T104" s="658"/>
      <c r="U104" s="658"/>
      <c r="V104" s="658"/>
      <c r="W104" s="658"/>
      <c r="X104" s="658"/>
      <c r="Y104" s="658"/>
      <c r="Z104" s="658"/>
    </row>
    <row r="105" ht="14.25" customHeight="1">
      <c r="A105" s="658"/>
      <c r="B105" s="658"/>
      <c r="C105" s="658"/>
      <c r="D105" s="658"/>
      <c r="E105" s="658"/>
      <c r="F105" s="658"/>
      <c r="G105" s="658"/>
      <c r="H105" s="658"/>
      <c r="I105" s="658"/>
      <c r="J105" s="658"/>
      <c r="K105" s="658"/>
      <c r="L105" s="658"/>
      <c r="M105" s="658"/>
      <c r="N105" s="658"/>
      <c r="O105" s="658"/>
      <c r="P105" s="658"/>
      <c r="Q105" s="658"/>
      <c r="R105" s="658"/>
      <c r="S105" s="658"/>
      <c r="T105" s="658"/>
      <c r="U105" s="658"/>
      <c r="V105" s="658"/>
      <c r="W105" s="658"/>
      <c r="X105" s="658"/>
      <c r="Y105" s="658"/>
      <c r="Z105" s="658"/>
    </row>
    <row r="106" ht="14.25" customHeight="1">
      <c r="A106" s="658"/>
      <c r="B106" s="658"/>
      <c r="C106" s="658"/>
      <c r="D106" s="658"/>
      <c r="E106" s="658"/>
      <c r="F106" s="658"/>
      <c r="G106" s="658"/>
      <c r="H106" s="658"/>
      <c r="I106" s="658"/>
      <c r="J106" s="658"/>
      <c r="K106" s="658"/>
      <c r="L106" s="658"/>
      <c r="M106" s="658"/>
      <c r="N106" s="658"/>
      <c r="O106" s="658"/>
      <c r="P106" s="658"/>
      <c r="Q106" s="658"/>
      <c r="R106" s="658"/>
      <c r="S106" s="658"/>
      <c r="T106" s="658"/>
      <c r="U106" s="658"/>
      <c r="V106" s="658"/>
      <c r="W106" s="658"/>
      <c r="X106" s="658"/>
      <c r="Y106" s="658"/>
      <c r="Z106" s="658"/>
    </row>
    <row r="107" ht="14.25" customHeight="1">
      <c r="A107" s="658"/>
      <c r="B107" s="658"/>
      <c r="C107" s="658"/>
      <c r="D107" s="658"/>
      <c r="E107" s="658"/>
      <c r="F107" s="658"/>
      <c r="G107" s="658"/>
      <c r="H107" s="658"/>
      <c r="I107" s="658"/>
      <c r="J107" s="658"/>
      <c r="K107" s="658"/>
      <c r="L107" s="658"/>
      <c r="M107" s="658"/>
      <c r="N107" s="658"/>
      <c r="O107" s="658"/>
      <c r="P107" s="658"/>
      <c r="Q107" s="658"/>
      <c r="R107" s="658"/>
      <c r="S107" s="658"/>
      <c r="T107" s="658"/>
      <c r="U107" s="658"/>
      <c r="V107" s="658"/>
      <c r="W107" s="658"/>
      <c r="X107" s="658"/>
      <c r="Y107" s="658"/>
      <c r="Z107" s="658"/>
    </row>
    <row r="108" ht="14.25" customHeight="1">
      <c r="A108" s="658"/>
      <c r="B108" s="658"/>
      <c r="C108" s="658"/>
      <c r="D108" s="658"/>
      <c r="E108" s="658"/>
      <c r="F108" s="658"/>
      <c r="G108" s="658"/>
      <c r="H108" s="658"/>
      <c r="I108" s="658"/>
      <c r="J108" s="658"/>
      <c r="K108" s="658"/>
      <c r="L108" s="658"/>
      <c r="M108" s="658"/>
      <c r="N108" s="658"/>
      <c r="O108" s="658"/>
      <c r="P108" s="658"/>
      <c r="Q108" s="658"/>
      <c r="R108" s="658"/>
      <c r="S108" s="658"/>
      <c r="T108" s="658"/>
      <c r="U108" s="658"/>
      <c r="V108" s="658"/>
      <c r="W108" s="658"/>
      <c r="X108" s="658"/>
      <c r="Y108" s="658"/>
      <c r="Z108" s="658"/>
    </row>
    <row r="109" ht="14.25" customHeight="1">
      <c r="A109" s="658"/>
      <c r="B109" s="658"/>
      <c r="C109" s="658"/>
      <c r="D109" s="658"/>
      <c r="E109" s="658"/>
      <c r="F109" s="658"/>
      <c r="G109" s="658"/>
      <c r="H109" s="658"/>
      <c r="I109" s="658"/>
      <c r="J109" s="658"/>
      <c r="K109" s="658"/>
      <c r="L109" s="658"/>
      <c r="M109" s="658"/>
      <c r="N109" s="658"/>
      <c r="O109" s="658"/>
      <c r="P109" s="658"/>
      <c r="Q109" s="658"/>
      <c r="R109" s="658"/>
      <c r="S109" s="658"/>
      <c r="T109" s="658"/>
      <c r="U109" s="658"/>
      <c r="V109" s="658"/>
      <c r="W109" s="658"/>
      <c r="X109" s="658"/>
      <c r="Y109" s="658"/>
      <c r="Z109" s="658"/>
    </row>
    <row r="110" ht="14.25" customHeight="1">
      <c r="A110" s="658"/>
      <c r="B110" s="658"/>
      <c r="C110" s="658"/>
      <c r="D110" s="658"/>
      <c r="E110" s="658"/>
      <c r="F110" s="658"/>
      <c r="G110" s="658"/>
      <c r="H110" s="658"/>
      <c r="I110" s="658"/>
      <c r="J110" s="658"/>
      <c r="K110" s="658"/>
      <c r="L110" s="658"/>
      <c r="M110" s="658"/>
      <c r="N110" s="658"/>
      <c r="O110" s="658"/>
      <c r="P110" s="658"/>
      <c r="Q110" s="658"/>
      <c r="R110" s="658"/>
      <c r="S110" s="658"/>
      <c r="T110" s="658"/>
      <c r="U110" s="658"/>
      <c r="V110" s="658"/>
      <c r="W110" s="658"/>
      <c r="X110" s="658"/>
      <c r="Y110" s="658"/>
      <c r="Z110" s="658"/>
    </row>
    <row r="111" ht="14.25" customHeight="1">
      <c r="A111" s="658"/>
      <c r="B111" s="658"/>
      <c r="C111" s="658"/>
      <c r="D111" s="658"/>
      <c r="E111" s="658"/>
      <c r="F111" s="658"/>
      <c r="G111" s="658"/>
      <c r="H111" s="658"/>
      <c r="I111" s="658"/>
      <c r="J111" s="658"/>
      <c r="K111" s="658"/>
      <c r="L111" s="658"/>
      <c r="M111" s="658"/>
      <c r="N111" s="658"/>
      <c r="O111" s="658"/>
      <c r="P111" s="658"/>
      <c r="Q111" s="658"/>
      <c r="R111" s="658"/>
      <c r="S111" s="658"/>
      <c r="T111" s="658"/>
      <c r="U111" s="658"/>
      <c r="V111" s="658"/>
      <c r="W111" s="658"/>
      <c r="X111" s="658"/>
      <c r="Y111" s="658"/>
      <c r="Z111" s="658"/>
    </row>
    <row r="112" ht="14.25" customHeight="1">
      <c r="A112" s="658"/>
      <c r="B112" s="658"/>
      <c r="C112" s="658"/>
      <c r="D112" s="658"/>
      <c r="E112" s="658"/>
      <c r="F112" s="658"/>
      <c r="G112" s="658"/>
      <c r="H112" s="658"/>
      <c r="I112" s="658"/>
      <c r="J112" s="658"/>
      <c r="K112" s="658"/>
      <c r="L112" s="658"/>
      <c r="M112" s="658"/>
      <c r="N112" s="658"/>
      <c r="O112" s="658"/>
      <c r="P112" s="658"/>
      <c r="Q112" s="658"/>
      <c r="R112" s="658"/>
      <c r="S112" s="658"/>
      <c r="T112" s="658"/>
      <c r="U112" s="658"/>
      <c r="V112" s="658"/>
      <c r="W112" s="658"/>
      <c r="X112" s="658"/>
      <c r="Y112" s="658"/>
      <c r="Z112" s="658"/>
    </row>
    <row r="113" ht="14.25" customHeight="1">
      <c r="A113" s="658"/>
      <c r="B113" s="658"/>
      <c r="C113" s="658"/>
      <c r="D113" s="658"/>
      <c r="E113" s="658"/>
      <c r="F113" s="658"/>
      <c r="G113" s="658"/>
      <c r="H113" s="658"/>
      <c r="I113" s="658"/>
      <c r="J113" s="658"/>
      <c r="K113" s="658"/>
      <c r="L113" s="658"/>
      <c r="M113" s="658"/>
      <c r="N113" s="658"/>
      <c r="O113" s="658"/>
      <c r="P113" s="658"/>
      <c r="Q113" s="658"/>
      <c r="R113" s="658"/>
      <c r="S113" s="658"/>
      <c r="T113" s="658"/>
      <c r="U113" s="658"/>
      <c r="V113" s="658"/>
      <c r="W113" s="658"/>
      <c r="X113" s="658"/>
      <c r="Y113" s="658"/>
      <c r="Z113" s="658"/>
    </row>
    <row r="114" ht="14.25" customHeight="1">
      <c r="A114" s="658"/>
      <c r="B114" s="658"/>
      <c r="C114" s="658"/>
      <c r="D114" s="658"/>
      <c r="E114" s="658"/>
      <c r="F114" s="658"/>
      <c r="G114" s="658"/>
      <c r="H114" s="658"/>
      <c r="I114" s="658"/>
      <c r="J114" s="658"/>
      <c r="K114" s="658"/>
      <c r="L114" s="658"/>
      <c r="M114" s="658"/>
      <c r="N114" s="658"/>
      <c r="O114" s="658"/>
      <c r="P114" s="658"/>
      <c r="Q114" s="658"/>
      <c r="R114" s="658"/>
      <c r="S114" s="658"/>
      <c r="T114" s="658"/>
      <c r="U114" s="658"/>
      <c r="V114" s="658"/>
      <c r="W114" s="658"/>
      <c r="X114" s="658"/>
      <c r="Y114" s="658"/>
      <c r="Z114" s="658"/>
    </row>
    <row r="115" ht="14.25" customHeight="1">
      <c r="A115" s="658"/>
      <c r="B115" s="658"/>
      <c r="C115" s="658"/>
      <c r="D115" s="658"/>
      <c r="E115" s="658"/>
      <c r="F115" s="658"/>
      <c r="G115" s="658"/>
      <c r="H115" s="658"/>
      <c r="I115" s="658"/>
      <c r="J115" s="658"/>
      <c r="K115" s="658"/>
      <c r="L115" s="658"/>
      <c r="M115" s="658"/>
      <c r="N115" s="658"/>
      <c r="O115" s="658"/>
      <c r="P115" s="658"/>
      <c r="Q115" s="658"/>
      <c r="R115" s="658"/>
      <c r="S115" s="658"/>
      <c r="T115" s="658"/>
      <c r="U115" s="658"/>
      <c r="V115" s="658"/>
      <c r="W115" s="658"/>
      <c r="X115" s="658"/>
      <c r="Y115" s="658"/>
      <c r="Z115" s="658"/>
    </row>
    <row r="116" ht="14.25" customHeight="1">
      <c r="A116" s="658"/>
      <c r="B116" s="658"/>
      <c r="C116" s="658"/>
      <c r="D116" s="658"/>
      <c r="E116" s="658"/>
      <c r="F116" s="658"/>
      <c r="G116" s="658"/>
      <c r="H116" s="658"/>
      <c r="I116" s="658"/>
      <c r="J116" s="658"/>
      <c r="K116" s="658"/>
      <c r="L116" s="658"/>
      <c r="M116" s="658"/>
      <c r="N116" s="658"/>
      <c r="O116" s="658"/>
      <c r="P116" s="658"/>
      <c r="Q116" s="658"/>
      <c r="R116" s="658"/>
      <c r="S116" s="658"/>
      <c r="T116" s="658"/>
      <c r="U116" s="658"/>
      <c r="V116" s="658"/>
      <c r="W116" s="658"/>
      <c r="X116" s="658"/>
      <c r="Y116" s="658"/>
      <c r="Z116" s="658"/>
    </row>
    <row r="117" ht="14.25" customHeight="1">
      <c r="A117" s="658"/>
      <c r="B117" s="658"/>
      <c r="C117" s="658"/>
      <c r="D117" s="658"/>
      <c r="E117" s="658"/>
      <c r="F117" s="658"/>
      <c r="G117" s="658"/>
      <c r="H117" s="658"/>
      <c r="I117" s="658"/>
      <c r="J117" s="658"/>
      <c r="K117" s="658"/>
      <c r="L117" s="658"/>
      <c r="M117" s="658"/>
      <c r="N117" s="658"/>
      <c r="O117" s="658"/>
      <c r="P117" s="658"/>
      <c r="Q117" s="658"/>
      <c r="R117" s="658"/>
      <c r="S117" s="658"/>
      <c r="T117" s="658"/>
      <c r="U117" s="658"/>
      <c r="V117" s="658"/>
      <c r="W117" s="658"/>
      <c r="X117" s="658"/>
      <c r="Y117" s="658"/>
      <c r="Z117" s="658"/>
    </row>
    <row r="118" ht="14.25" customHeight="1">
      <c r="A118" s="658"/>
      <c r="B118" s="658"/>
      <c r="C118" s="658"/>
      <c r="D118" s="658"/>
      <c r="E118" s="658"/>
      <c r="F118" s="658"/>
      <c r="G118" s="658"/>
      <c r="H118" s="658"/>
      <c r="I118" s="658"/>
      <c r="J118" s="658"/>
      <c r="K118" s="658"/>
      <c r="L118" s="658"/>
      <c r="M118" s="658"/>
      <c r="N118" s="658"/>
      <c r="O118" s="658"/>
      <c r="P118" s="658"/>
      <c r="Q118" s="658"/>
      <c r="R118" s="658"/>
      <c r="S118" s="658"/>
      <c r="T118" s="658"/>
      <c r="U118" s="658"/>
      <c r="V118" s="658"/>
      <c r="W118" s="658"/>
      <c r="X118" s="658"/>
      <c r="Y118" s="658"/>
      <c r="Z118" s="658"/>
    </row>
    <row r="119" ht="14.25" customHeight="1">
      <c r="A119" s="658"/>
      <c r="B119" s="658"/>
      <c r="C119" s="658"/>
      <c r="D119" s="658"/>
      <c r="E119" s="658"/>
      <c r="F119" s="658"/>
      <c r="G119" s="658"/>
      <c r="H119" s="658"/>
      <c r="I119" s="658"/>
      <c r="J119" s="658"/>
      <c r="K119" s="658"/>
      <c r="L119" s="658"/>
      <c r="M119" s="658"/>
      <c r="N119" s="658"/>
      <c r="O119" s="658"/>
      <c r="P119" s="658"/>
      <c r="Q119" s="658"/>
      <c r="R119" s="658"/>
      <c r="S119" s="658"/>
      <c r="T119" s="658"/>
      <c r="U119" s="658"/>
      <c r="V119" s="658"/>
      <c r="W119" s="658"/>
      <c r="X119" s="658"/>
      <c r="Y119" s="658"/>
      <c r="Z119" s="658"/>
    </row>
    <row r="120" ht="14.25" customHeight="1">
      <c r="A120" s="658"/>
      <c r="B120" s="658"/>
      <c r="C120" s="658"/>
      <c r="D120" s="658"/>
      <c r="E120" s="658"/>
      <c r="F120" s="658"/>
      <c r="G120" s="658"/>
      <c r="H120" s="658"/>
      <c r="I120" s="658"/>
      <c r="J120" s="658"/>
      <c r="K120" s="658"/>
      <c r="L120" s="658"/>
      <c r="M120" s="658"/>
      <c r="N120" s="658"/>
      <c r="O120" s="658"/>
      <c r="P120" s="658"/>
      <c r="Q120" s="658"/>
      <c r="R120" s="658"/>
      <c r="S120" s="658"/>
      <c r="T120" s="658"/>
      <c r="U120" s="658"/>
      <c r="V120" s="658"/>
      <c r="W120" s="658"/>
      <c r="X120" s="658"/>
      <c r="Y120" s="658"/>
      <c r="Z120" s="658"/>
    </row>
    <row r="121" ht="14.25" customHeight="1">
      <c r="A121" s="658"/>
      <c r="B121" s="658"/>
      <c r="C121" s="658"/>
      <c r="D121" s="658"/>
      <c r="E121" s="658"/>
      <c r="F121" s="658"/>
      <c r="G121" s="658"/>
      <c r="H121" s="658"/>
      <c r="I121" s="658"/>
      <c r="J121" s="658"/>
      <c r="K121" s="658"/>
      <c r="L121" s="658"/>
      <c r="M121" s="658"/>
      <c r="N121" s="658"/>
      <c r="O121" s="658"/>
      <c r="P121" s="658"/>
      <c r="Q121" s="658"/>
      <c r="R121" s="658"/>
      <c r="S121" s="658"/>
      <c r="T121" s="658"/>
      <c r="U121" s="658"/>
      <c r="V121" s="658"/>
      <c r="W121" s="658"/>
      <c r="X121" s="658"/>
      <c r="Y121" s="658"/>
      <c r="Z121" s="658"/>
    </row>
    <row r="122" ht="14.25" customHeight="1">
      <c r="A122" s="658"/>
      <c r="B122" s="658"/>
      <c r="C122" s="658"/>
      <c r="D122" s="658"/>
      <c r="E122" s="658"/>
      <c r="F122" s="658"/>
      <c r="G122" s="658"/>
      <c r="H122" s="658"/>
      <c r="I122" s="658"/>
      <c r="J122" s="658"/>
      <c r="K122" s="658"/>
      <c r="L122" s="658"/>
      <c r="M122" s="658"/>
      <c r="N122" s="658"/>
      <c r="O122" s="658"/>
      <c r="P122" s="658"/>
      <c r="Q122" s="658"/>
      <c r="R122" s="658"/>
      <c r="S122" s="658"/>
      <c r="T122" s="658"/>
      <c r="U122" s="658"/>
      <c r="V122" s="658"/>
      <c r="W122" s="658"/>
      <c r="X122" s="658"/>
      <c r="Y122" s="658"/>
      <c r="Z122" s="658"/>
    </row>
    <row r="123" ht="14.25" customHeight="1">
      <c r="A123" s="658"/>
      <c r="B123" s="658"/>
      <c r="C123" s="658"/>
      <c r="D123" s="658"/>
      <c r="E123" s="658"/>
      <c r="F123" s="658"/>
      <c r="G123" s="658"/>
      <c r="H123" s="658"/>
      <c r="I123" s="658"/>
      <c r="J123" s="658"/>
      <c r="K123" s="658"/>
      <c r="L123" s="658"/>
      <c r="M123" s="658"/>
      <c r="N123" s="658"/>
      <c r="O123" s="658"/>
      <c r="P123" s="658"/>
      <c r="Q123" s="658"/>
      <c r="R123" s="658"/>
      <c r="S123" s="658"/>
      <c r="T123" s="658"/>
      <c r="U123" s="658"/>
      <c r="V123" s="658"/>
      <c r="W123" s="658"/>
      <c r="X123" s="658"/>
      <c r="Y123" s="658"/>
      <c r="Z123" s="658"/>
    </row>
    <row r="124" ht="14.25" customHeight="1">
      <c r="A124" s="658"/>
      <c r="B124" s="658"/>
      <c r="C124" s="658"/>
      <c r="D124" s="658"/>
      <c r="E124" s="658"/>
      <c r="F124" s="658"/>
      <c r="G124" s="658"/>
      <c r="H124" s="658"/>
      <c r="I124" s="658"/>
      <c r="J124" s="658"/>
      <c r="K124" s="658"/>
      <c r="L124" s="658"/>
      <c r="M124" s="658"/>
      <c r="N124" s="658"/>
      <c r="O124" s="658"/>
      <c r="P124" s="658"/>
      <c r="Q124" s="658"/>
      <c r="R124" s="658"/>
      <c r="S124" s="658"/>
      <c r="T124" s="658"/>
      <c r="U124" s="658"/>
      <c r="V124" s="658"/>
      <c r="W124" s="658"/>
      <c r="X124" s="658"/>
      <c r="Y124" s="658"/>
      <c r="Z124" s="658"/>
    </row>
    <row r="125" ht="14.25" customHeight="1">
      <c r="A125" s="658"/>
      <c r="B125" s="658"/>
      <c r="C125" s="658"/>
      <c r="D125" s="658"/>
      <c r="E125" s="658"/>
      <c r="F125" s="658"/>
      <c r="G125" s="658"/>
      <c r="H125" s="658"/>
      <c r="I125" s="658"/>
      <c r="J125" s="658"/>
      <c r="K125" s="658"/>
      <c r="L125" s="658"/>
      <c r="M125" s="658"/>
      <c r="N125" s="658"/>
      <c r="O125" s="658"/>
      <c r="P125" s="658"/>
      <c r="Q125" s="658"/>
      <c r="R125" s="658"/>
      <c r="S125" s="658"/>
      <c r="T125" s="658"/>
      <c r="U125" s="658"/>
      <c r="V125" s="658"/>
      <c r="W125" s="658"/>
      <c r="X125" s="658"/>
      <c r="Y125" s="658"/>
      <c r="Z125" s="658"/>
    </row>
    <row r="126" ht="14.25" customHeight="1">
      <c r="A126" s="658"/>
      <c r="B126" s="658"/>
      <c r="C126" s="658"/>
      <c r="D126" s="658"/>
      <c r="E126" s="658"/>
      <c r="F126" s="658"/>
      <c r="G126" s="658"/>
      <c r="H126" s="658"/>
      <c r="I126" s="658"/>
      <c r="J126" s="658"/>
      <c r="K126" s="658"/>
      <c r="L126" s="658"/>
      <c r="M126" s="658"/>
      <c r="N126" s="658"/>
      <c r="O126" s="658"/>
      <c r="P126" s="658"/>
      <c r="Q126" s="658"/>
      <c r="R126" s="658"/>
      <c r="S126" s="658"/>
      <c r="T126" s="658"/>
      <c r="U126" s="658"/>
      <c r="V126" s="658"/>
      <c r="W126" s="658"/>
      <c r="X126" s="658"/>
      <c r="Y126" s="658"/>
      <c r="Z126" s="658"/>
    </row>
    <row r="127" ht="14.25" customHeight="1">
      <c r="A127" s="658"/>
      <c r="B127" s="658"/>
      <c r="C127" s="658"/>
      <c r="D127" s="658"/>
      <c r="E127" s="658"/>
      <c r="F127" s="658"/>
      <c r="G127" s="658"/>
      <c r="H127" s="658"/>
      <c r="I127" s="658"/>
      <c r="J127" s="658"/>
      <c r="K127" s="658"/>
      <c r="L127" s="658"/>
      <c r="M127" s="658"/>
      <c r="N127" s="658"/>
      <c r="O127" s="658"/>
      <c r="P127" s="658"/>
      <c r="Q127" s="658"/>
      <c r="R127" s="658"/>
      <c r="S127" s="658"/>
      <c r="T127" s="658"/>
      <c r="U127" s="658"/>
      <c r="V127" s="658"/>
      <c r="W127" s="658"/>
      <c r="X127" s="658"/>
      <c r="Y127" s="658"/>
      <c r="Z127" s="658"/>
    </row>
    <row r="128" ht="14.25" customHeight="1">
      <c r="A128" s="658"/>
      <c r="B128" s="658"/>
      <c r="C128" s="658"/>
      <c r="D128" s="658"/>
      <c r="E128" s="658"/>
      <c r="F128" s="658"/>
      <c r="G128" s="658"/>
      <c r="H128" s="658"/>
      <c r="I128" s="658"/>
      <c r="J128" s="658"/>
      <c r="K128" s="658"/>
      <c r="L128" s="658"/>
      <c r="M128" s="658"/>
      <c r="N128" s="658"/>
      <c r="O128" s="658"/>
      <c r="P128" s="658"/>
      <c r="Q128" s="658"/>
      <c r="R128" s="658"/>
      <c r="S128" s="658"/>
      <c r="T128" s="658"/>
      <c r="U128" s="658"/>
      <c r="V128" s="658"/>
      <c r="W128" s="658"/>
      <c r="X128" s="658"/>
      <c r="Y128" s="658"/>
      <c r="Z128" s="658"/>
    </row>
    <row r="129" ht="14.25" customHeight="1">
      <c r="A129" s="658"/>
      <c r="B129" s="658"/>
      <c r="C129" s="658"/>
      <c r="D129" s="658"/>
      <c r="E129" s="658"/>
      <c r="F129" s="658"/>
      <c r="G129" s="658"/>
      <c r="H129" s="658"/>
      <c r="I129" s="658"/>
      <c r="J129" s="658"/>
      <c r="K129" s="658"/>
      <c r="L129" s="658"/>
      <c r="M129" s="658"/>
      <c r="N129" s="658"/>
      <c r="O129" s="658"/>
      <c r="P129" s="658"/>
      <c r="Q129" s="658"/>
      <c r="R129" s="658"/>
      <c r="S129" s="658"/>
      <c r="T129" s="658"/>
      <c r="U129" s="658"/>
      <c r="V129" s="658"/>
      <c r="W129" s="658"/>
      <c r="X129" s="658"/>
      <c r="Y129" s="658"/>
      <c r="Z129" s="658"/>
    </row>
    <row r="130" ht="14.25" customHeight="1">
      <c r="A130" s="658"/>
      <c r="B130" s="658"/>
      <c r="C130" s="658"/>
      <c r="D130" s="658"/>
      <c r="E130" s="658"/>
      <c r="F130" s="658"/>
      <c r="G130" s="658"/>
      <c r="H130" s="658"/>
      <c r="I130" s="658"/>
      <c r="J130" s="658"/>
      <c r="K130" s="658"/>
      <c r="L130" s="658"/>
      <c r="M130" s="658"/>
      <c r="N130" s="658"/>
      <c r="O130" s="658"/>
      <c r="P130" s="658"/>
      <c r="Q130" s="658"/>
      <c r="R130" s="658"/>
      <c r="S130" s="658"/>
      <c r="T130" s="658"/>
      <c r="U130" s="658"/>
      <c r="V130" s="658"/>
      <c r="W130" s="658"/>
      <c r="X130" s="658"/>
      <c r="Y130" s="658"/>
      <c r="Z130" s="658"/>
    </row>
    <row r="131" ht="14.25" customHeight="1">
      <c r="A131" s="658"/>
      <c r="B131" s="658"/>
      <c r="C131" s="658"/>
      <c r="D131" s="658"/>
      <c r="E131" s="658"/>
      <c r="F131" s="658"/>
      <c r="G131" s="658"/>
      <c r="H131" s="658"/>
      <c r="I131" s="658"/>
      <c r="J131" s="658"/>
      <c r="K131" s="658"/>
      <c r="L131" s="658"/>
      <c r="M131" s="658"/>
      <c r="N131" s="658"/>
      <c r="O131" s="658"/>
      <c r="P131" s="658"/>
      <c r="Q131" s="658"/>
      <c r="R131" s="658"/>
      <c r="S131" s="658"/>
      <c r="T131" s="658"/>
      <c r="U131" s="658"/>
      <c r="V131" s="658"/>
      <c r="W131" s="658"/>
      <c r="X131" s="658"/>
      <c r="Y131" s="658"/>
      <c r="Z131" s="658"/>
    </row>
    <row r="132" ht="14.25" customHeight="1">
      <c r="A132" s="658"/>
      <c r="B132" s="658"/>
      <c r="C132" s="658"/>
      <c r="D132" s="658"/>
      <c r="E132" s="658"/>
      <c r="F132" s="658"/>
      <c r="G132" s="658"/>
      <c r="H132" s="658"/>
      <c r="I132" s="658"/>
      <c r="J132" s="658"/>
      <c r="K132" s="658"/>
      <c r="L132" s="658"/>
      <c r="M132" s="658"/>
      <c r="N132" s="658"/>
      <c r="O132" s="658"/>
      <c r="P132" s="658"/>
      <c r="Q132" s="658"/>
      <c r="R132" s="658"/>
      <c r="S132" s="658"/>
      <c r="T132" s="658"/>
      <c r="U132" s="658"/>
      <c r="V132" s="658"/>
      <c r="W132" s="658"/>
      <c r="X132" s="658"/>
      <c r="Y132" s="658"/>
      <c r="Z132" s="658"/>
    </row>
    <row r="133" ht="14.25" customHeight="1">
      <c r="A133" s="658"/>
      <c r="B133" s="658"/>
      <c r="C133" s="658"/>
      <c r="D133" s="658"/>
      <c r="E133" s="658"/>
      <c r="F133" s="658"/>
      <c r="G133" s="658"/>
      <c r="H133" s="658"/>
      <c r="I133" s="658"/>
      <c r="J133" s="658"/>
      <c r="K133" s="658"/>
      <c r="L133" s="658"/>
      <c r="M133" s="658"/>
      <c r="N133" s="658"/>
      <c r="O133" s="658"/>
      <c r="P133" s="658"/>
      <c r="Q133" s="658"/>
      <c r="R133" s="658"/>
      <c r="S133" s="658"/>
      <c r="T133" s="658"/>
      <c r="U133" s="658"/>
      <c r="V133" s="658"/>
      <c r="W133" s="658"/>
      <c r="X133" s="658"/>
      <c r="Y133" s="658"/>
      <c r="Z133" s="658"/>
    </row>
    <row r="134" ht="14.25" customHeight="1">
      <c r="A134" s="658"/>
      <c r="B134" s="658"/>
      <c r="C134" s="658"/>
      <c r="D134" s="658"/>
      <c r="E134" s="658"/>
      <c r="F134" s="658"/>
      <c r="G134" s="658"/>
      <c r="H134" s="658"/>
      <c r="I134" s="658"/>
      <c r="J134" s="658"/>
      <c r="K134" s="658"/>
      <c r="L134" s="658"/>
      <c r="M134" s="658"/>
      <c r="N134" s="658"/>
      <c r="O134" s="658"/>
      <c r="P134" s="658"/>
      <c r="Q134" s="658"/>
      <c r="R134" s="658"/>
      <c r="S134" s="658"/>
      <c r="T134" s="658"/>
      <c r="U134" s="658"/>
      <c r="V134" s="658"/>
      <c r="W134" s="658"/>
      <c r="X134" s="658"/>
      <c r="Y134" s="658"/>
      <c r="Z134" s="658"/>
    </row>
    <row r="135" ht="14.25" customHeight="1">
      <c r="A135" s="658"/>
      <c r="B135" s="658"/>
      <c r="C135" s="658"/>
      <c r="D135" s="658"/>
      <c r="E135" s="658"/>
      <c r="F135" s="658"/>
      <c r="G135" s="658"/>
      <c r="H135" s="658"/>
      <c r="I135" s="658"/>
      <c r="J135" s="658"/>
      <c r="K135" s="658"/>
      <c r="L135" s="658"/>
      <c r="M135" s="658"/>
      <c r="N135" s="658"/>
      <c r="O135" s="658"/>
      <c r="P135" s="658"/>
      <c r="Q135" s="658"/>
      <c r="R135" s="658"/>
      <c r="S135" s="658"/>
      <c r="T135" s="658"/>
      <c r="U135" s="658"/>
      <c r="V135" s="658"/>
      <c r="W135" s="658"/>
      <c r="X135" s="658"/>
      <c r="Y135" s="658"/>
      <c r="Z135" s="658"/>
    </row>
    <row r="136" ht="14.25" customHeight="1">
      <c r="A136" s="658"/>
      <c r="B136" s="658"/>
      <c r="C136" s="658"/>
      <c r="D136" s="658"/>
      <c r="E136" s="658"/>
      <c r="F136" s="658"/>
      <c r="G136" s="658"/>
      <c r="H136" s="658"/>
      <c r="I136" s="658"/>
      <c r="J136" s="658"/>
      <c r="K136" s="658"/>
      <c r="L136" s="658"/>
      <c r="M136" s="658"/>
      <c r="N136" s="658"/>
      <c r="O136" s="658"/>
      <c r="P136" s="658"/>
      <c r="Q136" s="658"/>
      <c r="R136" s="658"/>
      <c r="S136" s="658"/>
      <c r="T136" s="658"/>
      <c r="U136" s="658"/>
      <c r="V136" s="658"/>
      <c r="W136" s="658"/>
      <c r="X136" s="658"/>
      <c r="Y136" s="658"/>
      <c r="Z136" s="658"/>
    </row>
    <row r="137" ht="14.25" customHeight="1">
      <c r="A137" s="658"/>
      <c r="B137" s="658"/>
      <c r="C137" s="658"/>
      <c r="D137" s="658"/>
      <c r="E137" s="658"/>
      <c r="F137" s="658"/>
      <c r="G137" s="658"/>
      <c r="H137" s="658"/>
      <c r="I137" s="658"/>
      <c r="J137" s="658"/>
      <c r="K137" s="658"/>
      <c r="L137" s="658"/>
      <c r="M137" s="658"/>
      <c r="N137" s="658"/>
      <c r="O137" s="658"/>
      <c r="P137" s="658"/>
      <c r="Q137" s="658"/>
      <c r="R137" s="658"/>
      <c r="S137" s="658"/>
      <c r="T137" s="658"/>
      <c r="U137" s="658"/>
      <c r="V137" s="658"/>
      <c r="W137" s="658"/>
      <c r="X137" s="658"/>
      <c r="Y137" s="658"/>
      <c r="Z137" s="658"/>
    </row>
    <row r="138" ht="14.25" customHeight="1">
      <c r="A138" s="658"/>
      <c r="B138" s="658"/>
      <c r="C138" s="658"/>
      <c r="D138" s="658"/>
      <c r="E138" s="658"/>
      <c r="F138" s="658"/>
      <c r="G138" s="658"/>
      <c r="H138" s="658"/>
      <c r="I138" s="658"/>
      <c r="J138" s="658"/>
      <c r="K138" s="658"/>
      <c r="L138" s="658"/>
      <c r="M138" s="658"/>
      <c r="N138" s="658"/>
      <c r="O138" s="658"/>
      <c r="P138" s="658"/>
      <c r="Q138" s="658"/>
      <c r="R138" s="658"/>
      <c r="S138" s="658"/>
      <c r="T138" s="658"/>
      <c r="U138" s="658"/>
      <c r="V138" s="658"/>
      <c r="W138" s="658"/>
      <c r="X138" s="658"/>
      <c r="Y138" s="658"/>
      <c r="Z138" s="658"/>
    </row>
    <row r="139" ht="14.25" customHeight="1">
      <c r="A139" s="658"/>
      <c r="B139" s="658"/>
      <c r="C139" s="658"/>
      <c r="D139" s="658"/>
      <c r="E139" s="658"/>
      <c r="F139" s="658"/>
      <c r="G139" s="658"/>
      <c r="H139" s="658"/>
      <c r="I139" s="658"/>
      <c r="J139" s="658"/>
      <c r="K139" s="658"/>
      <c r="L139" s="658"/>
      <c r="M139" s="658"/>
      <c r="N139" s="658"/>
      <c r="O139" s="658"/>
      <c r="P139" s="658"/>
      <c r="Q139" s="658"/>
      <c r="R139" s="658"/>
      <c r="S139" s="658"/>
      <c r="T139" s="658"/>
      <c r="U139" s="658"/>
      <c r="V139" s="658"/>
      <c r="W139" s="658"/>
      <c r="X139" s="658"/>
      <c r="Y139" s="658"/>
      <c r="Z139" s="658"/>
    </row>
    <row r="140" ht="14.25" customHeight="1">
      <c r="A140" s="658"/>
      <c r="B140" s="658"/>
      <c r="C140" s="658"/>
      <c r="D140" s="658"/>
      <c r="E140" s="658"/>
      <c r="F140" s="658"/>
      <c r="G140" s="658"/>
      <c r="H140" s="658"/>
      <c r="I140" s="658"/>
      <c r="J140" s="658"/>
      <c r="K140" s="658"/>
      <c r="L140" s="658"/>
      <c r="M140" s="658"/>
      <c r="N140" s="658"/>
      <c r="O140" s="658"/>
      <c r="P140" s="658"/>
      <c r="Q140" s="658"/>
      <c r="R140" s="658"/>
      <c r="S140" s="658"/>
      <c r="T140" s="658"/>
      <c r="U140" s="658"/>
      <c r="V140" s="658"/>
      <c r="W140" s="658"/>
      <c r="X140" s="658"/>
      <c r="Y140" s="658"/>
      <c r="Z140" s="658"/>
    </row>
    <row r="141" ht="14.25" customHeight="1">
      <c r="A141" s="658"/>
      <c r="B141" s="658"/>
      <c r="C141" s="658"/>
      <c r="D141" s="658"/>
      <c r="E141" s="658"/>
      <c r="F141" s="658"/>
      <c r="G141" s="658"/>
      <c r="H141" s="658"/>
      <c r="I141" s="658"/>
      <c r="J141" s="658"/>
      <c r="K141" s="658"/>
      <c r="L141" s="658"/>
      <c r="M141" s="658"/>
      <c r="N141" s="658"/>
      <c r="O141" s="658"/>
      <c r="P141" s="658"/>
      <c r="Q141" s="658"/>
      <c r="R141" s="658"/>
      <c r="S141" s="658"/>
      <c r="T141" s="658"/>
      <c r="U141" s="658"/>
      <c r="V141" s="658"/>
      <c r="W141" s="658"/>
      <c r="X141" s="658"/>
      <c r="Y141" s="658"/>
      <c r="Z141" s="658"/>
    </row>
    <row r="142" ht="14.25" customHeight="1">
      <c r="A142" s="658"/>
      <c r="B142" s="658"/>
      <c r="C142" s="658"/>
      <c r="D142" s="658"/>
      <c r="E142" s="658"/>
      <c r="F142" s="658"/>
      <c r="G142" s="658"/>
      <c r="H142" s="658"/>
      <c r="I142" s="658"/>
      <c r="J142" s="658"/>
      <c r="K142" s="658"/>
      <c r="L142" s="658"/>
      <c r="M142" s="658"/>
      <c r="N142" s="658"/>
      <c r="O142" s="658"/>
      <c r="P142" s="658"/>
      <c r="Q142" s="658"/>
      <c r="R142" s="658"/>
      <c r="S142" s="658"/>
      <c r="T142" s="658"/>
      <c r="U142" s="658"/>
      <c r="V142" s="658"/>
      <c r="W142" s="658"/>
      <c r="X142" s="658"/>
      <c r="Y142" s="658"/>
      <c r="Z142" s="658"/>
    </row>
    <row r="143" ht="14.25" customHeight="1">
      <c r="A143" s="658"/>
      <c r="B143" s="658"/>
      <c r="C143" s="658"/>
      <c r="D143" s="658"/>
      <c r="E143" s="658"/>
      <c r="F143" s="658"/>
      <c r="G143" s="658"/>
      <c r="H143" s="658"/>
      <c r="I143" s="658"/>
      <c r="J143" s="658"/>
      <c r="K143" s="658"/>
      <c r="L143" s="658"/>
      <c r="M143" s="658"/>
      <c r="N143" s="658"/>
      <c r="O143" s="658"/>
      <c r="P143" s="658"/>
      <c r="Q143" s="658"/>
      <c r="R143" s="658"/>
      <c r="S143" s="658"/>
      <c r="T143" s="658"/>
      <c r="U143" s="658"/>
      <c r="V143" s="658"/>
      <c r="W143" s="658"/>
      <c r="X143" s="658"/>
      <c r="Y143" s="658"/>
      <c r="Z143" s="658"/>
    </row>
    <row r="144" ht="14.25" customHeight="1">
      <c r="A144" s="658"/>
      <c r="B144" s="658"/>
      <c r="C144" s="658"/>
      <c r="D144" s="658"/>
      <c r="E144" s="658"/>
      <c r="F144" s="658"/>
      <c r="G144" s="658"/>
      <c r="H144" s="658"/>
      <c r="I144" s="658"/>
      <c r="J144" s="658"/>
      <c r="K144" s="658"/>
      <c r="L144" s="658"/>
      <c r="M144" s="658"/>
      <c r="N144" s="658"/>
      <c r="O144" s="658"/>
      <c r="P144" s="658"/>
      <c r="Q144" s="658"/>
      <c r="R144" s="658"/>
      <c r="S144" s="658"/>
      <c r="T144" s="658"/>
      <c r="U144" s="658"/>
      <c r="V144" s="658"/>
      <c r="W144" s="658"/>
      <c r="X144" s="658"/>
      <c r="Y144" s="658"/>
      <c r="Z144" s="658"/>
    </row>
    <row r="145" ht="14.25" customHeight="1">
      <c r="A145" s="658"/>
      <c r="B145" s="658"/>
      <c r="C145" s="658"/>
      <c r="D145" s="658"/>
      <c r="E145" s="658"/>
      <c r="F145" s="658"/>
      <c r="G145" s="658"/>
      <c r="H145" s="658"/>
      <c r="I145" s="658"/>
      <c r="J145" s="658"/>
      <c r="K145" s="658"/>
      <c r="L145" s="658"/>
      <c r="M145" s="658"/>
      <c r="N145" s="658"/>
      <c r="O145" s="658"/>
      <c r="P145" s="658"/>
      <c r="Q145" s="658"/>
      <c r="R145" s="658"/>
      <c r="S145" s="658"/>
      <c r="T145" s="658"/>
      <c r="U145" s="658"/>
      <c r="V145" s="658"/>
      <c r="W145" s="658"/>
      <c r="X145" s="658"/>
      <c r="Y145" s="658"/>
      <c r="Z145" s="658"/>
    </row>
    <row r="146" ht="14.25" customHeight="1">
      <c r="A146" s="658"/>
      <c r="B146" s="658"/>
      <c r="C146" s="658"/>
      <c r="D146" s="658"/>
      <c r="E146" s="658"/>
      <c r="F146" s="658"/>
      <c r="G146" s="658"/>
      <c r="H146" s="658"/>
      <c r="I146" s="658"/>
      <c r="J146" s="658"/>
      <c r="K146" s="658"/>
      <c r="L146" s="658"/>
      <c r="M146" s="658"/>
      <c r="N146" s="658"/>
      <c r="O146" s="658"/>
      <c r="P146" s="658"/>
      <c r="Q146" s="658"/>
      <c r="R146" s="658"/>
      <c r="S146" s="658"/>
      <c r="T146" s="658"/>
      <c r="U146" s="658"/>
      <c r="V146" s="658"/>
      <c r="W146" s="658"/>
      <c r="X146" s="658"/>
      <c r="Y146" s="658"/>
      <c r="Z146" s="658"/>
    </row>
    <row r="147" ht="14.25" customHeight="1">
      <c r="A147" s="658"/>
      <c r="B147" s="658"/>
      <c r="C147" s="658"/>
      <c r="D147" s="658"/>
      <c r="E147" s="658"/>
      <c r="F147" s="658"/>
      <c r="G147" s="658"/>
      <c r="H147" s="658"/>
      <c r="I147" s="658"/>
      <c r="J147" s="658"/>
      <c r="K147" s="658"/>
      <c r="L147" s="658"/>
      <c r="M147" s="658"/>
      <c r="N147" s="658"/>
      <c r="O147" s="658"/>
      <c r="P147" s="658"/>
      <c r="Q147" s="658"/>
      <c r="R147" s="658"/>
      <c r="S147" s="658"/>
      <c r="T147" s="658"/>
      <c r="U147" s="658"/>
      <c r="V147" s="658"/>
      <c r="W147" s="658"/>
      <c r="X147" s="658"/>
      <c r="Y147" s="658"/>
      <c r="Z147" s="658"/>
    </row>
    <row r="148" ht="14.25" customHeight="1">
      <c r="A148" s="658"/>
      <c r="B148" s="658"/>
      <c r="C148" s="658"/>
      <c r="D148" s="658"/>
      <c r="E148" s="658"/>
      <c r="F148" s="658"/>
      <c r="G148" s="658"/>
      <c r="H148" s="658"/>
      <c r="I148" s="658"/>
      <c r="J148" s="658"/>
      <c r="K148" s="658"/>
      <c r="L148" s="658"/>
      <c r="M148" s="658"/>
      <c r="N148" s="658"/>
      <c r="O148" s="658"/>
      <c r="P148" s="658"/>
      <c r="Q148" s="658"/>
      <c r="R148" s="658"/>
      <c r="S148" s="658"/>
      <c r="T148" s="658"/>
      <c r="U148" s="658"/>
      <c r="V148" s="658"/>
      <c r="W148" s="658"/>
      <c r="X148" s="658"/>
      <c r="Y148" s="658"/>
      <c r="Z148" s="658"/>
    </row>
    <row r="149" ht="14.25" customHeight="1">
      <c r="A149" s="658"/>
      <c r="B149" s="658"/>
      <c r="C149" s="658"/>
      <c r="D149" s="658"/>
      <c r="E149" s="658"/>
      <c r="F149" s="658"/>
      <c r="G149" s="658"/>
      <c r="H149" s="658"/>
      <c r="I149" s="658"/>
      <c r="J149" s="658"/>
      <c r="K149" s="658"/>
      <c r="L149" s="658"/>
      <c r="M149" s="658"/>
      <c r="N149" s="658"/>
      <c r="O149" s="658"/>
      <c r="P149" s="658"/>
      <c r="Q149" s="658"/>
      <c r="R149" s="658"/>
      <c r="S149" s="658"/>
      <c r="T149" s="658"/>
      <c r="U149" s="658"/>
      <c r="V149" s="658"/>
      <c r="W149" s="658"/>
      <c r="X149" s="658"/>
      <c r="Y149" s="658"/>
      <c r="Z149" s="658"/>
    </row>
    <row r="150" ht="14.25" customHeight="1">
      <c r="A150" s="658"/>
      <c r="B150" s="658"/>
      <c r="C150" s="658"/>
      <c r="D150" s="658"/>
      <c r="E150" s="658"/>
      <c r="F150" s="658"/>
      <c r="G150" s="658"/>
      <c r="H150" s="658"/>
      <c r="I150" s="658"/>
      <c r="J150" s="658"/>
      <c r="K150" s="658"/>
      <c r="L150" s="658"/>
      <c r="M150" s="658"/>
      <c r="N150" s="658"/>
      <c r="O150" s="658"/>
      <c r="P150" s="658"/>
      <c r="Q150" s="658"/>
      <c r="R150" s="658"/>
      <c r="S150" s="658"/>
      <c r="T150" s="658"/>
      <c r="U150" s="658"/>
      <c r="V150" s="658"/>
      <c r="W150" s="658"/>
      <c r="X150" s="658"/>
      <c r="Y150" s="658"/>
      <c r="Z150" s="658"/>
    </row>
    <row r="151" ht="14.25" customHeight="1">
      <c r="A151" s="658"/>
      <c r="B151" s="658"/>
      <c r="C151" s="658"/>
      <c r="D151" s="658"/>
      <c r="E151" s="658"/>
      <c r="F151" s="658"/>
      <c r="G151" s="658"/>
      <c r="H151" s="658"/>
      <c r="I151" s="658"/>
      <c r="J151" s="658"/>
      <c r="K151" s="658"/>
      <c r="L151" s="658"/>
      <c r="M151" s="658"/>
      <c r="N151" s="658"/>
      <c r="O151" s="658"/>
      <c r="P151" s="658"/>
      <c r="Q151" s="658"/>
      <c r="R151" s="658"/>
      <c r="S151" s="658"/>
      <c r="T151" s="658"/>
      <c r="U151" s="658"/>
      <c r="V151" s="658"/>
      <c r="W151" s="658"/>
      <c r="X151" s="658"/>
      <c r="Y151" s="658"/>
      <c r="Z151" s="658"/>
    </row>
    <row r="152" ht="14.25" customHeight="1">
      <c r="A152" s="658"/>
      <c r="B152" s="658"/>
      <c r="C152" s="658"/>
      <c r="D152" s="658"/>
      <c r="E152" s="658"/>
      <c r="F152" s="658"/>
      <c r="G152" s="658"/>
      <c r="H152" s="658"/>
      <c r="I152" s="658"/>
      <c r="J152" s="658"/>
      <c r="K152" s="658"/>
      <c r="L152" s="658"/>
      <c r="M152" s="658"/>
      <c r="N152" s="658"/>
      <c r="O152" s="658"/>
      <c r="P152" s="658"/>
      <c r="Q152" s="658"/>
      <c r="R152" s="658"/>
      <c r="S152" s="658"/>
      <c r="T152" s="658"/>
      <c r="U152" s="658"/>
      <c r="V152" s="658"/>
      <c r="W152" s="658"/>
      <c r="X152" s="658"/>
      <c r="Y152" s="658"/>
      <c r="Z152" s="658"/>
    </row>
    <row r="153" ht="14.25" customHeight="1">
      <c r="A153" s="658"/>
      <c r="B153" s="658"/>
      <c r="C153" s="658"/>
      <c r="D153" s="658"/>
      <c r="E153" s="658"/>
      <c r="F153" s="658"/>
      <c r="G153" s="658"/>
      <c r="H153" s="658"/>
      <c r="I153" s="658"/>
      <c r="J153" s="658"/>
      <c r="K153" s="658"/>
      <c r="L153" s="658"/>
      <c r="M153" s="658"/>
      <c r="N153" s="658"/>
      <c r="O153" s="658"/>
      <c r="P153" s="658"/>
      <c r="Q153" s="658"/>
      <c r="R153" s="658"/>
      <c r="S153" s="658"/>
      <c r="T153" s="658"/>
      <c r="U153" s="658"/>
      <c r="V153" s="658"/>
      <c r="W153" s="658"/>
      <c r="X153" s="658"/>
      <c r="Y153" s="658"/>
      <c r="Z153" s="658"/>
    </row>
    <row r="154" ht="14.25" customHeight="1">
      <c r="A154" s="658"/>
      <c r="B154" s="658"/>
      <c r="C154" s="658"/>
      <c r="D154" s="658"/>
      <c r="E154" s="658"/>
      <c r="F154" s="658"/>
      <c r="G154" s="658"/>
      <c r="H154" s="658"/>
      <c r="I154" s="658"/>
      <c r="J154" s="658"/>
      <c r="K154" s="658"/>
      <c r="L154" s="658"/>
      <c r="M154" s="658"/>
      <c r="N154" s="658"/>
      <c r="O154" s="658"/>
      <c r="P154" s="658"/>
      <c r="Q154" s="658"/>
      <c r="R154" s="658"/>
      <c r="S154" s="658"/>
      <c r="T154" s="658"/>
      <c r="U154" s="658"/>
      <c r="V154" s="658"/>
      <c r="W154" s="658"/>
      <c r="X154" s="658"/>
      <c r="Y154" s="658"/>
      <c r="Z154" s="658"/>
    </row>
    <row r="155" ht="14.25" customHeight="1">
      <c r="A155" s="658"/>
      <c r="B155" s="658"/>
      <c r="C155" s="658"/>
      <c r="D155" s="658"/>
      <c r="E155" s="658"/>
      <c r="F155" s="658"/>
      <c r="G155" s="658"/>
      <c r="H155" s="658"/>
      <c r="I155" s="658"/>
      <c r="J155" s="658"/>
      <c r="K155" s="658"/>
      <c r="L155" s="658"/>
      <c r="M155" s="658"/>
      <c r="N155" s="658"/>
      <c r="O155" s="658"/>
      <c r="P155" s="658"/>
      <c r="Q155" s="658"/>
      <c r="R155" s="658"/>
      <c r="S155" s="658"/>
      <c r="T155" s="658"/>
      <c r="U155" s="658"/>
      <c r="V155" s="658"/>
      <c r="W155" s="658"/>
      <c r="X155" s="658"/>
      <c r="Y155" s="658"/>
      <c r="Z155" s="658"/>
    </row>
    <row r="156" ht="14.25" customHeight="1">
      <c r="A156" s="658"/>
      <c r="B156" s="658"/>
      <c r="C156" s="658"/>
      <c r="D156" s="658"/>
      <c r="E156" s="658"/>
      <c r="F156" s="658"/>
      <c r="G156" s="658"/>
      <c r="H156" s="658"/>
      <c r="I156" s="658"/>
      <c r="J156" s="658"/>
      <c r="K156" s="658"/>
      <c r="L156" s="658"/>
      <c r="M156" s="658"/>
      <c r="N156" s="658"/>
      <c r="O156" s="658"/>
      <c r="P156" s="658"/>
      <c r="Q156" s="658"/>
      <c r="R156" s="658"/>
      <c r="S156" s="658"/>
      <c r="T156" s="658"/>
      <c r="U156" s="658"/>
      <c r="V156" s="658"/>
      <c r="W156" s="658"/>
      <c r="X156" s="658"/>
      <c r="Y156" s="658"/>
      <c r="Z156" s="658"/>
    </row>
    <row r="157" ht="14.25" customHeight="1">
      <c r="A157" s="658"/>
      <c r="B157" s="658"/>
      <c r="C157" s="658"/>
      <c r="D157" s="658"/>
      <c r="E157" s="658"/>
      <c r="F157" s="658"/>
      <c r="G157" s="658"/>
      <c r="H157" s="658"/>
      <c r="I157" s="658"/>
      <c r="J157" s="658"/>
      <c r="K157" s="658"/>
      <c r="L157" s="658"/>
      <c r="M157" s="658"/>
      <c r="N157" s="658"/>
      <c r="O157" s="658"/>
      <c r="P157" s="658"/>
      <c r="Q157" s="658"/>
      <c r="R157" s="658"/>
      <c r="S157" s="658"/>
      <c r="T157" s="658"/>
      <c r="U157" s="658"/>
      <c r="V157" s="658"/>
      <c r="W157" s="658"/>
      <c r="X157" s="658"/>
      <c r="Y157" s="658"/>
      <c r="Z157" s="658"/>
    </row>
    <row r="158" ht="14.25" customHeight="1">
      <c r="A158" s="658"/>
      <c r="B158" s="658"/>
      <c r="C158" s="658"/>
      <c r="D158" s="658"/>
      <c r="E158" s="658"/>
      <c r="F158" s="658"/>
      <c r="G158" s="658"/>
      <c r="H158" s="658"/>
      <c r="I158" s="658"/>
      <c r="J158" s="658"/>
      <c r="K158" s="658"/>
      <c r="L158" s="658"/>
      <c r="M158" s="658"/>
      <c r="N158" s="658"/>
      <c r="O158" s="658"/>
      <c r="P158" s="658"/>
      <c r="Q158" s="658"/>
      <c r="R158" s="658"/>
      <c r="S158" s="658"/>
      <c r="T158" s="658"/>
      <c r="U158" s="658"/>
      <c r="V158" s="658"/>
      <c r="W158" s="658"/>
      <c r="X158" s="658"/>
      <c r="Y158" s="658"/>
      <c r="Z158" s="658"/>
    </row>
    <row r="159" ht="14.25" customHeight="1">
      <c r="A159" s="658"/>
      <c r="B159" s="658"/>
      <c r="C159" s="658"/>
      <c r="D159" s="658"/>
      <c r="E159" s="658"/>
      <c r="F159" s="658"/>
      <c r="G159" s="658"/>
      <c r="H159" s="658"/>
      <c r="I159" s="658"/>
      <c r="J159" s="658"/>
      <c r="K159" s="658"/>
      <c r="L159" s="658"/>
      <c r="M159" s="658"/>
      <c r="N159" s="658"/>
      <c r="O159" s="658"/>
      <c r="P159" s="658"/>
      <c r="Q159" s="658"/>
      <c r="R159" s="658"/>
      <c r="S159" s="658"/>
      <c r="T159" s="658"/>
      <c r="U159" s="658"/>
      <c r="V159" s="658"/>
      <c r="W159" s="658"/>
      <c r="X159" s="658"/>
      <c r="Y159" s="658"/>
      <c r="Z159" s="658"/>
    </row>
    <row r="160" ht="14.25" customHeight="1">
      <c r="A160" s="658"/>
      <c r="B160" s="658"/>
      <c r="C160" s="658"/>
      <c r="D160" s="658"/>
      <c r="E160" s="658"/>
      <c r="F160" s="658"/>
      <c r="G160" s="658"/>
      <c r="H160" s="658"/>
      <c r="I160" s="658"/>
      <c r="J160" s="658"/>
      <c r="K160" s="658"/>
      <c r="L160" s="658"/>
      <c r="M160" s="658"/>
      <c r="N160" s="658"/>
      <c r="O160" s="658"/>
      <c r="P160" s="658"/>
      <c r="Q160" s="658"/>
      <c r="R160" s="658"/>
      <c r="S160" s="658"/>
      <c r="T160" s="658"/>
      <c r="U160" s="658"/>
      <c r="V160" s="658"/>
      <c r="W160" s="658"/>
      <c r="X160" s="658"/>
      <c r="Y160" s="658"/>
      <c r="Z160" s="658"/>
    </row>
    <row r="161" ht="14.25" customHeight="1">
      <c r="A161" s="658"/>
      <c r="B161" s="658"/>
      <c r="C161" s="658"/>
      <c r="D161" s="658"/>
      <c r="E161" s="658"/>
      <c r="F161" s="658"/>
      <c r="G161" s="658"/>
      <c r="H161" s="658"/>
      <c r="I161" s="658"/>
      <c r="J161" s="658"/>
      <c r="K161" s="658"/>
      <c r="L161" s="658"/>
      <c r="M161" s="658"/>
      <c r="N161" s="658"/>
      <c r="O161" s="658"/>
      <c r="P161" s="658"/>
      <c r="Q161" s="658"/>
      <c r="R161" s="658"/>
      <c r="S161" s="658"/>
      <c r="T161" s="658"/>
      <c r="U161" s="658"/>
      <c r="V161" s="658"/>
      <c r="W161" s="658"/>
      <c r="X161" s="658"/>
      <c r="Y161" s="658"/>
      <c r="Z161" s="658"/>
    </row>
    <row r="162" ht="14.25" customHeight="1">
      <c r="A162" s="658"/>
      <c r="B162" s="658"/>
      <c r="C162" s="658"/>
      <c r="D162" s="658"/>
      <c r="E162" s="658"/>
      <c r="F162" s="658"/>
      <c r="G162" s="658"/>
      <c r="H162" s="658"/>
      <c r="I162" s="658"/>
      <c r="J162" s="658"/>
      <c r="K162" s="658"/>
      <c r="L162" s="658"/>
      <c r="M162" s="658"/>
      <c r="N162" s="658"/>
      <c r="O162" s="658"/>
      <c r="P162" s="658"/>
      <c r="Q162" s="658"/>
      <c r="R162" s="658"/>
      <c r="S162" s="658"/>
      <c r="T162" s="658"/>
      <c r="U162" s="658"/>
      <c r="V162" s="658"/>
      <c r="W162" s="658"/>
      <c r="X162" s="658"/>
      <c r="Y162" s="658"/>
      <c r="Z162" s="658"/>
    </row>
    <row r="163" ht="14.25" customHeight="1">
      <c r="A163" s="658"/>
      <c r="B163" s="658"/>
      <c r="C163" s="658"/>
      <c r="D163" s="658"/>
      <c r="E163" s="658"/>
      <c r="F163" s="658"/>
      <c r="G163" s="658"/>
      <c r="H163" s="658"/>
      <c r="I163" s="658"/>
      <c r="J163" s="658"/>
      <c r="K163" s="658"/>
      <c r="L163" s="658"/>
      <c r="M163" s="658"/>
      <c r="N163" s="658"/>
      <c r="O163" s="658"/>
      <c r="P163" s="658"/>
      <c r="Q163" s="658"/>
      <c r="R163" s="658"/>
      <c r="S163" s="658"/>
      <c r="T163" s="658"/>
      <c r="U163" s="658"/>
      <c r="V163" s="658"/>
      <c r="W163" s="658"/>
      <c r="X163" s="658"/>
      <c r="Y163" s="658"/>
      <c r="Z163" s="658"/>
    </row>
    <row r="164" ht="14.25" customHeight="1">
      <c r="A164" s="658"/>
      <c r="B164" s="658"/>
      <c r="C164" s="658"/>
      <c r="D164" s="658"/>
      <c r="E164" s="658"/>
      <c r="F164" s="658"/>
      <c r="G164" s="658"/>
      <c r="H164" s="658"/>
      <c r="I164" s="658"/>
      <c r="J164" s="658"/>
      <c r="K164" s="658"/>
      <c r="L164" s="658"/>
      <c r="M164" s="658"/>
      <c r="N164" s="658"/>
      <c r="O164" s="658"/>
      <c r="P164" s="658"/>
      <c r="Q164" s="658"/>
      <c r="R164" s="658"/>
      <c r="S164" s="658"/>
      <c r="T164" s="658"/>
      <c r="U164" s="658"/>
      <c r="V164" s="658"/>
      <c r="W164" s="658"/>
      <c r="X164" s="658"/>
      <c r="Y164" s="658"/>
      <c r="Z164" s="658"/>
    </row>
    <row r="165" ht="14.25" customHeight="1">
      <c r="A165" s="658"/>
      <c r="B165" s="658"/>
      <c r="C165" s="658"/>
      <c r="D165" s="658"/>
      <c r="E165" s="658"/>
      <c r="F165" s="658"/>
      <c r="G165" s="658"/>
      <c r="H165" s="658"/>
      <c r="I165" s="658"/>
      <c r="J165" s="658"/>
      <c r="K165" s="658"/>
      <c r="L165" s="658"/>
      <c r="M165" s="658"/>
      <c r="N165" s="658"/>
      <c r="O165" s="658"/>
      <c r="P165" s="658"/>
      <c r="Q165" s="658"/>
      <c r="R165" s="658"/>
      <c r="S165" s="658"/>
      <c r="T165" s="658"/>
      <c r="U165" s="658"/>
      <c r="V165" s="658"/>
      <c r="W165" s="658"/>
      <c r="X165" s="658"/>
      <c r="Y165" s="658"/>
      <c r="Z165" s="658"/>
    </row>
    <row r="166" ht="14.25" customHeight="1">
      <c r="A166" s="658"/>
      <c r="B166" s="658"/>
      <c r="C166" s="658"/>
      <c r="D166" s="658"/>
      <c r="E166" s="658"/>
      <c r="F166" s="658"/>
      <c r="G166" s="658"/>
      <c r="H166" s="658"/>
      <c r="I166" s="658"/>
      <c r="J166" s="658"/>
      <c r="K166" s="658"/>
      <c r="L166" s="658"/>
      <c r="M166" s="658"/>
      <c r="N166" s="658"/>
      <c r="O166" s="658"/>
      <c r="P166" s="658"/>
      <c r="Q166" s="658"/>
      <c r="R166" s="658"/>
      <c r="S166" s="658"/>
      <c r="T166" s="658"/>
      <c r="U166" s="658"/>
      <c r="V166" s="658"/>
      <c r="W166" s="658"/>
      <c r="X166" s="658"/>
      <c r="Y166" s="658"/>
      <c r="Z166" s="658"/>
    </row>
    <row r="167" ht="14.25" customHeight="1">
      <c r="A167" s="658"/>
      <c r="B167" s="658"/>
      <c r="C167" s="658"/>
      <c r="D167" s="658"/>
      <c r="E167" s="658"/>
      <c r="F167" s="658"/>
      <c r="G167" s="658"/>
      <c r="H167" s="658"/>
      <c r="I167" s="658"/>
      <c r="J167" s="658"/>
      <c r="K167" s="658"/>
      <c r="L167" s="658"/>
      <c r="M167" s="658"/>
      <c r="N167" s="658"/>
      <c r="O167" s="658"/>
      <c r="P167" s="658"/>
      <c r="Q167" s="658"/>
      <c r="R167" s="658"/>
      <c r="S167" s="658"/>
      <c r="T167" s="658"/>
      <c r="U167" s="658"/>
      <c r="V167" s="658"/>
      <c r="W167" s="658"/>
      <c r="X167" s="658"/>
      <c r="Y167" s="658"/>
      <c r="Z167" s="658"/>
    </row>
    <row r="168" ht="14.25" customHeight="1">
      <c r="A168" s="658"/>
      <c r="B168" s="658"/>
      <c r="C168" s="658"/>
      <c r="D168" s="658"/>
      <c r="E168" s="658"/>
      <c r="F168" s="658"/>
      <c r="G168" s="658"/>
      <c r="H168" s="658"/>
      <c r="I168" s="658"/>
      <c r="J168" s="658"/>
      <c r="K168" s="658"/>
      <c r="L168" s="658"/>
      <c r="M168" s="658"/>
      <c r="N168" s="658"/>
      <c r="O168" s="658"/>
      <c r="P168" s="658"/>
      <c r="Q168" s="658"/>
      <c r="R168" s="658"/>
      <c r="S168" s="658"/>
      <c r="T168" s="658"/>
      <c r="U168" s="658"/>
      <c r="V168" s="658"/>
      <c r="W168" s="658"/>
      <c r="X168" s="658"/>
      <c r="Y168" s="658"/>
      <c r="Z168" s="658"/>
    </row>
    <row r="169" ht="14.25" customHeight="1">
      <c r="A169" s="658"/>
      <c r="B169" s="658"/>
      <c r="C169" s="658"/>
      <c r="D169" s="658"/>
      <c r="E169" s="658"/>
      <c r="F169" s="658"/>
      <c r="G169" s="658"/>
      <c r="H169" s="658"/>
      <c r="I169" s="658"/>
      <c r="J169" s="658"/>
      <c r="K169" s="658"/>
      <c r="L169" s="658"/>
      <c r="M169" s="658"/>
      <c r="N169" s="658"/>
      <c r="O169" s="658"/>
      <c r="P169" s="658"/>
      <c r="Q169" s="658"/>
      <c r="R169" s="658"/>
      <c r="S169" s="658"/>
      <c r="T169" s="658"/>
      <c r="U169" s="658"/>
      <c r="V169" s="658"/>
      <c r="W169" s="658"/>
      <c r="X169" s="658"/>
      <c r="Y169" s="658"/>
      <c r="Z169" s="658"/>
    </row>
    <row r="170" ht="14.25" customHeight="1">
      <c r="A170" s="658"/>
      <c r="B170" s="658"/>
      <c r="C170" s="658"/>
      <c r="D170" s="658"/>
      <c r="E170" s="658"/>
      <c r="F170" s="658"/>
      <c r="G170" s="658"/>
      <c r="H170" s="658"/>
      <c r="I170" s="658"/>
      <c r="J170" s="658"/>
      <c r="K170" s="658"/>
      <c r="L170" s="658"/>
      <c r="M170" s="658"/>
      <c r="N170" s="658"/>
      <c r="O170" s="658"/>
      <c r="P170" s="658"/>
      <c r="Q170" s="658"/>
      <c r="R170" s="658"/>
      <c r="S170" s="658"/>
      <c r="T170" s="658"/>
      <c r="U170" s="658"/>
      <c r="V170" s="658"/>
      <c r="W170" s="658"/>
      <c r="X170" s="658"/>
      <c r="Y170" s="658"/>
      <c r="Z170" s="658"/>
    </row>
    <row r="171" ht="14.25" customHeight="1">
      <c r="A171" s="658"/>
      <c r="B171" s="658"/>
      <c r="C171" s="658"/>
      <c r="D171" s="658"/>
      <c r="E171" s="658"/>
      <c r="F171" s="658"/>
      <c r="G171" s="658"/>
      <c r="H171" s="658"/>
      <c r="I171" s="658"/>
      <c r="J171" s="658"/>
      <c r="K171" s="658"/>
      <c r="L171" s="658"/>
      <c r="M171" s="658"/>
      <c r="N171" s="658"/>
      <c r="O171" s="658"/>
      <c r="P171" s="658"/>
      <c r="Q171" s="658"/>
      <c r="R171" s="658"/>
      <c r="S171" s="658"/>
      <c r="T171" s="658"/>
      <c r="U171" s="658"/>
      <c r="V171" s="658"/>
      <c r="W171" s="658"/>
      <c r="X171" s="658"/>
      <c r="Y171" s="658"/>
      <c r="Z171" s="658"/>
    </row>
    <row r="172" ht="14.25" customHeight="1">
      <c r="A172" s="658"/>
      <c r="B172" s="658"/>
      <c r="C172" s="658"/>
      <c r="D172" s="658"/>
      <c r="E172" s="658"/>
      <c r="F172" s="658"/>
      <c r="G172" s="658"/>
      <c r="H172" s="658"/>
      <c r="I172" s="658"/>
      <c r="J172" s="658"/>
      <c r="K172" s="658"/>
      <c r="L172" s="658"/>
      <c r="M172" s="658"/>
      <c r="N172" s="658"/>
      <c r="O172" s="658"/>
      <c r="P172" s="658"/>
      <c r="Q172" s="658"/>
      <c r="R172" s="658"/>
      <c r="S172" s="658"/>
      <c r="T172" s="658"/>
      <c r="U172" s="658"/>
      <c r="V172" s="658"/>
      <c r="W172" s="658"/>
      <c r="X172" s="658"/>
      <c r="Y172" s="658"/>
      <c r="Z172" s="658"/>
    </row>
    <row r="173" ht="14.25" customHeight="1">
      <c r="A173" s="658"/>
      <c r="B173" s="658"/>
      <c r="C173" s="658"/>
      <c r="D173" s="658"/>
      <c r="E173" s="658"/>
      <c r="F173" s="658"/>
      <c r="G173" s="658"/>
      <c r="H173" s="658"/>
      <c r="I173" s="658"/>
      <c r="J173" s="658"/>
      <c r="K173" s="658"/>
      <c r="L173" s="658"/>
      <c r="M173" s="658"/>
      <c r="N173" s="658"/>
      <c r="O173" s="658"/>
      <c r="P173" s="658"/>
      <c r="Q173" s="658"/>
      <c r="R173" s="658"/>
      <c r="S173" s="658"/>
      <c r="T173" s="658"/>
      <c r="U173" s="658"/>
      <c r="V173" s="658"/>
      <c r="W173" s="658"/>
      <c r="X173" s="658"/>
      <c r="Y173" s="658"/>
      <c r="Z173" s="658"/>
    </row>
    <row r="174" ht="14.25" customHeight="1">
      <c r="A174" s="658"/>
      <c r="B174" s="658"/>
      <c r="C174" s="658"/>
      <c r="D174" s="658"/>
      <c r="E174" s="658"/>
      <c r="F174" s="658"/>
      <c r="G174" s="658"/>
      <c r="H174" s="658"/>
      <c r="I174" s="658"/>
      <c r="J174" s="658"/>
      <c r="K174" s="658"/>
      <c r="L174" s="658"/>
      <c r="M174" s="658"/>
      <c r="N174" s="658"/>
      <c r="O174" s="658"/>
      <c r="P174" s="658"/>
      <c r="Q174" s="658"/>
      <c r="R174" s="658"/>
      <c r="S174" s="658"/>
      <c r="T174" s="658"/>
      <c r="U174" s="658"/>
      <c r="V174" s="658"/>
      <c r="W174" s="658"/>
      <c r="X174" s="658"/>
      <c r="Y174" s="658"/>
      <c r="Z174" s="658"/>
    </row>
    <row r="175" ht="14.25" customHeight="1">
      <c r="A175" s="658"/>
      <c r="B175" s="658"/>
      <c r="C175" s="658"/>
      <c r="D175" s="658"/>
      <c r="E175" s="658"/>
      <c r="F175" s="658"/>
      <c r="G175" s="658"/>
      <c r="H175" s="658"/>
      <c r="I175" s="658"/>
      <c r="J175" s="658"/>
      <c r="K175" s="658"/>
      <c r="L175" s="658"/>
      <c r="M175" s="658"/>
      <c r="N175" s="658"/>
      <c r="O175" s="658"/>
      <c r="P175" s="658"/>
      <c r="Q175" s="658"/>
      <c r="R175" s="658"/>
      <c r="S175" s="658"/>
      <c r="T175" s="658"/>
      <c r="U175" s="658"/>
      <c r="V175" s="658"/>
      <c r="W175" s="658"/>
      <c r="X175" s="658"/>
      <c r="Y175" s="658"/>
      <c r="Z175" s="658"/>
    </row>
    <row r="176" ht="14.25" customHeight="1">
      <c r="A176" s="658"/>
      <c r="B176" s="658"/>
      <c r="C176" s="658"/>
      <c r="D176" s="658"/>
      <c r="E176" s="658"/>
      <c r="F176" s="658"/>
      <c r="G176" s="658"/>
      <c r="H176" s="658"/>
      <c r="I176" s="658"/>
      <c r="J176" s="658"/>
      <c r="K176" s="658"/>
      <c r="L176" s="658"/>
      <c r="M176" s="658"/>
      <c r="N176" s="658"/>
      <c r="O176" s="658"/>
      <c r="P176" s="658"/>
      <c r="Q176" s="658"/>
      <c r="R176" s="658"/>
      <c r="S176" s="658"/>
      <c r="T176" s="658"/>
      <c r="U176" s="658"/>
      <c r="V176" s="658"/>
      <c r="W176" s="658"/>
      <c r="X176" s="658"/>
      <c r="Y176" s="658"/>
      <c r="Z176" s="658"/>
    </row>
    <row r="177" ht="14.25" customHeight="1">
      <c r="A177" s="658"/>
      <c r="B177" s="658"/>
      <c r="C177" s="658"/>
      <c r="D177" s="658"/>
      <c r="E177" s="658"/>
      <c r="F177" s="658"/>
      <c r="G177" s="658"/>
      <c r="H177" s="658"/>
      <c r="I177" s="658"/>
      <c r="J177" s="658"/>
      <c r="K177" s="658"/>
      <c r="L177" s="658"/>
      <c r="M177" s="658"/>
      <c r="N177" s="658"/>
      <c r="O177" s="658"/>
      <c r="P177" s="658"/>
      <c r="Q177" s="658"/>
      <c r="R177" s="658"/>
      <c r="S177" s="658"/>
      <c r="T177" s="658"/>
      <c r="U177" s="658"/>
      <c r="V177" s="658"/>
      <c r="W177" s="658"/>
      <c r="X177" s="658"/>
      <c r="Y177" s="658"/>
      <c r="Z177" s="658"/>
    </row>
    <row r="178" ht="14.25" customHeight="1">
      <c r="A178" s="658"/>
      <c r="B178" s="658"/>
      <c r="C178" s="658"/>
      <c r="D178" s="658"/>
      <c r="E178" s="658"/>
      <c r="F178" s="658"/>
      <c r="G178" s="658"/>
      <c r="H178" s="658"/>
      <c r="I178" s="658"/>
      <c r="J178" s="658"/>
      <c r="K178" s="658"/>
      <c r="L178" s="658"/>
      <c r="M178" s="658"/>
      <c r="N178" s="658"/>
      <c r="O178" s="658"/>
      <c r="P178" s="658"/>
      <c r="Q178" s="658"/>
      <c r="R178" s="658"/>
      <c r="S178" s="658"/>
      <c r="T178" s="658"/>
      <c r="U178" s="658"/>
      <c r="V178" s="658"/>
      <c r="W178" s="658"/>
      <c r="X178" s="658"/>
      <c r="Y178" s="658"/>
      <c r="Z178" s="658"/>
    </row>
    <row r="179" ht="14.25" customHeight="1">
      <c r="A179" s="658"/>
      <c r="B179" s="658"/>
      <c r="C179" s="658"/>
      <c r="D179" s="658"/>
      <c r="E179" s="658"/>
      <c r="F179" s="658"/>
      <c r="G179" s="658"/>
      <c r="H179" s="658"/>
      <c r="I179" s="658"/>
      <c r="J179" s="658"/>
      <c r="K179" s="658"/>
      <c r="L179" s="658"/>
      <c r="M179" s="658"/>
      <c r="N179" s="658"/>
      <c r="O179" s="658"/>
      <c r="P179" s="658"/>
      <c r="Q179" s="658"/>
      <c r="R179" s="658"/>
      <c r="S179" s="658"/>
      <c r="T179" s="658"/>
      <c r="U179" s="658"/>
      <c r="V179" s="658"/>
      <c r="W179" s="658"/>
      <c r="X179" s="658"/>
      <c r="Y179" s="658"/>
      <c r="Z179" s="658"/>
    </row>
    <row r="180" ht="14.25" customHeight="1">
      <c r="A180" s="658"/>
      <c r="B180" s="658"/>
      <c r="C180" s="658"/>
      <c r="D180" s="658"/>
      <c r="E180" s="658"/>
      <c r="F180" s="658"/>
      <c r="G180" s="658"/>
      <c r="H180" s="658"/>
      <c r="I180" s="658"/>
      <c r="J180" s="658"/>
      <c r="K180" s="658"/>
      <c r="L180" s="658"/>
      <c r="M180" s="658"/>
      <c r="N180" s="658"/>
      <c r="O180" s="658"/>
      <c r="P180" s="658"/>
      <c r="Q180" s="658"/>
      <c r="R180" s="658"/>
      <c r="S180" s="658"/>
      <c r="T180" s="658"/>
      <c r="U180" s="658"/>
      <c r="V180" s="658"/>
      <c r="W180" s="658"/>
      <c r="X180" s="658"/>
      <c r="Y180" s="658"/>
      <c r="Z180" s="658"/>
    </row>
    <row r="181" ht="14.25" customHeight="1">
      <c r="A181" s="658"/>
      <c r="B181" s="658"/>
      <c r="C181" s="658"/>
      <c r="D181" s="658"/>
      <c r="E181" s="658"/>
      <c r="F181" s="658"/>
      <c r="G181" s="658"/>
      <c r="H181" s="658"/>
      <c r="I181" s="658"/>
      <c r="J181" s="658"/>
      <c r="K181" s="658"/>
      <c r="L181" s="658"/>
      <c r="M181" s="658"/>
      <c r="N181" s="658"/>
      <c r="O181" s="658"/>
      <c r="P181" s="658"/>
      <c r="Q181" s="658"/>
      <c r="R181" s="658"/>
      <c r="S181" s="658"/>
      <c r="T181" s="658"/>
      <c r="U181" s="658"/>
      <c r="V181" s="658"/>
      <c r="W181" s="658"/>
      <c r="X181" s="658"/>
      <c r="Y181" s="658"/>
      <c r="Z181" s="658"/>
    </row>
    <row r="182" ht="14.25" customHeight="1">
      <c r="A182" s="658"/>
      <c r="B182" s="658"/>
      <c r="C182" s="658"/>
      <c r="D182" s="658"/>
      <c r="E182" s="658"/>
      <c r="F182" s="658"/>
      <c r="G182" s="658"/>
      <c r="H182" s="658"/>
      <c r="I182" s="658"/>
      <c r="J182" s="658"/>
      <c r="K182" s="658"/>
      <c r="L182" s="658"/>
      <c r="M182" s="658"/>
      <c r="N182" s="658"/>
      <c r="O182" s="658"/>
      <c r="P182" s="658"/>
      <c r="Q182" s="658"/>
      <c r="R182" s="658"/>
      <c r="S182" s="658"/>
      <c r="T182" s="658"/>
      <c r="U182" s="658"/>
      <c r="V182" s="658"/>
      <c r="W182" s="658"/>
      <c r="X182" s="658"/>
      <c r="Y182" s="658"/>
      <c r="Z182" s="658"/>
    </row>
    <row r="183" ht="14.25" customHeight="1">
      <c r="A183" s="658"/>
      <c r="B183" s="658"/>
      <c r="C183" s="658"/>
      <c r="D183" s="658"/>
      <c r="E183" s="658"/>
      <c r="F183" s="658"/>
      <c r="G183" s="658"/>
      <c r="H183" s="658"/>
      <c r="I183" s="658"/>
      <c r="J183" s="658"/>
      <c r="K183" s="658"/>
      <c r="L183" s="658"/>
      <c r="M183" s="658"/>
      <c r="N183" s="658"/>
      <c r="O183" s="658"/>
      <c r="P183" s="658"/>
      <c r="Q183" s="658"/>
      <c r="R183" s="658"/>
      <c r="S183" s="658"/>
      <c r="T183" s="658"/>
      <c r="U183" s="658"/>
      <c r="V183" s="658"/>
      <c r="W183" s="658"/>
      <c r="X183" s="658"/>
      <c r="Y183" s="658"/>
      <c r="Z183" s="658"/>
    </row>
    <row r="184" ht="14.25" customHeight="1">
      <c r="A184" s="658"/>
      <c r="B184" s="658"/>
      <c r="C184" s="658"/>
      <c r="D184" s="658"/>
      <c r="E184" s="658"/>
      <c r="F184" s="658"/>
      <c r="G184" s="658"/>
      <c r="H184" s="658"/>
      <c r="I184" s="658"/>
      <c r="J184" s="658"/>
      <c r="K184" s="658"/>
      <c r="L184" s="658"/>
      <c r="M184" s="658"/>
      <c r="N184" s="658"/>
      <c r="O184" s="658"/>
      <c r="P184" s="658"/>
      <c r="Q184" s="658"/>
      <c r="R184" s="658"/>
      <c r="S184" s="658"/>
      <c r="T184" s="658"/>
      <c r="U184" s="658"/>
      <c r="V184" s="658"/>
      <c r="W184" s="658"/>
      <c r="X184" s="658"/>
      <c r="Y184" s="658"/>
      <c r="Z184" s="658"/>
    </row>
    <row r="185" ht="14.25" customHeight="1">
      <c r="A185" s="658"/>
      <c r="B185" s="658"/>
      <c r="C185" s="658"/>
      <c r="D185" s="658"/>
      <c r="E185" s="658"/>
      <c r="F185" s="658"/>
      <c r="G185" s="658"/>
      <c r="H185" s="658"/>
      <c r="I185" s="658"/>
      <c r="J185" s="658"/>
      <c r="K185" s="658"/>
      <c r="L185" s="658"/>
      <c r="M185" s="658"/>
      <c r="N185" s="658"/>
      <c r="O185" s="658"/>
      <c r="P185" s="658"/>
      <c r="Q185" s="658"/>
      <c r="R185" s="658"/>
      <c r="S185" s="658"/>
      <c r="T185" s="658"/>
      <c r="U185" s="658"/>
      <c r="V185" s="658"/>
      <c r="W185" s="658"/>
      <c r="X185" s="658"/>
      <c r="Y185" s="658"/>
      <c r="Z185" s="658"/>
    </row>
    <row r="186" ht="14.25" customHeight="1">
      <c r="A186" s="658"/>
      <c r="B186" s="658"/>
      <c r="C186" s="658"/>
      <c r="D186" s="658"/>
      <c r="E186" s="658"/>
      <c r="F186" s="658"/>
      <c r="G186" s="658"/>
      <c r="H186" s="658"/>
      <c r="I186" s="658"/>
      <c r="J186" s="658"/>
      <c r="K186" s="658"/>
      <c r="L186" s="658"/>
      <c r="M186" s="658"/>
      <c r="N186" s="658"/>
      <c r="O186" s="658"/>
      <c r="P186" s="658"/>
      <c r="Q186" s="658"/>
      <c r="R186" s="658"/>
      <c r="S186" s="658"/>
      <c r="T186" s="658"/>
      <c r="U186" s="658"/>
      <c r="V186" s="658"/>
      <c r="W186" s="658"/>
      <c r="X186" s="658"/>
      <c r="Y186" s="658"/>
      <c r="Z186" s="658"/>
    </row>
    <row r="187" ht="14.25" customHeight="1">
      <c r="A187" s="658"/>
      <c r="B187" s="658"/>
      <c r="C187" s="658"/>
      <c r="D187" s="658"/>
      <c r="E187" s="658"/>
      <c r="F187" s="658"/>
      <c r="G187" s="658"/>
      <c r="H187" s="658"/>
      <c r="I187" s="658"/>
      <c r="J187" s="658"/>
      <c r="K187" s="658"/>
      <c r="L187" s="658"/>
      <c r="M187" s="658"/>
      <c r="N187" s="658"/>
      <c r="O187" s="658"/>
      <c r="P187" s="658"/>
      <c r="Q187" s="658"/>
      <c r="R187" s="658"/>
      <c r="S187" s="658"/>
      <c r="T187" s="658"/>
      <c r="U187" s="658"/>
      <c r="V187" s="658"/>
      <c r="W187" s="658"/>
      <c r="X187" s="658"/>
      <c r="Y187" s="658"/>
      <c r="Z187" s="658"/>
    </row>
    <row r="188" ht="14.25" customHeight="1">
      <c r="A188" s="658"/>
      <c r="B188" s="658"/>
      <c r="C188" s="658"/>
      <c r="D188" s="658"/>
      <c r="E188" s="658"/>
      <c r="F188" s="658"/>
      <c r="G188" s="658"/>
      <c r="H188" s="658"/>
      <c r="I188" s="658"/>
      <c r="J188" s="658"/>
      <c r="K188" s="658"/>
      <c r="L188" s="658"/>
      <c r="M188" s="658"/>
      <c r="N188" s="658"/>
      <c r="O188" s="658"/>
      <c r="P188" s="658"/>
      <c r="Q188" s="658"/>
      <c r="R188" s="658"/>
      <c r="S188" s="658"/>
      <c r="T188" s="658"/>
      <c r="U188" s="658"/>
      <c r="V188" s="658"/>
      <c r="W188" s="658"/>
      <c r="X188" s="658"/>
      <c r="Y188" s="658"/>
      <c r="Z188" s="658"/>
    </row>
    <row r="189" ht="14.25" customHeight="1">
      <c r="A189" s="658"/>
      <c r="B189" s="658"/>
      <c r="C189" s="658"/>
      <c r="D189" s="658"/>
      <c r="E189" s="658"/>
      <c r="F189" s="658"/>
      <c r="G189" s="658"/>
      <c r="H189" s="658"/>
      <c r="I189" s="658"/>
      <c r="J189" s="658"/>
      <c r="K189" s="658"/>
      <c r="L189" s="658"/>
      <c r="M189" s="658"/>
      <c r="N189" s="658"/>
      <c r="O189" s="658"/>
      <c r="P189" s="658"/>
      <c r="Q189" s="658"/>
      <c r="R189" s="658"/>
      <c r="S189" s="658"/>
      <c r="T189" s="658"/>
      <c r="U189" s="658"/>
      <c r="V189" s="658"/>
      <c r="W189" s="658"/>
      <c r="X189" s="658"/>
      <c r="Y189" s="658"/>
      <c r="Z189" s="658"/>
    </row>
    <row r="190" ht="14.25" customHeight="1">
      <c r="A190" s="658"/>
      <c r="B190" s="658"/>
      <c r="C190" s="658"/>
      <c r="D190" s="658"/>
      <c r="E190" s="658"/>
      <c r="F190" s="658"/>
      <c r="G190" s="658"/>
      <c r="H190" s="658"/>
      <c r="I190" s="658"/>
      <c r="J190" s="658"/>
      <c r="K190" s="658"/>
      <c r="L190" s="658"/>
      <c r="M190" s="658"/>
      <c r="N190" s="658"/>
      <c r="O190" s="658"/>
      <c r="P190" s="658"/>
      <c r="Q190" s="658"/>
      <c r="R190" s="658"/>
      <c r="S190" s="658"/>
      <c r="T190" s="658"/>
      <c r="U190" s="658"/>
      <c r="V190" s="658"/>
      <c r="W190" s="658"/>
      <c r="X190" s="658"/>
      <c r="Y190" s="658"/>
      <c r="Z190" s="658"/>
    </row>
    <row r="191" ht="14.25" customHeight="1">
      <c r="A191" s="658"/>
      <c r="B191" s="658"/>
      <c r="C191" s="658"/>
      <c r="D191" s="658"/>
      <c r="E191" s="658"/>
      <c r="F191" s="658"/>
      <c r="G191" s="658"/>
      <c r="H191" s="658"/>
      <c r="I191" s="658"/>
      <c r="J191" s="658"/>
      <c r="K191" s="658"/>
      <c r="L191" s="658"/>
      <c r="M191" s="658"/>
      <c r="N191" s="658"/>
      <c r="O191" s="658"/>
      <c r="P191" s="658"/>
      <c r="Q191" s="658"/>
      <c r="R191" s="658"/>
      <c r="S191" s="658"/>
      <c r="T191" s="658"/>
      <c r="U191" s="658"/>
      <c r="V191" s="658"/>
      <c r="W191" s="658"/>
      <c r="X191" s="658"/>
      <c r="Y191" s="658"/>
      <c r="Z191" s="658"/>
    </row>
    <row r="192" ht="14.25" customHeight="1">
      <c r="A192" s="658"/>
      <c r="B192" s="658"/>
      <c r="C192" s="658"/>
      <c r="D192" s="658"/>
      <c r="E192" s="658"/>
      <c r="F192" s="658"/>
      <c r="G192" s="658"/>
      <c r="H192" s="658"/>
      <c r="I192" s="658"/>
      <c r="J192" s="658"/>
      <c r="K192" s="658"/>
      <c r="L192" s="658"/>
      <c r="M192" s="658"/>
      <c r="N192" s="658"/>
      <c r="O192" s="658"/>
      <c r="P192" s="658"/>
      <c r="Q192" s="658"/>
      <c r="R192" s="658"/>
      <c r="S192" s="658"/>
      <c r="T192" s="658"/>
      <c r="U192" s="658"/>
      <c r="V192" s="658"/>
      <c r="W192" s="658"/>
      <c r="X192" s="658"/>
      <c r="Y192" s="658"/>
      <c r="Z192" s="658"/>
    </row>
    <row r="193" ht="14.25" customHeight="1">
      <c r="A193" s="658"/>
      <c r="B193" s="658"/>
      <c r="C193" s="658"/>
      <c r="D193" s="658"/>
      <c r="E193" s="658"/>
      <c r="F193" s="658"/>
      <c r="G193" s="658"/>
      <c r="H193" s="658"/>
      <c r="I193" s="658"/>
      <c r="J193" s="658"/>
      <c r="K193" s="658"/>
      <c r="L193" s="658"/>
      <c r="M193" s="658"/>
      <c r="N193" s="658"/>
      <c r="O193" s="658"/>
      <c r="P193" s="658"/>
      <c r="Q193" s="658"/>
      <c r="R193" s="658"/>
      <c r="S193" s="658"/>
      <c r="T193" s="658"/>
      <c r="U193" s="658"/>
      <c r="V193" s="658"/>
      <c r="W193" s="658"/>
      <c r="X193" s="658"/>
      <c r="Y193" s="658"/>
      <c r="Z193" s="658"/>
    </row>
    <row r="194" ht="14.25" customHeight="1">
      <c r="A194" s="658"/>
      <c r="B194" s="658"/>
      <c r="C194" s="658"/>
      <c r="D194" s="658"/>
      <c r="E194" s="658"/>
      <c r="F194" s="658"/>
      <c r="G194" s="658"/>
      <c r="H194" s="658"/>
      <c r="I194" s="658"/>
      <c r="J194" s="658"/>
      <c r="K194" s="658"/>
      <c r="L194" s="658"/>
      <c r="M194" s="658"/>
      <c r="N194" s="658"/>
      <c r="O194" s="658"/>
      <c r="P194" s="658"/>
      <c r="Q194" s="658"/>
      <c r="R194" s="658"/>
      <c r="S194" s="658"/>
      <c r="T194" s="658"/>
      <c r="U194" s="658"/>
      <c r="V194" s="658"/>
      <c r="W194" s="658"/>
      <c r="X194" s="658"/>
      <c r="Y194" s="658"/>
      <c r="Z194" s="658"/>
    </row>
    <row r="195" ht="14.25" customHeight="1">
      <c r="A195" s="658"/>
      <c r="B195" s="658"/>
      <c r="C195" s="658"/>
      <c r="D195" s="658"/>
      <c r="E195" s="658"/>
      <c r="F195" s="658"/>
      <c r="G195" s="658"/>
      <c r="H195" s="658"/>
      <c r="I195" s="658"/>
      <c r="J195" s="658"/>
      <c r="K195" s="658"/>
      <c r="L195" s="658"/>
      <c r="M195" s="658"/>
      <c r="N195" s="658"/>
      <c r="O195" s="658"/>
      <c r="P195" s="658"/>
      <c r="Q195" s="658"/>
      <c r="R195" s="658"/>
      <c r="S195" s="658"/>
      <c r="T195" s="658"/>
      <c r="U195" s="658"/>
      <c r="V195" s="658"/>
      <c r="W195" s="658"/>
      <c r="X195" s="658"/>
      <c r="Y195" s="658"/>
      <c r="Z195" s="658"/>
    </row>
    <row r="196" ht="14.25" customHeight="1">
      <c r="A196" s="658"/>
      <c r="B196" s="658"/>
      <c r="C196" s="658"/>
      <c r="D196" s="658"/>
      <c r="E196" s="658"/>
      <c r="F196" s="658"/>
      <c r="G196" s="658"/>
      <c r="H196" s="658"/>
      <c r="I196" s="658"/>
      <c r="J196" s="658"/>
      <c r="K196" s="658"/>
      <c r="L196" s="658"/>
      <c r="M196" s="658"/>
      <c r="N196" s="658"/>
      <c r="O196" s="658"/>
      <c r="P196" s="658"/>
      <c r="Q196" s="658"/>
      <c r="R196" s="658"/>
      <c r="S196" s="658"/>
      <c r="T196" s="658"/>
      <c r="U196" s="658"/>
      <c r="V196" s="658"/>
      <c r="W196" s="658"/>
      <c r="X196" s="658"/>
      <c r="Y196" s="658"/>
      <c r="Z196" s="658"/>
    </row>
    <row r="197" ht="14.25" customHeight="1">
      <c r="A197" s="658"/>
      <c r="B197" s="658"/>
      <c r="C197" s="658"/>
      <c r="D197" s="658"/>
      <c r="E197" s="658"/>
      <c r="F197" s="658"/>
      <c r="G197" s="658"/>
      <c r="H197" s="658"/>
      <c r="I197" s="658"/>
      <c r="J197" s="658"/>
      <c r="K197" s="658"/>
      <c r="L197" s="658"/>
      <c r="M197" s="658"/>
      <c r="N197" s="658"/>
      <c r="O197" s="658"/>
      <c r="P197" s="658"/>
      <c r="Q197" s="658"/>
      <c r="R197" s="658"/>
      <c r="S197" s="658"/>
      <c r="T197" s="658"/>
      <c r="U197" s="658"/>
      <c r="V197" s="658"/>
      <c r="W197" s="658"/>
      <c r="X197" s="658"/>
      <c r="Y197" s="658"/>
      <c r="Z197" s="658"/>
    </row>
    <row r="198" ht="14.25" customHeight="1">
      <c r="A198" s="658"/>
      <c r="B198" s="658"/>
      <c r="C198" s="658"/>
      <c r="D198" s="658"/>
      <c r="E198" s="658"/>
      <c r="F198" s="658"/>
      <c r="G198" s="658"/>
      <c r="H198" s="658"/>
      <c r="I198" s="658"/>
      <c r="J198" s="658"/>
      <c r="K198" s="658"/>
      <c r="L198" s="658"/>
      <c r="M198" s="658"/>
      <c r="N198" s="658"/>
      <c r="O198" s="658"/>
      <c r="P198" s="658"/>
      <c r="Q198" s="658"/>
      <c r="R198" s="658"/>
      <c r="S198" s="658"/>
      <c r="T198" s="658"/>
      <c r="U198" s="658"/>
      <c r="V198" s="658"/>
      <c r="W198" s="658"/>
      <c r="X198" s="658"/>
      <c r="Y198" s="658"/>
      <c r="Z198" s="658"/>
    </row>
    <row r="199" ht="14.25" customHeight="1">
      <c r="A199" s="658"/>
      <c r="B199" s="658"/>
      <c r="C199" s="658"/>
      <c r="D199" s="658"/>
      <c r="E199" s="658"/>
      <c r="F199" s="658"/>
      <c r="G199" s="658"/>
      <c r="H199" s="658"/>
      <c r="I199" s="658"/>
      <c r="J199" s="658"/>
      <c r="K199" s="658"/>
      <c r="L199" s="658"/>
      <c r="M199" s="658"/>
      <c r="N199" s="658"/>
      <c r="O199" s="658"/>
      <c r="P199" s="658"/>
      <c r="Q199" s="658"/>
      <c r="R199" s="658"/>
      <c r="S199" s="658"/>
      <c r="T199" s="658"/>
      <c r="U199" s="658"/>
      <c r="V199" s="658"/>
      <c r="W199" s="658"/>
      <c r="X199" s="658"/>
      <c r="Y199" s="658"/>
      <c r="Z199" s="658"/>
    </row>
    <row r="200" ht="14.25" customHeight="1">
      <c r="A200" s="658"/>
      <c r="B200" s="658"/>
      <c r="C200" s="658"/>
      <c r="D200" s="658"/>
      <c r="E200" s="658"/>
      <c r="F200" s="658"/>
      <c r="G200" s="658"/>
      <c r="H200" s="658"/>
      <c r="I200" s="658"/>
      <c r="J200" s="658"/>
      <c r="K200" s="658"/>
      <c r="L200" s="658"/>
      <c r="M200" s="658"/>
      <c r="N200" s="658"/>
      <c r="O200" s="658"/>
      <c r="P200" s="658"/>
      <c r="Q200" s="658"/>
      <c r="R200" s="658"/>
      <c r="S200" s="658"/>
      <c r="T200" s="658"/>
      <c r="U200" s="658"/>
      <c r="V200" s="658"/>
      <c r="W200" s="658"/>
      <c r="X200" s="658"/>
      <c r="Y200" s="658"/>
      <c r="Z200" s="658"/>
    </row>
    <row r="201" ht="14.25" customHeight="1">
      <c r="A201" s="658"/>
      <c r="B201" s="658"/>
      <c r="C201" s="658"/>
      <c r="D201" s="658"/>
      <c r="E201" s="658"/>
      <c r="F201" s="658"/>
      <c r="G201" s="658"/>
      <c r="H201" s="658"/>
      <c r="I201" s="658"/>
      <c r="J201" s="658"/>
      <c r="K201" s="658"/>
      <c r="L201" s="658"/>
      <c r="M201" s="658"/>
      <c r="N201" s="658"/>
      <c r="O201" s="658"/>
      <c r="P201" s="658"/>
      <c r="Q201" s="658"/>
      <c r="R201" s="658"/>
      <c r="S201" s="658"/>
      <c r="T201" s="658"/>
      <c r="U201" s="658"/>
      <c r="V201" s="658"/>
      <c r="W201" s="658"/>
      <c r="X201" s="658"/>
      <c r="Y201" s="658"/>
      <c r="Z201" s="658"/>
    </row>
    <row r="202" ht="14.25" customHeight="1">
      <c r="A202" s="658"/>
      <c r="B202" s="658"/>
      <c r="C202" s="658"/>
      <c r="D202" s="658"/>
      <c r="E202" s="658"/>
      <c r="F202" s="658"/>
      <c r="G202" s="658"/>
      <c r="H202" s="658"/>
      <c r="I202" s="658"/>
      <c r="J202" s="658"/>
      <c r="K202" s="658"/>
      <c r="L202" s="658"/>
      <c r="M202" s="658"/>
      <c r="N202" s="658"/>
      <c r="O202" s="658"/>
      <c r="P202" s="658"/>
      <c r="Q202" s="658"/>
      <c r="R202" s="658"/>
      <c r="S202" s="658"/>
      <c r="T202" s="658"/>
      <c r="U202" s="658"/>
      <c r="V202" s="658"/>
      <c r="W202" s="658"/>
      <c r="X202" s="658"/>
      <c r="Y202" s="658"/>
      <c r="Z202" s="658"/>
    </row>
    <row r="203" ht="14.25" customHeight="1">
      <c r="A203" s="658"/>
      <c r="B203" s="658"/>
      <c r="C203" s="658"/>
      <c r="D203" s="658"/>
      <c r="E203" s="658"/>
      <c r="F203" s="658"/>
      <c r="G203" s="658"/>
      <c r="H203" s="658"/>
      <c r="I203" s="658"/>
      <c r="J203" s="658"/>
      <c r="K203" s="658"/>
      <c r="L203" s="658"/>
      <c r="M203" s="658"/>
      <c r="N203" s="658"/>
      <c r="O203" s="658"/>
      <c r="P203" s="658"/>
      <c r="Q203" s="658"/>
      <c r="R203" s="658"/>
      <c r="S203" s="658"/>
      <c r="T203" s="658"/>
      <c r="U203" s="658"/>
      <c r="V203" s="658"/>
      <c r="W203" s="658"/>
      <c r="X203" s="658"/>
      <c r="Y203" s="658"/>
      <c r="Z203" s="658"/>
    </row>
    <row r="204" ht="14.25" customHeight="1">
      <c r="A204" s="658"/>
      <c r="B204" s="658"/>
      <c r="C204" s="658"/>
      <c r="D204" s="658"/>
      <c r="E204" s="658"/>
      <c r="F204" s="658"/>
      <c r="G204" s="658"/>
      <c r="H204" s="658"/>
      <c r="I204" s="658"/>
      <c r="J204" s="658"/>
      <c r="K204" s="658"/>
      <c r="L204" s="658"/>
      <c r="M204" s="658"/>
      <c r="N204" s="658"/>
      <c r="O204" s="658"/>
      <c r="P204" s="658"/>
      <c r="Q204" s="658"/>
      <c r="R204" s="658"/>
      <c r="S204" s="658"/>
      <c r="T204" s="658"/>
      <c r="U204" s="658"/>
      <c r="V204" s="658"/>
      <c r="W204" s="658"/>
      <c r="X204" s="658"/>
      <c r="Y204" s="658"/>
      <c r="Z204" s="658"/>
    </row>
    <row r="205" ht="14.25" customHeight="1">
      <c r="A205" s="658"/>
      <c r="B205" s="658"/>
      <c r="C205" s="658"/>
      <c r="D205" s="658"/>
      <c r="E205" s="658"/>
      <c r="F205" s="658"/>
      <c r="G205" s="658"/>
      <c r="H205" s="658"/>
      <c r="I205" s="658"/>
      <c r="J205" s="658"/>
      <c r="K205" s="658"/>
      <c r="L205" s="658"/>
      <c r="M205" s="658"/>
      <c r="N205" s="658"/>
      <c r="O205" s="658"/>
      <c r="P205" s="658"/>
      <c r="Q205" s="658"/>
      <c r="R205" s="658"/>
      <c r="S205" s="658"/>
      <c r="T205" s="658"/>
      <c r="U205" s="658"/>
      <c r="V205" s="658"/>
      <c r="W205" s="658"/>
      <c r="X205" s="658"/>
      <c r="Y205" s="658"/>
      <c r="Z205" s="658"/>
    </row>
    <row r="206" ht="14.25" customHeight="1">
      <c r="A206" s="658"/>
      <c r="B206" s="658"/>
      <c r="C206" s="658"/>
      <c r="D206" s="658"/>
      <c r="E206" s="658"/>
      <c r="F206" s="658"/>
      <c r="G206" s="658"/>
      <c r="H206" s="658"/>
      <c r="I206" s="658"/>
      <c r="J206" s="658"/>
      <c r="K206" s="658"/>
      <c r="L206" s="658"/>
      <c r="M206" s="658"/>
      <c r="N206" s="658"/>
      <c r="O206" s="658"/>
      <c r="P206" s="658"/>
      <c r="Q206" s="658"/>
      <c r="R206" s="658"/>
      <c r="S206" s="658"/>
      <c r="T206" s="658"/>
      <c r="U206" s="658"/>
      <c r="V206" s="658"/>
      <c r="W206" s="658"/>
      <c r="X206" s="658"/>
      <c r="Y206" s="658"/>
      <c r="Z206" s="658"/>
    </row>
    <row r="207" ht="14.25" customHeight="1">
      <c r="A207" s="658"/>
      <c r="B207" s="658"/>
      <c r="C207" s="658"/>
      <c r="D207" s="658"/>
      <c r="E207" s="658"/>
      <c r="F207" s="658"/>
      <c r="G207" s="658"/>
      <c r="H207" s="658"/>
      <c r="I207" s="658"/>
      <c r="J207" s="658"/>
      <c r="K207" s="658"/>
      <c r="L207" s="658"/>
      <c r="M207" s="658"/>
      <c r="N207" s="658"/>
      <c r="O207" s="658"/>
      <c r="P207" s="658"/>
      <c r="Q207" s="658"/>
      <c r="R207" s="658"/>
      <c r="S207" s="658"/>
      <c r="T207" s="658"/>
      <c r="U207" s="658"/>
      <c r="V207" s="658"/>
      <c r="W207" s="658"/>
      <c r="X207" s="658"/>
      <c r="Y207" s="658"/>
      <c r="Z207" s="658"/>
    </row>
    <row r="208" ht="14.25" customHeight="1">
      <c r="A208" s="658"/>
      <c r="B208" s="658"/>
      <c r="C208" s="658"/>
      <c r="D208" s="658"/>
      <c r="E208" s="658"/>
      <c r="F208" s="658"/>
      <c r="G208" s="658"/>
      <c r="H208" s="658"/>
      <c r="I208" s="658"/>
      <c r="J208" s="658"/>
      <c r="K208" s="658"/>
      <c r="L208" s="658"/>
      <c r="M208" s="658"/>
      <c r="N208" s="658"/>
      <c r="O208" s="658"/>
      <c r="P208" s="658"/>
      <c r="Q208" s="658"/>
      <c r="R208" s="658"/>
      <c r="S208" s="658"/>
      <c r="T208" s="658"/>
      <c r="U208" s="658"/>
      <c r="V208" s="658"/>
      <c r="W208" s="658"/>
      <c r="X208" s="658"/>
      <c r="Y208" s="658"/>
      <c r="Z208" s="658"/>
    </row>
    <row r="209" ht="14.25" customHeight="1">
      <c r="A209" s="658"/>
      <c r="B209" s="658"/>
      <c r="C209" s="658"/>
      <c r="D209" s="658"/>
      <c r="E209" s="658"/>
      <c r="F209" s="658"/>
      <c r="G209" s="658"/>
      <c r="H209" s="658"/>
      <c r="I209" s="658"/>
      <c r="J209" s="658"/>
      <c r="K209" s="658"/>
      <c r="L209" s="658"/>
      <c r="M209" s="658"/>
      <c r="N209" s="658"/>
      <c r="O209" s="658"/>
      <c r="P209" s="658"/>
      <c r="Q209" s="658"/>
      <c r="R209" s="658"/>
      <c r="S209" s="658"/>
      <c r="T209" s="658"/>
      <c r="U209" s="658"/>
      <c r="V209" s="658"/>
      <c r="W209" s="658"/>
      <c r="X209" s="658"/>
      <c r="Y209" s="658"/>
      <c r="Z209" s="658"/>
    </row>
    <row r="210" ht="14.25" customHeight="1">
      <c r="A210" s="658"/>
      <c r="B210" s="658"/>
      <c r="C210" s="658"/>
      <c r="D210" s="658"/>
      <c r="E210" s="658"/>
      <c r="F210" s="658"/>
      <c r="G210" s="658"/>
      <c r="H210" s="658"/>
      <c r="I210" s="658"/>
      <c r="J210" s="658"/>
      <c r="K210" s="658"/>
      <c r="L210" s="658"/>
      <c r="M210" s="658"/>
      <c r="N210" s="658"/>
      <c r="O210" s="658"/>
      <c r="P210" s="658"/>
      <c r="Q210" s="658"/>
      <c r="R210" s="658"/>
      <c r="S210" s="658"/>
      <c r="T210" s="658"/>
      <c r="U210" s="658"/>
      <c r="V210" s="658"/>
      <c r="W210" s="658"/>
      <c r="X210" s="658"/>
      <c r="Y210" s="658"/>
      <c r="Z210" s="658"/>
    </row>
    <row r="211" ht="14.25" customHeight="1">
      <c r="A211" s="658"/>
      <c r="B211" s="658"/>
      <c r="C211" s="658"/>
      <c r="D211" s="658"/>
      <c r="E211" s="658"/>
      <c r="F211" s="658"/>
      <c r="G211" s="658"/>
      <c r="H211" s="658"/>
      <c r="I211" s="658"/>
      <c r="J211" s="658"/>
      <c r="K211" s="658"/>
      <c r="L211" s="658"/>
      <c r="M211" s="658"/>
      <c r="N211" s="658"/>
      <c r="O211" s="658"/>
      <c r="P211" s="658"/>
      <c r="Q211" s="658"/>
      <c r="R211" s="658"/>
      <c r="S211" s="658"/>
      <c r="T211" s="658"/>
      <c r="U211" s="658"/>
      <c r="V211" s="658"/>
      <c r="W211" s="658"/>
      <c r="X211" s="658"/>
      <c r="Y211" s="658"/>
      <c r="Z211" s="658"/>
    </row>
    <row r="212" ht="14.25" customHeight="1">
      <c r="A212" s="658"/>
      <c r="B212" s="658"/>
      <c r="C212" s="658"/>
      <c r="D212" s="658"/>
      <c r="E212" s="658"/>
      <c r="F212" s="658"/>
      <c r="G212" s="658"/>
      <c r="H212" s="658"/>
      <c r="I212" s="658"/>
      <c r="J212" s="658"/>
      <c r="K212" s="658"/>
      <c r="L212" s="658"/>
      <c r="M212" s="658"/>
      <c r="N212" s="658"/>
      <c r="O212" s="658"/>
      <c r="P212" s="658"/>
      <c r="Q212" s="658"/>
      <c r="R212" s="658"/>
      <c r="S212" s="658"/>
      <c r="T212" s="658"/>
      <c r="U212" s="658"/>
      <c r="V212" s="658"/>
      <c r="W212" s="658"/>
      <c r="X212" s="658"/>
      <c r="Y212" s="658"/>
      <c r="Z212" s="658"/>
    </row>
    <row r="213" ht="14.25" customHeight="1">
      <c r="A213" s="658"/>
      <c r="B213" s="658"/>
      <c r="C213" s="658"/>
      <c r="D213" s="658"/>
      <c r="E213" s="658"/>
      <c r="F213" s="658"/>
      <c r="G213" s="658"/>
      <c r="H213" s="658"/>
      <c r="I213" s="658"/>
      <c r="J213" s="658"/>
      <c r="K213" s="658"/>
      <c r="L213" s="658"/>
      <c r="M213" s="658"/>
      <c r="N213" s="658"/>
      <c r="O213" s="658"/>
      <c r="P213" s="658"/>
      <c r="Q213" s="658"/>
      <c r="R213" s="658"/>
      <c r="S213" s="658"/>
      <c r="T213" s="658"/>
      <c r="U213" s="658"/>
      <c r="V213" s="658"/>
      <c r="W213" s="658"/>
      <c r="X213" s="658"/>
      <c r="Y213" s="658"/>
      <c r="Z213" s="658"/>
    </row>
    <row r="214" ht="14.25" customHeight="1">
      <c r="A214" s="658"/>
      <c r="B214" s="658"/>
      <c r="C214" s="658"/>
      <c r="D214" s="658"/>
      <c r="E214" s="658"/>
      <c r="F214" s="658"/>
      <c r="G214" s="658"/>
      <c r="H214" s="658"/>
      <c r="I214" s="658"/>
      <c r="J214" s="658"/>
      <c r="K214" s="658"/>
      <c r="L214" s="658"/>
      <c r="M214" s="658"/>
      <c r="N214" s="658"/>
      <c r="O214" s="658"/>
      <c r="P214" s="658"/>
      <c r="Q214" s="658"/>
      <c r="R214" s="658"/>
      <c r="S214" s="658"/>
      <c r="T214" s="658"/>
      <c r="U214" s="658"/>
      <c r="V214" s="658"/>
      <c r="W214" s="658"/>
      <c r="X214" s="658"/>
      <c r="Y214" s="658"/>
      <c r="Z214" s="658"/>
    </row>
    <row r="215" ht="14.25" customHeight="1">
      <c r="A215" s="658"/>
      <c r="B215" s="658"/>
      <c r="C215" s="658"/>
      <c r="D215" s="658"/>
      <c r="E215" s="658"/>
      <c r="F215" s="658"/>
      <c r="G215" s="658"/>
      <c r="H215" s="658"/>
      <c r="I215" s="658"/>
      <c r="J215" s="658"/>
      <c r="K215" s="658"/>
      <c r="L215" s="658"/>
      <c r="M215" s="658"/>
      <c r="N215" s="658"/>
      <c r="O215" s="658"/>
      <c r="P215" s="658"/>
      <c r="Q215" s="658"/>
      <c r="R215" s="658"/>
      <c r="S215" s="658"/>
      <c r="T215" s="658"/>
      <c r="U215" s="658"/>
      <c r="V215" s="658"/>
      <c r="W215" s="658"/>
      <c r="X215" s="658"/>
      <c r="Y215" s="658"/>
      <c r="Z215" s="658"/>
    </row>
    <row r="216" ht="14.25" customHeight="1">
      <c r="A216" s="658"/>
      <c r="B216" s="658"/>
      <c r="C216" s="658"/>
      <c r="D216" s="658"/>
      <c r="E216" s="658"/>
      <c r="F216" s="658"/>
      <c r="G216" s="658"/>
      <c r="H216" s="658"/>
      <c r="I216" s="658"/>
      <c r="J216" s="658"/>
      <c r="K216" s="658"/>
      <c r="L216" s="658"/>
      <c r="M216" s="658"/>
      <c r="N216" s="658"/>
      <c r="O216" s="658"/>
      <c r="P216" s="658"/>
      <c r="Q216" s="658"/>
      <c r="R216" s="658"/>
      <c r="S216" s="658"/>
      <c r="T216" s="658"/>
      <c r="U216" s="658"/>
      <c r="V216" s="658"/>
      <c r="W216" s="658"/>
      <c r="X216" s="658"/>
      <c r="Y216" s="658"/>
      <c r="Z216" s="658"/>
    </row>
    <row r="217" ht="14.25" customHeight="1">
      <c r="A217" s="658"/>
      <c r="B217" s="658"/>
      <c r="C217" s="658"/>
      <c r="D217" s="658"/>
      <c r="E217" s="658"/>
      <c r="F217" s="658"/>
      <c r="G217" s="658"/>
      <c r="H217" s="658"/>
      <c r="I217" s="658"/>
      <c r="J217" s="658"/>
      <c r="K217" s="658"/>
      <c r="L217" s="658"/>
      <c r="M217" s="658"/>
      <c r="N217" s="658"/>
      <c r="O217" s="658"/>
      <c r="P217" s="658"/>
      <c r="Q217" s="658"/>
      <c r="R217" s="658"/>
      <c r="S217" s="658"/>
      <c r="T217" s="658"/>
      <c r="U217" s="658"/>
      <c r="V217" s="658"/>
      <c r="W217" s="658"/>
      <c r="X217" s="658"/>
      <c r="Y217" s="658"/>
      <c r="Z217" s="658"/>
    </row>
    <row r="218" ht="14.25" customHeight="1">
      <c r="A218" s="658"/>
      <c r="B218" s="658"/>
      <c r="C218" s="658"/>
      <c r="D218" s="658"/>
      <c r="E218" s="658"/>
      <c r="F218" s="658"/>
      <c r="G218" s="658"/>
      <c r="H218" s="658"/>
      <c r="I218" s="658"/>
      <c r="J218" s="658"/>
      <c r="K218" s="658"/>
      <c r="L218" s="658"/>
      <c r="M218" s="658"/>
      <c r="N218" s="658"/>
      <c r="O218" s="658"/>
      <c r="P218" s="658"/>
      <c r="Q218" s="658"/>
      <c r="R218" s="658"/>
      <c r="S218" s="658"/>
      <c r="T218" s="658"/>
      <c r="U218" s="658"/>
      <c r="V218" s="658"/>
      <c r="W218" s="658"/>
      <c r="X218" s="658"/>
      <c r="Y218" s="658"/>
      <c r="Z218" s="658"/>
    </row>
    <row r="219" ht="14.25" customHeight="1">
      <c r="A219" s="658"/>
      <c r="B219" s="658"/>
      <c r="C219" s="658"/>
      <c r="D219" s="658"/>
      <c r="E219" s="658"/>
      <c r="F219" s="658"/>
      <c r="G219" s="658"/>
      <c r="H219" s="658"/>
      <c r="I219" s="658"/>
      <c r="J219" s="658"/>
      <c r="K219" s="658"/>
      <c r="L219" s="658"/>
      <c r="M219" s="658"/>
      <c r="N219" s="658"/>
      <c r="O219" s="658"/>
      <c r="P219" s="658"/>
      <c r="Q219" s="658"/>
      <c r="R219" s="658"/>
      <c r="S219" s="658"/>
      <c r="T219" s="658"/>
      <c r="U219" s="658"/>
      <c r="V219" s="658"/>
      <c r="W219" s="658"/>
      <c r="X219" s="658"/>
      <c r="Y219" s="658"/>
      <c r="Z219" s="658"/>
    </row>
    <row r="220" ht="14.25" customHeight="1">
      <c r="A220" s="658"/>
      <c r="B220" s="658"/>
      <c r="C220" s="658"/>
      <c r="D220" s="658"/>
      <c r="E220" s="658"/>
      <c r="F220" s="658"/>
      <c r="G220" s="658"/>
      <c r="H220" s="658"/>
      <c r="I220" s="658"/>
      <c r="J220" s="658"/>
      <c r="K220" s="658"/>
      <c r="L220" s="658"/>
      <c r="M220" s="658"/>
      <c r="N220" s="658"/>
      <c r="O220" s="658"/>
      <c r="P220" s="658"/>
      <c r="Q220" s="658"/>
      <c r="R220" s="658"/>
      <c r="S220" s="658"/>
      <c r="T220" s="658"/>
      <c r="U220" s="658"/>
      <c r="V220" s="658"/>
      <c r="W220" s="658"/>
      <c r="X220" s="658"/>
      <c r="Y220" s="658"/>
      <c r="Z220" s="658"/>
    </row>
    <row r="221" ht="14.25" customHeight="1">
      <c r="A221" s="658"/>
      <c r="B221" s="658"/>
      <c r="C221" s="658"/>
      <c r="D221" s="658"/>
      <c r="E221" s="658"/>
      <c r="F221" s="658"/>
      <c r="G221" s="658"/>
      <c r="H221" s="658"/>
      <c r="I221" s="658"/>
      <c r="J221" s="658"/>
      <c r="K221" s="658"/>
      <c r="L221" s="658"/>
      <c r="M221" s="658"/>
      <c r="N221" s="658"/>
      <c r="O221" s="658"/>
      <c r="P221" s="658"/>
      <c r="Q221" s="658"/>
      <c r="R221" s="658"/>
      <c r="S221" s="658"/>
      <c r="T221" s="658"/>
      <c r="U221" s="658"/>
      <c r="V221" s="658"/>
      <c r="W221" s="658"/>
      <c r="X221" s="658"/>
      <c r="Y221" s="658"/>
      <c r="Z221" s="658"/>
    </row>
    <row r="222" ht="14.25" customHeight="1">
      <c r="A222" s="658"/>
      <c r="B222" s="658"/>
      <c r="C222" s="658"/>
      <c r="D222" s="658"/>
      <c r="E222" s="658"/>
      <c r="F222" s="658"/>
      <c r="G222" s="658"/>
      <c r="H222" s="658"/>
      <c r="I222" s="658"/>
      <c r="J222" s="658"/>
      <c r="K222" s="658"/>
      <c r="L222" s="658"/>
      <c r="M222" s="658"/>
      <c r="N222" s="658"/>
      <c r="O222" s="658"/>
      <c r="P222" s="658"/>
      <c r="Q222" s="658"/>
      <c r="R222" s="658"/>
      <c r="S222" s="658"/>
      <c r="T222" s="658"/>
      <c r="U222" s="658"/>
      <c r="V222" s="658"/>
      <c r="W222" s="658"/>
      <c r="X222" s="658"/>
      <c r="Y222" s="658"/>
      <c r="Z222" s="658"/>
    </row>
    <row r="223" ht="14.25" customHeight="1">
      <c r="A223" s="658"/>
      <c r="B223" s="658"/>
      <c r="C223" s="658"/>
      <c r="D223" s="658"/>
      <c r="E223" s="658"/>
      <c r="F223" s="658"/>
      <c r="G223" s="658"/>
      <c r="H223" s="658"/>
      <c r="I223" s="658"/>
      <c r="J223" s="658"/>
      <c r="K223" s="658"/>
      <c r="L223" s="658"/>
      <c r="M223" s="658"/>
      <c r="N223" s="658"/>
      <c r="O223" s="658"/>
      <c r="P223" s="658"/>
      <c r="Q223" s="658"/>
      <c r="R223" s="658"/>
      <c r="S223" s="658"/>
      <c r="T223" s="658"/>
      <c r="U223" s="658"/>
      <c r="V223" s="658"/>
      <c r="W223" s="658"/>
      <c r="X223" s="658"/>
      <c r="Y223" s="658"/>
      <c r="Z223" s="658"/>
    </row>
    <row r="224" ht="14.25" customHeight="1">
      <c r="A224" s="658"/>
      <c r="B224" s="658"/>
      <c r="C224" s="658"/>
      <c r="D224" s="658"/>
      <c r="E224" s="658"/>
      <c r="F224" s="658"/>
      <c r="G224" s="658"/>
      <c r="H224" s="658"/>
      <c r="I224" s="658"/>
      <c r="J224" s="658"/>
      <c r="K224" s="658"/>
      <c r="L224" s="658"/>
      <c r="M224" s="658"/>
      <c r="N224" s="658"/>
      <c r="O224" s="658"/>
      <c r="P224" s="658"/>
      <c r="Q224" s="658"/>
      <c r="R224" s="658"/>
      <c r="S224" s="658"/>
      <c r="T224" s="658"/>
      <c r="U224" s="658"/>
      <c r="V224" s="658"/>
      <c r="W224" s="658"/>
      <c r="X224" s="658"/>
      <c r="Y224" s="658"/>
      <c r="Z224" s="658"/>
    </row>
    <row r="225" ht="14.25" customHeight="1">
      <c r="A225" s="658"/>
      <c r="B225" s="658"/>
      <c r="C225" s="658"/>
      <c r="D225" s="658"/>
      <c r="E225" s="658"/>
      <c r="F225" s="658"/>
      <c r="G225" s="658"/>
      <c r="H225" s="658"/>
      <c r="I225" s="658"/>
      <c r="J225" s="658"/>
      <c r="K225" s="658"/>
      <c r="L225" s="658"/>
      <c r="M225" s="658"/>
      <c r="N225" s="658"/>
      <c r="O225" s="658"/>
      <c r="P225" s="658"/>
      <c r="Q225" s="658"/>
      <c r="R225" s="658"/>
      <c r="S225" s="658"/>
      <c r="T225" s="658"/>
      <c r="U225" s="658"/>
      <c r="V225" s="658"/>
      <c r="W225" s="658"/>
      <c r="X225" s="658"/>
      <c r="Y225" s="658"/>
      <c r="Z225" s="658"/>
    </row>
    <row r="226" ht="14.25" customHeight="1">
      <c r="A226" s="658"/>
      <c r="B226" s="658"/>
      <c r="C226" s="658"/>
      <c r="D226" s="658"/>
      <c r="E226" s="658"/>
      <c r="F226" s="658"/>
      <c r="G226" s="658"/>
      <c r="H226" s="658"/>
      <c r="I226" s="658"/>
      <c r="J226" s="658"/>
      <c r="K226" s="658"/>
      <c r="L226" s="658"/>
      <c r="M226" s="658"/>
      <c r="N226" s="658"/>
      <c r="O226" s="658"/>
      <c r="P226" s="658"/>
      <c r="Q226" s="658"/>
      <c r="R226" s="658"/>
      <c r="S226" s="658"/>
      <c r="T226" s="658"/>
      <c r="U226" s="658"/>
      <c r="V226" s="658"/>
      <c r="W226" s="658"/>
      <c r="X226" s="658"/>
      <c r="Y226" s="658"/>
      <c r="Z226" s="658"/>
    </row>
    <row r="227" ht="14.25" customHeight="1">
      <c r="A227" s="658"/>
      <c r="B227" s="658"/>
      <c r="C227" s="658"/>
      <c r="D227" s="658"/>
      <c r="E227" s="658"/>
      <c r="F227" s="658"/>
      <c r="G227" s="658"/>
      <c r="H227" s="658"/>
      <c r="I227" s="658"/>
      <c r="J227" s="658"/>
      <c r="K227" s="658"/>
      <c r="L227" s="658"/>
      <c r="M227" s="658"/>
      <c r="N227" s="658"/>
      <c r="O227" s="658"/>
      <c r="P227" s="658"/>
      <c r="Q227" s="658"/>
      <c r="R227" s="658"/>
      <c r="S227" s="658"/>
      <c r="T227" s="658"/>
      <c r="U227" s="658"/>
      <c r="V227" s="658"/>
      <c r="W227" s="658"/>
      <c r="X227" s="658"/>
      <c r="Y227" s="658"/>
      <c r="Z227" s="658"/>
    </row>
    <row r="228" ht="14.25" customHeight="1">
      <c r="A228" s="658"/>
      <c r="B228" s="658"/>
      <c r="C228" s="658"/>
      <c r="D228" s="658"/>
      <c r="E228" s="658"/>
      <c r="F228" s="658"/>
      <c r="G228" s="658"/>
      <c r="H228" s="658"/>
      <c r="I228" s="658"/>
      <c r="J228" s="658"/>
      <c r="K228" s="658"/>
      <c r="L228" s="658"/>
      <c r="M228" s="658"/>
      <c r="N228" s="658"/>
      <c r="O228" s="658"/>
      <c r="P228" s="658"/>
      <c r="Q228" s="658"/>
      <c r="R228" s="658"/>
      <c r="S228" s="658"/>
      <c r="T228" s="658"/>
      <c r="U228" s="658"/>
      <c r="V228" s="658"/>
      <c r="W228" s="658"/>
      <c r="X228" s="658"/>
      <c r="Y228" s="658"/>
      <c r="Z228" s="658"/>
    </row>
    <row r="229" ht="14.25" customHeight="1">
      <c r="A229" s="658"/>
      <c r="B229" s="658"/>
      <c r="C229" s="658"/>
      <c r="D229" s="658"/>
      <c r="E229" s="658"/>
      <c r="F229" s="658"/>
      <c r="G229" s="658"/>
      <c r="H229" s="658"/>
      <c r="I229" s="658"/>
      <c r="J229" s="658"/>
      <c r="K229" s="658"/>
      <c r="L229" s="658"/>
      <c r="M229" s="658"/>
      <c r="N229" s="658"/>
      <c r="O229" s="658"/>
      <c r="P229" s="658"/>
      <c r="Q229" s="658"/>
      <c r="R229" s="658"/>
      <c r="S229" s="658"/>
      <c r="T229" s="658"/>
      <c r="U229" s="658"/>
      <c r="V229" s="658"/>
      <c r="W229" s="658"/>
      <c r="X229" s="658"/>
      <c r="Y229" s="658"/>
      <c r="Z229" s="658"/>
    </row>
    <row r="230" ht="14.25" customHeight="1">
      <c r="A230" s="658"/>
      <c r="B230" s="658"/>
      <c r="C230" s="658"/>
      <c r="D230" s="658"/>
      <c r="E230" s="658"/>
      <c r="F230" s="658"/>
      <c r="G230" s="658"/>
      <c r="H230" s="658"/>
      <c r="I230" s="658"/>
      <c r="J230" s="658"/>
      <c r="K230" s="658"/>
      <c r="L230" s="658"/>
      <c r="M230" s="658"/>
      <c r="N230" s="658"/>
      <c r="O230" s="658"/>
      <c r="P230" s="658"/>
      <c r="Q230" s="658"/>
      <c r="R230" s="658"/>
      <c r="S230" s="658"/>
      <c r="T230" s="658"/>
      <c r="U230" s="658"/>
      <c r="V230" s="658"/>
      <c r="W230" s="658"/>
      <c r="X230" s="658"/>
      <c r="Y230" s="658"/>
      <c r="Z230" s="658"/>
    </row>
    <row r="231" ht="14.25" customHeight="1">
      <c r="A231" s="658"/>
      <c r="B231" s="658"/>
      <c r="C231" s="658"/>
      <c r="D231" s="658"/>
      <c r="E231" s="658"/>
      <c r="F231" s="658"/>
      <c r="G231" s="658"/>
      <c r="H231" s="658"/>
      <c r="I231" s="658"/>
      <c r="J231" s="658"/>
      <c r="K231" s="658"/>
      <c r="L231" s="658"/>
      <c r="M231" s="658"/>
      <c r="N231" s="658"/>
      <c r="O231" s="658"/>
      <c r="P231" s="658"/>
      <c r="Q231" s="658"/>
      <c r="R231" s="658"/>
      <c r="S231" s="658"/>
      <c r="T231" s="658"/>
      <c r="U231" s="658"/>
      <c r="V231" s="658"/>
      <c r="W231" s="658"/>
      <c r="X231" s="658"/>
      <c r="Y231" s="658"/>
      <c r="Z231" s="658"/>
    </row>
    <row r="232" ht="14.25" customHeight="1">
      <c r="A232" s="658"/>
      <c r="B232" s="658"/>
      <c r="C232" s="658"/>
      <c r="D232" s="658"/>
      <c r="E232" s="658"/>
      <c r="F232" s="658"/>
      <c r="G232" s="658"/>
      <c r="H232" s="658"/>
      <c r="I232" s="658"/>
      <c r="J232" s="658"/>
      <c r="K232" s="658"/>
      <c r="L232" s="658"/>
      <c r="M232" s="658"/>
      <c r="N232" s="658"/>
      <c r="O232" s="658"/>
      <c r="P232" s="658"/>
      <c r="Q232" s="658"/>
      <c r="R232" s="658"/>
      <c r="S232" s="658"/>
      <c r="T232" s="658"/>
      <c r="U232" s="658"/>
      <c r="V232" s="658"/>
      <c r="W232" s="658"/>
      <c r="X232" s="658"/>
      <c r="Y232" s="658"/>
      <c r="Z232" s="658"/>
    </row>
    <row r="233" ht="14.25" customHeight="1">
      <c r="A233" s="658"/>
      <c r="B233" s="658"/>
      <c r="C233" s="658"/>
      <c r="D233" s="658"/>
      <c r="E233" s="658"/>
      <c r="F233" s="658"/>
      <c r="G233" s="658"/>
      <c r="H233" s="658"/>
      <c r="I233" s="658"/>
      <c r="J233" s="658"/>
      <c r="K233" s="658"/>
      <c r="L233" s="658"/>
      <c r="M233" s="658"/>
      <c r="N233" s="658"/>
      <c r="O233" s="658"/>
      <c r="P233" s="658"/>
      <c r="Q233" s="658"/>
      <c r="R233" s="658"/>
      <c r="S233" s="658"/>
      <c r="T233" s="658"/>
      <c r="U233" s="658"/>
      <c r="V233" s="658"/>
      <c r="W233" s="658"/>
      <c r="X233" s="658"/>
      <c r="Y233" s="658"/>
      <c r="Z233" s="658"/>
    </row>
    <row r="234" ht="14.25" customHeight="1">
      <c r="A234" s="658"/>
      <c r="B234" s="658"/>
      <c r="C234" s="658"/>
      <c r="D234" s="658"/>
      <c r="E234" s="658"/>
      <c r="F234" s="658"/>
      <c r="G234" s="658"/>
      <c r="H234" s="658"/>
      <c r="I234" s="658"/>
      <c r="J234" s="658"/>
      <c r="K234" s="658"/>
      <c r="L234" s="658"/>
      <c r="M234" s="658"/>
      <c r="N234" s="658"/>
      <c r="O234" s="658"/>
      <c r="P234" s="658"/>
      <c r="Q234" s="658"/>
      <c r="R234" s="658"/>
      <c r="S234" s="658"/>
      <c r="T234" s="658"/>
      <c r="U234" s="658"/>
      <c r="V234" s="658"/>
      <c r="W234" s="658"/>
      <c r="X234" s="658"/>
      <c r="Y234" s="658"/>
      <c r="Z234" s="658"/>
    </row>
    <row r="235" ht="14.25" customHeight="1">
      <c r="A235" s="658"/>
      <c r="B235" s="658"/>
      <c r="C235" s="658"/>
      <c r="D235" s="658"/>
      <c r="E235" s="658"/>
      <c r="F235" s="658"/>
      <c r="G235" s="658"/>
      <c r="H235" s="658"/>
      <c r="I235" s="658"/>
      <c r="J235" s="658"/>
      <c r="K235" s="658"/>
      <c r="L235" s="658"/>
      <c r="M235" s="658"/>
      <c r="N235" s="658"/>
      <c r="O235" s="658"/>
      <c r="P235" s="658"/>
      <c r="Q235" s="658"/>
      <c r="R235" s="658"/>
      <c r="S235" s="658"/>
      <c r="T235" s="658"/>
      <c r="U235" s="658"/>
      <c r="V235" s="658"/>
      <c r="W235" s="658"/>
      <c r="X235" s="658"/>
      <c r="Y235" s="658"/>
      <c r="Z235" s="658"/>
    </row>
    <row r="236" ht="14.25" customHeight="1">
      <c r="A236" s="658"/>
      <c r="B236" s="658"/>
      <c r="C236" s="658"/>
      <c r="D236" s="658"/>
      <c r="E236" s="658"/>
      <c r="F236" s="658"/>
      <c r="G236" s="658"/>
      <c r="H236" s="658"/>
      <c r="I236" s="658"/>
      <c r="J236" s="658"/>
      <c r="K236" s="658"/>
      <c r="L236" s="658"/>
      <c r="M236" s="658"/>
      <c r="N236" s="658"/>
      <c r="O236" s="658"/>
      <c r="P236" s="658"/>
      <c r="Q236" s="658"/>
      <c r="R236" s="658"/>
      <c r="S236" s="658"/>
      <c r="T236" s="658"/>
      <c r="U236" s="658"/>
      <c r="V236" s="658"/>
      <c r="W236" s="658"/>
      <c r="X236" s="658"/>
      <c r="Y236" s="658"/>
      <c r="Z236" s="658"/>
    </row>
    <row r="237" ht="14.25" customHeight="1">
      <c r="A237" s="658"/>
      <c r="B237" s="658"/>
      <c r="C237" s="658"/>
      <c r="D237" s="658"/>
      <c r="E237" s="658"/>
      <c r="F237" s="658"/>
      <c r="G237" s="658"/>
      <c r="H237" s="658"/>
      <c r="I237" s="658"/>
      <c r="J237" s="658"/>
      <c r="K237" s="658"/>
      <c r="L237" s="658"/>
      <c r="M237" s="658"/>
      <c r="N237" s="658"/>
      <c r="O237" s="658"/>
      <c r="P237" s="658"/>
      <c r="Q237" s="658"/>
      <c r="R237" s="658"/>
      <c r="S237" s="658"/>
      <c r="T237" s="658"/>
      <c r="U237" s="658"/>
      <c r="V237" s="658"/>
      <c r="W237" s="658"/>
      <c r="X237" s="658"/>
      <c r="Y237" s="658"/>
      <c r="Z237" s="658"/>
    </row>
    <row r="238" ht="14.25" customHeight="1">
      <c r="A238" s="658"/>
      <c r="B238" s="658"/>
      <c r="C238" s="658"/>
      <c r="D238" s="658"/>
      <c r="E238" s="658"/>
      <c r="F238" s="658"/>
      <c r="G238" s="658"/>
      <c r="H238" s="658"/>
      <c r="I238" s="658"/>
      <c r="J238" s="658"/>
      <c r="K238" s="658"/>
      <c r="L238" s="658"/>
      <c r="M238" s="658"/>
      <c r="N238" s="658"/>
      <c r="O238" s="658"/>
      <c r="P238" s="658"/>
      <c r="Q238" s="658"/>
      <c r="R238" s="658"/>
      <c r="S238" s="658"/>
      <c r="T238" s="658"/>
      <c r="U238" s="658"/>
      <c r="V238" s="658"/>
      <c r="W238" s="658"/>
      <c r="X238" s="658"/>
      <c r="Y238" s="658"/>
      <c r="Z238" s="658"/>
    </row>
    <row r="239" ht="14.25" customHeight="1">
      <c r="A239" s="658"/>
      <c r="B239" s="658"/>
      <c r="C239" s="658"/>
      <c r="D239" s="658"/>
      <c r="E239" s="658"/>
      <c r="F239" s="658"/>
      <c r="G239" s="658"/>
      <c r="H239" s="658"/>
      <c r="I239" s="658"/>
      <c r="J239" s="658"/>
      <c r="K239" s="658"/>
      <c r="L239" s="658"/>
      <c r="M239" s="658"/>
      <c r="N239" s="658"/>
      <c r="O239" s="658"/>
      <c r="P239" s="658"/>
      <c r="Q239" s="658"/>
      <c r="R239" s="658"/>
      <c r="S239" s="658"/>
      <c r="T239" s="658"/>
      <c r="U239" s="658"/>
      <c r="V239" s="658"/>
      <c r="W239" s="658"/>
      <c r="X239" s="658"/>
      <c r="Y239" s="658"/>
      <c r="Z239" s="658"/>
    </row>
    <row r="240" ht="14.25" customHeight="1">
      <c r="A240" s="658"/>
      <c r="B240" s="658"/>
      <c r="C240" s="658"/>
      <c r="D240" s="658"/>
      <c r="E240" s="658"/>
      <c r="F240" s="658"/>
      <c r="G240" s="658"/>
      <c r="H240" s="658"/>
      <c r="I240" s="658"/>
      <c r="J240" s="658"/>
      <c r="K240" s="658"/>
      <c r="L240" s="658"/>
      <c r="M240" s="658"/>
      <c r="N240" s="658"/>
      <c r="O240" s="658"/>
      <c r="P240" s="658"/>
      <c r="Q240" s="658"/>
      <c r="R240" s="658"/>
      <c r="S240" s="658"/>
      <c r="T240" s="658"/>
      <c r="U240" s="658"/>
      <c r="V240" s="658"/>
      <c r="W240" s="658"/>
      <c r="X240" s="658"/>
      <c r="Y240" s="658"/>
      <c r="Z240" s="658"/>
    </row>
    <row r="241" ht="14.25" customHeight="1">
      <c r="A241" s="658"/>
      <c r="B241" s="658"/>
      <c r="C241" s="658"/>
      <c r="D241" s="658"/>
      <c r="E241" s="658"/>
      <c r="F241" s="658"/>
      <c r="G241" s="658"/>
      <c r="H241" s="658"/>
      <c r="I241" s="658"/>
      <c r="J241" s="658"/>
      <c r="K241" s="658"/>
      <c r="L241" s="658"/>
      <c r="M241" s="658"/>
      <c r="N241" s="658"/>
      <c r="O241" s="658"/>
      <c r="P241" s="658"/>
      <c r="Q241" s="658"/>
      <c r="R241" s="658"/>
      <c r="S241" s="658"/>
      <c r="T241" s="658"/>
      <c r="U241" s="658"/>
      <c r="V241" s="658"/>
      <c r="W241" s="658"/>
      <c r="X241" s="658"/>
      <c r="Y241" s="658"/>
      <c r="Z241" s="658"/>
    </row>
    <row r="242" ht="14.25" customHeight="1">
      <c r="A242" s="658"/>
      <c r="B242" s="658"/>
      <c r="C242" s="658"/>
      <c r="D242" s="658"/>
      <c r="E242" s="658"/>
      <c r="F242" s="658"/>
      <c r="G242" s="658"/>
      <c r="H242" s="658"/>
      <c r="I242" s="658"/>
      <c r="J242" s="658"/>
      <c r="K242" s="658"/>
      <c r="L242" s="658"/>
      <c r="M242" s="658"/>
      <c r="N242" s="658"/>
      <c r="O242" s="658"/>
      <c r="P242" s="658"/>
      <c r="Q242" s="658"/>
      <c r="R242" s="658"/>
      <c r="S242" s="658"/>
      <c r="T242" s="658"/>
      <c r="U242" s="658"/>
      <c r="V242" s="658"/>
      <c r="W242" s="658"/>
      <c r="X242" s="658"/>
      <c r="Y242" s="658"/>
      <c r="Z242" s="658"/>
    </row>
    <row r="243" ht="14.25" customHeight="1">
      <c r="A243" s="658"/>
      <c r="B243" s="658"/>
      <c r="C243" s="658"/>
      <c r="D243" s="658"/>
      <c r="E243" s="658"/>
      <c r="F243" s="658"/>
      <c r="G243" s="658"/>
      <c r="H243" s="658"/>
      <c r="I243" s="658"/>
      <c r="J243" s="658"/>
      <c r="K243" s="658"/>
      <c r="L243" s="658"/>
      <c r="M243" s="658"/>
      <c r="N243" s="658"/>
      <c r="O243" s="658"/>
      <c r="P243" s="658"/>
      <c r="Q243" s="658"/>
      <c r="R243" s="658"/>
      <c r="S243" s="658"/>
      <c r="T243" s="658"/>
      <c r="U243" s="658"/>
      <c r="V243" s="658"/>
      <c r="W243" s="658"/>
      <c r="X243" s="658"/>
      <c r="Y243" s="658"/>
      <c r="Z243" s="658"/>
    </row>
    <row r="244" ht="14.25" customHeight="1">
      <c r="A244" s="658"/>
      <c r="B244" s="658"/>
      <c r="C244" s="658"/>
      <c r="D244" s="658"/>
      <c r="E244" s="658"/>
      <c r="F244" s="658"/>
      <c r="G244" s="658"/>
      <c r="H244" s="658"/>
      <c r="I244" s="658"/>
      <c r="J244" s="658"/>
      <c r="K244" s="658"/>
      <c r="L244" s="658"/>
      <c r="M244" s="658"/>
      <c r="N244" s="658"/>
      <c r="O244" s="658"/>
      <c r="P244" s="658"/>
      <c r="Q244" s="658"/>
      <c r="R244" s="658"/>
      <c r="S244" s="658"/>
      <c r="T244" s="658"/>
      <c r="U244" s="658"/>
      <c r="V244" s="658"/>
      <c r="W244" s="658"/>
      <c r="X244" s="658"/>
      <c r="Y244" s="658"/>
      <c r="Z244" s="658"/>
    </row>
    <row r="245" ht="14.25" customHeight="1">
      <c r="A245" s="658"/>
      <c r="B245" s="658"/>
      <c r="C245" s="658"/>
      <c r="D245" s="658"/>
      <c r="E245" s="658"/>
      <c r="F245" s="658"/>
      <c r="G245" s="658"/>
      <c r="H245" s="658"/>
      <c r="I245" s="658"/>
      <c r="J245" s="658"/>
      <c r="K245" s="658"/>
      <c r="L245" s="658"/>
      <c r="M245" s="658"/>
      <c r="N245" s="658"/>
      <c r="O245" s="658"/>
      <c r="P245" s="658"/>
      <c r="Q245" s="658"/>
      <c r="R245" s="658"/>
      <c r="S245" s="658"/>
      <c r="T245" s="658"/>
      <c r="U245" s="658"/>
      <c r="V245" s="658"/>
      <c r="W245" s="658"/>
      <c r="X245" s="658"/>
      <c r="Y245" s="658"/>
      <c r="Z245" s="658"/>
    </row>
    <row r="246" ht="14.25" customHeight="1">
      <c r="A246" s="658"/>
      <c r="B246" s="658"/>
      <c r="C246" s="658"/>
      <c r="D246" s="658"/>
      <c r="E246" s="658"/>
      <c r="F246" s="658"/>
      <c r="G246" s="658"/>
      <c r="H246" s="658"/>
      <c r="I246" s="658"/>
      <c r="J246" s="658"/>
      <c r="K246" s="658"/>
      <c r="L246" s="658"/>
      <c r="M246" s="658"/>
      <c r="N246" s="658"/>
      <c r="O246" s="658"/>
      <c r="P246" s="658"/>
      <c r="Q246" s="658"/>
      <c r="R246" s="658"/>
      <c r="S246" s="658"/>
      <c r="T246" s="658"/>
      <c r="U246" s="658"/>
      <c r="V246" s="658"/>
      <c r="W246" s="658"/>
      <c r="X246" s="658"/>
      <c r="Y246" s="658"/>
      <c r="Z246" s="658"/>
    </row>
    <row r="247" ht="14.25" customHeight="1">
      <c r="A247" s="658"/>
      <c r="B247" s="658"/>
      <c r="C247" s="658"/>
      <c r="D247" s="658"/>
      <c r="E247" s="658"/>
      <c r="F247" s="658"/>
      <c r="G247" s="658"/>
      <c r="H247" s="658"/>
      <c r="I247" s="658"/>
      <c r="J247" s="658"/>
      <c r="K247" s="658"/>
      <c r="L247" s="658"/>
      <c r="M247" s="658"/>
      <c r="N247" s="658"/>
      <c r="O247" s="658"/>
      <c r="P247" s="658"/>
      <c r="Q247" s="658"/>
      <c r="R247" s="658"/>
      <c r="S247" s="658"/>
      <c r="T247" s="658"/>
      <c r="U247" s="658"/>
      <c r="V247" s="658"/>
      <c r="W247" s="658"/>
      <c r="X247" s="658"/>
      <c r="Y247" s="658"/>
      <c r="Z247" s="658"/>
    </row>
    <row r="248" ht="14.25" customHeight="1">
      <c r="A248" s="658"/>
      <c r="B248" s="658"/>
      <c r="C248" s="658"/>
      <c r="D248" s="658"/>
      <c r="E248" s="658"/>
      <c r="F248" s="658"/>
      <c r="G248" s="658"/>
      <c r="H248" s="658"/>
      <c r="I248" s="658"/>
      <c r="J248" s="658"/>
      <c r="K248" s="658"/>
      <c r="L248" s="658"/>
      <c r="M248" s="658"/>
      <c r="N248" s="658"/>
      <c r="O248" s="658"/>
      <c r="P248" s="658"/>
      <c r="Q248" s="658"/>
      <c r="R248" s="658"/>
      <c r="S248" s="658"/>
      <c r="T248" s="658"/>
      <c r="U248" s="658"/>
      <c r="V248" s="658"/>
      <c r="W248" s="658"/>
      <c r="X248" s="658"/>
      <c r="Y248" s="658"/>
      <c r="Z248" s="658"/>
    </row>
    <row r="249" ht="14.25" customHeight="1">
      <c r="A249" s="658"/>
      <c r="B249" s="658"/>
      <c r="C249" s="658"/>
      <c r="D249" s="658"/>
      <c r="E249" s="658"/>
      <c r="F249" s="658"/>
      <c r="G249" s="658"/>
      <c r="H249" s="658"/>
      <c r="I249" s="658"/>
      <c r="J249" s="658"/>
      <c r="K249" s="658"/>
      <c r="L249" s="658"/>
      <c r="M249" s="658"/>
      <c r="N249" s="658"/>
      <c r="O249" s="658"/>
      <c r="P249" s="658"/>
      <c r="Q249" s="658"/>
      <c r="R249" s="658"/>
      <c r="S249" s="658"/>
      <c r="T249" s="658"/>
      <c r="U249" s="658"/>
      <c r="V249" s="658"/>
      <c r="W249" s="658"/>
      <c r="X249" s="658"/>
      <c r="Y249" s="658"/>
      <c r="Z249" s="658"/>
    </row>
    <row r="250" ht="14.25" customHeight="1">
      <c r="A250" s="658"/>
      <c r="B250" s="658"/>
      <c r="C250" s="658"/>
      <c r="D250" s="658"/>
      <c r="E250" s="658"/>
      <c r="F250" s="658"/>
      <c r="G250" s="658"/>
      <c r="H250" s="658"/>
      <c r="I250" s="658"/>
      <c r="J250" s="658"/>
      <c r="K250" s="658"/>
      <c r="L250" s="658"/>
      <c r="M250" s="658"/>
      <c r="N250" s="658"/>
      <c r="O250" s="658"/>
      <c r="P250" s="658"/>
      <c r="Q250" s="658"/>
      <c r="R250" s="658"/>
      <c r="S250" s="658"/>
      <c r="T250" s="658"/>
      <c r="U250" s="658"/>
      <c r="V250" s="658"/>
      <c r="W250" s="658"/>
      <c r="X250" s="658"/>
      <c r="Y250" s="658"/>
      <c r="Z250" s="658"/>
    </row>
    <row r="251" ht="14.25" customHeight="1">
      <c r="A251" s="658"/>
      <c r="B251" s="658"/>
      <c r="C251" s="658"/>
      <c r="D251" s="658"/>
      <c r="E251" s="658"/>
      <c r="F251" s="658"/>
      <c r="G251" s="658"/>
      <c r="H251" s="658"/>
      <c r="I251" s="658"/>
      <c r="J251" s="658"/>
      <c r="K251" s="658"/>
      <c r="L251" s="658"/>
      <c r="M251" s="658"/>
      <c r="N251" s="658"/>
      <c r="O251" s="658"/>
      <c r="P251" s="658"/>
      <c r="Q251" s="658"/>
      <c r="R251" s="658"/>
      <c r="S251" s="658"/>
      <c r="T251" s="658"/>
      <c r="U251" s="658"/>
      <c r="V251" s="658"/>
      <c r="W251" s="658"/>
      <c r="X251" s="658"/>
      <c r="Y251" s="658"/>
      <c r="Z251" s="658"/>
    </row>
    <row r="252" ht="14.25" customHeight="1">
      <c r="A252" s="658"/>
      <c r="B252" s="658"/>
      <c r="C252" s="658"/>
      <c r="D252" s="658"/>
      <c r="E252" s="658"/>
      <c r="F252" s="658"/>
      <c r="G252" s="658"/>
      <c r="H252" s="658"/>
      <c r="I252" s="658"/>
      <c r="J252" s="658"/>
      <c r="K252" s="658"/>
      <c r="L252" s="658"/>
      <c r="M252" s="658"/>
      <c r="N252" s="658"/>
      <c r="O252" s="658"/>
      <c r="P252" s="658"/>
      <c r="Q252" s="658"/>
      <c r="R252" s="658"/>
      <c r="S252" s="658"/>
      <c r="T252" s="658"/>
      <c r="U252" s="658"/>
      <c r="V252" s="658"/>
      <c r="W252" s="658"/>
      <c r="X252" s="658"/>
      <c r="Y252" s="658"/>
      <c r="Z252" s="658"/>
    </row>
    <row r="253" ht="14.25" customHeight="1">
      <c r="A253" s="658"/>
      <c r="B253" s="658"/>
      <c r="C253" s="658"/>
      <c r="D253" s="658"/>
      <c r="E253" s="658"/>
      <c r="F253" s="658"/>
      <c r="G253" s="658"/>
      <c r="H253" s="658"/>
      <c r="I253" s="658"/>
      <c r="J253" s="658"/>
      <c r="K253" s="658"/>
      <c r="L253" s="658"/>
      <c r="M253" s="658"/>
      <c r="N253" s="658"/>
      <c r="O253" s="658"/>
      <c r="P253" s="658"/>
      <c r="Q253" s="658"/>
      <c r="R253" s="658"/>
      <c r="S253" s="658"/>
      <c r="T253" s="658"/>
      <c r="U253" s="658"/>
      <c r="V253" s="658"/>
      <c r="W253" s="658"/>
      <c r="X253" s="658"/>
      <c r="Y253" s="658"/>
      <c r="Z253" s="658"/>
    </row>
    <row r="254" ht="14.25" customHeight="1">
      <c r="A254" s="658"/>
      <c r="B254" s="658"/>
      <c r="C254" s="658"/>
      <c r="D254" s="658"/>
      <c r="E254" s="658"/>
      <c r="F254" s="658"/>
      <c r="G254" s="658"/>
      <c r="H254" s="658"/>
      <c r="I254" s="658"/>
      <c r="J254" s="658"/>
      <c r="K254" s="658"/>
      <c r="L254" s="658"/>
      <c r="M254" s="658"/>
      <c r="N254" s="658"/>
      <c r="O254" s="658"/>
      <c r="P254" s="658"/>
      <c r="Q254" s="658"/>
      <c r="R254" s="658"/>
      <c r="S254" s="658"/>
      <c r="T254" s="658"/>
      <c r="U254" s="658"/>
      <c r="V254" s="658"/>
      <c r="W254" s="658"/>
      <c r="X254" s="658"/>
      <c r="Y254" s="658"/>
      <c r="Z254" s="658"/>
    </row>
    <row r="255" ht="14.25" customHeight="1">
      <c r="A255" s="658"/>
      <c r="B255" s="658"/>
      <c r="C255" s="658"/>
      <c r="D255" s="658"/>
      <c r="E255" s="658"/>
      <c r="F255" s="658"/>
      <c r="G255" s="658"/>
      <c r="H255" s="658"/>
      <c r="I255" s="658"/>
      <c r="J255" s="658"/>
      <c r="K255" s="658"/>
      <c r="L255" s="658"/>
      <c r="M255" s="658"/>
      <c r="N255" s="658"/>
      <c r="O255" s="658"/>
      <c r="P255" s="658"/>
      <c r="Q255" s="658"/>
      <c r="R255" s="658"/>
      <c r="S255" s="658"/>
      <c r="T255" s="658"/>
      <c r="U255" s="658"/>
      <c r="V255" s="658"/>
      <c r="W255" s="658"/>
      <c r="X255" s="658"/>
      <c r="Y255" s="658"/>
      <c r="Z255" s="658"/>
    </row>
    <row r="256" ht="14.25" customHeight="1">
      <c r="A256" s="658"/>
      <c r="B256" s="658"/>
      <c r="C256" s="658"/>
      <c r="D256" s="658"/>
      <c r="E256" s="658"/>
      <c r="F256" s="658"/>
      <c r="G256" s="658"/>
      <c r="H256" s="658"/>
      <c r="I256" s="658"/>
      <c r="J256" s="658"/>
      <c r="K256" s="658"/>
      <c r="L256" s="658"/>
      <c r="M256" s="658"/>
      <c r="N256" s="658"/>
      <c r="O256" s="658"/>
      <c r="P256" s="658"/>
      <c r="Q256" s="658"/>
      <c r="R256" s="658"/>
      <c r="S256" s="658"/>
      <c r="T256" s="658"/>
      <c r="U256" s="658"/>
      <c r="V256" s="658"/>
      <c r="W256" s="658"/>
      <c r="X256" s="658"/>
      <c r="Y256" s="658"/>
      <c r="Z256" s="658"/>
    </row>
    <row r="257" ht="14.25" customHeight="1">
      <c r="A257" s="658"/>
      <c r="B257" s="658"/>
      <c r="C257" s="658"/>
      <c r="D257" s="658"/>
      <c r="E257" s="658"/>
      <c r="F257" s="658"/>
      <c r="G257" s="658"/>
      <c r="H257" s="658"/>
      <c r="I257" s="658"/>
      <c r="J257" s="658"/>
      <c r="K257" s="658"/>
      <c r="L257" s="658"/>
      <c r="M257" s="658"/>
      <c r="N257" s="658"/>
      <c r="O257" s="658"/>
      <c r="P257" s="658"/>
      <c r="Q257" s="658"/>
      <c r="R257" s="658"/>
      <c r="S257" s="658"/>
      <c r="T257" s="658"/>
      <c r="U257" s="658"/>
      <c r="V257" s="658"/>
      <c r="W257" s="658"/>
      <c r="X257" s="658"/>
      <c r="Y257" s="658"/>
      <c r="Z257" s="658"/>
    </row>
    <row r="258" ht="14.25" customHeight="1">
      <c r="A258" s="658"/>
      <c r="B258" s="658"/>
      <c r="C258" s="658"/>
      <c r="D258" s="658"/>
      <c r="E258" s="658"/>
      <c r="F258" s="658"/>
      <c r="G258" s="658"/>
      <c r="H258" s="658"/>
      <c r="I258" s="658"/>
      <c r="J258" s="658"/>
      <c r="K258" s="658"/>
      <c r="L258" s="658"/>
      <c r="M258" s="658"/>
      <c r="N258" s="658"/>
      <c r="O258" s="658"/>
      <c r="P258" s="658"/>
      <c r="Q258" s="658"/>
      <c r="R258" s="658"/>
      <c r="S258" s="658"/>
      <c r="T258" s="658"/>
      <c r="U258" s="658"/>
      <c r="V258" s="658"/>
      <c r="W258" s="658"/>
      <c r="X258" s="658"/>
      <c r="Y258" s="658"/>
      <c r="Z258" s="658"/>
    </row>
    <row r="259" ht="14.25" customHeight="1">
      <c r="A259" s="658"/>
      <c r="B259" s="658"/>
      <c r="C259" s="658"/>
      <c r="D259" s="658"/>
      <c r="E259" s="658"/>
      <c r="F259" s="658"/>
      <c r="G259" s="658"/>
      <c r="H259" s="658"/>
      <c r="I259" s="658"/>
      <c r="J259" s="658"/>
      <c r="K259" s="658"/>
      <c r="L259" s="658"/>
      <c r="M259" s="658"/>
      <c r="N259" s="658"/>
      <c r="O259" s="658"/>
      <c r="P259" s="658"/>
      <c r="Q259" s="658"/>
      <c r="R259" s="658"/>
      <c r="S259" s="658"/>
      <c r="T259" s="658"/>
      <c r="U259" s="658"/>
      <c r="V259" s="658"/>
      <c r="W259" s="658"/>
      <c r="X259" s="658"/>
      <c r="Y259" s="658"/>
      <c r="Z259" s="658"/>
    </row>
    <row r="260" ht="14.25" customHeight="1">
      <c r="A260" s="658"/>
      <c r="B260" s="658"/>
      <c r="C260" s="658"/>
      <c r="D260" s="658"/>
      <c r="E260" s="658"/>
      <c r="F260" s="658"/>
      <c r="G260" s="658"/>
      <c r="H260" s="658"/>
      <c r="I260" s="658"/>
      <c r="J260" s="658"/>
      <c r="K260" s="658"/>
      <c r="L260" s="658"/>
      <c r="M260" s="658"/>
      <c r="N260" s="658"/>
      <c r="O260" s="658"/>
      <c r="P260" s="658"/>
      <c r="Q260" s="658"/>
      <c r="R260" s="658"/>
      <c r="S260" s="658"/>
      <c r="T260" s="658"/>
      <c r="U260" s="658"/>
      <c r="V260" s="658"/>
      <c r="W260" s="658"/>
      <c r="X260" s="658"/>
      <c r="Y260" s="658"/>
      <c r="Z260" s="658"/>
    </row>
    <row r="261" ht="14.25" customHeight="1">
      <c r="A261" s="658"/>
      <c r="B261" s="658"/>
      <c r="C261" s="658"/>
      <c r="D261" s="658"/>
      <c r="E261" s="658"/>
      <c r="F261" s="658"/>
      <c r="G261" s="658"/>
      <c r="H261" s="658"/>
      <c r="I261" s="658"/>
      <c r="J261" s="658"/>
      <c r="K261" s="658"/>
      <c r="L261" s="658"/>
      <c r="M261" s="658"/>
      <c r="N261" s="658"/>
      <c r="O261" s="658"/>
      <c r="P261" s="658"/>
      <c r="Q261" s="658"/>
      <c r="R261" s="658"/>
      <c r="S261" s="658"/>
      <c r="T261" s="658"/>
      <c r="U261" s="658"/>
      <c r="V261" s="658"/>
      <c r="W261" s="658"/>
      <c r="X261" s="658"/>
      <c r="Y261" s="658"/>
      <c r="Z261" s="658"/>
    </row>
    <row r="262" ht="14.25" customHeight="1">
      <c r="A262" s="658"/>
      <c r="B262" s="658"/>
      <c r="C262" s="658"/>
      <c r="D262" s="658"/>
      <c r="E262" s="658"/>
      <c r="F262" s="658"/>
      <c r="G262" s="658"/>
      <c r="H262" s="658"/>
      <c r="I262" s="658"/>
      <c r="J262" s="658"/>
      <c r="K262" s="658"/>
      <c r="L262" s="658"/>
      <c r="M262" s="658"/>
      <c r="N262" s="658"/>
      <c r="O262" s="658"/>
      <c r="P262" s="658"/>
      <c r="Q262" s="658"/>
      <c r="R262" s="658"/>
      <c r="S262" s="658"/>
      <c r="T262" s="658"/>
      <c r="U262" s="658"/>
      <c r="V262" s="658"/>
      <c r="W262" s="658"/>
      <c r="X262" s="658"/>
      <c r="Y262" s="658"/>
      <c r="Z262" s="658"/>
    </row>
    <row r="263" ht="14.25" customHeight="1">
      <c r="A263" s="658"/>
      <c r="B263" s="658"/>
      <c r="C263" s="658"/>
      <c r="D263" s="658"/>
      <c r="E263" s="658"/>
      <c r="F263" s="658"/>
      <c r="G263" s="658"/>
      <c r="H263" s="658"/>
      <c r="I263" s="658"/>
      <c r="J263" s="658"/>
      <c r="K263" s="658"/>
      <c r="L263" s="658"/>
      <c r="M263" s="658"/>
      <c r="N263" s="658"/>
      <c r="O263" s="658"/>
      <c r="P263" s="658"/>
      <c r="Q263" s="658"/>
      <c r="R263" s="658"/>
      <c r="S263" s="658"/>
      <c r="T263" s="658"/>
      <c r="U263" s="658"/>
      <c r="V263" s="658"/>
      <c r="W263" s="658"/>
      <c r="X263" s="658"/>
      <c r="Y263" s="658"/>
      <c r="Z263" s="658"/>
    </row>
    <row r="264" ht="14.25" customHeight="1">
      <c r="A264" s="658"/>
      <c r="B264" s="658"/>
      <c r="C264" s="658"/>
      <c r="D264" s="658"/>
      <c r="E264" s="658"/>
      <c r="F264" s="658"/>
      <c r="G264" s="658"/>
      <c r="H264" s="658"/>
      <c r="I264" s="658"/>
      <c r="J264" s="658"/>
      <c r="K264" s="658"/>
      <c r="L264" s="658"/>
      <c r="M264" s="658"/>
      <c r="N264" s="658"/>
      <c r="O264" s="658"/>
      <c r="P264" s="658"/>
      <c r="Q264" s="658"/>
      <c r="R264" s="658"/>
      <c r="S264" s="658"/>
      <c r="T264" s="658"/>
      <c r="U264" s="658"/>
      <c r="V264" s="658"/>
      <c r="W264" s="658"/>
      <c r="X264" s="658"/>
      <c r="Y264" s="658"/>
      <c r="Z264" s="658"/>
    </row>
    <row r="265" ht="14.25" customHeight="1">
      <c r="A265" s="658"/>
      <c r="B265" s="658"/>
      <c r="C265" s="658"/>
      <c r="D265" s="658"/>
      <c r="E265" s="658"/>
      <c r="F265" s="658"/>
      <c r="G265" s="658"/>
      <c r="H265" s="658"/>
      <c r="I265" s="658"/>
      <c r="J265" s="658"/>
      <c r="K265" s="658"/>
      <c r="L265" s="658"/>
      <c r="M265" s="658"/>
      <c r="N265" s="658"/>
      <c r="O265" s="658"/>
      <c r="P265" s="658"/>
      <c r="Q265" s="658"/>
      <c r="R265" s="658"/>
      <c r="S265" s="658"/>
      <c r="T265" s="658"/>
      <c r="U265" s="658"/>
      <c r="V265" s="658"/>
      <c r="W265" s="658"/>
      <c r="X265" s="658"/>
      <c r="Y265" s="658"/>
      <c r="Z265" s="658"/>
    </row>
    <row r="266" ht="14.25" customHeight="1">
      <c r="A266" s="658"/>
      <c r="B266" s="658"/>
      <c r="C266" s="658"/>
      <c r="D266" s="658"/>
      <c r="E266" s="658"/>
      <c r="F266" s="658"/>
      <c r="G266" s="658"/>
      <c r="H266" s="658"/>
      <c r="I266" s="658"/>
      <c r="J266" s="658"/>
      <c r="K266" s="658"/>
      <c r="L266" s="658"/>
      <c r="M266" s="658"/>
      <c r="N266" s="658"/>
      <c r="O266" s="658"/>
      <c r="P266" s="658"/>
      <c r="Q266" s="658"/>
      <c r="R266" s="658"/>
      <c r="S266" s="658"/>
      <c r="T266" s="658"/>
      <c r="U266" s="658"/>
      <c r="V266" s="658"/>
      <c r="W266" s="658"/>
      <c r="X266" s="658"/>
      <c r="Y266" s="658"/>
      <c r="Z266" s="658"/>
    </row>
    <row r="267" ht="14.25" customHeight="1">
      <c r="A267" s="658"/>
      <c r="B267" s="658"/>
      <c r="C267" s="658"/>
      <c r="D267" s="658"/>
      <c r="E267" s="658"/>
      <c r="F267" s="658"/>
      <c r="G267" s="658"/>
      <c r="H267" s="658"/>
      <c r="I267" s="658"/>
      <c r="J267" s="658"/>
      <c r="K267" s="658"/>
      <c r="L267" s="658"/>
      <c r="M267" s="658"/>
      <c r="N267" s="658"/>
      <c r="O267" s="658"/>
      <c r="P267" s="658"/>
      <c r="Q267" s="658"/>
      <c r="R267" s="658"/>
      <c r="S267" s="658"/>
      <c r="T267" s="658"/>
      <c r="U267" s="658"/>
      <c r="V267" s="658"/>
      <c r="W267" s="658"/>
      <c r="X267" s="658"/>
      <c r="Y267" s="658"/>
      <c r="Z267" s="658"/>
    </row>
    <row r="268" ht="14.25" customHeight="1">
      <c r="A268" s="658"/>
      <c r="B268" s="658"/>
      <c r="C268" s="658"/>
      <c r="D268" s="658"/>
      <c r="E268" s="658"/>
      <c r="F268" s="658"/>
      <c r="G268" s="658"/>
      <c r="H268" s="658"/>
      <c r="I268" s="658"/>
      <c r="J268" s="658"/>
      <c r="K268" s="658"/>
      <c r="L268" s="658"/>
      <c r="M268" s="658"/>
      <c r="N268" s="658"/>
      <c r="O268" s="658"/>
      <c r="P268" s="658"/>
      <c r="Q268" s="658"/>
      <c r="R268" s="658"/>
      <c r="S268" s="658"/>
      <c r="T268" s="658"/>
      <c r="U268" s="658"/>
      <c r="V268" s="658"/>
      <c r="W268" s="658"/>
      <c r="X268" s="658"/>
      <c r="Y268" s="658"/>
      <c r="Z268" s="658"/>
    </row>
    <row r="269" ht="14.25" customHeight="1">
      <c r="A269" s="658"/>
      <c r="B269" s="658"/>
      <c r="C269" s="658"/>
      <c r="D269" s="658"/>
      <c r="E269" s="658"/>
      <c r="F269" s="658"/>
      <c r="G269" s="658"/>
      <c r="H269" s="658"/>
      <c r="I269" s="658"/>
      <c r="J269" s="658"/>
      <c r="K269" s="658"/>
      <c r="L269" s="658"/>
      <c r="M269" s="658"/>
      <c r="N269" s="658"/>
      <c r="O269" s="658"/>
      <c r="P269" s="658"/>
      <c r="Q269" s="658"/>
      <c r="R269" s="658"/>
      <c r="S269" s="658"/>
      <c r="T269" s="658"/>
      <c r="U269" s="658"/>
      <c r="V269" s="658"/>
      <c r="W269" s="658"/>
      <c r="X269" s="658"/>
      <c r="Y269" s="658"/>
      <c r="Z269" s="658"/>
    </row>
    <row r="270" ht="14.25" customHeight="1">
      <c r="A270" s="658"/>
      <c r="B270" s="658"/>
      <c r="C270" s="658"/>
      <c r="D270" s="658"/>
      <c r="E270" s="658"/>
      <c r="F270" s="658"/>
      <c r="G270" s="658"/>
      <c r="H270" s="658"/>
      <c r="I270" s="658"/>
      <c r="J270" s="658"/>
      <c r="K270" s="658"/>
      <c r="L270" s="658"/>
      <c r="M270" s="658"/>
      <c r="N270" s="658"/>
      <c r="O270" s="658"/>
      <c r="P270" s="658"/>
      <c r="Q270" s="658"/>
      <c r="R270" s="658"/>
      <c r="S270" s="658"/>
      <c r="T270" s="658"/>
      <c r="U270" s="658"/>
      <c r="V270" s="658"/>
      <c r="W270" s="658"/>
      <c r="X270" s="658"/>
      <c r="Y270" s="658"/>
      <c r="Z270" s="658"/>
    </row>
    <row r="271" ht="14.25" customHeight="1">
      <c r="A271" s="658"/>
      <c r="B271" s="658"/>
      <c r="C271" s="658"/>
      <c r="D271" s="658"/>
      <c r="E271" s="658"/>
      <c r="F271" s="658"/>
      <c r="G271" s="658"/>
      <c r="H271" s="658"/>
      <c r="I271" s="658"/>
      <c r="J271" s="658"/>
      <c r="K271" s="658"/>
      <c r="L271" s="658"/>
      <c r="M271" s="658"/>
      <c r="N271" s="658"/>
      <c r="O271" s="658"/>
      <c r="P271" s="658"/>
      <c r="Q271" s="658"/>
      <c r="R271" s="658"/>
      <c r="S271" s="658"/>
      <c r="T271" s="658"/>
      <c r="U271" s="658"/>
      <c r="V271" s="658"/>
      <c r="W271" s="658"/>
      <c r="X271" s="658"/>
      <c r="Y271" s="658"/>
      <c r="Z271" s="658"/>
    </row>
    <row r="272" ht="14.25" customHeight="1">
      <c r="A272" s="658"/>
      <c r="B272" s="658"/>
      <c r="C272" s="658"/>
      <c r="D272" s="658"/>
      <c r="E272" s="658"/>
      <c r="F272" s="658"/>
      <c r="G272" s="658"/>
      <c r="H272" s="658"/>
      <c r="I272" s="658"/>
      <c r="J272" s="658"/>
      <c r="K272" s="658"/>
      <c r="L272" s="658"/>
      <c r="M272" s="658"/>
      <c r="N272" s="658"/>
      <c r="O272" s="658"/>
      <c r="P272" s="658"/>
      <c r="Q272" s="658"/>
      <c r="R272" s="658"/>
      <c r="S272" s="658"/>
      <c r="T272" s="658"/>
      <c r="U272" s="658"/>
      <c r="V272" s="658"/>
      <c r="W272" s="658"/>
      <c r="X272" s="658"/>
      <c r="Y272" s="658"/>
      <c r="Z272" s="658"/>
    </row>
    <row r="273" ht="14.25" customHeight="1">
      <c r="A273" s="658"/>
      <c r="B273" s="658"/>
      <c r="C273" s="658"/>
      <c r="D273" s="658"/>
      <c r="E273" s="658"/>
      <c r="F273" s="658"/>
      <c r="G273" s="658"/>
      <c r="H273" s="658"/>
      <c r="I273" s="658"/>
      <c r="J273" s="658"/>
      <c r="K273" s="658"/>
      <c r="L273" s="658"/>
      <c r="M273" s="658"/>
      <c r="N273" s="658"/>
      <c r="O273" s="658"/>
      <c r="P273" s="658"/>
      <c r="Q273" s="658"/>
      <c r="R273" s="658"/>
      <c r="S273" s="658"/>
      <c r="T273" s="658"/>
      <c r="U273" s="658"/>
      <c r="V273" s="658"/>
      <c r="W273" s="658"/>
      <c r="X273" s="658"/>
      <c r="Y273" s="658"/>
      <c r="Z273" s="658"/>
    </row>
    <row r="274" ht="14.25" customHeight="1">
      <c r="A274" s="658"/>
      <c r="B274" s="658"/>
      <c r="C274" s="658"/>
      <c r="D274" s="658"/>
      <c r="E274" s="658"/>
      <c r="F274" s="658"/>
      <c r="G274" s="658"/>
      <c r="H274" s="658"/>
      <c r="I274" s="658"/>
      <c r="J274" s="658"/>
      <c r="K274" s="658"/>
      <c r="L274" s="658"/>
      <c r="M274" s="658"/>
      <c r="N274" s="658"/>
      <c r="O274" s="658"/>
      <c r="P274" s="658"/>
      <c r="Q274" s="658"/>
      <c r="R274" s="658"/>
      <c r="S274" s="658"/>
      <c r="T274" s="658"/>
      <c r="U274" s="658"/>
      <c r="V274" s="658"/>
      <c r="W274" s="658"/>
      <c r="X274" s="658"/>
      <c r="Y274" s="658"/>
      <c r="Z274" s="658"/>
    </row>
    <row r="275" ht="14.25" customHeight="1">
      <c r="A275" s="658"/>
      <c r="B275" s="658"/>
      <c r="C275" s="658"/>
      <c r="D275" s="658"/>
      <c r="E275" s="658"/>
      <c r="F275" s="658"/>
      <c r="G275" s="658"/>
      <c r="H275" s="658"/>
      <c r="I275" s="658"/>
      <c r="J275" s="658"/>
      <c r="K275" s="658"/>
      <c r="L275" s="658"/>
      <c r="M275" s="658"/>
      <c r="N275" s="658"/>
      <c r="O275" s="658"/>
      <c r="P275" s="658"/>
      <c r="Q275" s="658"/>
      <c r="R275" s="658"/>
      <c r="S275" s="658"/>
      <c r="T275" s="658"/>
      <c r="U275" s="658"/>
      <c r="V275" s="658"/>
      <c r="W275" s="658"/>
      <c r="X275" s="658"/>
      <c r="Y275" s="658"/>
      <c r="Z275" s="658"/>
    </row>
    <row r="276" ht="14.25" customHeight="1">
      <c r="A276" s="658"/>
      <c r="B276" s="658"/>
      <c r="C276" s="658"/>
      <c r="D276" s="658"/>
      <c r="E276" s="658"/>
      <c r="F276" s="658"/>
      <c r="G276" s="658"/>
      <c r="H276" s="658"/>
      <c r="I276" s="658"/>
      <c r="J276" s="658"/>
      <c r="K276" s="658"/>
      <c r="L276" s="658"/>
      <c r="M276" s="658"/>
      <c r="N276" s="658"/>
      <c r="O276" s="658"/>
      <c r="P276" s="658"/>
      <c r="Q276" s="658"/>
      <c r="R276" s="658"/>
      <c r="S276" s="658"/>
      <c r="T276" s="658"/>
      <c r="U276" s="658"/>
      <c r="V276" s="658"/>
      <c r="W276" s="658"/>
      <c r="X276" s="658"/>
      <c r="Y276" s="658"/>
      <c r="Z276" s="658"/>
    </row>
    <row r="277" ht="14.25" customHeight="1">
      <c r="A277" s="658"/>
      <c r="B277" s="658"/>
      <c r="C277" s="658"/>
      <c r="D277" s="658"/>
      <c r="E277" s="658"/>
      <c r="F277" s="658"/>
      <c r="G277" s="658"/>
      <c r="H277" s="658"/>
      <c r="I277" s="658"/>
      <c r="J277" s="658"/>
      <c r="K277" s="658"/>
      <c r="L277" s="658"/>
      <c r="M277" s="658"/>
      <c r="N277" s="658"/>
      <c r="O277" s="658"/>
      <c r="P277" s="658"/>
      <c r="Q277" s="658"/>
      <c r="R277" s="658"/>
      <c r="S277" s="658"/>
      <c r="T277" s="658"/>
      <c r="U277" s="658"/>
      <c r="V277" s="658"/>
      <c r="W277" s="658"/>
      <c r="X277" s="658"/>
      <c r="Y277" s="658"/>
      <c r="Z277" s="658"/>
    </row>
    <row r="278" ht="14.25" customHeight="1">
      <c r="A278" s="658"/>
      <c r="B278" s="658"/>
      <c r="C278" s="658"/>
      <c r="D278" s="658"/>
      <c r="E278" s="658"/>
      <c r="F278" s="658"/>
      <c r="G278" s="658"/>
      <c r="H278" s="658"/>
      <c r="I278" s="658"/>
      <c r="J278" s="658"/>
      <c r="K278" s="658"/>
      <c r="L278" s="658"/>
      <c r="M278" s="658"/>
      <c r="N278" s="658"/>
      <c r="O278" s="658"/>
      <c r="P278" s="658"/>
      <c r="Q278" s="658"/>
      <c r="R278" s="658"/>
      <c r="S278" s="658"/>
      <c r="T278" s="658"/>
      <c r="U278" s="658"/>
      <c r="V278" s="658"/>
      <c r="W278" s="658"/>
      <c r="X278" s="658"/>
      <c r="Y278" s="658"/>
      <c r="Z278" s="658"/>
    </row>
    <row r="279" ht="14.25" customHeight="1">
      <c r="A279" s="658"/>
      <c r="B279" s="658"/>
      <c r="C279" s="658"/>
      <c r="D279" s="658"/>
      <c r="E279" s="658"/>
      <c r="F279" s="658"/>
      <c r="G279" s="658"/>
      <c r="H279" s="658"/>
      <c r="I279" s="658"/>
      <c r="J279" s="658"/>
      <c r="K279" s="658"/>
      <c r="L279" s="658"/>
      <c r="M279" s="658"/>
      <c r="N279" s="658"/>
      <c r="O279" s="658"/>
      <c r="P279" s="658"/>
      <c r="Q279" s="658"/>
      <c r="R279" s="658"/>
      <c r="S279" s="658"/>
      <c r="T279" s="658"/>
      <c r="U279" s="658"/>
      <c r="V279" s="658"/>
      <c r="W279" s="658"/>
      <c r="X279" s="658"/>
      <c r="Y279" s="658"/>
      <c r="Z279" s="658"/>
    </row>
    <row r="280" ht="14.25" customHeight="1">
      <c r="A280" s="658"/>
      <c r="B280" s="658"/>
      <c r="C280" s="658"/>
      <c r="D280" s="658"/>
      <c r="E280" s="658"/>
      <c r="F280" s="658"/>
      <c r="G280" s="658"/>
      <c r="H280" s="658"/>
      <c r="I280" s="658"/>
      <c r="J280" s="658"/>
      <c r="K280" s="658"/>
      <c r="L280" s="658"/>
      <c r="M280" s="658"/>
      <c r="N280" s="658"/>
      <c r="O280" s="658"/>
      <c r="P280" s="658"/>
      <c r="Q280" s="658"/>
      <c r="R280" s="658"/>
      <c r="S280" s="658"/>
      <c r="T280" s="658"/>
      <c r="U280" s="658"/>
      <c r="V280" s="658"/>
      <c r="W280" s="658"/>
      <c r="X280" s="658"/>
      <c r="Y280" s="658"/>
      <c r="Z280" s="658"/>
    </row>
    <row r="281" ht="14.25" customHeight="1">
      <c r="A281" s="658"/>
      <c r="B281" s="658"/>
      <c r="C281" s="658"/>
      <c r="D281" s="658"/>
      <c r="E281" s="658"/>
      <c r="F281" s="658"/>
      <c r="G281" s="658"/>
      <c r="H281" s="658"/>
      <c r="I281" s="658"/>
      <c r="J281" s="658"/>
      <c r="K281" s="658"/>
      <c r="L281" s="658"/>
      <c r="M281" s="658"/>
      <c r="N281" s="658"/>
      <c r="O281" s="658"/>
      <c r="P281" s="658"/>
      <c r="Q281" s="658"/>
      <c r="R281" s="658"/>
      <c r="S281" s="658"/>
      <c r="T281" s="658"/>
      <c r="U281" s="658"/>
      <c r="V281" s="658"/>
      <c r="W281" s="658"/>
      <c r="X281" s="658"/>
      <c r="Y281" s="658"/>
      <c r="Z281" s="658"/>
    </row>
    <row r="282" ht="14.25" customHeight="1">
      <c r="A282" s="658"/>
      <c r="B282" s="658"/>
      <c r="C282" s="658"/>
      <c r="D282" s="658"/>
      <c r="E282" s="658"/>
      <c r="F282" s="658"/>
      <c r="G282" s="658"/>
      <c r="H282" s="658"/>
      <c r="I282" s="658"/>
      <c r="J282" s="658"/>
      <c r="K282" s="658"/>
      <c r="L282" s="658"/>
      <c r="M282" s="658"/>
      <c r="N282" s="658"/>
      <c r="O282" s="658"/>
      <c r="P282" s="658"/>
      <c r="Q282" s="658"/>
      <c r="R282" s="658"/>
      <c r="S282" s="658"/>
      <c r="T282" s="658"/>
      <c r="U282" s="658"/>
      <c r="V282" s="658"/>
      <c r="W282" s="658"/>
      <c r="X282" s="658"/>
      <c r="Y282" s="658"/>
      <c r="Z282" s="658"/>
    </row>
    <row r="283" ht="14.25" customHeight="1">
      <c r="A283" s="658"/>
      <c r="B283" s="658"/>
      <c r="C283" s="658"/>
      <c r="D283" s="658"/>
      <c r="E283" s="658"/>
      <c r="F283" s="658"/>
      <c r="G283" s="658"/>
      <c r="H283" s="658"/>
      <c r="I283" s="658"/>
      <c r="J283" s="658"/>
      <c r="K283" s="658"/>
      <c r="L283" s="658"/>
      <c r="M283" s="658"/>
      <c r="N283" s="658"/>
      <c r="O283" s="658"/>
      <c r="P283" s="658"/>
      <c r="Q283" s="658"/>
      <c r="R283" s="658"/>
      <c r="S283" s="658"/>
      <c r="T283" s="658"/>
      <c r="U283" s="658"/>
      <c r="V283" s="658"/>
      <c r="W283" s="658"/>
      <c r="X283" s="658"/>
      <c r="Y283" s="658"/>
      <c r="Z283" s="658"/>
    </row>
    <row r="284" ht="14.25" customHeight="1">
      <c r="A284" s="658"/>
      <c r="B284" s="658"/>
      <c r="C284" s="658"/>
      <c r="D284" s="658"/>
      <c r="E284" s="658"/>
      <c r="F284" s="658"/>
      <c r="G284" s="658"/>
      <c r="H284" s="658"/>
      <c r="I284" s="658"/>
      <c r="J284" s="658"/>
      <c r="K284" s="658"/>
      <c r="L284" s="658"/>
      <c r="M284" s="658"/>
      <c r="N284" s="658"/>
      <c r="O284" s="658"/>
      <c r="P284" s="658"/>
      <c r="Q284" s="658"/>
      <c r="R284" s="658"/>
      <c r="S284" s="658"/>
      <c r="T284" s="658"/>
      <c r="U284" s="658"/>
      <c r="V284" s="658"/>
      <c r="W284" s="658"/>
      <c r="X284" s="658"/>
      <c r="Y284" s="658"/>
      <c r="Z284" s="658"/>
    </row>
    <row r="285" ht="14.25" customHeight="1">
      <c r="A285" s="658"/>
      <c r="B285" s="658"/>
      <c r="C285" s="658"/>
      <c r="D285" s="658"/>
      <c r="E285" s="658"/>
      <c r="F285" s="658"/>
      <c r="G285" s="658"/>
      <c r="H285" s="658"/>
      <c r="I285" s="658"/>
      <c r="J285" s="658"/>
      <c r="K285" s="658"/>
      <c r="L285" s="658"/>
      <c r="M285" s="658"/>
      <c r="N285" s="658"/>
      <c r="O285" s="658"/>
      <c r="P285" s="658"/>
      <c r="Q285" s="658"/>
      <c r="R285" s="658"/>
      <c r="S285" s="658"/>
      <c r="T285" s="658"/>
      <c r="U285" s="658"/>
      <c r="V285" s="658"/>
      <c r="W285" s="658"/>
      <c r="X285" s="658"/>
      <c r="Y285" s="658"/>
      <c r="Z285" s="658"/>
    </row>
    <row r="286" ht="14.25" customHeight="1">
      <c r="A286" s="658"/>
      <c r="B286" s="658"/>
      <c r="C286" s="658"/>
      <c r="D286" s="658"/>
      <c r="E286" s="658"/>
      <c r="F286" s="658"/>
      <c r="G286" s="658"/>
      <c r="H286" s="658"/>
      <c r="I286" s="658"/>
      <c r="J286" s="658"/>
      <c r="K286" s="658"/>
      <c r="L286" s="658"/>
      <c r="M286" s="658"/>
      <c r="N286" s="658"/>
      <c r="O286" s="658"/>
      <c r="P286" s="658"/>
      <c r="Q286" s="658"/>
      <c r="R286" s="658"/>
      <c r="S286" s="658"/>
      <c r="T286" s="658"/>
      <c r="U286" s="658"/>
      <c r="V286" s="658"/>
      <c r="W286" s="658"/>
      <c r="X286" s="658"/>
      <c r="Y286" s="658"/>
      <c r="Z286" s="658"/>
    </row>
    <row r="287" ht="14.25" customHeight="1">
      <c r="A287" s="658"/>
      <c r="B287" s="658"/>
      <c r="C287" s="658"/>
      <c r="D287" s="658"/>
      <c r="E287" s="658"/>
      <c r="F287" s="658"/>
      <c r="G287" s="658"/>
      <c r="H287" s="658"/>
      <c r="I287" s="658"/>
      <c r="J287" s="658"/>
      <c r="K287" s="658"/>
      <c r="L287" s="658"/>
      <c r="M287" s="658"/>
      <c r="N287" s="658"/>
      <c r="O287" s="658"/>
      <c r="P287" s="658"/>
      <c r="Q287" s="658"/>
      <c r="R287" s="658"/>
      <c r="S287" s="658"/>
      <c r="T287" s="658"/>
      <c r="U287" s="658"/>
      <c r="V287" s="658"/>
      <c r="W287" s="658"/>
      <c r="X287" s="658"/>
      <c r="Y287" s="658"/>
      <c r="Z287" s="658"/>
    </row>
    <row r="288" ht="14.25" customHeight="1">
      <c r="A288" s="658"/>
      <c r="B288" s="658"/>
      <c r="C288" s="658"/>
      <c r="D288" s="658"/>
      <c r="E288" s="658"/>
      <c r="F288" s="658"/>
      <c r="G288" s="658"/>
      <c r="H288" s="658"/>
      <c r="I288" s="658"/>
      <c r="J288" s="658"/>
      <c r="K288" s="658"/>
      <c r="L288" s="658"/>
      <c r="M288" s="658"/>
      <c r="N288" s="658"/>
      <c r="O288" s="658"/>
      <c r="P288" s="658"/>
      <c r="Q288" s="658"/>
      <c r="R288" s="658"/>
      <c r="S288" s="658"/>
      <c r="T288" s="658"/>
      <c r="U288" s="658"/>
      <c r="V288" s="658"/>
      <c r="W288" s="658"/>
      <c r="X288" s="658"/>
      <c r="Y288" s="658"/>
      <c r="Z288" s="658"/>
    </row>
    <row r="289" ht="14.25" customHeight="1">
      <c r="A289" s="658"/>
      <c r="B289" s="658"/>
      <c r="C289" s="658"/>
      <c r="D289" s="658"/>
      <c r="E289" s="658"/>
      <c r="F289" s="658"/>
      <c r="G289" s="658"/>
      <c r="H289" s="658"/>
      <c r="I289" s="658"/>
      <c r="J289" s="658"/>
      <c r="K289" s="658"/>
      <c r="L289" s="658"/>
      <c r="M289" s="658"/>
      <c r="N289" s="658"/>
      <c r="O289" s="658"/>
      <c r="P289" s="658"/>
      <c r="Q289" s="658"/>
      <c r="R289" s="658"/>
      <c r="S289" s="658"/>
      <c r="T289" s="658"/>
      <c r="U289" s="658"/>
      <c r="V289" s="658"/>
      <c r="W289" s="658"/>
      <c r="X289" s="658"/>
      <c r="Y289" s="658"/>
      <c r="Z289" s="658"/>
    </row>
    <row r="290" ht="14.25" customHeight="1">
      <c r="A290" s="658"/>
      <c r="B290" s="658"/>
      <c r="C290" s="658"/>
      <c r="D290" s="658"/>
      <c r="E290" s="658"/>
      <c r="F290" s="658"/>
      <c r="G290" s="658"/>
      <c r="H290" s="658"/>
      <c r="I290" s="658"/>
      <c r="J290" s="658"/>
      <c r="K290" s="658"/>
      <c r="L290" s="658"/>
      <c r="M290" s="658"/>
      <c r="N290" s="658"/>
      <c r="O290" s="658"/>
      <c r="P290" s="658"/>
      <c r="Q290" s="658"/>
      <c r="R290" s="658"/>
      <c r="S290" s="658"/>
      <c r="T290" s="658"/>
      <c r="U290" s="658"/>
      <c r="V290" s="658"/>
      <c r="W290" s="658"/>
      <c r="X290" s="658"/>
      <c r="Y290" s="658"/>
      <c r="Z290" s="658"/>
    </row>
    <row r="291" ht="14.25" customHeight="1">
      <c r="A291" s="658"/>
      <c r="B291" s="658"/>
      <c r="C291" s="658"/>
      <c r="D291" s="658"/>
      <c r="E291" s="658"/>
      <c r="F291" s="658"/>
      <c r="G291" s="658"/>
      <c r="H291" s="658"/>
      <c r="I291" s="658"/>
      <c r="J291" s="658"/>
      <c r="K291" s="658"/>
      <c r="L291" s="658"/>
      <c r="M291" s="658"/>
      <c r="N291" s="658"/>
      <c r="O291" s="658"/>
      <c r="P291" s="658"/>
      <c r="Q291" s="658"/>
      <c r="R291" s="658"/>
      <c r="S291" s="658"/>
      <c r="T291" s="658"/>
      <c r="U291" s="658"/>
      <c r="V291" s="658"/>
      <c r="W291" s="658"/>
      <c r="X291" s="658"/>
      <c r="Y291" s="658"/>
      <c r="Z291" s="658"/>
    </row>
    <row r="292" ht="14.25" customHeight="1">
      <c r="A292" s="658"/>
      <c r="B292" s="658"/>
      <c r="C292" s="658"/>
      <c r="D292" s="658"/>
      <c r="E292" s="658"/>
      <c r="F292" s="658"/>
      <c r="G292" s="658"/>
      <c r="H292" s="658"/>
      <c r="I292" s="658"/>
      <c r="J292" s="658"/>
      <c r="K292" s="658"/>
      <c r="L292" s="658"/>
      <c r="M292" s="658"/>
      <c r="N292" s="658"/>
      <c r="O292" s="658"/>
      <c r="P292" s="658"/>
      <c r="Q292" s="658"/>
      <c r="R292" s="658"/>
      <c r="S292" s="658"/>
      <c r="T292" s="658"/>
      <c r="U292" s="658"/>
      <c r="V292" s="658"/>
      <c r="W292" s="658"/>
      <c r="X292" s="658"/>
      <c r="Y292" s="658"/>
      <c r="Z292" s="658"/>
    </row>
    <row r="293" ht="14.25" customHeight="1">
      <c r="A293" s="658"/>
      <c r="B293" s="658"/>
      <c r="C293" s="658"/>
      <c r="D293" s="658"/>
      <c r="E293" s="658"/>
      <c r="F293" s="658"/>
      <c r="G293" s="658"/>
      <c r="H293" s="658"/>
      <c r="I293" s="658"/>
      <c r="J293" s="658"/>
      <c r="K293" s="658"/>
      <c r="L293" s="658"/>
      <c r="M293" s="658"/>
      <c r="N293" s="658"/>
      <c r="O293" s="658"/>
      <c r="P293" s="658"/>
      <c r="Q293" s="658"/>
      <c r="R293" s="658"/>
      <c r="S293" s="658"/>
      <c r="T293" s="658"/>
      <c r="U293" s="658"/>
      <c r="V293" s="658"/>
      <c r="W293" s="658"/>
      <c r="X293" s="658"/>
      <c r="Y293" s="658"/>
      <c r="Z293" s="658"/>
    </row>
    <row r="294" ht="14.25" customHeight="1">
      <c r="A294" s="658"/>
      <c r="B294" s="658"/>
      <c r="C294" s="658"/>
      <c r="D294" s="658"/>
      <c r="E294" s="658"/>
      <c r="F294" s="658"/>
      <c r="G294" s="658"/>
      <c r="H294" s="658"/>
      <c r="I294" s="658"/>
      <c r="J294" s="658"/>
      <c r="K294" s="658"/>
      <c r="L294" s="658"/>
      <c r="M294" s="658"/>
      <c r="N294" s="658"/>
      <c r="O294" s="658"/>
      <c r="P294" s="658"/>
      <c r="Q294" s="658"/>
      <c r="R294" s="658"/>
      <c r="S294" s="658"/>
      <c r="T294" s="658"/>
      <c r="U294" s="658"/>
      <c r="V294" s="658"/>
      <c r="W294" s="658"/>
      <c r="X294" s="658"/>
      <c r="Y294" s="658"/>
      <c r="Z294" s="658"/>
    </row>
    <row r="295" ht="14.25" customHeight="1">
      <c r="A295" s="658"/>
      <c r="B295" s="658"/>
      <c r="C295" s="658"/>
      <c r="D295" s="658"/>
      <c r="E295" s="658"/>
      <c r="F295" s="658"/>
      <c r="G295" s="658"/>
      <c r="H295" s="658"/>
      <c r="I295" s="658"/>
      <c r="J295" s="658"/>
      <c r="K295" s="658"/>
      <c r="L295" s="658"/>
      <c r="M295" s="658"/>
      <c r="N295" s="658"/>
      <c r="O295" s="658"/>
      <c r="P295" s="658"/>
      <c r="Q295" s="658"/>
      <c r="R295" s="658"/>
      <c r="S295" s="658"/>
      <c r="T295" s="658"/>
      <c r="U295" s="658"/>
      <c r="V295" s="658"/>
      <c r="W295" s="658"/>
      <c r="X295" s="658"/>
      <c r="Y295" s="658"/>
      <c r="Z295" s="658"/>
    </row>
    <row r="296" ht="14.25" customHeight="1">
      <c r="A296" s="658"/>
      <c r="B296" s="658"/>
      <c r="C296" s="658"/>
      <c r="D296" s="658"/>
      <c r="E296" s="658"/>
      <c r="F296" s="658"/>
      <c r="G296" s="658"/>
      <c r="H296" s="658"/>
      <c r="I296" s="658"/>
      <c r="J296" s="658"/>
      <c r="K296" s="658"/>
      <c r="L296" s="658"/>
      <c r="M296" s="658"/>
      <c r="N296" s="658"/>
      <c r="O296" s="658"/>
      <c r="P296" s="658"/>
      <c r="Q296" s="658"/>
      <c r="R296" s="658"/>
      <c r="S296" s="658"/>
      <c r="T296" s="658"/>
      <c r="U296" s="658"/>
      <c r="V296" s="658"/>
      <c r="W296" s="658"/>
      <c r="X296" s="658"/>
      <c r="Y296" s="658"/>
      <c r="Z296" s="658"/>
    </row>
    <row r="297" ht="14.25" customHeight="1">
      <c r="A297" s="658"/>
      <c r="B297" s="658"/>
      <c r="C297" s="658"/>
      <c r="D297" s="658"/>
      <c r="E297" s="658"/>
      <c r="F297" s="658"/>
      <c r="G297" s="658"/>
      <c r="H297" s="658"/>
      <c r="I297" s="658"/>
      <c r="J297" s="658"/>
      <c r="K297" s="658"/>
      <c r="L297" s="658"/>
      <c r="M297" s="658"/>
      <c r="N297" s="658"/>
      <c r="O297" s="658"/>
      <c r="P297" s="658"/>
      <c r="Q297" s="658"/>
      <c r="R297" s="658"/>
      <c r="S297" s="658"/>
      <c r="T297" s="658"/>
      <c r="U297" s="658"/>
      <c r="V297" s="658"/>
      <c r="W297" s="658"/>
      <c r="X297" s="658"/>
      <c r="Y297" s="658"/>
      <c r="Z297" s="658"/>
    </row>
    <row r="298" ht="14.25" customHeight="1">
      <c r="A298" s="658"/>
      <c r="B298" s="658"/>
      <c r="C298" s="658"/>
      <c r="D298" s="658"/>
      <c r="E298" s="658"/>
      <c r="F298" s="658"/>
      <c r="G298" s="658"/>
      <c r="H298" s="658"/>
      <c r="I298" s="658"/>
      <c r="J298" s="658"/>
      <c r="K298" s="658"/>
      <c r="L298" s="658"/>
      <c r="M298" s="658"/>
      <c r="N298" s="658"/>
      <c r="O298" s="658"/>
      <c r="P298" s="658"/>
      <c r="Q298" s="658"/>
      <c r="R298" s="658"/>
      <c r="S298" s="658"/>
      <c r="T298" s="658"/>
      <c r="U298" s="658"/>
      <c r="V298" s="658"/>
      <c r="W298" s="658"/>
      <c r="X298" s="658"/>
      <c r="Y298" s="658"/>
      <c r="Z298" s="658"/>
    </row>
    <row r="299" ht="14.25" customHeight="1">
      <c r="A299" s="658"/>
      <c r="B299" s="658"/>
      <c r="C299" s="658"/>
      <c r="D299" s="658"/>
      <c r="E299" s="658"/>
      <c r="F299" s="658"/>
      <c r="G299" s="658"/>
      <c r="H299" s="658"/>
      <c r="I299" s="658"/>
      <c r="J299" s="658"/>
      <c r="K299" s="658"/>
      <c r="L299" s="658"/>
      <c r="M299" s="658"/>
      <c r="N299" s="658"/>
      <c r="O299" s="658"/>
      <c r="P299" s="658"/>
      <c r="Q299" s="658"/>
      <c r="R299" s="658"/>
      <c r="S299" s="658"/>
      <c r="T299" s="658"/>
      <c r="U299" s="658"/>
      <c r="V299" s="658"/>
      <c r="W299" s="658"/>
      <c r="X299" s="658"/>
      <c r="Y299" s="658"/>
      <c r="Z299" s="658"/>
    </row>
    <row r="300" ht="14.25" customHeight="1">
      <c r="A300" s="658"/>
      <c r="B300" s="658"/>
      <c r="C300" s="658"/>
      <c r="D300" s="658"/>
      <c r="E300" s="658"/>
      <c r="F300" s="658"/>
      <c r="G300" s="658"/>
      <c r="H300" s="658"/>
      <c r="I300" s="658"/>
      <c r="J300" s="658"/>
      <c r="K300" s="658"/>
      <c r="L300" s="658"/>
      <c r="M300" s="658"/>
      <c r="N300" s="658"/>
      <c r="O300" s="658"/>
      <c r="P300" s="658"/>
      <c r="Q300" s="658"/>
      <c r="R300" s="658"/>
      <c r="S300" s="658"/>
      <c r="T300" s="658"/>
      <c r="U300" s="658"/>
      <c r="V300" s="658"/>
      <c r="W300" s="658"/>
      <c r="X300" s="658"/>
      <c r="Y300" s="658"/>
      <c r="Z300" s="658"/>
    </row>
    <row r="301" ht="14.25" customHeight="1">
      <c r="A301" s="658"/>
      <c r="B301" s="658"/>
      <c r="C301" s="658"/>
      <c r="D301" s="658"/>
      <c r="E301" s="658"/>
      <c r="F301" s="658"/>
      <c r="G301" s="658"/>
      <c r="H301" s="658"/>
      <c r="I301" s="658"/>
      <c r="J301" s="658"/>
      <c r="K301" s="658"/>
      <c r="L301" s="658"/>
      <c r="M301" s="658"/>
      <c r="N301" s="658"/>
      <c r="O301" s="658"/>
      <c r="P301" s="658"/>
      <c r="Q301" s="658"/>
      <c r="R301" s="658"/>
      <c r="S301" s="658"/>
      <c r="T301" s="658"/>
      <c r="U301" s="658"/>
      <c r="V301" s="658"/>
      <c r="W301" s="658"/>
      <c r="X301" s="658"/>
      <c r="Y301" s="658"/>
      <c r="Z301" s="658"/>
    </row>
    <row r="302" ht="14.25" customHeight="1">
      <c r="A302" s="658"/>
      <c r="B302" s="658"/>
      <c r="C302" s="658"/>
      <c r="D302" s="658"/>
      <c r="E302" s="658"/>
      <c r="F302" s="658"/>
      <c r="G302" s="658"/>
      <c r="H302" s="658"/>
      <c r="I302" s="658"/>
      <c r="J302" s="658"/>
      <c r="K302" s="658"/>
      <c r="L302" s="658"/>
      <c r="M302" s="658"/>
      <c r="N302" s="658"/>
      <c r="O302" s="658"/>
      <c r="P302" s="658"/>
      <c r="Q302" s="658"/>
      <c r="R302" s="658"/>
      <c r="S302" s="658"/>
      <c r="T302" s="658"/>
      <c r="U302" s="658"/>
      <c r="V302" s="658"/>
      <c r="W302" s="658"/>
      <c r="X302" s="658"/>
      <c r="Y302" s="658"/>
      <c r="Z302" s="658"/>
    </row>
    <row r="303" ht="14.25" customHeight="1">
      <c r="A303" s="658"/>
      <c r="B303" s="658"/>
      <c r="C303" s="658"/>
      <c r="D303" s="658"/>
      <c r="E303" s="658"/>
      <c r="F303" s="658"/>
      <c r="G303" s="658"/>
      <c r="H303" s="658"/>
      <c r="I303" s="658"/>
      <c r="J303" s="658"/>
      <c r="K303" s="658"/>
      <c r="L303" s="658"/>
      <c r="M303" s="658"/>
      <c r="N303" s="658"/>
      <c r="O303" s="658"/>
      <c r="P303" s="658"/>
      <c r="Q303" s="658"/>
      <c r="R303" s="658"/>
      <c r="S303" s="658"/>
      <c r="T303" s="658"/>
      <c r="U303" s="658"/>
      <c r="V303" s="658"/>
      <c r="W303" s="658"/>
      <c r="X303" s="658"/>
      <c r="Y303" s="658"/>
      <c r="Z303" s="658"/>
    </row>
    <row r="304" ht="14.25" customHeight="1">
      <c r="A304" s="658"/>
      <c r="B304" s="658"/>
      <c r="C304" s="658"/>
      <c r="D304" s="658"/>
      <c r="E304" s="658"/>
      <c r="F304" s="658"/>
      <c r="G304" s="658"/>
      <c r="H304" s="658"/>
      <c r="I304" s="658"/>
      <c r="J304" s="658"/>
      <c r="K304" s="658"/>
      <c r="L304" s="658"/>
      <c r="M304" s="658"/>
      <c r="N304" s="658"/>
      <c r="O304" s="658"/>
      <c r="P304" s="658"/>
      <c r="Q304" s="658"/>
      <c r="R304" s="658"/>
      <c r="S304" s="658"/>
      <c r="T304" s="658"/>
      <c r="U304" s="658"/>
      <c r="V304" s="658"/>
      <c r="W304" s="658"/>
      <c r="X304" s="658"/>
      <c r="Y304" s="658"/>
      <c r="Z304" s="658"/>
    </row>
    <row r="305" ht="14.25" customHeight="1">
      <c r="A305" s="658"/>
      <c r="B305" s="658"/>
      <c r="C305" s="658"/>
      <c r="D305" s="658"/>
      <c r="E305" s="658"/>
      <c r="F305" s="658"/>
      <c r="G305" s="658"/>
      <c r="H305" s="658"/>
      <c r="I305" s="658"/>
      <c r="J305" s="658"/>
      <c r="K305" s="658"/>
      <c r="L305" s="658"/>
      <c r="M305" s="658"/>
      <c r="N305" s="658"/>
      <c r="O305" s="658"/>
      <c r="P305" s="658"/>
      <c r="Q305" s="658"/>
      <c r="R305" s="658"/>
      <c r="S305" s="658"/>
      <c r="T305" s="658"/>
      <c r="U305" s="658"/>
      <c r="V305" s="658"/>
      <c r="W305" s="658"/>
      <c r="X305" s="658"/>
      <c r="Y305" s="658"/>
      <c r="Z305" s="658"/>
    </row>
    <row r="306" ht="14.25" customHeight="1">
      <c r="A306" s="658"/>
      <c r="B306" s="658"/>
      <c r="C306" s="658"/>
      <c r="D306" s="658"/>
      <c r="E306" s="658"/>
      <c r="F306" s="658"/>
      <c r="G306" s="658"/>
      <c r="H306" s="658"/>
      <c r="I306" s="658"/>
      <c r="J306" s="658"/>
      <c r="K306" s="658"/>
      <c r="L306" s="658"/>
      <c r="M306" s="658"/>
      <c r="N306" s="658"/>
      <c r="O306" s="658"/>
      <c r="P306" s="658"/>
      <c r="Q306" s="658"/>
      <c r="R306" s="658"/>
      <c r="S306" s="658"/>
      <c r="T306" s="658"/>
      <c r="U306" s="658"/>
      <c r="V306" s="658"/>
      <c r="W306" s="658"/>
      <c r="X306" s="658"/>
      <c r="Y306" s="658"/>
      <c r="Z306" s="658"/>
    </row>
    <row r="307" ht="14.25" customHeight="1">
      <c r="A307" s="658"/>
      <c r="B307" s="658"/>
      <c r="C307" s="658"/>
      <c r="D307" s="658"/>
      <c r="E307" s="658"/>
      <c r="F307" s="658"/>
      <c r="G307" s="658"/>
      <c r="H307" s="658"/>
      <c r="I307" s="658"/>
      <c r="J307" s="658"/>
      <c r="K307" s="658"/>
      <c r="L307" s="658"/>
      <c r="M307" s="658"/>
      <c r="N307" s="658"/>
      <c r="O307" s="658"/>
      <c r="P307" s="658"/>
      <c r="Q307" s="658"/>
      <c r="R307" s="658"/>
      <c r="S307" s="658"/>
      <c r="T307" s="658"/>
      <c r="U307" s="658"/>
      <c r="V307" s="658"/>
      <c r="W307" s="658"/>
      <c r="X307" s="658"/>
      <c r="Y307" s="658"/>
      <c r="Z307" s="658"/>
    </row>
    <row r="308" ht="14.25" customHeight="1">
      <c r="A308" s="658"/>
      <c r="B308" s="658"/>
      <c r="C308" s="658"/>
      <c r="D308" s="658"/>
      <c r="E308" s="658"/>
      <c r="F308" s="658"/>
      <c r="G308" s="658"/>
      <c r="H308" s="658"/>
      <c r="I308" s="658"/>
      <c r="J308" s="658"/>
      <c r="K308" s="658"/>
      <c r="L308" s="658"/>
      <c r="M308" s="658"/>
      <c r="N308" s="658"/>
      <c r="O308" s="658"/>
      <c r="P308" s="658"/>
      <c r="Q308" s="658"/>
      <c r="R308" s="658"/>
      <c r="S308" s="658"/>
      <c r="T308" s="658"/>
      <c r="U308" s="658"/>
      <c r="V308" s="658"/>
      <c r="W308" s="658"/>
      <c r="X308" s="658"/>
      <c r="Y308" s="658"/>
      <c r="Z308" s="658"/>
    </row>
    <row r="309" ht="14.25" customHeight="1">
      <c r="A309" s="658"/>
      <c r="B309" s="658"/>
      <c r="C309" s="658"/>
      <c r="D309" s="658"/>
      <c r="E309" s="658"/>
      <c r="F309" s="658"/>
      <c r="G309" s="658"/>
      <c r="H309" s="658"/>
      <c r="I309" s="658"/>
      <c r="J309" s="658"/>
      <c r="K309" s="658"/>
      <c r="L309" s="658"/>
      <c r="M309" s="658"/>
      <c r="N309" s="658"/>
      <c r="O309" s="658"/>
      <c r="P309" s="658"/>
      <c r="Q309" s="658"/>
      <c r="R309" s="658"/>
      <c r="S309" s="658"/>
      <c r="T309" s="658"/>
      <c r="U309" s="658"/>
      <c r="V309" s="658"/>
      <c r="W309" s="658"/>
      <c r="X309" s="658"/>
      <c r="Y309" s="658"/>
      <c r="Z309" s="658"/>
    </row>
    <row r="310" ht="14.25" customHeight="1">
      <c r="A310" s="658"/>
      <c r="B310" s="658"/>
      <c r="C310" s="658"/>
      <c r="D310" s="658"/>
      <c r="E310" s="658"/>
      <c r="F310" s="658"/>
      <c r="G310" s="658"/>
      <c r="H310" s="658"/>
      <c r="I310" s="658"/>
      <c r="J310" s="658"/>
      <c r="K310" s="658"/>
      <c r="L310" s="658"/>
      <c r="M310" s="658"/>
      <c r="N310" s="658"/>
      <c r="O310" s="658"/>
      <c r="P310" s="658"/>
      <c r="Q310" s="658"/>
      <c r="R310" s="658"/>
      <c r="S310" s="658"/>
      <c r="T310" s="658"/>
      <c r="U310" s="658"/>
      <c r="V310" s="658"/>
      <c r="W310" s="658"/>
      <c r="X310" s="658"/>
      <c r="Y310" s="658"/>
      <c r="Z310" s="658"/>
    </row>
    <row r="311" ht="14.25" customHeight="1">
      <c r="A311" s="658"/>
      <c r="B311" s="658"/>
      <c r="C311" s="658"/>
      <c r="D311" s="658"/>
      <c r="E311" s="658"/>
      <c r="F311" s="658"/>
      <c r="G311" s="658"/>
      <c r="H311" s="658"/>
      <c r="I311" s="658"/>
      <c r="J311" s="658"/>
      <c r="K311" s="658"/>
      <c r="L311" s="658"/>
      <c r="M311" s="658"/>
      <c r="N311" s="658"/>
      <c r="O311" s="658"/>
      <c r="P311" s="658"/>
      <c r="Q311" s="658"/>
      <c r="R311" s="658"/>
      <c r="S311" s="658"/>
      <c r="T311" s="658"/>
      <c r="U311" s="658"/>
      <c r="V311" s="658"/>
      <c r="W311" s="658"/>
      <c r="X311" s="658"/>
      <c r="Y311" s="658"/>
      <c r="Z311" s="658"/>
    </row>
    <row r="312" ht="14.25" customHeight="1">
      <c r="A312" s="658"/>
      <c r="B312" s="658"/>
      <c r="C312" s="658"/>
      <c r="D312" s="658"/>
      <c r="E312" s="658"/>
      <c r="F312" s="658"/>
      <c r="G312" s="658"/>
      <c r="H312" s="658"/>
      <c r="I312" s="658"/>
      <c r="J312" s="658"/>
      <c r="K312" s="658"/>
      <c r="L312" s="658"/>
      <c r="M312" s="658"/>
      <c r="N312" s="658"/>
      <c r="O312" s="658"/>
      <c r="P312" s="658"/>
      <c r="Q312" s="658"/>
      <c r="R312" s="658"/>
      <c r="S312" s="658"/>
      <c r="T312" s="658"/>
      <c r="U312" s="658"/>
      <c r="V312" s="658"/>
      <c r="W312" s="658"/>
      <c r="X312" s="658"/>
      <c r="Y312" s="658"/>
      <c r="Z312" s="658"/>
    </row>
    <row r="313" ht="14.25" customHeight="1">
      <c r="A313" s="658"/>
      <c r="B313" s="658"/>
      <c r="C313" s="658"/>
      <c r="D313" s="658"/>
      <c r="E313" s="658"/>
      <c r="F313" s="658"/>
      <c r="G313" s="658"/>
      <c r="H313" s="658"/>
      <c r="I313" s="658"/>
      <c r="J313" s="658"/>
      <c r="K313" s="658"/>
      <c r="L313" s="658"/>
      <c r="M313" s="658"/>
      <c r="N313" s="658"/>
      <c r="O313" s="658"/>
      <c r="P313" s="658"/>
      <c r="Q313" s="658"/>
      <c r="R313" s="658"/>
      <c r="S313" s="658"/>
      <c r="T313" s="658"/>
      <c r="U313" s="658"/>
      <c r="V313" s="658"/>
      <c r="W313" s="658"/>
      <c r="X313" s="658"/>
      <c r="Y313" s="658"/>
      <c r="Z313" s="658"/>
    </row>
    <row r="314" ht="14.25" customHeight="1">
      <c r="A314" s="658"/>
      <c r="B314" s="658"/>
      <c r="C314" s="658"/>
      <c r="D314" s="658"/>
      <c r="E314" s="658"/>
      <c r="F314" s="658"/>
      <c r="G314" s="658"/>
      <c r="H314" s="658"/>
      <c r="I314" s="658"/>
      <c r="J314" s="658"/>
      <c r="K314" s="658"/>
      <c r="L314" s="658"/>
      <c r="M314" s="658"/>
      <c r="N314" s="658"/>
      <c r="O314" s="658"/>
      <c r="P314" s="658"/>
      <c r="Q314" s="658"/>
      <c r="R314" s="658"/>
      <c r="S314" s="658"/>
      <c r="T314" s="658"/>
      <c r="U314" s="658"/>
      <c r="V314" s="658"/>
      <c r="W314" s="658"/>
      <c r="X314" s="658"/>
      <c r="Y314" s="658"/>
      <c r="Z314" s="658"/>
    </row>
    <row r="315" ht="14.25" customHeight="1">
      <c r="A315" s="658"/>
      <c r="B315" s="658"/>
      <c r="C315" s="658"/>
      <c r="D315" s="658"/>
      <c r="E315" s="658"/>
      <c r="F315" s="658"/>
      <c r="G315" s="658"/>
      <c r="H315" s="658"/>
      <c r="I315" s="658"/>
      <c r="J315" s="658"/>
      <c r="K315" s="658"/>
      <c r="L315" s="658"/>
      <c r="M315" s="658"/>
      <c r="N315" s="658"/>
      <c r="O315" s="658"/>
      <c r="P315" s="658"/>
      <c r="Q315" s="658"/>
      <c r="R315" s="658"/>
      <c r="S315" s="658"/>
      <c r="T315" s="658"/>
      <c r="U315" s="658"/>
      <c r="V315" s="658"/>
      <c r="W315" s="658"/>
      <c r="X315" s="658"/>
      <c r="Y315" s="658"/>
      <c r="Z315" s="658"/>
    </row>
    <row r="316" ht="14.25" customHeight="1">
      <c r="A316" s="658"/>
      <c r="B316" s="658"/>
      <c r="C316" s="658"/>
      <c r="D316" s="658"/>
      <c r="E316" s="658"/>
      <c r="F316" s="658"/>
      <c r="G316" s="658"/>
      <c r="H316" s="658"/>
      <c r="I316" s="658"/>
      <c r="J316" s="658"/>
      <c r="K316" s="658"/>
      <c r="L316" s="658"/>
      <c r="M316" s="658"/>
      <c r="N316" s="658"/>
      <c r="O316" s="658"/>
      <c r="P316" s="658"/>
      <c r="Q316" s="658"/>
      <c r="R316" s="658"/>
      <c r="S316" s="658"/>
      <c r="T316" s="658"/>
      <c r="U316" s="658"/>
      <c r="V316" s="658"/>
      <c r="W316" s="658"/>
      <c r="X316" s="658"/>
      <c r="Y316" s="658"/>
      <c r="Z316" s="658"/>
    </row>
    <row r="317" ht="14.25" customHeight="1">
      <c r="A317" s="658"/>
      <c r="B317" s="658"/>
      <c r="C317" s="658"/>
      <c r="D317" s="658"/>
      <c r="E317" s="658"/>
      <c r="F317" s="658"/>
      <c r="G317" s="658"/>
      <c r="H317" s="658"/>
      <c r="I317" s="658"/>
      <c r="J317" s="658"/>
      <c r="K317" s="658"/>
      <c r="L317" s="658"/>
      <c r="M317" s="658"/>
      <c r="N317" s="658"/>
      <c r="O317" s="658"/>
      <c r="P317" s="658"/>
      <c r="Q317" s="658"/>
      <c r="R317" s="658"/>
      <c r="S317" s="658"/>
      <c r="T317" s="658"/>
      <c r="U317" s="658"/>
      <c r="V317" s="658"/>
      <c r="W317" s="658"/>
      <c r="X317" s="658"/>
      <c r="Y317" s="658"/>
      <c r="Z317" s="658"/>
    </row>
    <row r="318" ht="14.25" customHeight="1">
      <c r="A318" s="658"/>
      <c r="B318" s="658"/>
      <c r="C318" s="658"/>
      <c r="D318" s="658"/>
      <c r="E318" s="658"/>
      <c r="F318" s="658"/>
      <c r="G318" s="658"/>
      <c r="H318" s="658"/>
      <c r="I318" s="658"/>
      <c r="J318" s="658"/>
      <c r="K318" s="658"/>
      <c r="L318" s="658"/>
      <c r="M318" s="658"/>
      <c r="N318" s="658"/>
      <c r="O318" s="658"/>
      <c r="P318" s="658"/>
      <c r="Q318" s="658"/>
      <c r="R318" s="658"/>
      <c r="S318" s="658"/>
      <c r="T318" s="658"/>
      <c r="U318" s="658"/>
      <c r="V318" s="658"/>
      <c r="W318" s="658"/>
      <c r="X318" s="658"/>
      <c r="Y318" s="658"/>
      <c r="Z318" s="658"/>
    </row>
    <row r="319" ht="14.25" customHeight="1">
      <c r="A319" s="658"/>
      <c r="B319" s="658"/>
      <c r="C319" s="658"/>
      <c r="D319" s="658"/>
      <c r="E319" s="658"/>
      <c r="F319" s="658"/>
      <c r="G319" s="658"/>
      <c r="H319" s="658"/>
      <c r="I319" s="658"/>
      <c r="J319" s="658"/>
      <c r="K319" s="658"/>
      <c r="L319" s="658"/>
      <c r="M319" s="658"/>
      <c r="N319" s="658"/>
      <c r="O319" s="658"/>
      <c r="P319" s="658"/>
      <c r="Q319" s="658"/>
      <c r="R319" s="658"/>
      <c r="S319" s="658"/>
      <c r="T319" s="658"/>
      <c r="U319" s="658"/>
      <c r="V319" s="658"/>
      <c r="W319" s="658"/>
      <c r="X319" s="658"/>
      <c r="Y319" s="658"/>
      <c r="Z319" s="658"/>
    </row>
    <row r="320" ht="14.25" customHeight="1">
      <c r="A320" s="658"/>
      <c r="B320" s="658"/>
      <c r="C320" s="658"/>
      <c r="D320" s="658"/>
      <c r="E320" s="658"/>
      <c r="F320" s="658"/>
      <c r="G320" s="658"/>
      <c r="H320" s="658"/>
      <c r="I320" s="658"/>
      <c r="J320" s="658"/>
      <c r="K320" s="658"/>
      <c r="L320" s="658"/>
      <c r="M320" s="658"/>
      <c r="N320" s="658"/>
      <c r="O320" s="658"/>
      <c r="P320" s="658"/>
      <c r="Q320" s="658"/>
      <c r="R320" s="658"/>
      <c r="S320" s="658"/>
      <c r="T320" s="658"/>
      <c r="U320" s="658"/>
      <c r="V320" s="658"/>
      <c r="W320" s="658"/>
      <c r="X320" s="658"/>
      <c r="Y320" s="658"/>
      <c r="Z320" s="658"/>
    </row>
    <row r="321" ht="14.25" customHeight="1">
      <c r="A321" s="658"/>
      <c r="B321" s="658"/>
      <c r="C321" s="658"/>
      <c r="D321" s="658"/>
      <c r="E321" s="658"/>
      <c r="F321" s="658"/>
      <c r="G321" s="658"/>
      <c r="H321" s="658"/>
      <c r="I321" s="658"/>
      <c r="J321" s="658"/>
      <c r="K321" s="658"/>
      <c r="L321" s="658"/>
      <c r="M321" s="658"/>
      <c r="N321" s="658"/>
      <c r="O321" s="658"/>
      <c r="P321" s="658"/>
      <c r="Q321" s="658"/>
      <c r="R321" s="658"/>
      <c r="S321" s="658"/>
      <c r="T321" s="658"/>
      <c r="U321" s="658"/>
      <c r="V321" s="658"/>
      <c r="W321" s="658"/>
      <c r="X321" s="658"/>
      <c r="Y321" s="658"/>
      <c r="Z321" s="658"/>
    </row>
    <row r="322" ht="14.25" customHeight="1">
      <c r="A322" s="658"/>
      <c r="B322" s="658"/>
      <c r="C322" s="658"/>
      <c r="D322" s="658"/>
      <c r="E322" s="658"/>
      <c r="F322" s="658"/>
      <c r="G322" s="658"/>
      <c r="H322" s="658"/>
      <c r="I322" s="658"/>
      <c r="J322" s="658"/>
      <c r="K322" s="658"/>
      <c r="L322" s="658"/>
      <c r="M322" s="658"/>
      <c r="N322" s="658"/>
      <c r="O322" s="658"/>
      <c r="P322" s="658"/>
      <c r="Q322" s="658"/>
      <c r="R322" s="658"/>
      <c r="S322" s="658"/>
      <c r="T322" s="658"/>
      <c r="U322" s="658"/>
      <c r="V322" s="658"/>
      <c r="W322" s="658"/>
      <c r="X322" s="658"/>
      <c r="Y322" s="658"/>
      <c r="Z322" s="658"/>
    </row>
    <row r="323" ht="14.25" customHeight="1">
      <c r="A323" s="658"/>
      <c r="B323" s="658"/>
      <c r="C323" s="658"/>
      <c r="D323" s="658"/>
      <c r="E323" s="658"/>
      <c r="F323" s="658"/>
      <c r="G323" s="658"/>
      <c r="H323" s="658"/>
      <c r="I323" s="658"/>
      <c r="J323" s="658"/>
      <c r="K323" s="658"/>
      <c r="L323" s="658"/>
      <c r="M323" s="658"/>
      <c r="N323" s="658"/>
      <c r="O323" s="658"/>
      <c r="P323" s="658"/>
      <c r="Q323" s="658"/>
      <c r="R323" s="658"/>
      <c r="S323" s="658"/>
      <c r="T323" s="658"/>
      <c r="U323" s="658"/>
      <c r="V323" s="658"/>
      <c r="W323" s="658"/>
      <c r="X323" s="658"/>
      <c r="Y323" s="658"/>
      <c r="Z323" s="658"/>
    </row>
    <row r="324" ht="14.25" customHeight="1">
      <c r="A324" s="658"/>
      <c r="B324" s="658"/>
      <c r="C324" s="658"/>
      <c r="D324" s="658"/>
      <c r="E324" s="658"/>
      <c r="F324" s="658"/>
      <c r="G324" s="658"/>
      <c r="H324" s="658"/>
      <c r="I324" s="658"/>
      <c r="J324" s="658"/>
      <c r="K324" s="658"/>
      <c r="L324" s="658"/>
      <c r="M324" s="658"/>
      <c r="N324" s="658"/>
      <c r="O324" s="658"/>
      <c r="P324" s="658"/>
      <c r="Q324" s="658"/>
      <c r="R324" s="658"/>
      <c r="S324" s="658"/>
      <c r="T324" s="658"/>
      <c r="U324" s="658"/>
      <c r="V324" s="658"/>
      <c r="W324" s="658"/>
      <c r="X324" s="658"/>
      <c r="Y324" s="658"/>
      <c r="Z324" s="658"/>
    </row>
    <row r="325" ht="14.25" customHeight="1">
      <c r="A325" s="658"/>
      <c r="B325" s="658"/>
      <c r="C325" s="658"/>
      <c r="D325" s="658"/>
      <c r="E325" s="658"/>
      <c r="F325" s="658"/>
      <c r="G325" s="658"/>
      <c r="H325" s="658"/>
      <c r="I325" s="658"/>
      <c r="J325" s="658"/>
      <c r="K325" s="658"/>
      <c r="L325" s="658"/>
      <c r="M325" s="658"/>
      <c r="N325" s="658"/>
      <c r="O325" s="658"/>
      <c r="P325" s="658"/>
      <c r="Q325" s="658"/>
      <c r="R325" s="658"/>
      <c r="S325" s="658"/>
      <c r="T325" s="658"/>
      <c r="U325" s="658"/>
      <c r="V325" s="658"/>
      <c r="W325" s="658"/>
      <c r="X325" s="658"/>
      <c r="Y325" s="658"/>
      <c r="Z325" s="658"/>
    </row>
    <row r="326" ht="14.25" customHeight="1">
      <c r="A326" s="658"/>
      <c r="B326" s="658"/>
      <c r="C326" s="658"/>
      <c r="D326" s="658"/>
      <c r="E326" s="658"/>
      <c r="F326" s="658"/>
      <c r="G326" s="658"/>
      <c r="H326" s="658"/>
      <c r="I326" s="658"/>
      <c r="J326" s="658"/>
      <c r="K326" s="658"/>
      <c r="L326" s="658"/>
      <c r="M326" s="658"/>
      <c r="N326" s="658"/>
      <c r="O326" s="658"/>
      <c r="P326" s="658"/>
      <c r="Q326" s="658"/>
      <c r="R326" s="658"/>
      <c r="S326" s="658"/>
      <c r="T326" s="658"/>
      <c r="U326" s="658"/>
      <c r="V326" s="658"/>
      <c r="W326" s="658"/>
      <c r="X326" s="658"/>
      <c r="Y326" s="658"/>
      <c r="Z326" s="658"/>
    </row>
    <row r="327" ht="14.25" customHeight="1">
      <c r="A327" s="658"/>
      <c r="B327" s="658"/>
      <c r="C327" s="658"/>
      <c r="D327" s="658"/>
      <c r="E327" s="658"/>
      <c r="F327" s="658"/>
      <c r="G327" s="658"/>
      <c r="H327" s="658"/>
      <c r="I327" s="658"/>
      <c r="J327" s="658"/>
      <c r="K327" s="658"/>
      <c r="L327" s="658"/>
      <c r="M327" s="658"/>
      <c r="N327" s="658"/>
      <c r="O327" s="658"/>
      <c r="P327" s="658"/>
      <c r="Q327" s="658"/>
      <c r="R327" s="658"/>
      <c r="S327" s="658"/>
      <c r="T327" s="658"/>
      <c r="U327" s="658"/>
      <c r="V327" s="658"/>
      <c r="W327" s="658"/>
      <c r="X327" s="658"/>
      <c r="Y327" s="658"/>
      <c r="Z327" s="658"/>
    </row>
    <row r="328" ht="14.25" customHeight="1">
      <c r="A328" s="658"/>
      <c r="B328" s="658"/>
      <c r="C328" s="658"/>
      <c r="D328" s="658"/>
      <c r="E328" s="658"/>
      <c r="F328" s="658"/>
      <c r="G328" s="658"/>
      <c r="H328" s="658"/>
      <c r="I328" s="658"/>
      <c r="J328" s="658"/>
      <c r="K328" s="658"/>
      <c r="L328" s="658"/>
      <c r="M328" s="658"/>
      <c r="N328" s="658"/>
      <c r="O328" s="658"/>
      <c r="P328" s="658"/>
      <c r="Q328" s="658"/>
      <c r="R328" s="658"/>
      <c r="S328" s="658"/>
      <c r="T328" s="658"/>
      <c r="U328" s="658"/>
      <c r="V328" s="658"/>
      <c r="W328" s="658"/>
      <c r="X328" s="658"/>
      <c r="Y328" s="658"/>
      <c r="Z328" s="658"/>
    </row>
    <row r="329" ht="14.25" customHeight="1">
      <c r="A329" s="658"/>
      <c r="B329" s="658"/>
      <c r="C329" s="658"/>
      <c r="D329" s="658"/>
      <c r="E329" s="658"/>
      <c r="F329" s="658"/>
      <c r="G329" s="658"/>
      <c r="H329" s="658"/>
      <c r="I329" s="658"/>
      <c r="J329" s="658"/>
      <c r="K329" s="658"/>
      <c r="L329" s="658"/>
      <c r="M329" s="658"/>
      <c r="N329" s="658"/>
      <c r="O329" s="658"/>
      <c r="P329" s="658"/>
      <c r="Q329" s="658"/>
      <c r="R329" s="658"/>
      <c r="S329" s="658"/>
      <c r="T329" s="658"/>
      <c r="U329" s="658"/>
      <c r="V329" s="658"/>
      <c r="W329" s="658"/>
      <c r="X329" s="658"/>
      <c r="Y329" s="658"/>
      <c r="Z329" s="658"/>
    </row>
    <row r="330" ht="14.25" customHeight="1">
      <c r="A330" s="658"/>
      <c r="B330" s="658"/>
      <c r="C330" s="658"/>
      <c r="D330" s="658"/>
      <c r="E330" s="658"/>
      <c r="F330" s="658"/>
      <c r="G330" s="658"/>
      <c r="H330" s="658"/>
      <c r="I330" s="658"/>
      <c r="J330" s="658"/>
      <c r="K330" s="658"/>
      <c r="L330" s="658"/>
      <c r="M330" s="658"/>
      <c r="N330" s="658"/>
      <c r="O330" s="658"/>
      <c r="P330" s="658"/>
      <c r="Q330" s="658"/>
      <c r="R330" s="658"/>
      <c r="S330" s="658"/>
      <c r="T330" s="658"/>
      <c r="U330" s="658"/>
      <c r="V330" s="658"/>
      <c r="W330" s="658"/>
      <c r="X330" s="658"/>
      <c r="Y330" s="658"/>
      <c r="Z330" s="658"/>
    </row>
    <row r="331" ht="14.25" customHeight="1">
      <c r="A331" s="658"/>
      <c r="B331" s="658"/>
      <c r="C331" s="658"/>
      <c r="D331" s="658"/>
      <c r="E331" s="658"/>
      <c r="F331" s="658"/>
      <c r="G331" s="658"/>
      <c r="H331" s="658"/>
      <c r="I331" s="658"/>
      <c r="J331" s="658"/>
      <c r="K331" s="658"/>
      <c r="L331" s="658"/>
      <c r="M331" s="658"/>
      <c r="N331" s="658"/>
      <c r="O331" s="658"/>
      <c r="P331" s="658"/>
      <c r="Q331" s="658"/>
      <c r="R331" s="658"/>
      <c r="S331" s="658"/>
      <c r="T331" s="658"/>
      <c r="U331" s="658"/>
      <c r="V331" s="658"/>
      <c r="W331" s="658"/>
      <c r="X331" s="658"/>
      <c r="Y331" s="658"/>
      <c r="Z331" s="658"/>
    </row>
    <row r="332" ht="14.25" customHeight="1">
      <c r="A332" s="658"/>
      <c r="B332" s="658"/>
      <c r="C332" s="658"/>
      <c r="D332" s="658"/>
      <c r="E332" s="658"/>
      <c r="F332" s="658"/>
      <c r="G332" s="658"/>
      <c r="H332" s="658"/>
      <c r="I332" s="658"/>
      <c r="J332" s="658"/>
      <c r="K332" s="658"/>
      <c r="L332" s="658"/>
      <c r="M332" s="658"/>
      <c r="N332" s="658"/>
      <c r="O332" s="658"/>
      <c r="P332" s="658"/>
      <c r="Q332" s="658"/>
      <c r="R332" s="658"/>
      <c r="S332" s="658"/>
      <c r="T332" s="658"/>
      <c r="U332" s="658"/>
      <c r="V332" s="658"/>
      <c r="W332" s="658"/>
      <c r="X332" s="658"/>
      <c r="Y332" s="658"/>
      <c r="Z332" s="658"/>
    </row>
    <row r="333" ht="14.25" customHeight="1">
      <c r="A333" s="658"/>
      <c r="B333" s="658"/>
      <c r="C333" s="658"/>
      <c r="D333" s="658"/>
      <c r="E333" s="658"/>
      <c r="F333" s="658"/>
      <c r="G333" s="658"/>
      <c r="H333" s="658"/>
      <c r="I333" s="658"/>
      <c r="J333" s="658"/>
      <c r="K333" s="658"/>
      <c r="L333" s="658"/>
      <c r="M333" s="658"/>
      <c r="N333" s="658"/>
      <c r="O333" s="658"/>
      <c r="P333" s="658"/>
      <c r="Q333" s="658"/>
      <c r="R333" s="658"/>
      <c r="S333" s="658"/>
      <c r="T333" s="658"/>
      <c r="U333" s="658"/>
      <c r="V333" s="658"/>
      <c r="W333" s="658"/>
      <c r="X333" s="658"/>
      <c r="Y333" s="658"/>
      <c r="Z333" s="658"/>
    </row>
    <row r="334" ht="14.25" customHeight="1">
      <c r="A334" s="658"/>
      <c r="B334" s="658"/>
      <c r="C334" s="658"/>
      <c r="D334" s="658"/>
      <c r="E334" s="658"/>
      <c r="F334" s="658"/>
      <c r="G334" s="658"/>
      <c r="H334" s="658"/>
      <c r="I334" s="658"/>
      <c r="J334" s="658"/>
      <c r="K334" s="658"/>
      <c r="L334" s="658"/>
      <c r="M334" s="658"/>
      <c r="N334" s="658"/>
      <c r="O334" s="658"/>
      <c r="P334" s="658"/>
      <c r="Q334" s="658"/>
      <c r="R334" s="658"/>
      <c r="S334" s="658"/>
      <c r="T334" s="658"/>
      <c r="U334" s="658"/>
      <c r="V334" s="658"/>
      <c r="W334" s="658"/>
      <c r="X334" s="658"/>
      <c r="Y334" s="658"/>
      <c r="Z334" s="658"/>
    </row>
    <row r="335" ht="14.25" customHeight="1">
      <c r="A335" s="658"/>
      <c r="B335" s="658"/>
      <c r="C335" s="658"/>
      <c r="D335" s="658"/>
      <c r="E335" s="658"/>
      <c r="F335" s="658"/>
      <c r="G335" s="658"/>
      <c r="H335" s="658"/>
      <c r="I335" s="658"/>
      <c r="J335" s="658"/>
      <c r="K335" s="658"/>
      <c r="L335" s="658"/>
      <c r="M335" s="658"/>
      <c r="N335" s="658"/>
      <c r="O335" s="658"/>
      <c r="P335" s="658"/>
      <c r="Q335" s="658"/>
      <c r="R335" s="658"/>
      <c r="S335" s="658"/>
      <c r="T335" s="658"/>
      <c r="U335" s="658"/>
      <c r="V335" s="658"/>
      <c r="W335" s="658"/>
      <c r="X335" s="658"/>
      <c r="Y335" s="658"/>
      <c r="Z335" s="658"/>
    </row>
    <row r="336" ht="14.25" customHeight="1">
      <c r="A336" s="658"/>
      <c r="B336" s="658"/>
      <c r="C336" s="658"/>
      <c r="D336" s="658"/>
      <c r="E336" s="658"/>
      <c r="F336" s="658"/>
      <c r="G336" s="658"/>
      <c r="H336" s="658"/>
      <c r="I336" s="658"/>
      <c r="J336" s="658"/>
      <c r="K336" s="658"/>
      <c r="L336" s="658"/>
      <c r="M336" s="658"/>
      <c r="N336" s="658"/>
      <c r="O336" s="658"/>
      <c r="P336" s="658"/>
      <c r="Q336" s="658"/>
      <c r="R336" s="658"/>
      <c r="S336" s="658"/>
      <c r="T336" s="658"/>
      <c r="U336" s="658"/>
      <c r="V336" s="658"/>
      <c r="W336" s="658"/>
      <c r="X336" s="658"/>
      <c r="Y336" s="658"/>
      <c r="Z336" s="658"/>
    </row>
    <row r="337" ht="14.25" customHeight="1">
      <c r="A337" s="658"/>
      <c r="B337" s="658"/>
      <c r="C337" s="658"/>
      <c r="D337" s="658"/>
      <c r="E337" s="658"/>
      <c r="F337" s="658"/>
      <c r="G337" s="658"/>
      <c r="H337" s="658"/>
      <c r="I337" s="658"/>
      <c r="J337" s="658"/>
      <c r="K337" s="658"/>
      <c r="L337" s="658"/>
      <c r="M337" s="658"/>
      <c r="N337" s="658"/>
      <c r="O337" s="658"/>
      <c r="P337" s="658"/>
      <c r="Q337" s="658"/>
      <c r="R337" s="658"/>
      <c r="S337" s="658"/>
      <c r="T337" s="658"/>
      <c r="U337" s="658"/>
      <c r="V337" s="658"/>
      <c r="W337" s="658"/>
      <c r="X337" s="658"/>
      <c r="Y337" s="658"/>
      <c r="Z337" s="658"/>
    </row>
    <row r="338" ht="14.25" customHeight="1">
      <c r="A338" s="658"/>
      <c r="B338" s="658"/>
      <c r="C338" s="658"/>
      <c r="D338" s="658"/>
      <c r="E338" s="658"/>
      <c r="F338" s="658"/>
      <c r="G338" s="658"/>
      <c r="H338" s="658"/>
      <c r="I338" s="658"/>
      <c r="J338" s="658"/>
      <c r="K338" s="658"/>
      <c r="L338" s="658"/>
      <c r="M338" s="658"/>
      <c r="N338" s="658"/>
      <c r="O338" s="658"/>
      <c r="P338" s="658"/>
      <c r="Q338" s="658"/>
      <c r="R338" s="658"/>
      <c r="S338" s="658"/>
      <c r="T338" s="658"/>
      <c r="U338" s="658"/>
      <c r="V338" s="658"/>
      <c r="W338" s="658"/>
      <c r="X338" s="658"/>
      <c r="Y338" s="658"/>
      <c r="Z338" s="658"/>
    </row>
    <row r="339" ht="14.25" customHeight="1">
      <c r="A339" s="658"/>
      <c r="B339" s="658"/>
      <c r="C339" s="658"/>
      <c r="D339" s="658"/>
      <c r="E339" s="658"/>
      <c r="F339" s="658"/>
      <c r="G339" s="658"/>
      <c r="H339" s="658"/>
      <c r="I339" s="658"/>
      <c r="J339" s="658"/>
      <c r="K339" s="658"/>
      <c r="L339" s="658"/>
      <c r="M339" s="658"/>
      <c r="N339" s="658"/>
      <c r="O339" s="658"/>
      <c r="P339" s="658"/>
      <c r="Q339" s="658"/>
      <c r="R339" s="658"/>
      <c r="S339" s="658"/>
      <c r="T339" s="658"/>
      <c r="U339" s="658"/>
      <c r="V339" s="658"/>
      <c r="W339" s="658"/>
      <c r="X339" s="658"/>
      <c r="Y339" s="658"/>
      <c r="Z339" s="658"/>
    </row>
    <row r="340" ht="14.25" customHeight="1">
      <c r="A340" s="658"/>
      <c r="B340" s="658"/>
      <c r="C340" s="658"/>
      <c r="D340" s="658"/>
      <c r="E340" s="658"/>
      <c r="F340" s="658"/>
      <c r="G340" s="658"/>
      <c r="H340" s="658"/>
      <c r="I340" s="658"/>
      <c r="J340" s="658"/>
      <c r="K340" s="658"/>
      <c r="L340" s="658"/>
      <c r="M340" s="658"/>
      <c r="N340" s="658"/>
      <c r="O340" s="658"/>
      <c r="P340" s="658"/>
      <c r="Q340" s="658"/>
      <c r="R340" s="658"/>
      <c r="S340" s="658"/>
      <c r="T340" s="658"/>
      <c r="U340" s="658"/>
      <c r="V340" s="658"/>
      <c r="W340" s="658"/>
      <c r="X340" s="658"/>
      <c r="Y340" s="658"/>
      <c r="Z340" s="658"/>
    </row>
    <row r="341" ht="14.25" customHeight="1">
      <c r="A341" s="658"/>
      <c r="B341" s="658"/>
      <c r="C341" s="658"/>
      <c r="D341" s="658"/>
      <c r="E341" s="658"/>
      <c r="F341" s="658"/>
      <c r="G341" s="658"/>
      <c r="H341" s="658"/>
      <c r="I341" s="658"/>
      <c r="J341" s="658"/>
      <c r="K341" s="658"/>
      <c r="L341" s="658"/>
      <c r="M341" s="658"/>
      <c r="N341" s="658"/>
      <c r="O341" s="658"/>
      <c r="P341" s="658"/>
      <c r="Q341" s="658"/>
      <c r="R341" s="658"/>
      <c r="S341" s="658"/>
      <c r="T341" s="658"/>
      <c r="U341" s="658"/>
      <c r="V341" s="658"/>
      <c r="W341" s="658"/>
      <c r="X341" s="658"/>
      <c r="Y341" s="658"/>
      <c r="Z341" s="658"/>
    </row>
    <row r="342" ht="14.25" customHeight="1">
      <c r="A342" s="658"/>
      <c r="B342" s="658"/>
      <c r="C342" s="658"/>
      <c r="D342" s="658"/>
      <c r="E342" s="658"/>
      <c r="F342" s="658"/>
      <c r="G342" s="658"/>
      <c r="H342" s="658"/>
      <c r="I342" s="658"/>
      <c r="J342" s="658"/>
      <c r="K342" s="658"/>
      <c r="L342" s="658"/>
      <c r="M342" s="658"/>
      <c r="N342" s="658"/>
      <c r="O342" s="658"/>
      <c r="P342" s="658"/>
      <c r="Q342" s="658"/>
      <c r="R342" s="658"/>
      <c r="S342" s="658"/>
      <c r="T342" s="658"/>
      <c r="U342" s="658"/>
      <c r="V342" s="658"/>
      <c r="W342" s="658"/>
      <c r="X342" s="658"/>
      <c r="Y342" s="658"/>
      <c r="Z342" s="658"/>
    </row>
    <row r="343" ht="14.25" customHeight="1">
      <c r="A343" s="658"/>
      <c r="B343" s="658"/>
      <c r="C343" s="658"/>
      <c r="D343" s="658"/>
      <c r="E343" s="658"/>
      <c r="F343" s="658"/>
      <c r="G343" s="658"/>
      <c r="H343" s="658"/>
      <c r="I343" s="658"/>
      <c r="J343" s="658"/>
      <c r="K343" s="658"/>
      <c r="L343" s="658"/>
      <c r="M343" s="658"/>
      <c r="N343" s="658"/>
      <c r="O343" s="658"/>
      <c r="P343" s="658"/>
      <c r="Q343" s="658"/>
      <c r="R343" s="658"/>
      <c r="S343" s="658"/>
      <c r="T343" s="658"/>
      <c r="U343" s="658"/>
      <c r="V343" s="658"/>
      <c r="W343" s="658"/>
      <c r="X343" s="658"/>
      <c r="Y343" s="658"/>
      <c r="Z343" s="658"/>
    </row>
    <row r="344" ht="14.25" customHeight="1">
      <c r="A344" s="658"/>
      <c r="B344" s="658"/>
      <c r="C344" s="658"/>
      <c r="D344" s="658"/>
      <c r="E344" s="658"/>
      <c r="F344" s="658"/>
      <c r="G344" s="658"/>
      <c r="H344" s="658"/>
      <c r="I344" s="658"/>
      <c r="J344" s="658"/>
      <c r="K344" s="658"/>
      <c r="L344" s="658"/>
      <c r="M344" s="658"/>
      <c r="N344" s="658"/>
      <c r="O344" s="658"/>
      <c r="P344" s="658"/>
      <c r="Q344" s="658"/>
      <c r="R344" s="658"/>
      <c r="S344" s="658"/>
      <c r="T344" s="658"/>
      <c r="U344" s="658"/>
      <c r="V344" s="658"/>
      <c r="W344" s="658"/>
      <c r="X344" s="658"/>
      <c r="Y344" s="658"/>
      <c r="Z344" s="658"/>
    </row>
    <row r="345" ht="14.25" customHeight="1">
      <c r="A345" s="658"/>
      <c r="B345" s="658"/>
      <c r="C345" s="658"/>
      <c r="D345" s="658"/>
      <c r="E345" s="658"/>
      <c r="F345" s="658"/>
      <c r="G345" s="658"/>
      <c r="H345" s="658"/>
      <c r="I345" s="658"/>
      <c r="J345" s="658"/>
      <c r="K345" s="658"/>
      <c r="L345" s="658"/>
      <c r="M345" s="658"/>
      <c r="N345" s="658"/>
      <c r="O345" s="658"/>
      <c r="P345" s="658"/>
      <c r="Q345" s="658"/>
      <c r="R345" s="658"/>
      <c r="S345" s="658"/>
      <c r="T345" s="658"/>
      <c r="U345" s="658"/>
      <c r="V345" s="658"/>
      <c r="W345" s="658"/>
      <c r="X345" s="658"/>
      <c r="Y345" s="658"/>
      <c r="Z345" s="658"/>
    </row>
    <row r="346" ht="14.25" customHeight="1">
      <c r="A346" s="658"/>
      <c r="B346" s="658"/>
      <c r="C346" s="658"/>
      <c r="D346" s="658"/>
      <c r="E346" s="658"/>
      <c r="F346" s="658"/>
      <c r="G346" s="658"/>
      <c r="H346" s="658"/>
      <c r="I346" s="658"/>
      <c r="J346" s="658"/>
      <c r="K346" s="658"/>
      <c r="L346" s="658"/>
      <c r="M346" s="658"/>
      <c r="N346" s="658"/>
      <c r="O346" s="658"/>
      <c r="P346" s="658"/>
      <c r="Q346" s="658"/>
      <c r="R346" s="658"/>
      <c r="S346" s="658"/>
      <c r="T346" s="658"/>
      <c r="U346" s="658"/>
      <c r="V346" s="658"/>
      <c r="W346" s="658"/>
      <c r="X346" s="658"/>
      <c r="Y346" s="658"/>
      <c r="Z346" s="658"/>
    </row>
    <row r="347" ht="14.25" customHeight="1">
      <c r="A347" s="658"/>
      <c r="B347" s="658"/>
      <c r="C347" s="658"/>
      <c r="D347" s="658"/>
      <c r="E347" s="658"/>
      <c r="F347" s="658"/>
      <c r="G347" s="658"/>
      <c r="H347" s="658"/>
      <c r="I347" s="658"/>
      <c r="J347" s="658"/>
      <c r="K347" s="658"/>
      <c r="L347" s="658"/>
      <c r="M347" s="658"/>
      <c r="N347" s="658"/>
      <c r="O347" s="658"/>
      <c r="P347" s="658"/>
      <c r="Q347" s="658"/>
      <c r="R347" s="658"/>
      <c r="S347" s="658"/>
      <c r="T347" s="658"/>
      <c r="U347" s="658"/>
      <c r="V347" s="658"/>
      <c r="W347" s="658"/>
      <c r="X347" s="658"/>
      <c r="Y347" s="658"/>
      <c r="Z347" s="658"/>
    </row>
    <row r="348" ht="14.25" customHeight="1">
      <c r="A348" s="658"/>
      <c r="B348" s="658"/>
      <c r="C348" s="658"/>
      <c r="D348" s="658"/>
      <c r="E348" s="658"/>
      <c r="F348" s="658"/>
      <c r="G348" s="658"/>
      <c r="H348" s="658"/>
      <c r="I348" s="658"/>
      <c r="J348" s="658"/>
      <c r="K348" s="658"/>
      <c r="L348" s="658"/>
      <c r="M348" s="658"/>
      <c r="N348" s="658"/>
      <c r="O348" s="658"/>
      <c r="P348" s="658"/>
      <c r="Q348" s="658"/>
      <c r="R348" s="658"/>
      <c r="S348" s="658"/>
      <c r="T348" s="658"/>
      <c r="U348" s="658"/>
      <c r="V348" s="658"/>
      <c r="W348" s="658"/>
      <c r="X348" s="658"/>
      <c r="Y348" s="658"/>
      <c r="Z348" s="658"/>
    </row>
    <row r="349" ht="14.25" customHeight="1">
      <c r="A349" s="658"/>
      <c r="B349" s="658"/>
      <c r="C349" s="658"/>
      <c r="D349" s="658"/>
      <c r="E349" s="658"/>
      <c r="F349" s="658"/>
      <c r="G349" s="658"/>
      <c r="H349" s="658"/>
      <c r="I349" s="658"/>
      <c r="J349" s="658"/>
      <c r="K349" s="658"/>
      <c r="L349" s="658"/>
      <c r="M349" s="658"/>
      <c r="N349" s="658"/>
      <c r="O349" s="658"/>
      <c r="P349" s="658"/>
      <c r="Q349" s="658"/>
      <c r="R349" s="658"/>
      <c r="S349" s="658"/>
      <c r="T349" s="658"/>
      <c r="U349" s="658"/>
      <c r="V349" s="658"/>
      <c r="W349" s="658"/>
      <c r="X349" s="658"/>
      <c r="Y349" s="658"/>
      <c r="Z349" s="658"/>
    </row>
    <row r="350" ht="14.25" customHeight="1">
      <c r="A350" s="658"/>
      <c r="B350" s="658"/>
      <c r="C350" s="658"/>
      <c r="D350" s="658"/>
      <c r="E350" s="658"/>
      <c r="F350" s="658"/>
      <c r="G350" s="658"/>
      <c r="H350" s="658"/>
      <c r="I350" s="658"/>
      <c r="J350" s="658"/>
      <c r="K350" s="658"/>
      <c r="L350" s="658"/>
      <c r="M350" s="658"/>
      <c r="N350" s="658"/>
      <c r="O350" s="658"/>
      <c r="P350" s="658"/>
      <c r="Q350" s="658"/>
      <c r="R350" s="658"/>
      <c r="S350" s="658"/>
      <c r="T350" s="658"/>
      <c r="U350" s="658"/>
      <c r="V350" s="658"/>
      <c r="W350" s="658"/>
      <c r="X350" s="658"/>
      <c r="Y350" s="658"/>
      <c r="Z350" s="658"/>
    </row>
    <row r="351" ht="14.25" customHeight="1">
      <c r="A351" s="658"/>
      <c r="B351" s="658"/>
      <c r="C351" s="658"/>
      <c r="D351" s="658"/>
      <c r="E351" s="658"/>
      <c r="F351" s="658"/>
      <c r="G351" s="658"/>
      <c r="H351" s="658"/>
      <c r="I351" s="658"/>
      <c r="J351" s="658"/>
      <c r="K351" s="658"/>
      <c r="L351" s="658"/>
      <c r="M351" s="658"/>
      <c r="N351" s="658"/>
      <c r="O351" s="658"/>
      <c r="P351" s="658"/>
      <c r="Q351" s="658"/>
      <c r="R351" s="658"/>
      <c r="S351" s="658"/>
      <c r="T351" s="658"/>
      <c r="U351" s="658"/>
      <c r="V351" s="658"/>
      <c r="W351" s="658"/>
      <c r="X351" s="658"/>
      <c r="Y351" s="658"/>
      <c r="Z351" s="658"/>
    </row>
    <row r="352" ht="14.25" customHeight="1">
      <c r="A352" s="658"/>
      <c r="B352" s="658"/>
      <c r="C352" s="658"/>
      <c r="D352" s="658"/>
      <c r="E352" s="658"/>
      <c r="F352" s="658"/>
      <c r="G352" s="658"/>
      <c r="H352" s="658"/>
      <c r="I352" s="658"/>
      <c r="J352" s="658"/>
      <c r="K352" s="658"/>
      <c r="L352" s="658"/>
      <c r="M352" s="658"/>
      <c r="N352" s="658"/>
      <c r="O352" s="658"/>
      <c r="P352" s="658"/>
      <c r="Q352" s="658"/>
      <c r="R352" s="658"/>
      <c r="S352" s="658"/>
      <c r="T352" s="658"/>
      <c r="U352" s="658"/>
      <c r="V352" s="658"/>
      <c r="W352" s="658"/>
      <c r="X352" s="658"/>
      <c r="Y352" s="658"/>
      <c r="Z352" s="658"/>
    </row>
    <row r="353" ht="14.25" customHeight="1">
      <c r="A353" s="658"/>
      <c r="B353" s="658"/>
      <c r="C353" s="658"/>
      <c r="D353" s="658"/>
      <c r="E353" s="658"/>
      <c r="F353" s="658"/>
      <c r="G353" s="658"/>
      <c r="H353" s="658"/>
      <c r="I353" s="658"/>
      <c r="J353" s="658"/>
      <c r="K353" s="658"/>
      <c r="L353" s="658"/>
      <c r="M353" s="658"/>
      <c r="N353" s="658"/>
      <c r="O353" s="658"/>
      <c r="P353" s="658"/>
      <c r="Q353" s="658"/>
      <c r="R353" s="658"/>
      <c r="S353" s="658"/>
      <c r="T353" s="658"/>
      <c r="U353" s="658"/>
      <c r="V353" s="658"/>
      <c r="W353" s="658"/>
      <c r="X353" s="658"/>
      <c r="Y353" s="658"/>
      <c r="Z353" s="658"/>
    </row>
    <row r="354" ht="14.25" customHeight="1">
      <c r="A354" s="658"/>
      <c r="B354" s="658"/>
      <c r="C354" s="658"/>
      <c r="D354" s="658"/>
      <c r="E354" s="658"/>
      <c r="F354" s="658"/>
      <c r="G354" s="658"/>
      <c r="H354" s="658"/>
      <c r="I354" s="658"/>
      <c r="J354" s="658"/>
      <c r="K354" s="658"/>
      <c r="L354" s="658"/>
      <c r="M354" s="658"/>
      <c r="N354" s="658"/>
      <c r="O354" s="658"/>
      <c r="P354" s="658"/>
      <c r="Q354" s="658"/>
      <c r="R354" s="658"/>
      <c r="S354" s="658"/>
      <c r="T354" s="658"/>
      <c r="U354" s="658"/>
      <c r="V354" s="658"/>
      <c r="W354" s="658"/>
      <c r="X354" s="658"/>
      <c r="Y354" s="658"/>
      <c r="Z354" s="658"/>
    </row>
    <row r="355" ht="14.25" customHeight="1">
      <c r="A355" s="658"/>
      <c r="B355" s="658"/>
      <c r="C355" s="658"/>
      <c r="D355" s="658"/>
      <c r="E355" s="658"/>
      <c r="F355" s="658"/>
      <c r="G355" s="658"/>
      <c r="H355" s="658"/>
      <c r="I355" s="658"/>
      <c r="J355" s="658"/>
      <c r="K355" s="658"/>
      <c r="L355" s="658"/>
      <c r="M355" s="658"/>
      <c r="N355" s="658"/>
      <c r="O355" s="658"/>
      <c r="P355" s="658"/>
      <c r="Q355" s="658"/>
      <c r="R355" s="658"/>
      <c r="S355" s="658"/>
      <c r="T355" s="658"/>
      <c r="U355" s="658"/>
      <c r="V355" s="658"/>
      <c r="W355" s="658"/>
      <c r="X355" s="658"/>
      <c r="Y355" s="658"/>
      <c r="Z355" s="658"/>
    </row>
    <row r="356" ht="14.25" customHeight="1">
      <c r="A356" s="658"/>
      <c r="B356" s="658"/>
      <c r="C356" s="658"/>
      <c r="D356" s="658"/>
      <c r="E356" s="658"/>
      <c r="F356" s="658"/>
      <c r="G356" s="658"/>
      <c r="H356" s="658"/>
      <c r="I356" s="658"/>
      <c r="J356" s="658"/>
      <c r="K356" s="658"/>
      <c r="L356" s="658"/>
      <c r="M356" s="658"/>
      <c r="N356" s="658"/>
      <c r="O356" s="658"/>
      <c r="P356" s="658"/>
      <c r="Q356" s="658"/>
      <c r="R356" s="658"/>
      <c r="S356" s="658"/>
      <c r="T356" s="658"/>
      <c r="U356" s="658"/>
      <c r="V356" s="658"/>
      <c r="W356" s="658"/>
      <c r="X356" s="658"/>
      <c r="Y356" s="658"/>
      <c r="Z356" s="658"/>
    </row>
    <row r="357" ht="14.25" customHeight="1">
      <c r="A357" s="658"/>
      <c r="B357" s="658"/>
      <c r="C357" s="658"/>
      <c r="D357" s="658"/>
      <c r="E357" s="658"/>
      <c r="F357" s="658"/>
      <c r="G357" s="658"/>
      <c r="H357" s="658"/>
      <c r="I357" s="658"/>
      <c r="J357" s="658"/>
      <c r="K357" s="658"/>
      <c r="L357" s="658"/>
      <c r="M357" s="658"/>
      <c r="N357" s="658"/>
      <c r="O357" s="658"/>
      <c r="P357" s="658"/>
      <c r="Q357" s="658"/>
      <c r="R357" s="658"/>
      <c r="S357" s="658"/>
      <c r="T357" s="658"/>
      <c r="U357" s="658"/>
      <c r="V357" s="658"/>
      <c r="W357" s="658"/>
      <c r="X357" s="658"/>
      <c r="Y357" s="658"/>
      <c r="Z357" s="658"/>
    </row>
    <row r="358" ht="14.25" customHeight="1">
      <c r="A358" s="658"/>
      <c r="B358" s="658"/>
      <c r="C358" s="658"/>
      <c r="D358" s="658"/>
      <c r="E358" s="658"/>
      <c r="F358" s="658"/>
      <c r="G358" s="658"/>
      <c r="H358" s="658"/>
      <c r="I358" s="658"/>
      <c r="J358" s="658"/>
      <c r="K358" s="658"/>
      <c r="L358" s="658"/>
      <c r="M358" s="658"/>
      <c r="N358" s="658"/>
      <c r="O358" s="658"/>
      <c r="P358" s="658"/>
      <c r="Q358" s="658"/>
      <c r="R358" s="658"/>
      <c r="S358" s="658"/>
      <c r="T358" s="658"/>
      <c r="U358" s="658"/>
      <c r="V358" s="658"/>
      <c r="W358" s="658"/>
      <c r="X358" s="658"/>
      <c r="Y358" s="658"/>
      <c r="Z358" s="658"/>
    </row>
    <row r="359" ht="14.25" customHeight="1">
      <c r="A359" s="658"/>
      <c r="B359" s="658"/>
      <c r="C359" s="658"/>
      <c r="D359" s="658"/>
      <c r="E359" s="658"/>
      <c r="F359" s="658"/>
      <c r="G359" s="658"/>
      <c r="H359" s="658"/>
      <c r="I359" s="658"/>
      <c r="J359" s="658"/>
      <c r="K359" s="658"/>
      <c r="L359" s="658"/>
      <c r="M359" s="658"/>
      <c r="N359" s="658"/>
      <c r="O359" s="658"/>
      <c r="P359" s="658"/>
      <c r="Q359" s="658"/>
      <c r="R359" s="658"/>
      <c r="S359" s="658"/>
      <c r="T359" s="658"/>
      <c r="U359" s="658"/>
      <c r="V359" s="658"/>
      <c r="W359" s="658"/>
      <c r="X359" s="658"/>
      <c r="Y359" s="658"/>
      <c r="Z359" s="658"/>
    </row>
    <row r="360" ht="14.25" customHeight="1">
      <c r="A360" s="658"/>
      <c r="B360" s="658"/>
      <c r="C360" s="658"/>
      <c r="D360" s="658"/>
      <c r="E360" s="658"/>
      <c r="F360" s="658"/>
      <c r="G360" s="658"/>
      <c r="H360" s="658"/>
      <c r="I360" s="658"/>
      <c r="J360" s="658"/>
      <c r="K360" s="658"/>
      <c r="L360" s="658"/>
      <c r="M360" s="658"/>
      <c r="N360" s="658"/>
      <c r="O360" s="658"/>
      <c r="P360" s="658"/>
      <c r="Q360" s="658"/>
      <c r="R360" s="658"/>
      <c r="S360" s="658"/>
      <c r="T360" s="658"/>
      <c r="U360" s="658"/>
      <c r="V360" s="658"/>
      <c r="W360" s="658"/>
      <c r="X360" s="658"/>
      <c r="Y360" s="658"/>
      <c r="Z360" s="658"/>
    </row>
    <row r="361" ht="14.25" customHeight="1">
      <c r="A361" s="658"/>
      <c r="B361" s="658"/>
      <c r="C361" s="658"/>
      <c r="D361" s="658"/>
      <c r="E361" s="658"/>
      <c r="F361" s="658"/>
      <c r="G361" s="658"/>
      <c r="H361" s="658"/>
      <c r="I361" s="658"/>
      <c r="J361" s="658"/>
      <c r="K361" s="658"/>
      <c r="L361" s="658"/>
      <c r="M361" s="658"/>
      <c r="N361" s="658"/>
      <c r="O361" s="658"/>
      <c r="P361" s="658"/>
      <c r="Q361" s="658"/>
      <c r="R361" s="658"/>
      <c r="S361" s="658"/>
      <c r="T361" s="658"/>
      <c r="U361" s="658"/>
      <c r="V361" s="658"/>
      <c r="W361" s="658"/>
      <c r="X361" s="658"/>
      <c r="Y361" s="658"/>
      <c r="Z361" s="658"/>
    </row>
    <row r="362" ht="14.25" customHeight="1">
      <c r="A362" s="658"/>
      <c r="B362" s="658"/>
      <c r="C362" s="658"/>
      <c r="D362" s="658"/>
      <c r="E362" s="658"/>
      <c r="F362" s="658"/>
      <c r="G362" s="658"/>
      <c r="H362" s="658"/>
      <c r="I362" s="658"/>
      <c r="J362" s="658"/>
      <c r="K362" s="658"/>
      <c r="L362" s="658"/>
      <c r="M362" s="658"/>
      <c r="N362" s="658"/>
      <c r="O362" s="658"/>
      <c r="P362" s="658"/>
      <c r="Q362" s="658"/>
      <c r="R362" s="658"/>
      <c r="S362" s="658"/>
      <c r="T362" s="658"/>
      <c r="U362" s="658"/>
      <c r="V362" s="658"/>
      <c r="W362" s="658"/>
      <c r="X362" s="658"/>
      <c r="Y362" s="658"/>
      <c r="Z362" s="658"/>
    </row>
    <row r="363" ht="14.25" customHeight="1">
      <c r="A363" s="658"/>
      <c r="B363" s="658"/>
      <c r="C363" s="658"/>
      <c r="D363" s="658"/>
      <c r="E363" s="658"/>
      <c r="F363" s="658"/>
      <c r="G363" s="658"/>
      <c r="H363" s="658"/>
      <c r="I363" s="658"/>
      <c r="J363" s="658"/>
      <c r="K363" s="658"/>
      <c r="L363" s="658"/>
      <c r="M363" s="658"/>
      <c r="N363" s="658"/>
      <c r="O363" s="658"/>
      <c r="P363" s="658"/>
      <c r="Q363" s="658"/>
      <c r="R363" s="658"/>
      <c r="S363" s="658"/>
      <c r="T363" s="658"/>
      <c r="U363" s="658"/>
      <c r="V363" s="658"/>
      <c r="W363" s="658"/>
      <c r="X363" s="658"/>
      <c r="Y363" s="658"/>
      <c r="Z363" s="658"/>
    </row>
    <row r="364" ht="14.25" customHeight="1">
      <c r="A364" s="658"/>
      <c r="B364" s="658"/>
      <c r="C364" s="658"/>
      <c r="D364" s="658"/>
      <c r="E364" s="658"/>
      <c r="F364" s="658"/>
      <c r="G364" s="658"/>
      <c r="H364" s="658"/>
      <c r="I364" s="658"/>
      <c r="J364" s="658"/>
      <c r="K364" s="658"/>
      <c r="L364" s="658"/>
      <c r="M364" s="658"/>
      <c r="N364" s="658"/>
      <c r="O364" s="658"/>
      <c r="P364" s="658"/>
      <c r="Q364" s="658"/>
      <c r="R364" s="658"/>
      <c r="S364" s="658"/>
      <c r="T364" s="658"/>
      <c r="U364" s="658"/>
      <c r="V364" s="658"/>
      <c r="W364" s="658"/>
      <c r="X364" s="658"/>
      <c r="Y364" s="658"/>
      <c r="Z364" s="658"/>
    </row>
    <row r="365" ht="14.25" customHeight="1">
      <c r="A365" s="658"/>
      <c r="B365" s="658"/>
      <c r="C365" s="658"/>
      <c r="D365" s="658"/>
      <c r="E365" s="658"/>
      <c r="F365" s="658"/>
      <c r="G365" s="658"/>
      <c r="H365" s="658"/>
      <c r="I365" s="658"/>
      <c r="J365" s="658"/>
      <c r="K365" s="658"/>
      <c r="L365" s="658"/>
      <c r="M365" s="658"/>
      <c r="N365" s="658"/>
      <c r="O365" s="658"/>
      <c r="P365" s="658"/>
      <c r="Q365" s="658"/>
      <c r="R365" s="658"/>
      <c r="S365" s="658"/>
      <c r="T365" s="658"/>
      <c r="U365" s="658"/>
      <c r="V365" s="658"/>
      <c r="W365" s="658"/>
      <c r="X365" s="658"/>
      <c r="Y365" s="658"/>
      <c r="Z365" s="658"/>
    </row>
    <row r="366" ht="14.25" customHeight="1">
      <c r="A366" s="658"/>
      <c r="B366" s="658"/>
      <c r="C366" s="658"/>
      <c r="D366" s="658"/>
      <c r="E366" s="658"/>
      <c r="F366" s="658"/>
      <c r="G366" s="658"/>
      <c r="H366" s="658"/>
      <c r="I366" s="658"/>
      <c r="J366" s="658"/>
      <c r="K366" s="658"/>
      <c r="L366" s="658"/>
      <c r="M366" s="658"/>
      <c r="N366" s="658"/>
      <c r="O366" s="658"/>
      <c r="P366" s="658"/>
      <c r="Q366" s="658"/>
      <c r="R366" s="658"/>
      <c r="S366" s="658"/>
      <c r="T366" s="658"/>
      <c r="U366" s="658"/>
      <c r="V366" s="658"/>
      <c r="W366" s="658"/>
      <c r="X366" s="658"/>
      <c r="Y366" s="658"/>
      <c r="Z366" s="658"/>
    </row>
    <row r="367" ht="14.25" customHeight="1">
      <c r="A367" s="658"/>
      <c r="B367" s="658"/>
      <c r="C367" s="658"/>
      <c r="D367" s="658"/>
      <c r="E367" s="658"/>
      <c r="F367" s="658"/>
      <c r="G367" s="658"/>
      <c r="H367" s="658"/>
      <c r="I367" s="658"/>
      <c r="J367" s="658"/>
      <c r="K367" s="658"/>
      <c r="L367" s="658"/>
      <c r="M367" s="658"/>
      <c r="N367" s="658"/>
      <c r="O367" s="658"/>
      <c r="P367" s="658"/>
      <c r="Q367" s="658"/>
      <c r="R367" s="658"/>
      <c r="S367" s="658"/>
      <c r="T367" s="658"/>
      <c r="U367" s="658"/>
      <c r="V367" s="658"/>
      <c r="W367" s="658"/>
      <c r="X367" s="658"/>
      <c r="Y367" s="658"/>
      <c r="Z367" s="658"/>
    </row>
    <row r="368" ht="14.25" customHeight="1">
      <c r="A368" s="658"/>
      <c r="B368" s="658"/>
      <c r="C368" s="658"/>
      <c r="D368" s="658"/>
      <c r="E368" s="658"/>
      <c r="F368" s="658"/>
      <c r="G368" s="658"/>
      <c r="H368" s="658"/>
      <c r="I368" s="658"/>
      <c r="J368" s="658"/>
      <c r="K368" s="658"/>
      <c r="L368" s="658"/>
      <c r="M368" s="658"/>
      <c r="N368" s="658"/>
      <c r="O368" s="658"/>
      <c r="P368" s="658"/>
      <c r="Q368" s="658"/>
      <c r="R368" s="658"/>
      <c r="S368" s="658"/>
      <c r="T368" s="658"/>
      <c r="U368" s="658"/>
      <c r="V368" s="658"/>
      <c r="W368" s="658"/>
      <c r="X368" s="658"/>
      <c r="Y368" s="658"/>
      <c r="Z368" s="658"/>
    </row>
    <row r="369" ht="14.25" customHeight="1">
      <c r="A369" s="658"/>
      <c r="B369" s="658"/>
      <c r="C369" s="658"/>
      <c r="D369" s="658"/>
      <c r="E369" s="658"/>
      <c r="F369" s="658"/>
      <c r="G369" s="658"/>
      <c r="H369" s="658"/>
      <c r="I369" s="658"/>
      <c r="J369" s="658"/>
      <c r="K369" s="658"/>
      <c r="L369" s="658"/>
      <c r="M369" s="658"/>
      <c r="N369" s="658"/>
      <c r="O369" s="658"/>
      <c r="P369" s="658"/>
      <c r="Q369" s="658"/>
      <c r="R369" s="658"/>
      <c r="S369" s="658"/>
      <c r="T369" s="658"/>
      <c r="U369" s="658"/>
      <c r="V369" s="658"/>
      <c r="W369" s="658"/>
      <c r="X369" s="658"/>
      <c r="Y369" s="658"/>
      <c r="Z369" s="658"/>
    </row>
    <row r="370" ht="14.25" customHeight="1">
      <c r="A370" s="658"/>
      <c r="B370" s="658"/>
      <c r="C370" s="658"/>
      <c r="D370" s="658"/>
      <c r="E370" s="658"/>
      <c r="F370" s="658"/>
      <c r="G370" s="658"/>
      <c r="H370" s="658"/>
      <c r="I370" s="658"/>
      <c r="J370" s="658"/>
      <c r="K370" s="658"/>
      <c r="L370" s="658"/>
      <c r="M370" s="658"/>
      <c r="N370" s="658"/>
      <c r="O370" s="658"/>
      <c r="P370" s="658"/>
      <c r="Q370" s="658"/>
      <c r="R370" s="658"/>
      <c r="S370" s="658"/>
      <c r="T370" s="658"/>
      <c r="U370" s="658"/>
      <c r="V370" s="658"/>
      <c r="W370" s="658"/>
      <c r="X370" s="658"/>
      <c r="Y370" s="658"/>
      <c r="Z370" s="658"/>
    </row>
    <row r="371" ht="14.25" customHeight="1">
      <c r="A371" s="658"/>
      <c r="B371" s="658"/>
      <c r="C371" s="658"/>
      <c r="D371" s="658"/>
      <c r="E371" s="658"/>
      <c r="F371" s="658"/>
      <c r="G371" s="658"/>
      <c r="H371" s="658"/>
      <c r="I371" s="658"/>
      <c r="J371" s="658"/>
      <c r="K371" s="658"/>
      <c r="L371" s="658"/>
      <c r="M371" s="658"/>
      <c r="N371" s="658"/>
      <c r="O371" s="658"/>
      <c r="P371" s="658"/>
      <c r="Q371" s="658"/>
      <c r="R371" s="658"/>
      <c r="S371" s="658"/>
      <c r="T371" s="658"/>
      <c r="U371" s="658"/>
      <c r="V371" s="658"/>
      <c r="W371" s="658"/>
      <c r="X371" s="658"/>
      <c r="Y371" s="658"/>
      <c r="Z371" s="658"/>
    </row>
    <row r="372" ht="14.25" customHeight="1">
      <c r="A372" s="658"/>
      <c r="B372" s="658"/>
      <c r="C372" s="658"/>
      <c r="D372" s="658"/>
      <c r="E372" s="658"/>
      <c r="F372" s="658"/>
      <c r="G372" s="658"/>
      <c r="H372" s="658"/>
      <c r="I372" s="658"/>
      <c r="J372" s="658"/>
      <c r="K372" s="658"/>
      <c r="L372" s="658"/>
      <c r="M372" s="658"/>
      <c r="N372" s="658"/>
      <c r="O372" s="658"/>
      <c r="P372" s="658"/>
      <c r="Q372" s="658"/>
      <c r="R372" s="658"/>
      <c r="S372" s="658"/>
      <c r="T372" s="658"/>
      <c r="U372" s="658"/>
      <c r="V372" s="658"/>
      <c r="W372" s="658"/>
      <c r="X372" s="658"/>
      <c r="Y372" s="658"/>
      <c r="Z372" s="658"/>
    </row>
    <row r="373" ht="14.25" customHeight="1">
      <c r="A373" s="658"/>
      <c r="B373" s="658"/>
      <c r="C373" s="658"/>
      <c r="D373" s="658"/>
      <c r="E373" s="658"/>
      <c r="F373" s="658"/>
      <c r="G373" s="658"/>
      <c r="H373" s="658"/>
      <c r="I373" s="658"/>
      <c r="J373" s="658"/>
      <c r="K373" s="658"/>
      <c r="L373" s="658"/>
      <c r="M373" s="658"/>
      <c r="N373" s="658"/>
      <c r="O373" s="658"/>
      <c r="P373" s="658"/>
      <c r="Q373" s="658"/>
      <c r="R373" s="658"/>
      <c r="S373" s="658"/>
      <c r="T373" s="658"/>
      <c r="U373" s="658"/>
      <c r="V373" s="658"/>
      <c r="W373" s="658"/>
      <c r="X373" s="658"/>
      <c r="Y373" s="658"/>
      <c r="Z373" s="658"/>
    </row>
    <row r="374" ht="14.25" customHeight="1">
      <c r="A374" s="658"/>
      <c r="B374" s="658"/>
      <c r="C374" s="658"/>
      <c r="D374" s="658"/>
      <c r="E374" s="658"/>
      <c r="F374" s="658"/>
      <c r="G374" s="658"/>
      <c r="H374" s="658"/>
      <c r="I374" s="658"/>
      <c r="J374" s="658"/>
      <c r="K374" s="658"/>
      <c r="L374" s="658"/>
      <c r="M374" s="658"/>
      <c r="N374" s="658"/>
      <c r="O374" s="658"/>
      <c r="P374" s="658"/>
      <c r="Q374" s="658"/>
      <c r="R374" s="658"/>
      <c r="S374" s="658"/>
      <c r="T374" s="658"/>
      <c r="U374" s="658"/>
      <c r="V374" s="658"/>
      <c r="W374" s="658"/>
      <c r="X374" s="658"/>
      <c r="Y374" s="658"/>
      <c r="Z374" s="658"/>
    </row>
    <row r="375" ht="14.25" customHeight="1">
      <c r="A375" s="658"/>
      <c r="B375" s="658"/>
      <c r="C375" s="658"/>
      <c r="D375" s="658"/>
      <c r="E375" s="658"/>
      <c r="F375" s="658"/>
      <c r="G375" s="658"/>
      <c r="H375" s="658"/>
      <c r="I375" s="658"/>
      <c r="J375" s="658"/>
      <c r="K375" s="658"/>
      <c r="L375" s="658"/>
      <c r="M375" s="658"/>
      <c r="N375" s="658"/>
      <c r="O375" s="658"/>
      <c r="P375" s="658"/>
      <c r="Q375" s="658"/>
      <c r="R375" s="658"/>
      <c r="S375" s="658"/>
      <c r="T375" s="658"/>
      <c r="U375" s="658"/>
      <c r="V375" s="658"/>
      <c r="W375" s="658"/>
      <c r="X375" s="658"/>
      <c r="Y375" s="658"/>
      <c r="Z375" s="658"/>
    </row>
    <row r="376" ht="14.25" customHeight="1">
      <c r="A376" s="658"/>
      <c r="B376" s="658"/>
      <c r="C376" s="658"/>
      <c r="D376" s="658"/>
      <c r="E376" s="658"/>
      <c r="F376" s="658"/>
      <c r="G376" s="658"/>
      <c r="H376" s="658"/>
      <c r="I376" s="658"/>
      <c r="J376" s="658"/>
      <c r="K376" s="658"/>
      <c r="L376" s="658"/>
      <c r="M376" s="658"/>
      <c r="N376" s="658"/>
      <c r="O376" s="658"/>
      <c r="P376" s="658"/>
      <c r="Q376" s="658"/>
      <c r="R376" s="658"/>
      <c r="S376" s="658"/>
      <c r="T376" s="658"/>
      <c r="U376" s="658"/>
      <c r="V376" s="658"/>
      <c r="W376" s="658"/>
      <c r="X376" s="658"/>
      <c r="Y376" s="658"/>
      <c r="Z376" s="658"/>
    </row>
    <row r="377" ht="14.25" customHeight="1">
      <c r="A377" s="658"/>
      <c r="B377" s="658"/>
      <c r="C377" s="658"/>
      <c r="D377" s="658"/>
      <c r="E377" s="658"/>
      <c r="F377" s="658"/>
      <c r="G377" s="658"/>
      <c r="H377" s="658"/>
      <c r="I377" s="658"/>
      <c r="J377" s="658"/>
      <c r="K377" s="658"/>
      <c r="L377" s="658"/>
      <c r="M377" s="658"/>
      <c r="N377" s="658"/>
      <c r="O377" s="658"/>
      <c r="P377" s="658"/>
      <c r="Q377" s="658"/>
      <c r="R377" s="658"/>
      <c r="S377" s="658"/>
      <c r="T377" s="658"/>
      <c r="U377" s="658"/>
      <c r="V377" s="658"/>
      <c r="W377" s="658"/>
      <c r="X377" s="658"/>
      <c r="Y377" s="658"/>
      <c r="Z377" s="658"/>
    </row>
    <row r="378" ht="14.25" customHeight="1">
      <c r="A378" s="658"/>
      <c r="B378" s="658"/>
      <c r="C378" s="658"/>
      <c r="D378" s="658"/>
      <c r="E378" s="658"/>
      <c r="F378" s="658"/>
      <c r="G378" s="658"/>
      <c r="H378" s="658"/>
      <c r="I378" s="658"/>
      <c r="J378" s="658"/>
      <c r="K378" s="658"/>
      <c r="L378" s="658"/>
      <c r="M378" s="658"/>
      <c r="N378" s="658"/>
      <c r="O378" s="658"/>
      <c r="P378" s="658"/>
      <c r="Q378" s="658"/>
      <c r="R378" s="658"/>
      <c r="S378" s="658"/>
      <c r="T378" s="658"/>
      <c r="U378" s="658"/>
      <c r="V378" s="658"/>
      <c r="W378" s="658"/>
      <c r="X378" s="658"/>
      <c r="Y378" s="658"/>
      <c r="Z378" s="658"/>
    </row>
    <row r="379" ht="14.25" customHeight="1">
      <c r="A379" s="658"/>
      <c r="B379" s="658"/>
      <c r="C379" s="658"/>
      <c r="D379" s="658"/>
      <c r="E379" s="658"/>
      <c r="F379" s="658"/>
      <c r="G379" s="658"/>
      <c r="H379" s="658"/>
      <c r="I379" s="658"/>
      <c r="J379" s="658"/>
      <c r="K379" s="658"/>
      <c r="L379" s="658"/>
      <c r="M379" s="658"/>
      <c r="N379" s="658"/>
      <c r="O379" s="658"/>
      <c r="P379" s="658"/>
      <c r="Q379" s="658"/>
      <c r="R379" s="658"/>
      <c r="S379" s="658"/>
      <c r="T379" s="658"/>
      <c r="U379" s="658"/>
      <c r="V379" s="658"/>
      <c r="W379" s="658"/>
      <c r="X379" s="658"/>
      <c r="Y379" s="658"/>
      <c r="Z379" s="658"/>
    </row>
    <row r="380" ht="14.25" customHeight="1">
      <c r="A380" s="658"/>
      <c r="B380" s="658"/>
      <c r="C380" s="658"/>
      <c r="D380" s="658"/>
      <c r="E380" s="658"/>
      <c r="F380" s="658"/>
      <c r="G380" s="658"/>
      <c r="H380" s="658"/>
      <c r="I380" s="658"/>
      <c r="J380" s="658"/>
      <c r="K380" s="658"/>
      <c r="L380" s="658"/>
      <c r="M380" s="658"/>
      <c r="N380" s="658"/>
      <c r="O380" s="658"/>
      <c r="P380" s="658"/>
      <c r="Q380" s="658"/>
      <c r="R380" s="658"/>
      <c r="S380" s="658"/>
      <c r="T380" s="658"/>
      <c r="U380" s="658"/>
      <c r="V380" s="658"/>
      <c r="W380" s="658"/>
      <c r="X380" s="658"/>
      <c r="Y380" s="658"/>
      <c r="Z380" s="658"/>
    </row>
    <row r="381" ht="14.25" customHeight="1">
      <c r="A381" s="658"/>
      <c r="B381" s="658"/>
      <c r="C381" s="658"/>
      <c r="D381" s="658"/>
      <c r="E381" s="658"/>
      <c r="F381" s="658"/>
      <c r="G381" s="658"/>
      <c r="H381" s="658"/>
      <c r="I381" s="658"/>
      <c r="J381" s="658"/>
      <c r="K381" s="658"/>
      <c r="L381" s="658"/>
      <c r="M381" s="658"/>
      <c r="N381" s="658"/>
      <c r="O381" s="658"/>
      <c r="P381" s="658"/>
      <c r="Q381" s="658"/>
      <c r="R381" s="658"/>
      <c r="S381" s="658"/>
      <c r="T381" s="658"/>
      <c r="U381" s="658"/>
      <c r="V381" s="658"/>
      <c r="W381" s="658"/>
      <c r="X381" s="658"/>
      <c r="Y381" s="658"/>
      <c r="Z381" s="658"/>
    </row>
    <row r="382" ht="14.25" customHeight="1">
      <c r="A382" s="658"/>
      <c r="B382" s="658"/>
      <c r="C382" s="658"/>
      <c r="D382" s="658"/>
      <c r="E382" s="658"/>
      <c r="F382" s="658"/>
      <c r="G382" s="658"/>
      <c r="H382" s="658"/>
      <c r="I382" s="658"/>
      <c r="J382" s="658"/>
      <c r="K382" s="658"/>
      <c r="L382" s="658"/>
      <c r="M382" s="658"/>
      <c r="N382" s="658"/>
      <c r="O382" s="658"/>
      <c r="P382" s="658"/>
      <c r="Q382" s="658"/>
      <c r="R382" s="658"/>
      <c r="S382" s="658"/>
      <c r="T382" s="658"/>
      <c r="U382" s="658"/>
      <c r="V382" s="658"/>
      <c r="W382" s="658"/>
      <c r="X382" s="658"/>
      <c r="Y382" s="658"/>
      <c r="Z382" s="658"/>
    </row>
    <row r="383" ht="14.25" customHeight="1">
      <c r="A383" s="658"/>
      <c r="B383" s="658"/>
      <c r="C383" s="658"/>
      <c r="D383" s="658"/>
      <c r="E383" s="658"/>
      <c r="F383" s="658"/>
      <c r="G383" s="658"/>
      <c r="H383" s="658"/>
      <c r="I383" s="658"/>
      <c r="J383" s="658"/>
      <c r="K383" s="658"/>
      <c r="L383" s="658"/>
      <c r="M383" s="658"/>
      <c r="N383" s="658"/>
      <c r="O383" s="658"/>
      <c r="P383" s="658"/>
      <c r="Q383" s="658"/>
      <c r="R383" s="658"/>
      <c r="S383" s="658"/>
      <c r="T383" s="658"/>
      <c r="U383" s="658"/>
      <c r="V383" s="658"/>
      <c r="W383" s="658"/>
      <c r="X383" s="658"/>
      <c r="Y383" s="658"/>
      <c r="Z383" s="658"/>
    </row>
    <row r="384" ht="14.25" customHeight="1">
      <c r="A384" s="658"/>
      <c r="B384" s="658"/>
      <c r="C384" s="658"/>
      <c r="D384" s="658"/>
      <c r="E384" s="658"/>
      <c r="F384" s="658"/>
      <c r="G384" s="658"/>
      <c r="H384" s="658"/>
      <c r="I384" s="658"/>
      <c r="J384" s="658"/>
      <c r="K384" s="658"/>
      <c r="L384" s="658"/>
      <c r="M384" s="658"/>
      <c r="N384" s="658"/>
      <c r="O384" s="658"/>
      <c r="P384" s="658"/>
      <c r="Q384" s="658"/>
      <c r="R384" s="658"/>
      <c r="S384" s="658"/>
      <c r="T384" s="658"/>
      <c r="U384" s="658"/>
      <c r="V384" s="658"/>
      <c r="W384" s="658"/>
      <c r="X384" s="658"/>
      <c r="Y384" s="658"/>
      <c r="Z384" s="658"/>
    </row>
    <row r="385" ht="14.25" customHeight="1">
      <c r="A385" s="658"/>
      <c r="B385" s="658"/>
      <c r="C385" s="658"/>
      <c r="D385" s="658"/>
      <c r="E385" s="658"/>
      <c r="F385" s="658"/>
      <c r="G385" s="658"/>
      <c r="H385" s="658"/>
      <c r="I385" s="658"/>
      <c r="J385" s="658"/>
      <c r="K385" s="658"/>
      <c r="L385" s="658"/>
      <c r="M385" s="658"/>
      <c r="N385" s="658"/>
      <c r="O385" s="658"/>
      <c r="P385" s="658"/>
      <c r="Q385" s="658"/>
      <c r="R385" s="658"/>
      <c r="S385" s="658"/>
      <c r="T385" s="658"/>
      <c r="U385" s="658"/>
      <c r="V385" s="658"/>
      <c r="W385" s="658"/>
      <c r="X385" s="658"/>
      <c r="Y385" s="658"/>
      <c r="Z385" s="658"/>
    </row>
    <row r="386" ht="14.25" customHeight="1">
      <c r="A386" s="658"/>
      <c r="B386" s="658"/>
      <c r="C386" s="658"/>
      <c r="D386" s="658"/>
      <c r="E386" s="658"/>
      <c r="F386" s="658"/>
      <c r="G386" s="658"/>
      <c r="H386" s="658"/>
      <c r="I386" s="658"/>
      <c r="J386" s="658"/>
      <c r="K386" s="658"/>
      <c r="L386" s="658"/>
      <c r="M386" s="658"/>
      <c r="N386" s="658"/>
      <c r="O386" s="658"/>
      <c r="P386" s="658"/>
      <c r="Q386" s="658"/>
      <c r="R386" s="658"/>
      <c r="S386" s="658"/>
      <c r="T386" s="658"/>
      <c r="U386" s="658"/>
      <c r="V386" s="658"/>
      <c r="W386" s="658"/>
      <c r="X386" s="658"/>
      <c r="Y386" s="658"/>
      <c r="Z386" s="658"/>
    </row>
    <row r="387" ht="14.25" customHeight="1">
      <c r="A387" s="658"/>
      <c r="B387" s="658"/>
      <c r="C387" s="658"/>
      <c r="D387" s="658"/>
      <c r="E387" s="658"/>
      <c r="F387" s="658"/>
      <c r="G387" s="658"/>
      <c r="H387" s="658"/>
      <c r="I387" s="658"/>
      <c r="J387" s="658"/>
      <c r="K387" s="658"/>
      <c r="L387" s="658"/>
      <c r="M387" s="658"/>
      <c r="N387" s="658"/>
      <c r="O387" s="658"/>
      <c r="P387" s="658"/>
      <c r="Q387" s="658"/>
      <c r="R387" s="658"/>
      <c r="S387" s="658"/>
      <c r="T387" s="658"/>
      <c r="U387" s="658"/>
      <c r="V387" s="658"/>
      <c r="W387" s="658"/>
      <c r="X387" s="658"/>
      <c r="Y387" s="658"/>
      <c r="Z387" s="658"/>
    </row>
    <row r="388" ht="14.25" customHeight="1">
      <c r="A388" s="658"/>
      <c r="B388" s="658"/>
      <c r="C388" s="658"/>
      <c r="D388" s="658"/>
      <c r="E388" s="658"/>
      <c r="F388" s="658"/>
      <c r="G388" s="658"/>
      <c r="H388" s="658"/>
      <c r="I388" s="658"/>
      <c r="J388" s="658"/>
      <c r="K388" s="658"/>
      <c r="L388" s="658"/>
      <c r="M388" s="658"/>
      <c r="N388" s="658"/>
      <c r="O388" s="658"/>
      <c r="P388" s="658"/>
      <c r="Q388" s="658"/>
      <c r="R388" s="658"/>
      <c r="S388" s="658"/>
      <c r="T388" s="658"/>
      <c r="U388" s="658"/>
      <c r="V388" s="658"/>
      <c r="W388" s="658"/>
      <c r="X388" s="658"/>
      <c r="Y388" s="658"/>
      <c r="Z388" s="658"/>
    </row>
    <row r="389" ht="14.25" customHeight="1">
      <c r="A389" s="658"/>
      <c r="B389" s="658"/>
      <c r="C389" s="658"/>
      <c r="D389" s="658"/>
      <c r="E389" s="658"/>
      <c r="F389" s="658"/>
      <c r="G389" s="658"/>
      <c r="H389" s="658"/>
      <c r="I389" s="658"/>
      <c r="J389" s="658"/>
      <c r="K389" s="658"/>
      <c r="L389" s="658"/>
      <c r="M389" s="658"/>
      <c r="N389" s="658"/>
      <c r="O389" s="658"/>
      <c r="P389" s="658"/>
      <c r="Q389" s="658"/>
      <c r="R389" s="658"/>
      <c r="S389" s="658"/>
      <c r="T389" s="658"/>
      <c r="U389" s="658"/>
      <c r="V389" s="658"/>
      <c r="W389" s="658"/>
      <c r="X389" s="658"/>
      <c r="Y389" s="658"/>
      <c r="Z389" s="658"/>
    </row>
    <row r="390" ht="14.25" customHeight="1">
      <c r="A390" s="658"/>
      <c r="B390" s="658"/>
      <c r="C390" s="658"/>
      <c r="D390" s="658"/>
      <c r="E390" s="658"/>
      <c r="F390" s="658"/>
      <c r="G390" s="658"/>
      <c r="H390" s="658"/>
      <c r="I390" s="658"/>
      <c r="J390" s="658"/>
      <c r="K390" s="658"/>
      <c r="L390" s="658"/>
      <c r="M390" s="658"/>
      <c r="N390" s="658"/>
      <c r="O390" s="658"/>
      <c r="P390" s="658"/>
      <c r="Q390" s="658"/>
      <c r="R390" s="658"/>
      <c r="S390" s="658"/>
      <c r="T390" s="658"/>
      <c r="U390" s="658"/>
      <c r="V390" s="658"/>
      <c r="W390" s="658"/>
      <c r="X390" s="658"/>
      <c r="Y390" s="658"/>
      <c r="Z390" s="658"/>
    </row>
    <row r="391" ht="14.25" customHeight="1">
      <c r="A391" s="658"/>
      <c r="B391" s="658"/>
      <c r="C391" s="658"/>
      <c r="D391" s="658"/>
      <c r="E391" s="658"/>
      <c r="F391" s="658"/>
      <c r="G391" s="658"/>
      <c r="H391" s="658"/>
      <c r="I391" s="658"/>
      <c r="J391" s="658"/>
      <c r="K391" s="658"/>
      <c r="L391" s="658"/>
      <c r="M391" s="658"/>
      <c r="N391" s="658"/>
      <c r="O391" s="658"/>
      <c r="P391" s="658"/>
      <c r="Q391" s="658"/>
      <c r="R391" s="658"/>
      <c r="S391" s="658"/>
      <c r="T391" s="658"/>
      <c r="U391" s="658"/>
      <c r="V391" s="658"/>
      <c r="W391" s="658"/>
      <c r="X391" s="658"/>
      <c r="Y391" s="658"/>
      <c r="Z391" s="658"/>
    </row>
    <row r="392" ht="14.25" customHeight="1">
      <c r="A392" s="658"/>
      <c r="B392" s="658"/>
      <c r="C392" s="658"/>
      <c r="D392" s="658"/>
      <c r="E392" s="658"/>
      <c r="F392" s="658"/>
      <c r="G392" s="658"/>
      <c r="H392" s="658"/>
      <c r="I392" s="658"/>
      <c r="J392" s="658"/>
      <c r="K392" s="658"/>
      <c r="L392" s="658"/>
      <c r="M392" s="658"/>
      <c r="N392" s="658"/>
      <c r="O392" s="658"/>
      <c r="P392" s="658"/>
      <c r="Q392" s="658"/>
      <c r="R392" s="658"/>
      <c r="S392" s="658"/>
      <c r="T392" s="658"/>
      <c r="U392" s="658"/>
      <c r="V392" s="658"/>
      <c r="W392" s="658"/>
      <c r="X392" s="658"/>
      <c r="Y392" s="658"/>
      <c r="Z392" s="658"/>
    </row>
    <row r="393" ht="14.25" customHeight="1">
      <c r="A393" s="658"/>
      <c r="B393" s="658"/>
      <c r="C393" s="658"/>
      <c r="D393" s="658"/>
      <c r="E393" s="658"/>
      <c r="F393" s="658"/>
      <c r="G393" s="658"/>
      <c r="H393" s="658"/>
      <c r="I393" s="658"/>
      <c r="J393" s="658"/>
      <c r="K393" s="658"/>
      <c r="L393" s="658"/>
      <c r="M393" s="658"/>
      <c r="N393" s="658"/>
      <c r="O393" s="658"/>
      <c r="P393" s="658"/>
      <c r="Q393" s="658"/>
      <c r="R393" s="658"/>
      <c r="S393" s="658"/>
      <c r="T393" s="658"/>
      <c r="U393" s="658"/>
      <c r="V393" s="658"/>
      <c r="W393" s="658"/>
      <c r="X393" s="658"/>
      <c r="Y393" s="658"/>
      <c r="Z393" s="658"/>
    </row>
    <row r="394" ht="14.25" customHeight="1">
      <c r="A394" s="658"/>
      <c r="B394" s="658"/>
      <c r="C394" s="658"/>
      <c r="D394" s="658"/>
      <c r="E394" s="658"/>
      <c r="F394" s="658"/>
      <c r="G394" s="658"/>
      <c r="H394" s="658"/>
      <c r="I394" s="658"/>
      <c r="J394" s="658"/>
      <c r="K394" s="658"/>
      <c r="L394" s="658"/>
      <c r="M394" s="658"/>
      <c r="N394" s="658"/>
      <c r="O394" s="658"/>
      <c r="P394" s="658"/>
      <c r="Q394" s="658"/>
      <c r="R394" s="658"/>
      <c r="S394" s="658"/>
      <c r="T394" s="658"/>
      <c r="U394" s="658"/>
      <c r="V394" s="658"/>
      <c r="W394" s="658"/>
      <c r="X394" s="658"/>
      <c r="Y394" s="658"/>
      <c r="Z394" s="658"/>
    </row>
    <row r="395" ht="14.25" customHeight="1">
      <c r="A395" s="658"/>
      <c r="B395" s="658"/>
      <c r="C395" s="658"/>
      <c r="D395" s="658"/>
      <c r="E395" s="658"/>
      <c r="F395" s="658"/>
      <c r="G395" s="658"/>
      <c r="H395" s="658"/>
      <c r="I395" s="658"/>
      <c r="J395" s="658"/>
      <c r="K395" s="658"/>
      <c r="L395" s="658"/>
      <c r="M395" s="658"/>
      <c r="N395" s="658"/>
      <c r="O395" s="658"/>
      <c r="P395" s="658"/>
      <c r="Q395" s="658"/>
      <c r="R395" s="658"/>
      <c r="S395" s="658"/>
      <c r="T395" s="658"/>
      <c r="U395" s="658"/>
      <c r="V395" s="658"/>
      <c r="W395" s="658"/>
      <c r="X395" s="658"/>
      <c r="Y395" s="658"/>
      <c r="Z395" s="658"/>
    </row>
    <row r="396" ht="14.25" customHeight="1">
      <c r="A396" s="658"/>
      <c r="B396" s="658"/>
      <c r="C396" s="658"/>
      <c r="D396" s="658"/>
      <c r="E396" s="658"/>
      <c r="F396" s="658"/>
      <c r="G396" s="658"/>
      <c r="H396" s="658"/>
      <c r="I396" s="658"/>
      <c r="J396" s="658"/>
      <c r="K396" s="658"/>
      <c r="L396" s="658"/>
      <c r="M396" s="658"/>
      <c r="N396" s="658"/>
      <c r="O396" s="658"/>
      <c r="P396" s="658"/>
      <c r="Q396" s="658"/>
      <c r="R396" s="658"/>
      <c r="S396" s="658"/>
      <c r="T396" s="658"/>
      <c r="U396" s="658"/>
      <c r="V396" s="658"/>
      <c r="W396" s="658"/>
      <c r="X396" s="658"/>
      <c r="Y396" s="658"/>
      <c r="Z396" s="658"/>
    </row>
    <row r="397" ht="14.25" customHeight="1">
      <c r="A397" s="658"/>
      <c r="B397" s="658"/>
      <c r="C397" s="658"/>
      <c r="D397" s="658"/>
      <c r="E397" s="658"/>
      <c r="F397" s="658"/>
      <c r="G397" s="658"/>
      <c r="H397" s="658"/>
      <c r="I397" s="658"/>
      <c r="J397" s="658"/>
      <c r="K397" s="658"/>
      <c r="L397" s="658"/>
      <c r="M397" s="658"/>
      <c r="N397" s="658"/>
      <c r="O397" s="658"/>
      <c r="P397" s="658"/>
      <c r="Q397" s="658"/>
      <c r="R397" s="658"/>
      <c r="S397" s="658"/>
      <c r="T397" s="658"/>
      <c r="U397" s="658"/>
      <c r="V397" s="658"/>
      <c r="W397" s="658"/>
      <c r="X397" s="658"/>
      <c r="Y397" s="658"/>
      <c r="Z397" s="658"/>
    </row>
    <row r="398" ht="14.25" customHeight="1">
      <c r="A398" s="658"/>
      <c r="B398" s="658"/>
      <c r="C398" s="658"/>
      <c r="D398" s="658"/>
      <c r="E398" s="658"/>
      <c r="F398" s="658"/>
      <c r="G398" s="658"/>
      <c r="H398" s="658"/>
      <c r="I398" s="658"/>
      <c r="J398" s="658"/>
      <c r="K398" s="658"/>
      <c r="L398" s="658"/>
      <c r="M398" s="658"/>
      <c r="N398" s="658"/>
      <c r="O398" s="658"/>
      <c r="P398" s="658"/>
      <c r="Q398" s="658"/>
      <c r="R398" s="658"/>
      <c r="S398" s="658"/>
      <c r="T398" s="658"/>
      <c r="U398" s="658"/>
      <c r="V398" s="658"/>
      <c r="W398" s="658"/>
      <c r="X398" s="658"/>
      <c r="Y398" s="658"/>
      <c r="Z398" s="658"/>
    </row>
    <row r="399" ht="14.25" customHeight="1">
      <c r="A399" s="658"/>
      <c r="B399" s="658"/>
      <c r="C399" s="658"/>
      <c r="D399" s="658"/>
      <c r="E399" s="658"/>
      <c r="F399" s="658"/>
      <c r="G399" s="658"/>
      <c r="H399" s="658"/>
      <c r="I399" s="658"/>
      <c r="J399" s="658"/>
      <c r="K399" s="658"/>
      <c r="L399" s="658"/>
      <c r="M399" s="658"/>
      <c r="N399" s="658"/>
      <c r="O399" s="658"/>
      <c r="P399" s="658"/>
      <c r="Q399" s="658"/>
      <c r="R399" s="658"/>
      <c r="S399" s="658"/>
      <c r="T399" s="658"/>
      <c r="U399" s="658"/>
      <c r="V399" s="658"/>
      <c r="W399" s="658"/>
      <c r="X399" s="658"/>
      <c r="Y399" s="658"/>
      <c r="Z399" s="658"/>
    </row>
    <row r="400" ht="14.25" customHeight="1">
      <c r="A400" s="658"/>
      <c r="B400" s="658"/>
      <c r="C400" s="658"/>
      <c r="D400" s="658"/>
      <c r="E400" s="658"/>
      <c r="F400" s="658"/>
      <c r="G400" s="658"/>
      <c r="H400" s="658"/>
      <c r="I400" s="658"/>
      <c r="J400" s="658"/>
      <c r="K400" s="658"/>
      <c r="L400" s="658"/>
      <c r="M400" s="658"/>
      <c r="N400" s="658"/>
      <c r="O400" s="658"/>
      <c r="P400" s="658"/>
      <c r="Q400" s="658"/>
      <c r="R400" s="658"/>
      <c r="S400" s="658"/>
      <c r="T400" s="658"/>
      <c r="U400" s="658"/>
      <c r="V400" s="658"/>
      <c r="W400" s="658"/>
      <c r="X400" s="658"/>
      <c r="Y400" s="658"/>
      <c r="Z400" s="658"/>
    </row>
    <row r="401" ht="14.25" customHeight="1">
      <c r="A401" s="658"/>
      <c r="B401" s="658"/>
      <c r="C401" s="658"/>
      <c r="D401" s="658"/>
      <c r="E401" s="658"/>
      <c r="F401" s="658"/>
      <c r="G401" s="658"/>
      <c r="H401" s="658"/>
      <c r="I401" s="658"/>
      <c r="J401" s="658"/>
      <c r="K401" s="658"/>
      <c r="L401" s="658"/>
      <c r="M401" s="658"/>
      <c r="N401" s="658"/>
      <c r="O401" s="658"/>
      <c r="P401" s="658"/>
      <c r="Q401" s="658"/>
      <c r="R401" s="658"/>
      <c r="S401" s="658"/>
      <c r="T401" s="658"/>
      <c r="U401" s="658"/>
      <c r="V401" s="658"/>
      <c r="W401" s="658"/>
      <c r="X401" s="658"/>
      <c r="Y401" s="658"/>
      <c r="Z401" s="658"/>
    </row>
    <row r="402" ht="14.25" customHeight="1">
      <c r="A402" s="658"/>
      <c r="B402" s="658"/>
      <c r="C402" s="658"/>
      <c r="D402" s="658"/>
      <c r="E402" s="658"/>
      <c r="F402" s="658"/>
      <c r="G402" s="658"/>
      <c r="H402" s="658"/>
      <c r="I402" s="658"/>
      <c r="J402" s="658"/>
      <c r="K402" s="658"/>
      <c r="L402" s="658"/>
      <c r="M402" s="658"/>
      <c r="N402" s="658"/>
      <c r="O402" s="658"/>
      <c r="P402" s="658"/>
      <c r="Q402" s="658"/>
      <c r="R402" s="658"/>
      <c r="S402" s="658"/>
      <c r="T402" s="658"/>
      <c r="U402" s="658"/>
      <c r="V402" s="658"/>
      <c r="W402" s="658"/>
      <c r="X402" s="658"/>
      <c r="Y402" s="658"/>
      <c r="Z402" s="658"/>
    </row>
    <row r="403" ht="14.25" customHeight="1">
      <c r="A403" s="658"/>
      <c r="B403" s="658"/>
      <c r="C403" s="658"/>
      <c r="D403" s="658"/>
      <c r="E403" s="658"/>
      <c r="F403" s="658"/>
      <c r="G403" s="658"/>
      <c r="H403" s="658"/>
      <c r="I403" s="658"/>
      <c r="J403" s="658"/>
      <c r="K403" s="658"/>
      <c r="L403" s="658"/>
      <c r="M403" s="658"/>
      <c r="N403" s="658"/>
      <c r="O403" s="658"/>
      <c r="P403" s="658"/>
      <c r="Q403" s="658"/>
      <c r="R403" s="658"/>
      <c r="S403" s="658"/>
      <c r="T403" s="658"/>
      <c r="U403" s="658"/>
      <c r="V403" s="658"/>
      <c r="W403" s="658"/>
      <c r="X403" s="658"/>
      <c r="Y403" s="658"/>
      <c r="Z403" s="658"/>
    </row>
    <row r="404" ht="14.25" customHeight="1">
      <c r="A404" s="658"/>
      <c r="B404" s="658"/>
      <c r="C404" s="658"/>
      <c r="D404" s="658"/>
      <c r="E404" s="658"/>
      <c r="F404" s="658"/>
      <c r="G404" s="658"/>
      <c r="H404" s="658"/>
      <c r="I404" s="658"/>
      <c r="J404" s="658"/>
      <c r="K404" s="658"/>
      <c r="L404" s="658"/>
      <c r="M404" s="658"/>
      <c r="N404" s="658"/>
      <c r="O404" s="658"/>
      <c r="P404" s="658"/>
      <c r="Q404" s="658"/>
      <c r="R404" s="658"/>
      <c r="S404" s="658"/>
      <c r="T404" s="658"/>
      <c r="U404" s="658"/>
      <c r="V404" s="658"/>
      <c r="W404" s="658"/>
      <c r="X404" s="658"/>
      <c r="Y404" s="658"/>
      <c r="Z404" s="658"/>
    </row>
    <row r="405" ht="14.25" customHeight="1">
      <c r="A405" s="658"/>
      <c r="B405" s="658"/>
      <c r="C405" s="658"/>
      <c r="D405" s="658"/>
      <c r="E405" s="658"/>
      <c r="F405" s="658"/>
      <c r="G405" s="658"/>
      <c r="H405" s="658"/>
      <c r="I405" s="658"/>
      <c r="J405" s="658"/>
      <c r="K405" s="658"/>
      <c r="L405" s="658"/>
      <c r="M405" s="658"/>
      <c r="N405" s="658"/>
      <c r="O405" s="658"/>
      <c r="P405" s="658"/>
      <c r="Q405" s="658"/>
      <c r="R405" s="658"/>
      <c r="S405" s="658"/>
      <c r="T405" s="658"/>
      <c r="U405" s="658"/>
      <c r="V405" s="658"/>
      <c r="W405" s="658"/>
      <c r="X405" s="658"/>
      <c r="Y405" s="658"/>
      <c r="Z405" s="658"/>
    </row>
    <row r="406" ht="14.25" customHeight="1">
      <c r="A406" s="658"/>
      <c r="B406" s="658"/>
      <c r="C406" s="658"/>
      <c r="D406" s="658"/>
      <c r="E406" s="658"/>
      <c r="F406" s="658"/>
      <c r="G406" s="658"/>
      <c r="H406" s="658"/>
      <c r="I406" s="658"/>
      <c r="J406" s="658"/>
      <c r="K406" s="658"/>
      <c r="L406" s="658"/>
      <c r="M406" s="658"/>
      <c r="N406" s="658"/>
      <c r="O406" s="658"/>
      <c r="P406" s="658"/>
      <c r="Q406" s="658"/>
      <c r="R406" s="658"/>
      <c r="S406" s="658"/>
      <c r="T406" s="658"/>
      <c r="U406" s="658"/>
      <c r="V406" s="658"/>
      <c r="W406" s="658"/>
      <c r="X406" s="658"/>
      <c r="Y406" s="658"/>
      <c r="Z406" s="658"/>
    </row>
    <row r="407" ht="14.25" customHeight="1">
      <c r="A407" s="658"/>
      <c r="B407" s="658"/>
      <c r="C407" s="658"/>
      <c r="D407" s="658"/>
      <c r="E407" s="658"/>
      <c r="F407" s="658"/>
      <c r="G407" s="658"/>
      <c r="H407" s="658"/>
      <c r="I407" s="658"/>
      <c r="J407" s="658"/>
      <c r="K407" s="658"/>
      <c r="L407" s="658"/>
      <c r="M407" s="658"/>
      <c r="N407" s="658"/>
      <c r="O407" s="658"/>
      <c r="P407" s="658"/>
      <c r="Q407" s="658"/>
      <c r="R407" s="658"/>
      <c r="S407" s="658"/>
      <c r="T407" s="658"/>
      <c r="U407" s="658"/>
      <c r="V407" s="658"/>
      <c r="W407" s="658"/>
      <c r="X407" s="658"/>
      <c r="Y407" s="658"/>
      <c r="Z407" s="658"/>
    </row>
    <row r="408" ht="14.25" customHeight="1">
      <c r="A408" s="658"/>
      <c r="B408" s="658"/>
      <c r="C408" s="658"/>
      <c r="D408" s="658"/>
      <c r="E408" s="658"/>
      <c r="F408" s="658"/>
      <c r="G408" s="658"/>
      <c r="H408" s="658"/>
      <c r="I408" s="658"/>
      <c r="J408" s="658"/>
      <c r="K408" s="658"/>
      <c r="L408" s="658"/>
      <c r="M408" s="658"/>
      <c r="N408" s="658"/>
      <c r="O408" s="658"/>
      <c r="P408" s="658"/>
      <c r="Q408" s="658"/>
      <c r="R408" s="658"/>
      <c r="S408" s="658"/>
      <c r="T408" s="658"/>
      <c r="U408" s="658"/>
      <c r="V408" s="658"/>
      <c r="W408" s="658"/>
      <c r="X408" s="658"/>
      <c r="Y408" s="658"/>
      <c r="Z408" s="658"/>
    </row>
    <row r="409" ht="14.25" customHeight="1">
      <c r="A409" s="658"/>
      <c r="B409" s="658"/>
      <c r="C409" s="658"/>
      <c r="D409" s="658"/>
      <c r="E409" s="658"/>
      <c r="F409" s="658"/>
      <c r="G409" s="658"/>
      <c r="H409" s="658"/>
      <c r="I409" s="658"/>
      <c r="J409" s="658"/>
      <c r="K409" s="658"/>
      <c r="L409" s="658"/>
      <c r="M409" s="658"/>
      <c r="N409" s="658"/>
      <c r="O409" s="658"/>
      <c r="P409" s="658"/>
      <c r="Q409" s="658"/>
      <c r="R409" s="658"/>
      <c r="S409" s="658"/>
      <c r="T409" s="658"/>
      <c r="U409" s="658"/>
      <c r="V409" s="658"/>
      <c r="W409" s="658"/>
      <c r="X409" s="658"/>
      <c r="Y409" s="658"/>
      <c r="Z409" s="658"/>
    </row>
    <row r="410" ht="14.25" customHeight="1">
      <c r="A410" s="658"/>
      <c r="B410" s="658"/>
      <c r="C410" s="658"/>
      <c r="D410" s="658"/>
      <c r="E410" s="658"/>
      <c r="F410" s="658"/>
      <c r="G410" s="658"/>
      <c r="H410" s="658"/>
      <c r="I410" s="658"/>
      <c r="J410" s="658"/>
      <c r="K410" s="658"/>
      <c r="L410" s="658"/>
      <c r="M410" s="658"/>
      <c r="N410" s="658"/>
      <c r="O410" s="658"/>
      <c r="P410" s="658"/>
      <c r="Q410" s="658"/>
      <c r="R410" s="658"/>
      <c r="S410" s="658"/>
      <c r="T410" s="658"/>
      <c r="U410" s="658"/>
      <c r="V410" s="658"/>
      <c r="W410" s="658"/>
      <c r="X410" s="658"/>
      <c r="Y410" s="658"/>
      <c r="Z410" s="658"/>
    </row>
    <row r="411" ht="14.25" customHeight="1">
      <c r="A411" s="658"/>
      <c r="B411" s="658"/>
      <c r="C411" s="658"/>
      <c r="D411" s="658"/>
      <c r="E411" s="658"/>
      <c r="F411" s="658"/>
      <c r="G411" s="658"/>
      <c r="H411" s="658"/>
      <c r="I411" s="658"/>
      <c r="J411" s="658"/>
      <c r="K411" s="658"/>
      <c r="L411" s="658"/>
      <c r="M411" s="658"/>
      <c r="N411" s="658"/>
      <c r="O411" s="658"/>
      <c r="P411" s="658"/>
      <c r="Q411" s="658"/>
      <c r="R411" s="658"/>
      <c r="S411" s="658"/>
      <c r="T411" s="658"/>
      <c r="U411" s="658"/>
      <c r="V411" s="658"/>
      <c r="W411" s="658"/>
      <c r="X411" s="658"/>
      <c r="Y411" s="658"/>
      <c r="Z411" s="658"/>
    </row>
    <row r="412" ht="14.25" customHeight="1">
      <c r="A412" s="658"/>
      <c r="B412" s="658"/>
      <c r="C412" s="658"/>
      <c r="D412" s="658"/>
      <c r="E412" s="658"/>
      <c r="F412" s="658"/>
      <c r="G412" s="658"/>
      <c r="H412" s="658"/>
      <c r="I412" s="658"/>
      <c r="J412" s="658"/>
      <c r="K412" s="658"/>
      <c r="L412" s="658"/>
      <c r="M412" s="658"/>
      <c r="N412" s="658"/>
      <c r="O412" s="658"/>
      <c r="P412" s="658"/>
      <c r="Q412" s="658"/>
      <c r="R412" s="658"/>
      <c r="S412" s="658"/>
      <c r="T412" s="658"/>
      <c r="U412" s="658"/>
      <c r="V412" s="658"/>
      <c r="W412" s="658"/>
      <c r="X412" s="658"/>
      <c r="Y412" s="658"/>
      <c r="Z412" s="658"/>
    </row>
    <row r="413" ht="14.25" customHeight="1">
      <c r="A413" s="658"/>
      <c r="B413" s="658"/>
      <c r="C413" s="658"/>
      <c r="D413" s="658"/>
      <c r="E413" s="658"/>
      <c r="F413" s="658"/>
      <c r="G413" s="658"/>
      <c r="H413" s="658"/>
      <c r="I413" s="658"/>
      <c r="J413" s="658"/>
      <c r="K413" s="658"/>
      <c r="L413" s="658"/>
      <c r="M413" s="658"/>
      <c r="N413" s="658"/>
      <c r="O413" s="658"/>
      <c r="P413" s="658"/>
      <c r="Q413" s="658"/>
      <c r="R413" s="658"/>
      <c r="S413" s="658"/>
      <c r="T413" s="658"/>
      <c r="U413" s="658"/>
      <c r="V413" s="658"/>
      <c r="W413" s="658"/>
      <c r="X413" s="658"/>
      <c r="Y413" s="658"/>
      <c r="Z413" s="658"/>
    </row>
    <row r="414" ht="14.25" customHeight="1">
      <c r="A414" s="658"/>
      <c r="B414" s="658"/>
      <c r="C414" s="658"/>
      <c r="D414" s="658"/>
      <c r="E414" s="658"/>
      <c r="F414" s="658"/>
      <c r="G414" s="658"/>
      <c r="H414" s="658"/>
      <c r="I414" s="658"/>
      <c r="J414" s="658"/>
      <c r="K414" s="658"/>
      <c r="L414" s="658"/>
      <c r="M414" s="658"/>
      <c r="N414" s="658"/>
      <c r="O414" s="658"/>
      <c r="P414" s="658"/>
      <c r="Q414" s="658"/>
      <c r="R414" s="658"/>
      <c r="S414" s="658"/>
      <c r="T414" s="658"/>
      <c r="U414" s="658"/>
      <c r="V414" s="658"/>
      <c r="W414" s="658"/>
      <c r="X414" s="658"/>
      <c r="Y414" s="658"/>
      <c r="Z414" s="658"/>
    </row>
    <row r="415" ht="14.25" customHeight="1">
      <c r="A415" s="658"/>
      <c r="B415" s="658"/>
      <c r="C415" s="658"/>
      <c r="D415" s="658"/>
      <c r="E415" s="658"/>
      <c r="F415" s="658"/>
      <c r="G415" s="658"/>
      <c r="H415" s="658"/>
      <c r="I415" s="658"/>
      <c r="J415" s="658"/>
      <c r="K415" s="658"/>
      <c r="L415" s="658"/>
      <c r="M415" s="658"/>
      <c r="N415" s="658"/>
      <c r="O415" s="658"/>
      <c r="P415" s="658"/>
      <c r="Q415" s="658"/>
      <c r="R415" s="658"/>
      <c r="S415" s="658"/>
      <c r="T415" s="658"/>
      <c r="U415" s="658"/>
      <c r="V415" s="658"/>
      <c r="W415" s="658"/>
      <c r="X415" s="658"/>
      <c r="Y415" s="658"/>
      <c r="Z415" s="658"/>
    </row>
    <row r="416" ht="14.25" customHeight="1">
      <c r="A416" s="658"/>
      <c r="B416" s="658"/>
      <c r="C416" s="658"/>
      <c r="D416" s="658"/>
      <c r="E416" s="658"/>
      <c r="F416" s="658"/>
      <c r="G416" s="658"/>
      <c r="H416" s="658"/>
      <c r="I416" s="658"/>
      <c r="J416" s="658"/>
      <c r="K416" s="658"/>
      <c r="L416" s="658"/>
      <c r="M416" s="658"/>
      <c r="N416" s="658"/>
      <c r="O416" s="658"/>
      <c r="P416" s="658"/>
      <c r="Q416" s="658"/>
      <c r="R416" s="658"/>
      <c r="S416" s="658"/>
      <c r="T416" s="658"/>
      <c r="U416" s="658"/>
      <c r="V416" s="658"/>
      <c r="W416" s="658"/>
      <c r="X416" s="658"/>
      <c r="Y416" s="658"/>
      <c r="Z416" s="658"/>
    </row>
    <row r="417" ht="14.25" customHeight="1">
      <c r="A417" s="658"/>
      <c r="B417" s="658"/>
      <c r="C417" s="658"/>
      <c r="D417" s="658"/>
      <c r="E417" s="658"/>
      <c r="F417" s="658"/>
      <c r="G417" s="658"/>
      <c r="H417" s="658"/>
      <c r="I417" s="658"/>
      <c r="J417" s="658"/>
      <c r="K417" s="658"/>
      <c r="L417" s="658"/>
      <c r="M417" s="658"/>
      <c r="N417" s="658"/>
      <c r="O417" s="658"/>
      <c r="P417" s="658"/>
      <c r="Q417" s="658"/>
      <c r="R417" s="658"/>
      <c r="S417" s="658"/>
      <c r="T417" s="658"/>
      <c r="U417" s="658"/>
      <c r="V417" s="658"/>
      <c r="W417" s="658"/>
      <c r="X417" s="658"/>
      <c r="Y417" s="658"/>
      <c r="Z417" s="658"/>
    </row>
    <row r="418" ht="14.25" customHeight="1">
      <c r="A418" s="658"/>
      <c r="B418" s="658"/>
      <c r="C418" s="658"/>
      <c r="D418" s="658"/>
      <c r="E418" s="658"/>
      <c r="F418" s="658"/>
      <c r="G418" s="658"/>
      <c r="H418" s="658"/>
      <c r="I418" s="658"/>
      <c r="J418" s="658"/>
      <c r="K418" s="658"/>
      <c r="L418" s="658"/>
      <c r="M418" s="658"/>
      <c r="N418" s="658"/>
      <c r="O418" s="658"/>
      <c r="P418" s="658"/>
      <c r="Q418" s="658"/>
      <c r="R418" s="658"/>
      <c r="S418" s="658"/>
      <c r="T418" s="658"/>
      <c r="U418" s="658"/>
      <c r="V418" s="658"/>
      <c r="W418" s="658"/>
      <c r="X418" s="658"/>
      <c r="Y418" s="658"/>
      <c r="Z418" s="658"/>
    </row>
    <row r="419" ht="14.25" customHeight="1">
      <c r="A419" s="658"/>
      <c r="B419" s="658"/>
      <c r="C419" s="658"/>
      <c r="D419" s="658"/>
      <c r="E419" s="658"/>
      <c r="F419" s="658"/>
      <c r="G419" s="658"/>
      <c r="H419" s="658"/>
      <c r="I419" s="658"/>
      <c r="J419" s="658"/>
      <c r="K419" s="658"/>
      <c r="L419" s="658"/>
      <c r="M419" s="658"/>
      <c r="N419" s="658"/>
      <c r="O419" s="658"/>
      <c r="P419" s="658"/>
      <c r="Q419" s="658"/>
      <c r="R419" s="658"/>
      <c r="S419" s="658"/>
      <c r="T419" s="658"/>
      <c r="U419" s="658"/>
      <c r="V419" s="658"/>
      <c r="W419" s="658"/>
      <c r="X419" s="658"/>
      <c r="Y419" s="658"/>
      <c r="Z419" s="658"/>
    </row>
    <row r="420" ht="14.25" customHeight="1">
      <c r="A420" s="658"/>
      <c r="B420" s="658"/>
      <c r="C420" s="658"/>
      <c r="D420" s="658"/>
      <c r="E420" s="658"/>
      <c r="F420" s="658"/>
      <c r="G420" s="658"/>
      <c r="H420" s="658"/>
      <c r="I420" s="658"/>
      <c r="J420" s="658"/>
      <c r="K420" s="658"/>
      <c r="L420" s="658"/>
      <c r="M420" s="658"/>
      <c r="N420" s="658"/>
      <c r="O420" s="658"/>
      <c r="P420" s="658"/>
      <c r="Q420" s="658"/>
      <c r="R420" s="658"/>
      <c r="S420" s="658"/>
      <c r="T420" s="658"/>
      <c r="U420" s="658"/>
      <c r="V420" s="658"/>
      <c r="W420" s="658"/>
      <c r="X420" s="658"/>
      <c r="Y420" s="658"/>
      <c r="Z420" s="658"/>
    </row>
    <row r="421" ht="14.25" customHeight="1">
      <c r="A421" s="658"/>
      <c r="B421" s="658"/>
      <c r="C421" s="658"/>
      <c r="D421" s="658"/>
      <c r="E421" s="658"/>
      <c r="F421" s="658"/>
      <c r="G421" s="658"/>
      <c r="H421" s="658"/>
      <c r="I421" s="658"/>
      <c r="J421" s="658"/>
      <c r="K421" s="658"/>
      <c r="L421" s="658"/>
      <c r="M421" s="658"/>
      <c r="N421" s="658"/>
      <c r="O421" s="658"/>
      <c r="P421" s="658"/>
      <c r="Q421" s="658"/>
      <c r="R421" s="658"/>
      <c r="S421" s="658"/>
      <c r="T421" s="658"/>
      <c r="U421" s="658"/>
      <c r="V421" s="658"/>
      <c r="W421" s="658"/>
      <c r="X421" s="658"/>
      <c r="Y421" s="658"/>
      <c r="Z421" s="658"/>
    </row>
    <row r="422" ht="14.25" customHeight="1">
      <c r="A422" s="658"/>
      <c r="B422" s="658"/>
      <c r="C422" s="658"/>
      <c r="D422" s="658"/>
      <c r="E422" s="658"/>
      <c r="F422" s="658"/>
      <c r="G422" s="658"/>
      <c r="H422" s="658"/>
      <c r="I422" s="658"/>
      <c r="J422" s="658"/>
      <c r="K422" s="658"/>
      <c r="L422" s="658"/>
      <c r="M422" s="658"/>
      <c r="N422" s="658"/>
      <c r="O422" s="658"/>
      <c r="P422" s="658"/>
      <c r="Q422" s="658"/>
      <c r="R422" s="658"/>
      <c r="S422" s="658"/>
      <c r="T422" s="658"/>
      <c r="U422" s="658"/>
      <c r="V422" s="658"/>
      <c r="W422" s="658"/>
      <c r="X422" s="658"/>
      <c r="Y422" s="658"/>
      <c r="Z422" s="658"/>
    </row>
    <row r="423" ht="14.25" customHeight="1">
      <c r="A423" s="658"/>
      <c r="B423" s="658"/>
      <c r="C423" s="658"/>
      <c r="D423" s="658"/>
      <c r="E423" s="658"/>
      <c r="F423" s="658"/>
      <c r="G423" s="658"/>
      <c r="H423" s="658"/>
      <c r="I423" s="658"/>
      <c r="J423" s="658"/>
      <c r="K423" s="658"/>
      <c r="L423" s="658"/>
      <c r="M423" s="658"/>
      <c r="N423" s="658"/>
      <c r="O423" s="658"/>
      <c r="P423" s="658"/>
      <c r="Q423" s="658"/>
      <c r="R423" s="658"/>
      <c r="S423" s="658"/>
      <c r="T423" s="658"/>
      <c r="U423" s="658"/>
      <c r="V423" s="658"/>
      <c r="W423" s="658"/>
      <c r="X423" s="658"/>
      <c r="Y423" s="658"/>
      <c r="Z423" s="658"/>
    </row>
    <row r="424" ht="14.25" customHeight="1">
      <c r="A424" s="658"/>
      <c r="B424" s="658"/>
      <c r="C424" s="658"/>
      <c r="D424" s="658"/>
      <c r="E424" s="658"/>
      <c r="F424" s="658"/>
      <c r="G424" s="658"/>
      <c r="H424" s="658"/>
      <c r="I424" s="658"/>
      <c r="J424" s="658"/>
      <c r="K424" s="658"/>
      <c r="L424" s="658"/>
      <c r="M424" s="658"/>
      <c r="N424" s="658"/>
      <c r="O424" s="658"/>
      <c r="P424" s="658"/>
      <c r="Q424" s="658"/>
      <c r="R424" s="658"/>
      <c r="S424" s="658"/>
      <c r="T424" s="658"/>
      <c r="U424" s="658"/>
      <c r="V424" s="658"/>
      <c r="W424" s="658"/>
      <c r="X424" s="658"/>
      <c r="Y424" s="658"/>
      <c r="Z424" s="658"/>
    </row>
    <row r="425" ht="14.25" customHeight="1">
      <c r="A425" s="658"/>
      <c r="B425" s="658"/>
      <c r="C425" s="658"/>
      <c r="D425" s="658"/>
      <c r="E425" s="658"/>
      <c r="F425" s="658"/>
      <c r="G425" s="658"/>
      <c r="H425" s="658"/>
      <c r="I425" s="658"/>
      <c r="J425" s="658"/>
      <c r="K425" s="658"/>
      <c r="L425" s="658"/>
      <c r="M425" s="658"/>
      <c r="N425" s="658"/>
      <c r="O425" s="658"/>
      <c r="P425" s="658"/>
      <c r="Q425" s="658"/>
      <c r="R425" s="658"/>
      <c r="S425" s="658"/>
      <c r="T425" s="658"/>
      <c r="U425" s="658"/>
      <c r="V425" s="658"/>
      <c r="W425" s="658"/>
      <c r="X425" s="658"/>
      <c r="Y425" s="658"/>
      <c r="Z425" s="658"/>
    </row>
    <row r="426" ht="14.25" customHeight="1">
      <c r="A426" s="658"/>
      <c r="B426" s="658"/>
      <c r="C426" s="658"/>
      <c r="D426" s="658"/>
      <c r="E426" s="658"/>
      <c r="F426" s="658"/>
      <c r="G426" s="658"/>
      <c r="H426" s="658"/>
      <c r="I426" s="658"/>
      <c r="J426" s="658"/>
      <c r="K426" s="658"/>
      <c r="L426" s="658"/>
      <c r="M426" s="658"/>
      <c r="N426" s="658"/>
      <c r="O426" s="658"/>
      <c r="P426" s="658"/>
      <c r="Q426" s="658"/>
      <c r="R426" s="658"/>
      <c r="S426" s="658"/>
      <c r="T426" s="658"/>
      <c r="U426" s="658"/>
      <c r="V426" s="658"/>
      <c r="W426" s="658"/>
      <c r="X426" s="658"/>
      <c r="Y426" s="658"/>
      <c r="Z426" s="658"/>
    </row>
    <row r="427" ht="14.25" customHeight="1">
      <c r="A427" s="658"/>
      <c r="B427" s="658"/>
      <c r="C427" s="658"/>
      <c r="D427" s="658"/>
      <c r="E427" s="658"/>
      <c r="F427" s="658"/>
      <c r="G427" s="658"/>
      <c r="H427" s="658"/>
      <c r="I427" s="658"/>
      <c r="J427" s="658"/>
      <c r="K427" s="658"/>
      <c r="L427" s="658"/>
      <c r="M427" s="658"/>
      <c r="N427" s="658"/>
      <c r="O427" s="658"/>
      <c r="P427" s="658"/>
      <c r="Q427" s="658"/>
      <c r="R427" s="658"/>
      <c r="S427" s="658"/>
      <c r="T427" s="658"/>
      <c r="U427" s="658"/>
      <c r="V427" s="658"/>
      <c r="W427" s="658"/>
      <c r="X427" s="658"/>
      <c r="Y427" s="658"/>
      <c r="Z427" s="658"/>
    </row>
    <row r="428" ht="14.25" customHeight="1">
      <c r="A428" s="658"/>
      <c r="B428" s="658"/>
      <c r="C428" s="658"/>
      <c r="D428" s="658"/>
      <c r="E428" s="658"/>
      <c r="F428" s="658"/>
      <c r="G428" s="658"/>
      <c r="H428" s="658"/>
      <c r="I428" s="658"/>
      <c r="J428" s="658"/>
      <c r="K428" s="658"/>
      <c r="L428" s="658"/>
      <c r="M428" s="658"/>
      <c r="N428" s="658"/>
      <c r="O428" s="658"/>
      <c r="P428" s="658"/>
      <c r="Q428" s="658"/>
      <c r="R428" s="658"/>
      <c r="S428" s="658"/>
      <c r="T428" s="658"/>
      <c r="U428" s="658"/>
      <c r="V428" s="658"/>
      <c r="W428" s="658"/>
      <c r="X428" s="658"/>
      <c r="Y428" s="658"/>
      <c r="Z428" s="658"/>
    </row>
    <row r="429" ht="14.25" customHeight="1">
      <c r="A429" s="658"/>
      <c r="B429" s="658"/>
      <c r="C429" s="658"/>
      <c r="D429" s="658"/>
      <c r="E429" s="658"/>
      <c r="F429" s="658"/>
      <c r="G429" s="658"/>
      <c r="H429" s="658"/>
      <c r="I429" s="658"/>
      <c r="J429" s="658"/>
      <c r="K429" s="658"/>
      <c r="L429" s="658"/>
      <c r="M429" s="658"/>
      <c r="N429" s="658"/>
      <c r="O429" s="658"/>
      <c r="P429" s="658"/>
      <c r="Q429" s="658"/>
      <c r="R429" s="658"/>
      <c r="S429" s="658"/>
      <c r="T429" s="658"/>
      <c r="U429" s="658"/>
      <c r="V429" s="658"/>
      <c r="W429" s="658"/>
      <c r="X429" s="658"/>
      <c r="Y429" s="658"/>
      <c r="Z429" s="658"/>
    </row>
    <row r="430" ht="14.25" customHeight="1">
      <c r="A430" s="658"/>
      <c r="B430" s="658"/>
      <c r="C430" s="658"/>
      <c r="D430" s="658"/>
      <c r="E430" s="658"/>
      <c r="F430" s="658"/>
      <c r="G430" s="658"/>
      <c r="H430" s="658"/>
      <c r="I430" s="658"/>
      <c r="J430" s="658"/>
      <c r="K430" s="658"/>
      <c r="L430" s="658"/>
      <c r="M430" s="658"/>
      <c r="N430" s="658"/>
      <c r="O430" s="658"/>
      <c r="P430" s="658"/>
      <c r="Q430" s="658"/>
      <c r="R430" s="658"/>
      <c r="S430" s="658"/>
      <c r="T430" s="658"/>
      <c r="U430" s="658"/>
      <c r="V430" s="658"/>
      <c r="W430" s="658"/>
      <c r="X430" s="658"/>
      <c r="Y430" s="658"/>
      <c r="Z430" s="658"/>
    </row>
    <row r="431" ht="14.25" customHeight="1">
      <c r="A431" s="658"/>
      <c r="B431" s="658"/>
      <c r="C431" s="658"/>
      <c r="D431" s="658"/>
      <c r="E431" s="658"/>
      <c r="F431" s="658"/>
      <c r="G431" s="658"/>
      <c r="H431" s="658"/>
      <c r="I431" s="658"/>
      <c r="J431" s="658"/>
      <c r="K431" s="658"/>
      <c r="L431" s="658"/>
      <c r="M431" s="658"/>
      <c r="N431" s="658"/>
      <c r="O431" s="658"/>
      <c r="P431" s="658"/>
      <c r="Q431" s="658"/>
      <c r="R431" s="658"/>
      <c r="S431" s="658"/>
      <c r="T431" s="658"/>
      <c r="U431" s="658"/>
      <c r="V431" s="658"/>
      <c r="W431" s="658"/>
      <c r="X431" s="658"/>
      <c r="Y431" s="658"/>
      <c r="Z431" s="658"/>
    </row>
    <row r="432" ht="14.25" customHeight="1">
      <c r="A432" s="658"/>
      <c r="B432" s="658"/>
      <c r="C432" s="658"/>
      <c r="D432" s="658"/>
      <c r="E432" s="658"/>
      <c r="F432" s="658"/>
      <c r="G432" s="658"/>
      <c r="H432" s="658"/>
      <c r="I432" s="658"/>
      <c r="J432" s="658"/>
      <c r="K432" s="658"/>
      <c r="L432" s="658"/>
      <c r="M432" s="658"/>
      <c r="N432" s="658"/>
      <c r="O432" s="658"/>
      <c r="P432" s="658"/>
      <c r="Q432" s="658"/>
      <c r="R432" s="658"/>
      <c r="S432" s="658"/>
      <c r="T432" s="658"/>
      <c r="U432" s="658"/>
      <c r="V432" s="658"/>
      <c r="W432" s="658"/>
      <c r="X432" s="658"/>
      <c r="Y432" s="658"/>
      <c r="Z432" s="658"/>
    </row>
    <row r="433" ht="14.25" customHeight="1">
      <c r="A433" s="658"/>
      <c r="B433" s="658"/>
      <c r="C433" s="658"/>
      <c r="D433" s="658"/>
      <c r="E433" s="658"/>
      <c r="F433" s="658"/>
      <c r="G433" s="658"/>
      <c r="H433" s="658"/>
      <c r="I433" s="658"/>
      <c r="J433" s="658"/>
      <c r="K433" s="658"/>
      <c r="L433" s="658"/>
      <c r="M433" s="658"/>
      <c r="N433" s="658"/>
      <c r="O433" s="658"/>
      <c r="P433" s="658"/>
      <c r="Q433" s="658"/>
      <c r="R433" s="658"/>
      <c r="S433" s="658"/>
      <c r="T433" s="658"/>
      <c r="U433" s="658"/>
      <c r="V433" s="658"/>
      <c r="W433" s="658"/>
      <c r="X433" s="658"/>
      <c r="Y433" s="658"/>
      <c r="Z433" s="658"/>
    </row>
    <row r="434" ht="14.25" customHeight="1">
      <c r="A434" s="658"/>
      <c r="B434" s="658"/>
      <c r="C434" s="658"/>
      <c r="D434" s="658"/>
      <c r="E434" s="658"/>
      <c r="F434" s="658"/>
      <c r="G434" s="658"/>
      <c r="H434" s="658"/>
      <c r="I434" s="658"/>
      <c r="J434" s="658"/>
      <c r="K434" s="658"/>
      <c r="L434" s="658"/>
      <c r="M434" s="658"/>
      <c r="N434" s="658"/>
      <c r="O434" s="658"/>
      <c r="P434" s="658"/>
      <c r="Q434" s="658"/>
      <c r="R434" s="658"/>
      <c r="S434" s="658"/>
      <c r="T434" s="658"/>
      <c r="U434" s="658"/>
      <c r="V434" s="658"/>
      <c r="W434" s="658"/>
      <c r="X434" s="658"/>
      <c r="Y434" s="658"/>
      <c r="Z434" s="658"/>
    </row>
    <row r="435" ht="14.25" customHeight="1">
      <c r="A435" s="658"/>
      <c r="B435" s="658"/>
      <c r="C435" s="658"/>
      <c r="D435" s="658"/>
      <c r="E435" s="658"/>
      <c r="F435" s="658"/>
      <c r="G435" s="658"/>
      <c r="H435" s="658"/>
      <c r="I435" s="658"/>
      <c r="J435" s="658"/>
      <c r="K435" s="658"/>
      <c r="L435" s="658"/>
      <c r="M435" s="658"/>
      <c r="N435" s="658"/>
      <c r="O435" s="658"/>
      <c r="P435" s="658"/>
      <c r="Q435" s="658"/>
      <c r="R435" s="658"/>
      <c r="S435" s="658"/>
      <c r="T435" s="658"/>
      <c r="U435" s="658"/>
      <c r="V435" s="658"/>
      <c r="W435" s="658"/>
      <c r="X435" s="658"/>
      <c r="Y435" s="658"/>
      <c r="Z435" s="658"/>
    </row>
    <row r="436" ht="14.25" customHeight="1">
      <c r="A436" s="658"/>
      <c r="B436" s="658"/>
      <c r="C436" s="658"/>
      <c r="D436" s="658"/>
      <c r="E436" s="658"/>
      <c r="F436" s="658"/>
      <c r="G436" s="658"/>
      <c r="H436" s="658"/>
      <c r="I436" s="658"/>
      <c r="J436" s="658"/>
      <c r="K436" s="658"/>
      <c r="L436" s="658"/>
      <c r="M436" s="658"/>
      <c r="N436" s="658"/>
      <c r="O436" s="658"/>
      <c r="P436" s="658"/>
      <c r="Q436" s="658"/>
      <c r="R436" s="658"/>
      <c r="S436" s="658"/>
      <c r="T436" s="658"/>
      <c r="U436" s="658"/>
      <c r="V436" s="658"/>
      <c r="W436" s="658"/>
      <c r="X436" s="658"/>
      <c r="Y436" s="658"/>
      <c r="Z436" s="658"/>
    </row>
    <row r="437" ht="14.25" customHeight="1">
      <c r="A437" s="658"/>
      <c r="B437" s="658"/>
      <c r="C437" s="658"/>
      <c r="D437" s="658"/>
      <c r="E437" s="658"/>
      <c r="F437" s="658"/>
      <c r="G437" s="658"/>
      <c r="H437" s="658"/>
      <c r="I437" s="658"/>
      <c r="J437" s="658"/>
      <c r="K437" s="658"/>
      <c r="L437" s="658"/>
      <c r="M437" s="658"/>
      <c r="N437" s="658"/>
      <c r="O437" s="658"/>
      <c r="P437" s="658"/>
      <c r="Q437" s="658"/>
      <c r="R437" s="658"/>
      <c r="S437" s="658"/>
      <c r="T437" s="658"/>
      <c r="U437" s="658"/>
      <c r="V437" s="658"/>
      <c r="W437" s="658"/>
      <c r="X437" s="658"/>
      <c r="Y437" s="658"/>
      <c r="Z437" s="658"/>
    </row>
    <row r="438" ht="14.25" customHeight="1">
      <c r="A438" s="658"/>
      <c r="B438" s="658"/>
      <c r="C438" s="658"/>
      <c r="D438" s="658"/>
      <c r="E438" s="658"/>
      <c r="F438" s="658"/>
      <c r="G438" s="658"/>
      <c r="H438" s="658"/>
      <c r="I438" s="658"/>
      <c r="J438" s="658"/>
      <c r="K438" s="658"/>
      <c r="L438" s="658"/>
      <c r="M438" s="658"/>
      <c r="N438" s="658"/>
      <c r="O438" s="658"/>
      <c r="P438" s="658"/>
      <c r="Q438" s="658"/>
      <c r="R438" s="658"/>
      <c r="S438" s="658"/>
      <c r="T438" s="658"/>
      <c r="U438" s="658"/>
      <c r="V438" s="658"/>
      <c r="W438" s="658"/>
      <c r="X438" s="658"/>
      <c r="Y438" s="658"/>
      <c r="Z438" s="658"/>
    </row>
    <row r="439" ht="14.25" customHeight="1">
      <c r="A439" s="658"/>
      <c r="B439" s="658"/>
      <c r="C439" s="658"/>
      <c r="D439" s="658"/>
      <c r="E439" s="658"/>
      <c r="F439" s="658"/>
      <c r="G439" s="658"/>
      <c r="H439" s="658"/>
      <c r="I439" s="658"/>
      <c r="J439" s="658"/>
      <c r="K439" s="658"/>
      <c r="L439" s="658"/>
      <c r="M439" s="658"/>
      <c r="N439" s="658"/>
      <c r="O439" s="658"/>
      <c r="P439" s="658"/>
      <c r="Q439" s="658"/>
      <c r="R439" s="658"/>
      <c r="S439" s="658"/>
      <c r="T439" s="658"/>
      <c r="U439" s="658"/>
      <c r="V439" s="658"/>
      <c r="W439" s="658"/>
      <c r="X439" s="658"/>
      <c r="Y439" s="658"/>
      <c r="Z439" s="658"/>
    </row>
    <row r="440" ht="14.25" customHeight="1">
      <c r="A440" s="658"/>
      <c r="B440" s="658"/>
      <c r="C440" s="658"/>
      <c r="D440" s="658"/>
      <c r="E440" s="658"/>
      <c r="F440" s="658"/>
      <c r="G440" s="658"/>
      <c r="H440" s="658"/>
      <c r="I440" s="658"/>
      <c r="J440" s="658"/>
      <c r="K440" s="658"/>
      <c r="L440" s="658"/>
      <c r="M440" s="658"/>
      <c r="N440" s="658"/>
      <c r="O440" s="658"/>
      <c r="P440" s="658"/>
      <c r="Q440" s="658"/>
      <c r="R440" s="658"/>
      <c r="S440" s="658"/>
      <c r="T440" s="658"/>
      <c r="U440" s="658"/>
      <c r="V440" s="658"/>
      <c r="W440" s="658"/>
      <c r="X440" s="658"/>
      <c r="Y440" s="658"/>
      <c r="Z440" s="658"/>
    </row>
    <row r="441" ht="14.25" customHeight="1">
      <c r="A441" s="658"/>
      <c r="B441" s="658"/>
      <c r="C441" s="658"/>
      <c r="D441" s="658"/>
      <c r="E441" s="658"/>
      <c r="F441" s="658"/>
      <c r="G441" s="658"/>
      <c r="H441" s="658"/>
      <c r="I441" s="658"/>
      <c r="J441" s="658"/>
      <c r="K441" s="658"/>
      <c r="L441" s="658"/>
      <c r="M441" s="658"/>
      <c r="N441" s="658"/>
      <c r="O441" s="658"/>
      <c r="P441" s="658"/>
      <c r="Q441" s="658"/>
      <c r="R441" s="658"/>
      <c r="S441" s="658"/>
      <c r="T441" s="658"/>
      <c r="U441" s="658"/>
      <c r="V441" s="658"/>
      <c r="W441" s="658"/>
      <c r="X441" s="658"/>
      <c r="Y441" s="658"/>
      <c r="Z441" s="658"/>
    </row>
    <row r="442" ht="14.25" customHeight="1">
      <c r="A442" s="658"/>
      <c r="B442" s="658"/>
      <c r="C442" s="658"/>
      <c r="D442" s="658"/>
      <c r="E442" s="658"/>
      <c r="F442" s="658"/>
      <c r="G442" s="658"/>
      <c r="H442" s="658"/>
      <c r="I442" s="658"/>
      <c r="J442" s="658"/>
      <c r="K442" s="658"/>
      <c r="L442" s="658"/>
      <c r="M442" s="658"/>
      <c r="N442" s="658"/>
      <c r="O442" s="658"/>
      <c r="P442" s="658"/>
      <c r="Q442" s="658"/>
      <c r="R442" s="658"/>
      <c r="S442" s="658"/>
      <c r="T442" s="658"/>
      <c r="U442" s="658"/>
      <c r="V442" s="658"/>
      <c r="W442" s="658"/>
      <c r="X442" s="658"/>
      <c r="Y442" s="658"/>
      <c r="Z442" s="658"/>
    </row>
    <row r="443" ht="14.25" customHeight="1">
      <c r="A443" s="658"/>
      <c r="B443" s="658"/>
      <c r="C443" s="658"/>
      <c r="D443" s="658"/>
      <c r="E443" s="658"/>
      <c r="F443" s="658"/>
      <c r="G443" s="658"/>
      <c r="H443" s="658"/>
      <c r="I443" s="658"/>
      <c r="J443" s="658"/>
      <c r="K443" s="658"/>
      <c r="L443" s="658"/>
      <c r="M443" s="658"/>
      <c r="N443" s="658"/>
      <c r="O443" s="658"/>
      <c r="P443" s="658"/>
      <c r="Q443" s="658"/>
      <c r="R443" s="658"/>
      <c r="S443" s="658"/>
      <c r="T443" s="658"/>
      <c r="U443" s="658"/>
      <c r="V443" s="658"/>
      <c r="W443" s="658"/>
      <c r="X443" s="658"/>
      <c r="Y443" s="658"/>
      <c r="Z443" s="658"/>
    </row>
    <row r="444" ht="14.25" customHeight="1">
      <c r="A444" s="658"/>
      <c r="B444" s="658"/>
      <c r="C444" s="658"/>
      <c r="D444" s="658"/>
      <c r="E444" s="658"/>
      <c r="F444" s="658"/>
      <c r="G444" s="658"/>
      <c r="H444" s="658"/>
      <c r="I444" s="658"/>
      <c r="J444" s="658"/>
      <c r="K444" s="658"/>
      <c r="L444" s="658"/>
      <c r="M444" s="658"/>
      <c r="N444" s="658"/>
      <c r="O444" s="658"/>
      <c r="P444" s="658"/>
      <c r="Q444" s="658"/>
      <c r="R444" s="658"/>
      <c r="S444" s="658"/>
      <c r="T444" s="658"/>
      <c r="U444" s="658"/>
      <c r="V444" s="658"/>
      <c r="W444" s="658"/>
      <c r="X444" s="658"/>
      <c r="Y444" s="658"/>
      <c r="Z444" s="658"/>
    </row>
    <row r="445" ht="14.25" customHeight="1">
      <c r="A445" s="658"/>
      <c r="B445" s="658"/>
      <c r="C445" s="658"/>
      <c r="D445" s="658"/>
      <c r="E445" s="658"/>
      <c r="F445" s="658"/>
      <c r="G445" s="658"/>
      <c r="H445" s="658"/>
      <c r="I445" s="658"/>
      <c r="J445" s="658"/>
      <c r="K445" s="658"/>
      <c r="L445" s="658"/>
      <c r="M445" s="658"/>
      <c r="N445" s="658"/>
      <c r="O445" s="658"/>
      <c r="P445" s="658"/>
      <c r="Q445" s="658"/>
      <c r="R445" s="658"/>
      <c r="S445" s="658"/>
      <c r="T445" s="658"/>
      <c r="U445" s="658"/>
      <c r="V445" s="658"/>
      <c r="W445" s="658"/>
      <c r="X445" s="658"/>
      <c r="Y445" s="658"/>
      <c r="Z445" s="658"/>
    </row>
    <row r="446" ht="14.25" customHeight="1">
      <c r="A446" s="658"/>
      <c r="B446" s="658"/>
      <c r="C446" s="658"/>
      <c r="D446" s="658"/>
      <c r="E446" s="658"/>
      <c r="F446" s="658"/>
      <c r="G446" s="658"/>
      <c r="H446" s="658"/>
      <c r="I446" s="658"/>
      <c r="J446" s="658"/>
      <c r="K446" s="658"/>
      <c r="L446" s="658"/>
      <c r="M446" s="658"/>
      <c r="N446" s="658"/>
      <c r="O446" s="658"/>
      <c r="P446" s="658"/>
      <c r="Q446" s="658"/>
      <c r="R446" s="658"/>
      <c r="S446" s="658"/>
      <c r="T446" s="658"/>
      <c r="U446" s="658"/>
      <c r="V446" s="658"/>
      <c r="W446" s="658"/>
      <c r="X446" s="658"/>
      <c r="Y446" s="658"/>
      <c r="Z446" s="658"/>
    </row>
    <row r="447" ht="14.25" customHeight="1">
      <c r="A447" s="658"/>
      <c r="B447" s="658"/>
      <c r="C447" s="658"/>
      <c r="D447" s="658"/>
      <c r="E447" s="658"/>
      <c r="F447" s="658"/>
      <c r="G447" s="658"/>
      <c r="H447" s="658"/>
      <c r="I447" s="658"/>
      <c r="J447" s="658"/>
      <c r="K447" s="658"/>
      <c r="L447" s="658"/>
      <c r="M447" s="658"/>
      <c r="N447" s="658"/>
      <c r="O447" s="658"/>
      <c r="P447" s="658"/>
      <c r="Q447" s="658"/>
      <c r="R447" s="658"/>
      <c r="S447" s="658"/>
      <c r="T447" s="658"/>
      <c r="U447" s="658"/>
      <c r="V447" s="658"/>
      <c r="W447" s="658"/>
      <c r="X447" s="658"/>
      <c r="Y447" s="658"/>
      <c r="Z447" s="658"/>
    </row>
    <row r="448" ht="14.25" customHeight="1">
      <c r="A448" s="658"/>
      <c r="B448" s="658"/>
      <c r="C448" s="658"/>
      <c r="D448" s="658"/>
      <c r="E448" s="658"/>
      <c r="F448" s="658"/>
      <c r="G448" s="658"/>
      <c r="H448" s="658"/>
      <c r="I448" s="658"/>
      <c r="J448" s="658"/>
      <c r="K448" s="658"/>
      <c r="L448" s="658"/>
      <c r="M448" s="658"/>
      <c r="N448" s="658"/>
      <c r="O448" s="658"/>
      <c r="P448" s="658"/>
      <c r="Q448" s="658"/>
      <c r="R448" s="658"/>
      <c r="S448" s="658"/>
      <c r="T448" s="658"/>
      <c r="U448" s="658"/>
      <c r="V448" s="658"/>
      <c r="W448" s="658"/>
      <c r="X448" s="658"/>
      <c r="Y448" s="658"/>
      <c r="Z448" s="658"/>
    </row>
    <row r="449" ht="14.25" customHeight="1">
      <c r="A449" s="658"/>
      <c r="B449" s="658"/>
      <c r="C449" s="658"/>
      <c r="D449" s="658"/>
      <c r="E449" s="658"/>
      <c r="F449" s="658"/>
      <c r="G449" s="658"/>
      <c r="H449" s="658"/>
      <c r="I449" s="658"/>
      <c r="J449" s="658"/>
      <c r="K449" s="658"/>
      <c r="L449" s="658"/>
      <c r="M449" s="658"/>
      <c r="N449" s="658"/>
      <c r="O449" s="658"/>
      <c r="P449" s="658"/>
      <c r="Q449" s="658"/>
      <c r="R449" s="658"/>
      <c r="S449" s="658"/>
      <c r="T449" s="658"/>
      <c r="U449" s="658"/>
      <c r="V449" s="658"/>
      <c r="W449" s="658"/>
      <c r="X449" s="658"/>
      <c r="Y449" s="658"/>
      <c r="Z449" s="658"/>
    </row>
    <row r="450" ht="14.25" customHeight="1">
      <c r="A450" s="658"/>
      <c r="B450" s="658"/>
      <c r="C450" s="658"/>
      <c r="D450" s="658"/>
      <c r="E450" s="658"/>
      <c r="F450" s="658"/>
      <c r="G450" s="658"/>
      <c r="H450" s="658"/>
      <c r="I450" s="658"/>
      <c r="J450" s="658"/>
      <c r="K450" s="658"/>
      <c r="L450" s="658"/>
      <c r="M450" s="658"/>
      <c r="N450" s="658"/>
      <c r="O450" s="658"/>
      <c r="P450" s="658"/>
      <c r="Q450" s="658"/>
      <c r="R450" s="658"/>
      <c r="S450" s="658"/>
      <c r="T450" s="658"/>
      <c r="U450" s="658"/>
      <c r="V450" s="658"/>
      <c r="W450" s="658"/>
      <c r="X450" s="658"/>
      <c r="Y450" s="658"/>
      <c r="Z450" s="658"/>
    </row>
    <row r="451" ht="14.25" customHeight="1">
      <c r="A451" s="658"/>
      <c r="B451" s="658"/>
      <c r="C451" s="658"/>
      <c r="D451" s="658"/>
      <c r="E451" s="658"/>
      <c r="F451" s="658"/>
      <c r="G451" s="658"/>
      <c r="H451" s="658"/>
      <c r="I451" s="658"/>
      <c r="J451" s="658"/>
      <c r="K451" s="658"/>
      <c r="L451" s="658"/>
      <c r="M451" s="658"/>
      <c r="N451" s="658"/>
      <c r="O451" s="658"/>
      <c r="P451" s="658"/>
      <c r="Q451" s="658"/>
      <c r="R451" s="658"/>
      <c r="S451" s="658"/>
      <c r="T451" s="658"/>
      <c r="U451" s="658"/>
      <c r="V451" s="658"/>
      <c r="W451" s="658"/>
      <c r="X451" s="658"/>
      <c r="Y451" s="658"/>
      <c r="Z451" s="658"/>
    </row>
    <row r="452" ht="14.25" customHeight="1">
      <c r="A452" s="658"/>
      <c r="B452" s="658"/>
      <c r="C452" s="658"/>
      <c r="D452" s="658"/>
      <c r="E452" s="658"/>
      <c r="F452" s="658"/>
      <c r="G452" s="658"/>
      <c r="H452" s="658"/>
      <c r="I452" s="658"/>
      <c r="J452" s="658"/>
      <c r="K452" s="658"/>
      <c r="L452" s="658"/>
      <c r="M452" s="658"/>
      <c r="N452" s="658"/>
      <c r="O452" s="658"/>
      <c r="P452" s="658"/>
      <c r="Q452" s="658"/>
      <c r="R452" s="658"/>
      <c r="S452" s="658"/>
      <c r="T452" s="658"/>
      <c r="U452" s="658"/>
      <c r="V452" s="658"/>
      <c r="W452" s="658"/>
      <c r="X452" s="658"/>
      <c r="Y452" s="658"/>
      <c r="Z452" s="658"/>
    </row>
    <row r="453" ht="14.25" customHeight="1">
      <c r="A453" s="658"/>
      <c r="B453" s="658"/>
      <c r="C453" s="658"/>
      <c r="D453" s="658"/>
      <c r="E453" s="658"/>
      <c r="F453" s="658"/>
      <c r="G453" s="658"/>
      <c r="H453" s="658"/>
      <c r="I453" s="658"/>
      <c r="J453" s="658"/>
      <c r="K453" s="658"/>
      <c r="L453" s="658"/>
      <c r="M453" s="658"/>
      <c r="N453" s="658"/>
      <c r="O453" s="658"/>
      <c r="P453" s="658"/>
      <c r="Q453" s="658"/>
      <c r="R453" s="658"/>
      <c r="S453" s="658"/>
      <c r="T453" s="658"/>
      <c r="U453" s="658"/>
      <c r="V453" s="658"/>
      <c r="W453" s="658"/>
      <c r="X453" s="658"/>
      <c r="Y453" s="658"/>
      <c r="Z453" s="658"/>
    </row>
    <row r="454" ht="14.25" customHeight="1">
      <c r="A454" s="658"/>
      <c r="B454" s="658"/>
      <c r="C454" s="658"/>
      <c r="D454" s="658"/>
      <c r="E454" s="658"/>
      <c r="F454" s="658"/>
      <c r="G454" s="658"/>
      <c r="H454" s="658"/>
      <c r="I454" s="658"/>
      <c r="J454" s="658"/>
      <c r="K454" s="658"/>
      <c r="L454" s="658"/>
      <c r="M454" s="658"/>
      <c r="N454" s="658"/>
      <c r="O454" s="658"/>
      <c r="P454" s="658"/>
      <c r="Q454" s="658"/>
      <c r="R454" s="658"/>
      <c r="S454" s="658"/>
      <c r="T454" s="658"/>
      <c r="U454" s="658"/>
      <c r="V454" s="658"/>
      <c r="W454" s="658"/>
      <c r="X454" s="658"/>
      <c r="Y454" s="658"/>
      <c r="Z454" s="658"/>
    </row>
    <row r="455" ht="14.25" customHeight="1">
      <c r="A455" s="658"/>
      <c r="B455" s="658"/>
      <c r="C455" s="658"/>
      <c r="D455" s="658"/>
      <c r="E455" s="658"/>
      <c r="F455" s="658"/>
      <c r="G455" s="658"/>
      <c r="H455" s="658"/>
      <c r="I455" s="658"/>
      <c r="J455" s="658"/>
      <c r="K455" s="658"/>
      <c r="L455" s="658"/>
      <c r="M455" s="658"/>
      <c r="N455" s="658"/>
      <c r="O455" s="658"/>
      <c r="P455" s="658"/>
      <c r="Q455" s="658"/>
      <c r="R455" s="658"/>
      <c r="S455" s="658"/>
      <c r="T455" s="658"/>
      <c r="U455" s="658"/>
      <c r="V455" s="658"/>
      <c r="W455" s="658"/>
      <c r="X455" s="658"/>
      <c r="Y455" s="658"/>
      <c r="Z455" s="658"/>
    </row>
    <row r="456" ht="14.25" customHeight="1">
      <c r="A456" s="658"/>
      <c r="B456" s="658"/>
      <c r="C456" s="658"/>
      <c r="D456" s="658"/>
      <c r="E456" s="658"/>
      <c r="F456" s="658"/>
      <c r="G456" s="658"/>
      <c r="H456" s="658"/>
      <c r="I456" s="658"/>
      <c r="J456" s="658"/>
      <c r="K456" s="658"/>
      <c r="L456" s="658"/>
      <c r="M456" s="658"/>
      <c r="N456" s="658"/>
      <c r="O456" s="658"/>
      <c r="P456" s="658"/>
      <c r="Q456" s="658"/>
      <c r="R456" s="658"/>
      <c r="S456" s="658"/>
      <c r="T456" s="658"/>
      <c r="U456" s="658"/>
      <c r="V456" s="658"/>
      <c r="W456" s="658"/>
      <c r="X456" s="658"/>
      <c r="Y456" s="658"/>
      <c r="Z456" s="658"/>
    </row>
    <row r="457" ht="14.25" customHeight="1">
      <c r="A457" s="658"/>
      <c r="B457" s="658"/>
      <c r="C457" s="658"/>
      <c r="D457" s="658"/>
      <c r="E457" s="658"/>
      <c r="F457" s="658"/>
      <c r="G457" s="658"/>
      <c r="H457" s="658"/>
      <c r="I457" s="658"/>
      <c r="J457" s="658"/>
      <c r="K457" s="658"/>
      <c r="L457" s="658"/>
      <c r="M457" s="658"/>
      <c r="N457" s="658"/>
      <c r="O457" s="658"/>
      <c r="P457" s="658"/>
      <c r="Q457" s="658"/>
      <c r="R457" s="658"/>
      <c r="S457" s="658"/>
      <c r="T457" s="658"/>
      <c r="U457" s="658"/>
      <c r="V457" s="658"/>
      <c r="W457" s="658"/>
      <c r="X457" s="658"/>
      <c r="Y457" s="658"/>
      <c r="Z457" s="658"/>
    </row>
    <row r="458" ht="14.25" customHeight="1">
      <c r="A458" s="658"/>
      <c r="B458" s="658"/>
      <c r="C458" s="658"/>
      <c r="D458" s="658"/>
      <c r="E458" s="658"/>
      <c r="F458" s="658"/>
      <c r="G458" s="658"/>
      <c r="H458" s="658"/>
      <c r="I458" s="658"/>
      <c r="J458" s="658"/>
      <c r="K458" s="658"/>
      <c r="L458" s="658"/>
      <c r="M458" s="658"/>
      <c r="N458" s="658"/>
      <c r="O458" s="658"/>
      <c r="P458" s="658"/>
      <c r="Q458" s="658"/>
      <c r="R458" s="658"/>
      <c r="S458" s="658"/>
      <c r="T458" s="658"/>
      <c r="U458" s="658"/>
      <c r="V458" s="658"/>
      <c r="W458" s="658"/>
      <c r="X458" s="658"/>
      <c r="Y458" s="658"/>
      <c r="Z458" s="658"/>
    </row>
    <row r="459" ht="14.25" customHeight="1">
      <c r="A459" s="658"/>
      <c r="B459" s="658"/>
      <c r="C459" s="658"/>
      <c r="D459" s="658"/>
      <c r="E459" s="658"/>
      <c r="F459" s="658"/>
      <c r="G459" s="658"/>
      <c r="H459" s="658"/>
      <c r="I459" s="658"/>
      <c r="J459" s="658"/>
      <c r="K459" s="658"/>
      <c r="L459" s="658"/>
      <c r="M459" s="658"/>
      <c r="N459" s="658"/>
      <c r="O459" s="658"/>
      <c r="P459" s="658"/>
      <c r="Q459" s="658"/>
      <c r="R459" s="658"/>
      <c r="S459" s="658"/>
      <c r="T459" s="658"/>
      <c r="U459" s="658"/>
      <c r="V459" s="658"/>
      <c r="W459" s="658"/>
      <c r="X459" s="658"/>
      <c r="Y459" s="658"/>
      <c r="Z459" s="658"/>
    </row>
    <row r="460" ht="14.25" customHeight="1">
      <c r="A460" s="658"/>
      <c r="B460" s="658"/>
      <c r="C460" s="658"/>
      <c r="D460" s="658"/>
      <c r="E460" s="658"/>
      <c r="F460" s="658"/>
      <c r="G460" s="658"/>
      <c r="H460" s="658"/>
      <c r="I460" s="658"/>
      <c r="J460" s="658"/>
      <c r="K460" s="658"/>
      <c r="L460" s="658"/>
      <c r="M460" s="658"/>
      <c r="N460" s="658"/>
      <c r="O460" s="658"/>
      <c r="P460" s="658"/>
      <c r="Q460" s="658"/>
      <c r="R460" s="658"/>
      <c r="S460" s="658"/>
      <c r="T460" s="658"/>
      <c r="U460" s="658"/>
      <c r="V460" s="658"/>
      <c r="W460" s="658"/>
      <c r="X460" s="658"/>
      <c r="Y460" s="658"/>
      <c r="Z460" s="658"/>
    </row>
    <row r="461" ht="14.25" customHeight="1">
      <c r="A461" s="658"/>
      <c r="B461" s="658"/>
      <c r="C461" s="658"/>
      <c r="D461" s="658"/>
      <c r="E461" s="658"/>
      <c r="F461" s="658"/>
      <c r="G461" s="658"/>
      <c r="H461" s="658"/>
      <c r="I461" s="658"/>
      <c r="J461" s="658"/>
      <c r="K461" s="658"/>
      <c r="L461" s="658"/>
      <c r="M461" s="658"/>
      <c r="N461" s="658"/>
      <c r="O461" s="658"/>
      <c r="P461" s="658"/>
      <c r="Q461" s="658"/>
      <c r="R461" s="658"/>
      <c r="S461" s="658"/>
      <c r="T461" s="658"/>
      <c r="U461" s="658"/>
      <c r="V461" s="658"/>
      <c r="W461" s="658"/>
      <c r="X461" s="658"/>
      <c r="Y461" s="658"/>
      <c r="Z461" s="658"/>
    </row>
    <row r="462" ht="14.25" customHeight="1">
      <c r="A462" s="658"/>
      <c r="B462" s="658"/>
      <c r="C462" s="658"/>
      <c r="D462" s="658"/>
      <c r="E462" s="658"/>
      <c r="F462" s="658"/>
      <c r="G462" s="658"/>
      <c r="H462" s="658"/>
      <c r="I462" s="658"/>
      <c r="J462" s="658"/>
      <c r="K462" s="658"/>
      <c r="L462" s="658"/>
      <c r="M462" s="658"/>
      <c r="N462" s="658"/>
      <c r="O462" s="658"/>
      <c r="P462" s="658"/>
      <c r="Q462" s="658"/>
      <c r="R462" s="658"/>
      <c r="S462" s="658"/>
      <c r="T462" s="658"/>
      <c r="U462" s="658"/>
      <c r="V462" s="658"/>
      <c r="W462" s="658"/>
      <c r="X462" s="658"/>
      <c r="Y462" s="658"/>
      <c r="Z462" s="658"/>
    </row>
    <row r="463" ht="14.25" customHeight="1">
      <c r="A463" s="658"/>
      <c r="B463" s="658"/>
      <c r="C463" s="658"/>
      <c r="D463" s="658"/>
      <c r="E463" s="658"/>
      <c r="F463" s="658"/>
      <c r="G463" s="658"/>
      <c r="H463" s="658"/>
      <c r="I463" s="658"/>
      <c r="J463" s="658"/>
      <c r="K463" s="658"/>
      <c r="L463" s="658"/>
      <c r="M463" s="658"/>
      <c r="N463" s="658"/>
      <c r="O463" s="658"/>
      <c r="P463" s="658"/>
      <c r="Q463" s="658"/>
      <c r="R463" s="658"/>
      <c r="S463" s="658"/>
      <c r="T463" s="658"/>
      <c r="U463" s="658"/>
      <c r="V463" s="658"/>
      <c r="W463" s="658"/>
      <c r="X463" s="658"/>
      <c r="Y463" s="658"/>
      <c r="Z463" s="658"/>
    </row>
    <row r="464" ht="14.25" customHeight="1">
      <c r="A464" s="658"/>
      <c r="B464" s="658"/>
      <c r="C464" s="658"/>
      <c r="D464" s="658"/>
      <c r="E464" s="658"/>
      <c r="F464" s="658"/>
      <c r="G464" s="658"/>
      <c r="H464" s="658"/>
      <c r="I464" s="658"/>
      <c r="J464" s="658"/>
      <c r="K464" s="658"/>
      <c r="L464" s="658"/>
      <c r="M464" s="658"/>
      <c r="N464" s="658"/>
      <c r="O464" s="658"/>
      <c r="P464" s="658"/>
      <c r="Q464" s="658"/>
      <c r="R464" s="658"/>
      <c r="S464" s="658"/>
      <c r="T464" s="658"/>
      <c r="U464" s="658"/>
      <c r="V464" s="658"/>
      <c r="W464" s="658"/>
      <c r="X464" s="658"/>
      <c r="Y464" s="658"/>
      <c r="Z464" s="658"/>
    </row>
    <row r="465" ht="14.25" customHeight="1">
      <c r="A465" s="658"/>
      <c r="B465" s="658"/>
      <c r="C465" s="658"/>
      <c r="D465" s="658"/>
      <c r="E465" s="658"/>
      <c r="F465" s="658"/>
      <c r="G465" s="658"/>
      <c r="H465" s="658"/>
      <c r="I465" s="658"/>
      <c r="J465" s="658"/>
      <c r="K465" s="658"/>
      <c r="L465" s="658"/>
      <c r="M465" s="658"/>
      <c r="N465" s="658"/>
      <c r="O465" s="658"/>
      <c r="P465" s="658"/>
      <c r="Q465" s="658"/>
      <c r="R465" s="658"/>
      <c r="S465" s="658"/>
      <c r="T465" s="658"/>
      <c r="U465" s="658"/>
      <c r="V465" s="658"/>
      <c r="W465" s="658"/>
      <c r="X465" s="658"/>
      <c r="Y465" s="658"/>
      <c r="Z465" s="658"/>
    </row>
    <row r="466" ht="14.25" customHeight="1">
      <c r="A466" s="658"/>
      <c r="B466" s="658"/>
      <c r="C466" s="658"/>
      <c r="D466" s="658"/>
      <c r="E466" s="658"/>
      <c r="F466" s="658"/>
      <c r="G466" s="658"/>
      <c r="H466" s="658"/>
      <c r="I466" s="658"/>
      <c r="J466" s="658"/>
      <c r="K466" s="658"/>
      <c r="L466" s="658"/>
      <c r="M466" s="658"/>
      <c r="N466" s="658"/>
      <c r="O466" s="658"/>
      <c r="P466" s="658"/>
      <c r="Q466" s="658"/>
      <c r="R466" s="658"/>
      <c r="S466" s="658"/>
      <c r="T466" s="658"/>
      <c r="U466" s="658"/>
      <c r="V466" s="658"/>
      <c r="W466" s="658"/>
      <c r="X466" s="658"/>
      <c r="Y466" s="658"/>
      <c r="Z466" s="658"/>
    </row>
    <row r="467" ht="14.25" customHeight="1">
      <c r="A467" s="658"/>
      <c r="B467" s="658"/>
      <c r="C467" s="658"/>
      <c r="D467" s="658"/>
      <c r="E467" s="658"/>
      <c r="F467" s="658"/>
      <c r="G467" s="658"/>
      <c r="H467" s="658"/>
      <c r="I467" s="658"/>
      <c r="J467" s="658"/>
      <c r="K467" s="658"/>
      <c r="L467" s="658"/>
      <c r="M467" s="658"/>
      <c r="N467" s="658"/>
      <c r="O467" s="658"/>
      <c r="P467" s="658"/>
      <c r="Q467" s="658"/>
      <c r="R467" s="658"/>
      <c r="S467" s="658"/>
      <c r="T467" s="658"/>
      <c r="U467" s="658"/>
      <c r="V467" s="658"/>
      <c r="W467" s="658"/>
      <c r="X467" s="658"/>
      <c r="Y467" s="658"/>
      <c r="Z467" s="658"/>
    </row>
    <row r="468" ht="14.25" customHeight="1">
      <c r="A468" s="658"/>
      <c r="B468" s="658"/>
      <c r="C468" s="658"/>
      <c r="D468" s="658"/>
      <c r="E468" s="658"/>
      <c r="F468" s="658"/>
      <c r="G468" s="658"/>
      <c r="H468" s="658"/>
      <c r="I468" s="658"/>
      <c r="J468" s="658"/>
      <c r="K468" s="658"/>
      <c r="L468" s="658"/>
      <c r="M468" s="658"/>
      <c r="N468" s="658"/>
      <c r="O468" s="658"/>
      <c r="P468" s="658"/>
      <c r="Q468" s="658"/>
      <c r="R468" s="658"/>
      <c r="S468" s="658"/>
      <c r="T468" s="658"/>
      <c r="U468" s="658"/>
      <c r="V468" s="658"/>
      <c r="W468" s="658"/>
      <c r="X468" s="658"/>
      <c r="Y468" s="658"/>
      <c r="Z468" s="658"/>
    </row>
    <row r="469" ht="14.25" customHeight="1">
      <c r="A469" s="658"/>
      <c r="B469" s="658"/>
      <c r="C469" s="658"/>
      <c r="D469" s="658"/>
      <c r="E469" s="658"/>
      <c r="F469" s="658"/>
      <c r="G469" s="658"/>
      <c r="H469" s="658"/>
      <c r="I469" s="658"/>
      <c r="J469" s="658"/>
      <c r="K469" s="658"/>
      <c r="L469" s="658"/>
      <c r="M469" s="658"/>
      <c r="N469" s="658"/>
      <c r="O469" s="658"/>
      <c r="P469" s="658"/>
      <c r="Q469" s="658"/>
      <c r="R469" s="658"/>
      <c r="S469" s="658"/>
      <c r="T469" s="658"/>
      <c r="U469" s="658"/>
      <c r="V469" s="658"/>
      <c r="W469" s="658"/>
      <c r="X469" s="658"/>
      <c r="Y469" s="658"/>
      <c r="Z469" s="658"/>
    </row>
    <row r="470" ht="14.25" customHeight="1">
      <c r="A470" s="658"/>
      <c r="B470" s="658"/>
      <c r="C470" s="658"/>
      <c r="D470" s="658"/>
      <c r="E470" s="658"/>
      <c r="F470" s="658"/>
      <c r="G470" s="658"/>
      <c r="H470" s="658"/>
      <c r="I470" s="658"/>
      <c r="J470" s="658"/>
      <c r="K470" s="658"/>
      <c r="L470" s="658"/>
      <c r="M470" s="658"/>
      <c r="N470" s="658"/>
      <c r="O470" s="658"/>
      <c r="P470" s="658"/>
      <c r="Q470" s="658"/>
      <c r="R470" s="658"/>
      <c r="S470" s="658"/>
      <c r="T470" s="658"/>
      <c r="U470" s="658"/>
      <c r="V470" s="658"/>
      <c r="W470" s="658"/>
      <c r="X470" s="658"/>
      <c r="Y470" s="658"/>
      <c r="Z470" s="658"/>
    </row>
    <row r="471" ht="14.25" customHeight="1">
      <c r="A471" s="658"/>
      <c r="B471" s="658"/>
      <c r="C471" s="658"/>
      <c r="D471" s="658"/>
      <c r="E471" s="658"/>
      <c r="F471" s="658"/>
      <c r="G471" s="658"/>
      <c r="H471" s="658"/>
      <c r="I471" s="658"/>
      <c r="J471" s="658"/>
      <c r="K471" s="658"/>
      <c r="L471" s="658"/>
      <c r="M471" s="658"/>
      <c r="N471" s="658"/>
      <c r="O471" s="658"/>
      <c r="P471" s="658"/>
      <c r="Q471" s="658"/>
      <c r="R471" s="658"/>
      <c r="S471" s="658"/>
      <c r="T471" s="658"/>
      <c r="U471" s="658"/>
      <c r="V471" s="658"/>
      <c r="W471" s="658"/>
      <c r="X471" s="658"/>
      <c r="Y471" s="658"/>
      <c r="Z471" s="658"/>
    </row>
    <row r="472" ht="14.25" customHeight="1">
      <c r="A472" s="658"/>
      <c r="B472" s="658"/>
      <c r="C472" s="658"/>
      <c r="D472" s="658"/>
      <c r="E472" s="658"/>
      <c r="F472" s="658"/>
      <c r="G472" s="658"/>
      <c r="H472" s="658"/>
      <c r="I472" s="658"/>
      <c r="J472" s="658"/>
      <c r="K472" s="658"/>
      <c r="L472" s="658"/>
      <c r="M472" s="658"/>
      <c r="N472" s="658"/>
      <c r="O472" s="658"/>
      <c r="P472" s="658"/>
      <c r="Q472" s="658"/>
      <c r="R472" s="658"/>
      <c r="S472" s="658"/>
      <c r="T472" s="658"/>
      <c r="U472" s="658"/>
      <c r="V472" s="658"/>
      <c r="W472" s="658"/>
      <c r="X472" s="658"/>
      <c r="Y472" s="658"/>
      <c r="Z472" s="658"/>
    </row>
    <row r="473" ht="14.25" customHeight="1">
      <c r="A473" s="658"/>
      <c r="B473" s="658"/>
      <c r="C473" s="658"/>
      <c r="D473" s="658"/>
      <c r="E473" s="658"/>
      <c r="F473" s="658"/>
      <c r="G473" s="658"/>
      <c r="H473" s="658"/>
      <c r="I473" s="658"/>
      <c r="J473" s="658"/>
      <c r="K473" s="658"/>
      <c r="L473" s="658"/>
      <c r="M473" s="658"/>
      <c r="N473" s="658"/>
      <c r="O473" s="658"/>
      <c r="P473" s="658"/>
      <c r="Q473" s="658"/>
      <c r="R473" s="658"/>
      <c r="S473" s="658"/>
      <c r="T473" s="658"/>
      <c r="U473" s="658"/>
      <c r="V473" s="658"/>
      <c r="W473" s="658"/>
      <c r="X473" s="658"/>
      <c r="Y473" s="658"/>
      <c r="Z473" s="658"/>
    </row>
    <row r="474" ht="14.25" customHeight="1">
      <c r="A474" s="658"/>
      <c r="B474" s="658"/>
      <c r="C474" s="658"/>
      <c r="D474" s="658"/>
      <c r="E474" s="658"/>
      <c r="F474" s="658"/>
      <c r="G474" s="658"/>
      <c r="H474" s="658"/>
      <c r="I474" s="658"/>
      <c r="J474" s="658"/>
      <c r="K474" s="658"/>
      <c r="L474" s="658"/>
      <c r="M474" s="658"/>
      <c r="N474" s="658"/>
      <c r="O474" s="658"/>
      <c r="P474" s="658"/>
      <c r="Q474" s="658"/>
      <c r="R474" s="658"/>
      <c r="S474" s="658"/>
      <c r="T474" s="658"/>
      <c r="U474" s="658"/>
      <c r="V474" s="658"/>
      <c r="W474" s="658"/>
      <c r="X474" s="658"/>
      <c r="Y474" s="658"/>
      <c r="Z474" s="658"/>
    </row>
    <row r="475" ht="14.25" customHeight="1">
      <c r="A475" s="658"/>
      <c r="B475" s="658"/>
      <c r="C475" s="658"/>
      <c r="D475" s="658"/>
      <c r="E475" s="658"/>
      <c r="F475" s="658"/>
      <c r="G475" s="658"/>
      <c r="H475" s="658"/>
      <c r="I475" s="658"/>
      <c r="J475" s="658"/>
      <c r="K475" s="658"/>
      <c r="L475" s="658"/>
      <c r="M475" s="658"/>
      <c r="N475" s="658"/>
      <c r="O475" s="658"/>
      <c r="P475" s="658"/>
      <c r="Q475" s="658"/>
      <c r="R475" s="658"/>
      <c r="S475" s="658"/>
      <c r="T475" s="658"/>
      <c r="U475" s="658"/>
      <c r="V475" s="658"/>
      <c r="W475" s="658"/>
      <c r="X475" s="658"/>
      <c r="Y475" s="658"/>
      <c r="Z475" s="658"/>
    </row>
    <row r="476" ht="14.25" customHeight="1">
      <c r="A476" s="658"/>
      <c r="B476" s="658"/>
      <c r="C476" s="658"/>
      <c r="D476" s="658"/>
      <c r="E476" s="658"/>
      <c r="F476" s="658"/>
      <c r="G476" s="658"/>
      <c r="H476" s="658"/>
      <c r="I476" s="658"/>
      <c r="J476" s="658"/>
      <c r="K476" s="658"/>
      <c r="L476" s="658"/>
      <c r="M476" s="658"/>
      <c r="N476" s="658"/>
      <c r="O476" s="658"/>
      <c r="P476" s="658"/>
      <c r="Q476" s="658"/>
      <c r="R476" s="658"/>
      <c r="S476" s="658"/>
      <c r="T476" s="658"/>
      <c r="U476" s="658"/>
      <c r="V476" s="658"/>
      <c r="W476" s="658"/>
      <c r="X476" s="658"/>
      <c r="Y476" s="658"/>
      <c r="Z476" s="658"/>
    </row>
    <row r="477" ht="14.25" customHeight="1">
      <c r="A477" s="658"/>
      <c r="B477" s="658"/>
      <c r="C477" s="658"/>
      <c r="D477" s="658"/>
      <c r="E477" s="658"/>
      <c r="F477" s="658"/>
      <c r="G477" s="658"/>
      <c r="H477" s="658"/>
      <c r="I477" s="658"/>
      <c r="J477" s="658"/>
      <c r="K477" s="658"/>
      <c r="L477" s="658"/>
      <c r="M477" s="658"/>
      <c r="N477" s="658"/>
      <c r="O477" s="658"/>
      <c r="P477" s="658"/>
      <c r="Q477" s="658"/>
      <c r="R477" s="658"/>
      <c r="S477" s="658"/>
      <c r="T477" s="658"/>
      <c r="U477" s="658"/>
      <c r="V477" s="658"/>
      <c r="W477" s="658"/>
      <c r="X477" s="658"/>
      <c r="Y477" s="658"/>
      <c r="Z477" s="658"/>
    </row>
    <row r="478" ht="14.25" customHeight="1">
      <c r="A478" s="658"/>
      <c r="B478" s="658"/>
      <c r="C478" s="658"/>
      <c r="D478" s="658"/>
      <c r="E478" s="658"/>
      <c r="F478" s="658"/>
      <c r="G478" s="658"/>
      <c r="H478" s="658"/>
      <c r="I478" s="658"/>
      <c r="J478" s="658"/>
      <c r="K478" s="658"/>
      <c r="L478" s="658"/>
      <c r="M478" s="658"/>
      <c r="N478" s="658"/>
      <c r="O478" s="658"/>
      <c r="P478" s="658"/>
      <c r="Q478" s="658"/>
      <c r="R478" s="658"/>
      <c r="S478" s="658"/>
      <c r="T478" s="658"/>
      <c r="U478" s="658"/>
      <c r="V478" s="658"/>
      <c r="W478" s="658"/>
      <c r="X478" s="658"/>
      <c r="Y478" s="658"/>
      <c r="Z478" s="658"/>
    </row>
    <row r="479" ht="14.25" customHeight="1">
      <c r="A479" s="658"/>
      <c r="B479" s="658"/>
      <c r="C479" s="658"/>
      <c r="D479" s="658"/>
      <c r="E479" s="658"/>
      <c r="F479" s="658"/>
      <c r="G479" s="658"/>
      <c r="H479" s="658"/>
      <c r="I479" s="658"/>
      <c r="J479" s="658"/>
      <c r="K479" s="658"/>
      <c r="L479" s="658"/>
      <c r="M479" s="658"/>
      <c r="N479" s="658"/>
      <c r="O479" s="658"/>
      <c r="P479" s="658"/>
      <c r="Q479" s="658"/>
      <c r="R479" s="658"/>
      <c r="S479" s="658"/>
      <c r="T479" s="658"/>
      <c r="U479" s="658"/>
      <c r="V479" s="658"/>
      <c r="W479" s="658"/>
      <c r="X479" s="658"/>
      <c r="Y479" s="658"/>
      <c r="Z479" s="658"/>
    </row>
    <row r="480" ht="14.25" customHeight="1">
      <c r="A480" s="658"/>
      <c r="B480" s="658"/>
      <c r="C480" s="658"/>
      <c r="D480" s="658"/>
      <c r="E480" s="658"/>
      <c r="F480" s="658"/>
      <c r="G480" s="658"/>
      <c r="H480" s="658"/>
      <c r="I480" s="658"/>
      <c r="J480" s="658"/>
      <c r="K480" s="658"/>
      <c r="L480" s="658"/>
      <c r="M480" s="658"/>
      <c r="N480" s="658"/>
      <c r="O480" s="658"/>
      <c r="P480" s="658"/>
      <c r="Q480" s="658"/>
      <c r="R480" s="658"/>
      <c r="S480" s="658"/>
      <c r="T480" s="658"/>
      <c r="U480" s="658"/>
      <c r="V480" s="658"/>
      <c r="W480" s="658"/>
      <c r="X480" s="658"/>
      <c r="Y480" s="658"/>
      <c r="Z480" s="658"/>
    </row>
    <row r="481" ht="14.25" customHeight="1">
      <c r="A481" s="658"/>
      <c r="B481" s="658"/>
      <c r="C481" s="658"/>
      <c r="D481" s="658"/>
      <c r="E481" s="658"/>
      <c r="F481" s="658"/>
      <c r="G481" s="658"/>
      <c r="H481" s="658"/>
      <c r="I481" s="658"/>
      <c r="J481" s="658"/>
      <c r="K481" s="658"/>
      <c r="L481" s="658"/>
      <c r="M481" s="658"/>
      <c r="N481" s="658"/>
      <c r="O481" s="658"/>
      <c r="P481" s="658"/>
      <c r="Q481" s="658"/>
      <c r="R481" s="658"/>
      <c r="S481" s="658"/>
      <c r="T481" s="658"/>
      <c r="U481" s="658"/>
      <c r="V481" s="658"/>
      <c r="W481" s="658"/>
      <c r="X481" s="658"/>
      <c r="Y481" s="658"/>
      <c r="Z481" s="658"/>
    </row>
    <row r="482" ht="14.25" customHeight="1">
      <c r="A482" s="658"/>
      <c r="B482" s="658"/>
      <c r="C482" s="658"/>
      <c r="D482" s="658"/>
      <c r="E482" s="658"/>
      <c r="F482" s="658"/>
      <c r="G482" s="658"/>
      <c r="H482" s="658"/>
      <c r="I482" s="658"/>
      <c r="J482" s="658"/>
      <c r="K482" s="658"/>
      <c r="L482" s="658"/>
      <c r="M482" s="658"/>
      <c r="N482" s="658"/>
      <c r="O482" s="658"/>
      <c r="P482" s="658"/>
      <c r="Q482" s="658"/>
      <c r="R482" s="658"/>
      <c r="S482" s="658"/>
      <c r="T482" s="658"/>
      <c r="U482" s="658"/>
      <c r="V482" s="658"/>
      <c r="W482" s="658"/>
      <c r="X482" s="658"/>
      <c r="Y482" s="658"/>
      <c r="Z482" s="658"/>
    </row>
    <row r="483" ht="14.25" customHeight="1">
      <c r="A483" s="658"/>
      <c r="B483" s="658"/>
      <c r="C483" s="658"/>
      <c r="D483" s="658"/>
      <c r="E483" s="658"/>
      <c r="F483" s="658"/>
      <c r="G483" s="658"/>
      <c r="H483" s="658"/>
      <c r="I483" s="658"/>
      <c r="J483" s="658"/>
      <c r="K483" s="658"/>
      <c r="L483" s="658"/>
      <c r="M483" s="658"/>
      <c r="N483" s="658"/>
      <c r="O483" s="658"/>
      <c r="P483" s="658"/>
      <c r="Q483" s="658"/>
      <c r="R483" s="658"/>
      <c r="S483" s="658"/>
      <c r="T483" s="658"/>
      <c r="U483" s="658"/>
      <c r="V483" s="658"/>
      <c r="W483" s="658"/>
      <c r="X483" s="658"/>
      <c r="Y483" s="658"/>
      <c r="Z483" s="658"/>
    </row>
    <row r="484" ht="14.25" customHeight="1">
      <c r="A484" s="658"/>
      <c r="B484" s="658"/>
      <c r="C484" s="658"/>
      <c r="D484" s="658"/>
      <c r="E484" s="658"/>
      <c r="F484" s="658"/>
      <c r="G484" s="658"/>
      <c r="H484" s="658"/>
      <c r="I484" s="658"/>
      <c r="J484" s="658"/>
      <c r="K484" s="658"/>
      <c r="L484" s="658"/>
      <c r="M484" s="658"/>
      <c r="N484" s="658"/>
      <c r="O484" s="658"/>
      <c r="P484" s="658"/>
      <c r="Q484" s="658"/>
      <c r="R484" s="658"/>
      <c r="S484" s="658"/>
      <c r="T484" s="658"/>
      <c r="U484" s="658"/>
      <c r="V484" s="658"/>
      <c r="W484" s="658"/>
      <c r="X484" s="658"/>
      <c r="Y484" s="658"/>
      <c r="Z484" s="658"/>
    </row>
    <row r="485" ht="14.25" customHeight="1">
      <c r="A485" s="658"/>
      <c r="B485" s="658"/>
      <c r="C485" s="658"/>
      <c r="D485" s="658"/>
      <c r="E485" s="658"/>
      <c r="F485" s="658"/>
      <c r="G485" s="658"/>
      <c r="H485" s="658"/>
      <c r="I485" s="658"/>
      <c r="J485" s="658"/>
      <c r="K485" s="658"/>
      <c r="L485" s="658"/>
      <c r="M485" s="658"/>
      <c r="N485" s="658"/>
      <c r="O485" s="658"/>
      <c r="P485" s="658"/>
      <c r="Q485" s="658"/>
      <c r="R485" s="658"/>
      <c r="S485" s="658"/>
      <c r="T485" s="658"/>
      <c r="U485" s="658"/>
      <c r="V485" s="658"/>
      <c r="W485" s="658"/>
      <c r="X485" s="658"/>
      <c r="Y485" s="658"/>
      <c r="Z485" s="658"/>
    </row>
    <row r="486" ht="14.25" customHeight="1">
      <c r="A486" s="658"/>
      <c r="B486" s="658"/>
      <c r="C486" s="658"/>
      <c r="D486" s="658"/>
      <c r="E486" s="658"/>
      <c r="F486" s="658"/>
      <c r="G486" s="658"/>
      <c r="H486" s="658"/>
      <c r="I486" s="658"/>
      <c r="J486" s="658"/>
      <c r="K486" s="658"/>
      <c r="L486" s="658"/>
      <c r="M486" s="658"/>
      <c r="N486" s="658"/>
      <c r="O486" s="658"/>
      <c r="P486" s="658"/>
      <c r="Q486" s="658"/>
      <c r="R486" s="658"/>
      <c r="S486" s="658"/>
      <c r="T486" s="658"/>
      <c r="U486" s="658"/>
      <c r="V486" s="658"/>
      <c r="W486" s="658"/>
      <c r="X486" s="658"/>
      <c r="Y486" s="658"/>
      <c r="Z486" s="658"/>
    </row>
    <row r="487" ht="14.25" customHeight="1">
      <c r="A487" s="658"/>
      <c r="B487" s="658"/>
      <c r="C487" s="658"/>
      <c r="D487" s="658"/>
      <c r="E487" s="658"/>
      <c r="F487" s="658"/>
      <c r="G487" s="658"/>
      <c r="H487" s="658"/>
      <c r="I487" s="658"/>
      <c r="J487" s="658"/>
      <c r="K487" s="658"/>
      <c r="L487" s="658"/>
      <c r="M487" s="658"/>
      <c r="N487" s="658"/>
      <c r="O487" s="658"/>
      <c r="P487" s="658"/>
      <c r="Q487" s="658"/>
      <c r="R487" s="658"/>
      <c r="S487" s="658"/>
      <c r="T487" s="658"/>
      <c r="U487" s="658"/>
      <c r="V487" s="658"/>
      <c r="W487" s="658"/>
      <c r="X487" s="658"/>
      <c r="Y487" s="658"/>
      <c r="Z487" s="658"/>
    </row>
    <row r="488" ht="14.25" customHeight="1">
      <c r="A488" s="658"/>
      <c r="B488" s="658"/>
      <c r="C488" s="658"/>
      <c r="D488" s="658"/>
      <c r="E488" s="658"/>
      <c r="F488" s="658"/>
      <c r="G488" s="658"/>
      <c r="H488" s="658"/>
      <c r="I488" s="658"/>
      <c r="J488" s="658"/>
      <c r="K488" s="658"/>
      <c r="L488" s="658"/>
      <c r="M488" s="658"/>
      <c r="N488" s="658"/>
      <c r="O488" s="658"/>
      <c r="P488" s="658"/>
      <c r="Q488" s="658"/>
      <c r="R488" s="658"/>
      <c r="S488" s="658"/>
      <c r="T488" s="658"/>
      <c r="U488" s="658"/>
      <c r="V488" s="658"/>
      <c r="W488" s="658"/>
      <c r="X488" s="658"/>
      <c r="Y488" s="658"/>
      <c r="Z488" s="658"/>
    </row>
    <row r="489" ht="14.25" customHeight="1">
      <c r="A489" s="658"/>
      <c r="B489" s="658"/>
      <c r="C489" s="658"/>
      <c r="D489" s="658"/>
      <c r="E489" s="658"/>
      <c r="F489" s="658"/>
      <c r="G489" s="658"/>
      <c r="H489" s="658"/>
      <c r="I489" s="658"/>
      <c r="J489" s="658"/>
      <c r="K489" s="658"/>
      <c r="L489" s="658"/>
      <c r="M489" s="658"/>
      <c r="N489" s="658"/>
      <c r="O489" s="658"/>
      <c r="P489" s="658"/>
      <c r="Q489" s="658"/>
      <c r="R489" s="658"/>
      <c r="S489" s="658"/>
      <c r="T489" s="658"/>
      <c r="U489" s="658"/>
      <c r="V489" s="658"/>
      <c r="W489" s="658"/>
      <c r="X489" s="658"/>
      <c r="Y489" s="658"/>
      <c r="Z489" s="658"/>
    </row>
    <row r="490" ht="14.25" customHeight="1">
      <c r="A490" s="658"/>
      <c r="B490" s="658"/>
      <c r="C490" s="658"/>
      <c r="D490" s="658"/>
      <c r="E490" s="658"/>
      <c r="F490" s="658"/>
      <c r="G490" s="658"/>
      <c r="H490" s="658"/>
      <c r="I490" s="658"/>
      <c r="J490" s="658"/>
      <c r="K490" s="658"/>
      <c r="L490" s="658"/>
      <c r="M490" s="658"/>
      <c r="N490" s="658"/>
      <c r="O490" s="658"/>
      <c r="P490" s="658"/>
      <c r="Q490" s="658"/>
      <c r="R490" s="658"/>
      <c r="S490" s="658"/>
      <c r="T490" s="658"/>
      <c r="U490" s="658"/>
      <c r="V490" s="658"/>
      <c r="W490" s="658"/>
      <c r="X490" s="658"/>
      <c r="Y490" s="658"/>
      <c r="Z490" s="658"/>
    </row>
    <row r="491" ht="14.25" customHeight="1">
      <c r="A491" s="658"/>
      <c r="B491" s="658"/>
      <c r="C491" s="658"/>
      <c r="D491" s="658"/>
      <c r="E491" s="658"/>
      <c r="F491" s="658"/>
      <c r="G491" s="658"/>
      <c r="H491" s="658"/>
      <c r="I491" s="658"/>
      <c r="J491" s="658"/>
      <c r="K491" s="658"/>
      <c r="L491" s="658"/>
      <c r="M491" s="658"/>
      <c r="N491" s="658"/>
      <c r="O491" s="658"/>
      <c r="P491" s="658"/>
      <c r="Q491" s="658"/>
      <c r="R491" s="658"/>
      <c r="S491" s="658"/>
      <c r="T491" s="658"/>
      <c r="U491" s="658"/>
      <c r="V491" s="658"/>
      <c r="W491" s="658"/>
      <c r="X491" s="658"/>
      <c r="Y491" s="658"/>
      <c r="Z491" s="658"/>
    </row>
    <row r="492" ht="14.25" customHeight="1">
      <c r="A492" s="658"/>
      <c r="B492" s="658"/>
      <c r="C492" s="658"/>
      <c r="D492" s="658"/>
      <c r="E492" s="658"/>
      <c r="F492" s="658"/>
      <c r="G492" s="658"/>
      <c r="H492" s="658"/>
      <c r="I492" s="658"/>
      <c r="J492" s="658"/>
      <c r="K492" s="658"/>
      <c r="L492" s="658"/>
      <c r="M492" s="658"/>
      <c r="N492" s="658"/>
      <c r="O492" s="658"/>
      <c r="P492" s="658"/>
      <c r="Q492" s="658"/>
      <c r="R492" s="658"/>
      <c r="S492" s="658"/>
      <c r="T492" s="658"/>
      <c r="U492" s="658"/>
      <c r="V492" s="658"/>
      <c r="W492" s="658"/>
      <c r="X492" s="658"/>
      <c r="Y492" s="658"/>
      <c r="Z492" s="658"/>
    </row>
    <row r="493" ht="14.25" customHeight="1">
      <c r="A493" s="658"/>
      <c r="B493" s="658"/>
      <c r="C493" s="658"/>
      <c r="D493" s="658"/>
      <c r="E493" s="658"/>
      <c r="F493" s="658"/>
      <c r="G493" s="658"/>
      <c r="H493" s="658"/>
      <c r="I493" s="658"/>
      <c r="J493" s="658"/>
      <c r="K493" s="658"/>
      <c r="L493" s="658"/>
      <c r="M493" s="658"/>
      <c r="N493" s="658"/>
      <c r="O493" s="658"/>
      <c r="P493" s="658"/>
      <c r="Q493" s="658"/>
      <c r="R493" s="658"/>
      <c r="S493" s="658"/>
      <c r="T493" s="658"/>
      <c r="U493" s="658"/>
      <c r="V493" s="658"/>
      <c r="W493" s="658"/>
      <c r="X493" s="658"/>
      <c r="Y493" s="658"/>
      <c r="Z493" s="658"/>
    </row>
    <row r="494" ht="14.25" customHeight="1">
      <c r="A494" s="658"/>
      <c r="B494" s="658"/>
      <c r="C494" s="658"/>
      <c r="D494" s="658"/>
      <c r="E494" s="658"/>
      <c r="F494" s="658"/>
      <c r="G494" s="658"/>
      <c r="H494" s="658"/>
      <c r="I494" s="658"/>
      <c r="J494" s="658"/>
      <c r="K494" s="658"/>
      <c r="L494" s="658"/>
      <c r="M494" s="658"/>
      <c r="N494" s="658"/>
      <c r="O494" s="658"/>
      <c r="P494" s="658"/>
      <c r="Q494" s="658"/>
      <c r="R494" s="658"/>
      <c r="S494" s="658"/>
      <c r="T494" s="658"/>
      <c r="U494" s="658"/>
      <c r="V494" s="658"/>
      <c r="W494" s="658"/>
      <c r="X494" s="658"/>
      <c r="Y494" s="658"/>
      <c r="Z494" s="658"/>
    </row>
    <row r="495" ht="14.25" customHeight="1">
      <c r="A495" s="658"/>
      <c r="B495" s="658"/>
      <c r="C495" s="658"/>
      <c r="D495" s="658"/>
      <c r="E495" s="658"/>
      <c r="F495" s="658"/>
      <c r="G495" s="658"/>
      <c r="H495" s="658"/>
      <c r="I495" s="658"/>
      <c r="J495" s="658"/>
      <c r="K495" s="658"/>
      <c r="L495" s="658"/>
      <c r="M495" s="658"/>
      <c r="N495" s="658"/>
      <c r="O495" s="658"/>
      <c r="P495" s="658"/>
      <c r="Q495" s="658"/>
      <c r="R495" s="658"/>
      <c r="S495" s="658"/>
      <c r="T495" s="658"/>
      <c r="U495" s="658"/>
      <c r="V495" s="658"/>
      <c r="W495" s="658"/>
      <c r="X495" s="658"/>
      <c r="Y495" s="658"/>
      <c r="Z495" s="658"/>
    </row>
    <row r="496" ht="14.25" customHeight="1">
      <c r="A496" s="658"/>
      <c r="B496" s="658"/>
      <c r="C496" s="658"/>
      <c r="D496" s="658"/>
      <c r="E496" s="658"/>
      <c r="F496" s="658"/>
      <c r="G496" s="658"/>
      <c r="H496" s="658"/>
      <c r="I496" s="658"/>
      <c r="J496" s="658"/>
      <c r="K496" s="658"/>
      <c r="L496" s="658"/>
      <c r="M496" s="658"/>
      <c r="N496" s="658"/>
      <c r="O496" s="658"/>
      <c r="P496" s="658"/>
      <c r="Q496" s="658"/>
      <c r="R496" s="658"/>
      <c r="S496" s="658"/>
      <c r="T496" s="658"/>
      <c r="U496" s="658"/>
      <c r="V496" s="658"/>
      <c r="W496" s="658"/>
      <c r="X496" s="658"/>
      <c r="Y496" s="658"/>
      <c r="Z496" s="658"/>
    </row>
    <row r="497" ht="14.25" customHeight="1">
      <c r="A497" s="658"/>
      <c r="B497" s="658"/>
      <c r="C497" s="658"/>
      <c r="D497" s="658"/>
      <c r="E497" s="658"/>
      <c r="F497" s="658"/>
      <c r="G497" s="658"/>
      <c r="H497" s="658"/>
      <c r="I497" s="658"/>
      <c r="J497" s="658"/>
      <c r="K497" s="658"/>
      <c r="L497" s="658"/>
      <c r="M497" s="658"/>
      <c r="N497" s="658"/>
      <c r="O497" s="658"/>
      <c r="P497" s="658"/>
      <c r="Q497" s="658"/>
      <c r="R497" s="658"/>
      <c r="S497" s="658"/>
      <c r="T497" s="658"/>
      <c r="U497" s="658"/>
      <c r="V497" s="658"/>
      <c r="W497" s="658"/>
      <c r="X497" s="658"/>
      <c r="Y497" s="658"/>
      <c r="Z497" s="658"/>
    </row>
    <row r="498" ht="14.25" customHeight="1">
      <c r="A498" s="658"/>
      <c r="B498" s="658"/>
      <c r="C498" s="658"/>
      <c r="D498" s="658"/>
      <c r="E498" s="658"/>
      <c r="F498" s="658"/>
      <c r="G498" s="658"/>
      <c r="H498" s="658"/>
      <c r="I498" s="658"/>
      <c r="J498" s="658"/>
      <c r="K498" s="658"/>
      <c r="L498" s="658"/>
      <c r="M498" s="658"/>
      <c r="N498" s="658"/>
      <c r="O498" s="658"/>
      <c r="P498" s="658"/>
      <c r="Q498" s="658"/>
      <c r="R498" s="658"/>
      <c r="S498" s="658"/>
      <c r="T498" s="658"/>
      <c r="U498" s="658"/>
      <c r="V498" s="658"/>
      <c r="W498" s="658"/>
      <c r="X498" s="658"/>
      <c r="Y498" s="658"/>
      <c r="Z498" s="658"/>
    </row>
    <row r="499" ht="14.25" customHeight="1">
      <c r="A499" s="658"/>
      <c r="B499" s="658"/>
      <c r="C499" s="658"/>
      <c r="D499" s="658"/>
      <c r="E499" s="658"/>
      <c r="F499" s="658"/>
      <c r="G499" s="658"/>
      <c r="H499" s="658"/>
      <c r="I499" s="658"/>
      <c r="J499" s="658"/>
      <c r="K499" s="658"/>
      <c r="L499" s="658"/>
      <c r="M499" s="658"/>
      <c r="N499" s="658"/>
      <c r="O499" s="658"/>
      <c r="P499" s="658"/>
      <c r="Q499" s="658"/>
      <c r="R499" s="658"/>
      <c r="S499" s="658"/>
      <c r="T499" s="658"/>
      <c r="U499" s="658"/>
      <c r="V499" s="658"/>
      <c r="W499" s="658"/>
      <c r="X499" s="658"/>
      <c r="Y499" s="658"/>
      <c r="Z499" s="658"/>
    </row>
    <row r="500" ht="14.25" customHeight="1">
      <c r="A500" s="658"/>
      <c r="B500" s="658"/>
      <c r="C500" s="658"/>
      <c r="D500" s="658"/>
      <c r="E500" s="658"/>
      <c r="F500" s="658"/>
      <c r="G500" s="658"/>
      <c r="H500" s="658"/>
      <c r="I500" s="658"/>
      <c r="J500" s="658"/>
      <c r="K500" s="658"/>
      <c r="L500" s="658"/>
      <c r="M500" s="658"/>
      <c r="N500" s="658"/>
      <c r="O500" s="658"/>
      <c r="P500" s="658"/>
      <c r="Q500" s="658"/>
      <c r="R500" s="658"/>
      <c r="S500" s="658"/>
      <c r="T500" s="658"/>
      <c r="U500" s="658"/>
      <c r="V500" s="658"/>
      <c r="W500" s="658"/>
      <c r="X500" s="658"/>
      <c r="Y500" s="658"/>
      <c r="Z500" s="658"/>
    </row>
    <row r="501" ht="14.25" customHeight="1">
      <c r="A501" s="658"/>
      <c r="B501" s="658"/>
      <c r="C501" s="658"/>
      <c r="D501" s="658"/>
      <c r="E501" s="658"/>
      <c r="F501" s="658"/>
      <c r="G501" s="658"/>
      <c r="H501" s="658"/>
      <c r="I501" s="658"/>
      <c r="J501" s="658"/>
      <c r="K501" s="658"/>
      <c r="L501" s="658"/>
      <c r="M501" s="658"/>
      <c r="N501" s="658"/>
      <c r="O501" s="658"/>
      <c r="P501" s="658"/>
      <c r="Q501" s="658"/>
      <c r="R501" s="658"/>
      <c r="S501" s="658"/>
      <c r="T501" s="658"/>
      <c r="U501" s="658"/>
      <c r="V501" s="658"/>
      <c r="W501" s="658"/>
      <c r="X501" s="658"/>
      <c r="Y501" s="658"/>
      <c r="Z501" s="658"/>
    </row>
    <row r="502" ht="14.25" customHeight="1">
      <c r="A502" s="658"/>
      <c r="B502" s="658"/>
      <c r="C502" s="658"/>
      <c r="D502" s="658"/>
      <c r="E502" s="658"/>
      <c r="F502" s="658"/>
      <c r="G502" s="658"/>
      <c r="H502" s="658"/>
      <c r="I502" s="658"/>
      <c r="J502" s="658"/>
      <c r="K502" s="658"/>
      <c r="L502" s="658"/>
      <c r="M502" s="658"/>
      <c r="N502" s="658"/>
      <c r="O502" s="658"/>
      <c r="P502" s="658"/>
      <c r="Q502" s="658"/>
      <c r="R502" s="658"/>
      <c r="S502" s="658"/>
      <c r="T502" s="658"/>
      <c r="U502" s="658"/>
      <c r="V502" s="658"/>
      <c r="W502" s="658"/>
      <c r="X502" s="658"/>
      <c r="Y502" s="658"/>
      <c r="Z502" s="658"/>
    </row>
    <row r="503" ht="14.25" customHeight="1">
      <c r="A503" s="658"/>
      <c r="B503" s="658"/>
      <c r="C503" s="658"/>
      <c r="D503" s="658"/>
      <c r="E503" s="658"/>
      <c r="F503" s="658"/>
      <c r="G503" s="658"/>
      <c r="H503" s="658"/>
      <c r="I503" s="658"/>
      <c r="J503" s="658"/>
      <c r="K503" s="658"/>
      <c r="L503" s="658"/>
      <c r="M503" s="658"/>
      <c r="N503" s="658"/>
      <c r="O503" s="658"/>
      <c r="P503" s="658"/>
      <c r="Q503" s="658"/>
      <c r="R503" s="658"/>
      <c r="S503" s="658"/>
      <c r="T503" s="658"/>
      <c r="U503" s="658"/>
      <c r="V503" s="658"/>
      <c r="W503" s="658"/>
      <c r="X503" s="658"/>
      <c r="Y503" s="658"/>
      <c r="Z503" s="658"/>
    </row>
    <row r="504" ht="14.25" customHeight="1">
      <c r="A504" s="658"/>
      <c r="B504" s="658"/>
      <c r="C504" s="658"/>
      <c r="D504" s="658"/>
      <c r="E504" s="658"/>
      <c r="F504" s="658"/>
      <c r="G504" s="658"/>
      <c r="H504" s="658"/>
      <c r="I504" s="658"/>
      <c r="J504" s="658"/>
      <c r="K504" s="658"/>
      <c r="L504" s="658"/>
      <c r="M504" s="658"/>
      <c r="N504" s="658"/>
      <c r="O504" s="658"/>
      <c r="P504" s="658"/>
      <c r="Q504" s="658"/>
      <c r="R504" s="658"/>
      <c r="S504" s="658"/>
      <c r="T504" s="658"/>
      <c r="U504" s="658"/>
      <c r="V504" s="658"/>
      <c r="W504" s="658"/>
      <c r="X504" s="658"/>
      <c r="Y504" s="658"/>
      <c r="Z504" s="658"/>
    </row>
    <row r="505" ht="14.25" customHeight="1">
      <c r="A505" s="658"/>
      <c r="B505" s="658"/>
      <c r="C505" s="658"/>
      <c r="D505" s="658"/>
      <c r="E505" s="658"/>
      <c r="F505" s="658"/>
      <c r="G505" s="658"/>
      <c r="H505" s="658"/>
      <c r="I505" s="658"/>
      <c r="J505" s="658"/>
      <c r="K505" s="658"/>
      <c r="L505" s="658"/>
      <c r="M505" s="658"/>
      <c r="N505" s="658"/>
      <c r="O505" s="658"/>
      <c r="P505" s="658"/>
      <c r="Q505" s="658"/>
      <c r="R505" s="658"/>
      <c r="S505" s="658"/>
      <c r="T505" s="658"/>
      <c r="U505" s="658"/>
      <c r="V505" s="658"/>
      <c r="W505" s="658"/>
      <c r="X505" s="658"/>
      <c r="Y505" s="658"/>
      <c r="Z505" s="658"/>
    </row>
    <row r="506" ht="14.25" customHeight="1">
      <c r="A506" s="658"/>
      <c r="B506" s="658"/>
      <c r="C506" s="658"/>
      <c r="D506" s="658"/>
      <c r="E506" s="658"/>
      <c r="F506" s="658"/>
      <c r="G506" s="658"/>
      <c r="H506" s="658"/>
      <c r="I506" s="658"/>
      <c r="J506" s="658"/>
      <c r="K506" s="658"/>
      <c r="L506" s="658"/>
      <c r="M506" s="658"/>
      <c r="N506" s="658"/>
      <c r="O506" s="658"/>
      <c r="P506" s="658"/>
      <c r="Q506" s="658"/>
      <c r="R506" s="658"/>
      <c r="S506" s="658"/>
      <c r="T506" s="658"/>
      <c r="U506" s="658"/>
      <c r="V506" s="658"/>
      <c r="W506" s="658"/>
      <c r="X506" s="658"/>
      <c r="Y506" s="658"/>
      <c r="Z506" s="658"/>
    </row>
    <row r="507" ht="14.25" customHeight="1">
      <c r="A507" s="658"/>
      <c r="B507" s="658"/>
      <c r="C507" s="658"/>
      <c r="D507" s="658"/>
      <c r="E507" s="658"/>
      <c r="F507" s="658"/>
      <c r="G507" s="658"/>
      <c r="H507" s="658"/>
      <c r="I507" s="658"/>
      <c r="J507" s="658"/>
      <c r="K507" s="658"/>
      <c r="L507" s="658"/>
      <c r="M507" s="658"/>
      <c r="N507" s="658"/>
      <c r="O507" s="658"/>
      <c r="P507" s="658"/>
      <c r="Q507" s="658"/>
      <c r="R507" s="658"/>
      <c r="S507" s="658"/>
      <c r="T507" s="658"/>
      <c r="U507" s="658"/>
      <c r="V507" s="658"/>
      <c r="W507" s="658"/>
      <c r="X507" s="658"/>
      <c r="Y507" s="658"/>
      <c r="Z507" s="658"/>
    </row>
    <row r="508" ht="14.25" customHeight="1">
      <c r="A508" s="658"/>
      <c r="B508" s="658"/>
      <c r="C508" s="658"/>
      <c r="D508" s="658"/>
      <c r="E508" s="658"/>
      <c r="F508" s="658"/>
      <c r="G508" s="658"/>
      <c r="H508" s="658"/>
      <c r="I508" s="658"/>
      <c r="J508" s="658"/>
      <c r="K508" s="658"/>
      <c r="L508" s="658"/>
      <c r="M508" s="658"/>
      <c r="N508" s="658"/>
      <c r="O508" s="658"/>
      <c r="P508" s="658"/>
      <c r="Q508" s="658"/>
      <c r="R508" s="658"/>
      <c r="S508" s="658"/>
      <c r="T508" s="658"/>
      <c r="U508" s="658"/>
      <c r="V508" s="658"/>
      <c r="W508" s="658"/>
      <c r="X508" s="658"/>
      <c r="Y508" s="658"/>
      <c r="Z508" s="658"/>
    </row>
    <row r="509" ht="14.25" customHeight="1">
      <c r="A509" s="658"/>
      <c r="B509" s="658"/>
      <c r="C509" s="658"/>
      <c r="D509" s="658"/>
      <c r="E509" s="658"/>
      <c r="F509" s="658"/>
      <c r="G509" s="658"/>
      <c r="H509" s="658"/>
      <c r="I509" s="658"/>
      <c r="J509" s="658"/>
      <c r="K509" s="658"/>
      <c r="L509" s="658"/>
      <c r="M509" s="658"/>
      <c r="N509" s="658"/>
      <c r="O509" s="658"/>
      <c r="P509" s="658"/>
      <c r="Q509" s="658"/>
      <c r="R509" s="658"/>
      <c r="S509" s="658"/>
      <c r="T509" s="658"/>
      <c r="U509" s="658"/>
      <c r="V509" s="658"/>
      <c r="W509" s="658"/>
      <c r="X509" s="658"/>
      <c r="Y509" s="658"/>
      <c r="Z509" s="658"/>
    </row>
    <row r="510" ht="14.25" customHeight="1">
      <c r="A510" s="658"/>
      <c r="B510" s="658"/>
      <c r="C510" s="658"/>
      <c r="D510" s="658"/>
      <c r="E510" s="658"/>
      <c r="F510" s="658"/>
      <c r="G510" s="658"/>
      <c r="H510" s="658"/>
      <c r="I510" s="658"/>
      <c r="J510" s="658"/>
      <c r="K510" s="658"/>
      <c r="L510" s="658"/>
      <c r="M510" s="658"/>
      <c r="N510" s="658"/>
      <c r="O510" s="658"/>
      <c r="P510" s="658"/>
      <c r="Q510" s="658"/>
      <c r="R510" s="658"/>
      <c r="S510" s="658"/>
      <c r="T510" s="658"/>
      <c r="U510" s="658"/>
      <c r="V510" s="658"/>
      <c r="W510" s="658"/>
      <c r="X510" s="658"/>
      <c r="Y510" s="658"/>
      <c r="Z510" s="658"/>
    </row>
    <row r="511" ht="14.25" customHeight="1">
      <c r="A511" s="658"/>
      <c r="B511" s="658"/>
      <c r="C511" s="658"/>
      <c r="D511" s="658"/>
      <c r="E511" s="658"/>
      <c r="F511" s="658"/>
      <c r="G511" s="658"/>
      <c r="H511" s="658"/>
      <c r="I511" s="658"/>
      <c r="J511" s="658"/>
      <c r="K511" s="658"/>
      <c r="L511" s="658"/>
      <c r="M511" s="658"/>
      <c r="N511" s="658"/>
      <c r="O511" s="658"/>
      <c r="P511" s="658"/>
      <c r="Q511" s="658"/>
      <c r="R511" s="658"/>
      <c r="S511" s="658"/>
      <c r="T511" s="658"/>
      <c r="U511" s="658"/>
      <c r="V511" s="658"/>
      <c r="W511" s="658"/>
      <c r="X511" s="658"/>
      <c r="Y511" s="658"/>
      <c r="Z511" s="658"/>
    </row>
    <row r="512" ht="14.25" customHeight="1">
      <c r="A512" s="658"/>
      <c r="B512" s="658"/>
      <c r="C512" s="658"/>
      <c r="D512" s="658"/>
      <c r="E512" s="658"/>
      <c r="F512" s="658"/>
      <c r="G512" s="658"/>
      <c r="H512" s="658"/>
      <c r="I512" s="658"/>
      <c r="J512" s="658"/>
      <c r="K512" s="658"/>
      <c r="L512" s="658"/>
      <c r="M512" s="658"/>
      <c r="N512" s="658"/>
      <c r="O512" s="658"/>
      <c r="P512" s="658"/>
      <c r="Q512" s="658"/>
      <c r="R512" s="658"/>
      <c r="S512" s="658"/>
      <c r="T512" s="658"/>
      <c r="U512" s="658"/>
      <c r="V512" s="658"/>
      <c r="W512" s="658"/>
      <c r="X512" s="658"/>
      <c r="Y512" s="658"/>
      <c r="Z512" s="658"/>
    </row>
    <row r="513" ht="14.25" customHeight="1">
      <c r="A513" s="658"/>
      <c r="B513" s="658"/>
      <c r="C513" s="658"/>
      <c r="D513" s="658"/>
      <c r="E513" s="658"/>
      <c r="F513" s="658"/>
      <c r="G513" s="658"/>
      <c r="H513" s="658"/>
      <c r="I513" s="658"/>
      <c r="J513" s="658"/>
      <c r="K513" s="658"/>
      <c r="L513" s="658"/>
      <c r="M513" s="658"/>
      <c r="N513" s="658"/>
      <c r="O513" s="658"/>
      <c r="P513" s="658"/>
      <c r="Q513" s="658"/>
      <c r="R513" s="658"/>
      <c r="S513" s="658"/>
      <c r="T513" s="658"/>
      <c r="U513" s="658"/>
      <c r="V513" s="658"/>
      <c r="W513" s="658"/>
      <c r="X513" s="658"/>
      <c r="Y513" s="658"/>
      <c r="Z513" s="658"/>
    </row>
    <row r="514" ht="14.25" customHeight="1">
      <c r="A514" s="658"/>
      <c r="B514" s="658"/>
      <c r="C514" s="658"/>
      <c r="D514" s="658"/>
      <c r="E514" s="658"/>
      <c r="F514" s="658"/>
      <c r="G514" s="658"/>
      <c r="H514" s="658"/>
      <c r="I514" s="658"/>
      <c r="J514" s="658"/>
      <c r="K514" s="658"/>
      <c r="L514" s="658"/>
      <c r="M514" s="658"/>
      <c r="N514" s="658"/>
      <c r="O514" s="658"/>
      <c r="P514" s="658"/>
      <c r="Q514" s="658"/>
      <c r="R514" s="658"/>
      <c r="S514" s="658"/>
      <c r="T514" s="658"/>
      <c r="U514" s="658"/>
      <c r="V514" s="658"/>
      <c r="W514" s="658"/>
      <c r="X514" s="658"/>
      <c r="Y514" s="658"/>
      <c r="Z514" s="658"/>
    </row>
    <row r="515" ht="14.25" customHeight="1">
      <c r="A515" s="658"/>
      <c r="B515" s="658"/>
      <c r="C515" s="658"/>
      <c r="D515" s="658"/>
      <c r="E515" s="658"/>
      <c r="F515" s="658"/>
      <c r="G515" s="658"/>
      <c r="H515" s="658"/>
      <c r="I515" s="658"/>
      <c r="J515" s="658"/>
      <c r="K515" s="658"/>
      <c r="L515" s="658"/>
      <c r="M515" s="658"/>
      <c r="N515" s="658"/>
      <c r="O515" s="658"/>
      <c r="P515" s="658"/>
      <c r="Q515" s="658"/>
      <c r="R515" s="658"/>
      <c r="S515" s="658"/>
      <c r="T515" s="658"/>
      <c r="U515" s="658"/>
      <c r="V515" s="658"/>
      <c r="W515" s="658"/>
      <c r="X515" s="658"/>
      <c r="Y515" s="658"/>
      <c r="Z515" s="658"/>
    </row>
    <row r="516" ht="14.25" customHeight="1">
      <c r="A516" s="658"/>
      <c r="B516" s="658"/>
      <c r="C516" s="658"/>
      <c r="D516" s="658"/>
      <c r="E516" s="658"/>
      <c r="F516" s="658"/>
      <c r="G516" s="658"/>
      <c r="H516" s="658"/>
      <c r="I516" s="658"/>
      <c r="J516" s="658"/>
      <c r="K516" s="658"/>
      <c r="L516" s="658"/>
      <c r="M516" s="658"/>
      <c r="N516" s="658"/>
      <c r="O516" s="658"/>
      <c r="P516" s="658"/>
      <c r="Q516" s="658"/>
      <c r="R516" s="658"/>
      <c r="S516" s="658"/>
      <c r="T516" s="658"/>
      <c r="U516" s="658"/>
      <c r="V516" s="658"/>
      <c r="W516" s="658"/>
      <c r="X516" s="658"/>
      <c r="Y516" s="658"/>
      <c r="Z516" s="658"/>
    </row>
    <row r="517" ht="14.25" customHeight="1">
      <c r="A517" s="658"/>
      <c r="B517" s="658"/>
      <c r="C517" s="658"/>
      <c r="D517" s="658"/>
      <c r="E517" s="658"/>
      <c r="F517" s="658"/>
      <c r="G517" s="658"/>
      <c r="H517" s="658"/>
      <c r="I517" s="658"/>
      <c r="J517" s="658"/>
      <c r="K517" s="658"/>
      <c r="L517" s="658"/>
      <c r="M517" s="658"/>
      <c r="N517" s="658"/>
      <c r="O517" s="658"/>
      <c r="P517" s="658"/>
      <c r="Q517" s="658"/>
      <c r="R517" s="658"/>
      <c r="S517" s="658"/>
      <c r="T517" s="658"/>
      <c r="U517" s="658"/>
      <c r="V517" s="658"/>
      <c r="W517" s="658"/>
      <c r="X517" s="658"/>
      <c r="Y517" s="658"/>
      <c r="Z517" s="658"/>
    </row>
    <row r="518" ht="14.25" customHeight="1">
      <c r="A518" s="658"/>
      <c r="B518" s="658"/>
      <c r="C518" s="658"/>
      <c r="D518" s="658"/>
      <c r="E518" s="658"/>
      <c r="F518" s="658"/>
      <c r="G518" s="658"/>
      <c r="H518" s="658"/>
      <c r="I518" s="658"/>
      <c r="J518" s="658"/>
      <c r="K518" s="658"/>
      <c r="L518" s="658"/>
      <c r="M518" s="658"/>
      <c r="N518" s="658"/>
      <c r="O518" s="658"/>
      <c r="P518" s="658"/>
      <c r="Q518" s="658"/>
      <c r="R518" s="658"/>
      <c r="S518" s="658"/>
      <c r="T518" s="658"/>
      <c r="U518" s="658"/>
      <c r="V518" s="658"/>
      <c r="W518" s="658"/>
      <c r="X518" s="658"/>
      <c r="Y518" s="658"/>
      <c r="Z518" s="658"/>
    </row>
    <row r="519" ht="14.25" customHeight="1">
      <c r="A519" s="658"/>
      <c r="B519" s="658"/>
      <c r="C519" s="658"/>
      <c r="D519" s="658"/>
      <c r="E519" s="658"/>
      <c r="F519" s="658"/>
      <c r="G519" s="658"/>
      <c r="H519" s="658"/>
      <c r="I519" s="658"/>
      <c r="J519" s="658"/>
      <c r="K519" s="658"/>
      <c r="L519" s="658"/>
      <c r="M519" s="658"/>
      <c r="N519" s="658"/>
      <c r="O519" s="658"/>
      <c r="P519" s="658"/>
      <c r="Q519" s="658"/>
      <c r="R519" s="658"/>
      <c r="S519" s="658"/>
      <c r="T519" s="658"/>
      <c r="U519" s="658"/>
      <c r="V519" s="658"/>
      <c r="W519" s="658"/>
      <c r="X519" s="658"/>
      <c r="Y519" s="658"/>
      <c r="Z519" s="658"/>
    </row>
    <row r="520" ht="14.25" customHeight="1">
      <c r="A520" s="658"/>
      <c r="B520" s="658"/>
      <c r="C520" s="658"/>
      <c r="D520" s="658"/>
      <c r="E520" s="658"/>
      <c r="F520" s="658"/>
      <c r="G520" s="658"/>
      <c r="H520" s="658"/>
      <c r="I520" s="658"/>
      <c r="J520" s="658"/>
      <c r="K520" s="658"/>
      <c r="L520" s="658"/>
      <c r="M520" s="658"/>
      <c r="N520" s="658"/>
      <c r="O520" s="658"/>
      <c r="P520" s="658"/>
      <c r="Q520" s="658"/>
      <c r="R520" s="658"/>
      <c r="S520" s="658"/>
      <c r="T520" s="658"/>
      <c r="U520" s="658"/>
      <c r="V520" s="658"/>
      <c r="W520" s="658"/>
      <c r="X520" s="658"/>
      <c r="Y520" s="658"/>
      <c r="Z520" s="658"/>
    </row>
    <row r="521" ht="14.25" customHeight="1">
      <c r="A521" s="658"/>
      <c r="B521" s="658"/>
      <c r="C521" s="658"/>
      <c r="D521" s="658"/>
      <c r="E521" s="658"/>
      <c r="F521" s="658"/>
      <c r="G521" s="658"/>
      <c r="H521" s="658"/>
      <c r="I521" s="658"/>
      <c r="J521" s="658"/>
      <c r="K521" s="658"/>
      <c r="L521" s="658"/>
      <c r="M521" s="658"/>
      <c r="N521" s="658"/>
      <c r="O521" s="658"/>
      <c r="P521" s="658"/>
      <c r="Q521" s="658"/>
      <c r="R521" s="658"/>
      <c r="S521" s="658"/>
      <c r="T521" s="658"/>
      <c r="U521" s="658"/>
      <c r="V521" s="658"/>
      <c r="W521" s="658"/>
      <c r="X521" s="658"/>
      <c r="Y521" s="658"/>
      <c r="Z521" s="658"/>
    </row>
    <row r="522" ht="14.25" customHeight="1">
      <c r="A522" s="658"/>
      <c r="B522" s="658"/>
      <c r="C522" s="658"/>
      <c r="D522" s="658"/>
      <c r="E522" s="658"/>
      <c r="F522" s="658"/>
      <c r="G522" s="658"/>
      <c r="H522" s="658"/>
      <c r="I522" s="658"/>
      <c r="J522" s="658"/>
      <c r="K522" s="658"/>
      <c r="L522" s="658"/>
      <c r="M522" s="658"/>
      <c r="N522" s="658"/>
      <c r="O522" s="658"/>
      <c r="P522" s="658"/>
      <c r="Q522" s="658"/>
      <c r="R522" s="658"/>
      <c r="S522" s="658"/>
      <c r="T522" s="658"/>
      <c r="U522" s="658"/>
      <c r="V522" s="658"/>
      <c r="W522" s="658"/>
      <c r="X522" s="658"/>
      <c r="Y522" s="658"/>
      <c r="Z522" s="658"/>
    </row>
    <row r="523" ht="14.25" customHeight="1">
      <c r="A523" s="658"/>
      <c r="B523" s="658"/>
      <c r="C523" s="658"/>
      <c r="D523" s="658"/>
      <c r="E523" s="658"/>
      <c r="F523" s="658"/>
      <c r="G523" s="658"/>
      <c r="H523" s="658"/>
      <c r="I523" s="658"/>
      <c r="J523" s="658"/>
      <c r="K523" s="658"/>
      <c r="L523" s="658"/>
      <c r="M523" s="658"/>
      <c r="N523" s="658"/>
      <c r="O523" s="658"/>
      <c r="P523" s="658"/>
      <c r="Q523" s="658"/>
      <c r="R523" s="658"/>
      <c r="S523" s="658"/>
      <c r="T523" s="658"/>
      <c r="U523" s="658"/>
      <c r="V523" s="658"/>
      <c r="W523" s="658"/>
      <c r="X523" s="658"/>
      <c r="Y523" s="658"/>
      <c r="Z523" s="658"/>
    </row>
    <row r="524" ht="14.25" customHeight="1">
      <c r="A524" s="658"/>
      <c r="B524" s="658"/>
      <c r="C524" s="658"/>
      <c r="D524" s="658"/>
      <c r="E524" s="658"/>
      <c r="F524" s="658"/>
      <c r="G524" s="658"/>
      <c r="H524" s="658"/>
      <c r="I524" s="658"/>
      <c r="J524" s="658"/>
      <c r="K524" s="658"/>
      <c r="L524" s="658"/>
      <c r="M524" s="658"/>
      <c r="N524" s="658"/>
      <c r="O524" s="658"/>
      <c r="P524" s="658"/>
      <c r="Q524" s="658"/>
      <c r="R524" s="658"/>
      <c r="S524" s="658"/>
      <c r="T524" s="658"/>
      <c r="U524" s="658"/>
      <c r="V524" s="658"/>
      <c r="W524" s="658"/>
      <c r="X524" s="658"/>
      <c r="Y524" s="658"/>
      <c r="Z524" s="658"/>
    </row>
    <row r="525" ht="14.25" customHeight="1">
      <c r="A525" s="658"/>
      <c r="B525" s="658"/>
      <c r="C525" s="658"/>
      <c r="D525" s="658"/>
      <c r="E525" s="658"/>
      <c r="F525" s="658"/>
      <c r="G525" s="658"/>
      <c r="H525" s="658"/>
      <c r="I525" s="658"/>
      <c r="J525" s="658"/>
      <c r="K525" s="658"/>
      <c r="L525" s="658"/>
      <c r="M525" s="658"/>
      <c r="N525" s="658"/>
      <c r="O525" s="658"/>
      <c r="P525" s="658"/>
      <c r="Q525" s="658"/>
      <c r="R525" s="658"/>
      <c r="S525" s="658"/>
      <c r="T525" s="658"/>
      <c r="U525" s="658"/>
      <c r="V525" s="658"/>
      <c r="W525" s="658"/>
      <c r="X525" s="658"/>
      <c r="Y525" s="658"/>
      <c r="Z525" s="658"/>
    </row>
    <row r="526" ht="14.25" customHeight="1">
      <c r="A526" s="658"/>
      <c r="B526" s="658"/>
      <c r="C526" s="658"/>
      <c r="D526" s="658"/>
      <c r="E526" s="658"/>
      <c r="F526" s="658"/>
      <c r="G526" s="658"/>
      <c r="H526" s="658"/>
      <c r="I526" s="658"/>
      <c r="J526" s="658"/>
      <c r="K526" s="658"/>
      <c r="L526" s="658"/>
      <c r="M526" s="658"/>
      <c r="N526" s="658"/>
      <c r="O526" s="658"/>
      <c r="P526" s="658"/>
      <c r="Q526" s="658"/>
      <c r="R526" s="658"/>
      <c r="S526" s="658"/>
      <c r="T526" s="658"/>
      <c r="U526" s="658"/>
      <c r="V526" s="658"/>
      <c r="W526" s="658"/>
      <c r="X526" s="658"/>
      <c r="Y526" s="658"/>
      <c r="Z526" s="658"/>
    </row>
    <row r="527" ht="14.25" customHeight="1">
      <c r="A527" s="658"/>
      <c r="B527" s="658"/>
      <c r="C527" s="658"/>
      <c r="D527" s="658"/>
      <c r="E527" s="658"/>
      <c r="F527" s="658"/>
      <c r="G527" s="658"/>
      <c r="H527" s="658"/>
      <c r="I527" s="658"/>
      <c r="J527" s="658"/>
      <c r="K527" s="658"/>
      <c r="L527" s="658"/>
      <c r="M527" s="658"/>
      <c r="N527" s="658"/>
      <c r="O527" s="658"/>
      <c r="P527" s="658"/>
      <c r="Q527" s="658"/>
      <c r="R527" s="658"/>
      <c r="S527" s="658"/>
      <c r="T527" s="658"/>
      <c r="U527" s="658"/>
      <c r="V527" s="658"/>
      <c r="W527" s="658"/>
      <c r="X527" s="658"/>
      <c r="Y527" s="658"/>
      <c r="Z527" s="658"/>
    </row>
    <row r="528" ht="14.25" customHeight="1">
      <c r="A528" s="658"/>
      <c r="B528" s="658"/>
      <c r="C528" s="658"/>
      <c r="D528" s="658"/>
      <c r="E528" s="658"/>
      <c r="F528" s="658"/>
      <c r="G528" s="658"/>
      <c r="H528" s="658"/>
      <c r="I528" s="658"/>
      <c r="J528" s="658"/>
      <c r="K528" s="658"/>
      <c r="L528" s="658"/>
      <c r="M528" s="658"/>
      <c r="N528" s="658"/>
      <c r="O528" s="658"/>
      <c r="P528" s="658"/>
      <c r="Q528" s="658"/>
      <c r="R528" s="658"/>
      <c r="S528" s="658"/>
      <c r="T528" s="658"/>
      <c r="U528" s="658"/>
      <c r="V528" s="658"/>
      <c r="W528" s="658"/>
      <c r="X528" s="658"/>
      <c r="Y528" s="658"/>
      <c r="Z528" s="658"/>
    </row>
    <row r="529" ht="14.25" customHeight="1">
      <c r="A529" s="658"/>
      <c r="B529" s="658"/>
      <c r="C529" s="658"/>
      <c r="D529" s="658"/>
      <c r="E529" s="658"/>
      <c r="F529" s="658"/>
      <c r="G529" s="658"/>
      <c r="H529" s="658"/>
      <c r="I529" s="658"/>
      <c r="J529" s="658"/>
      <c r="K529" s="658"/>
      <c r="L529" s="658"/>
      <c r="M529" s="658"/>
      <c r="N529" s="658"/>
      <c r="O529" s="658"/>
      <c r="P529" s="658"/>
      <c r="Q529" s="658"/>
      <c r="R529" s="658"/>
      <c r="S529" s="658"/>
      <c r="T529" s="658"/>
      <c r="U529" s="658"/>
      <c r="V529" s="658"/>
      <c r="W529" s="658"/>
      <c r="X529" s="658"/>
      <c r="Y529" s="658"/>
      <c r="Z529" s="658"/>
    </row>
    <row r="530" ht="14.25" customHeight="1">
      <c r="A530" s="658"/>
      <c r="B530" s="658"/>
      <c r="C530" s="658"/>
      <c r="D530" s="658"/>
      <c r="E530" s="658"/>
      <c r="F530" s="658"/>
      <c r="G530" s="658"/>
      <c r="H530" s="658"/>
      <c r="I530" s="658"/>
      <c r="J530" s="658"/>
      <c r="K530" s="658"/>
      <c r="L530" s="658"/>
      <c r="M530" s="658"/>
      <c r="N530" s="658"/>
      <c r="O530" s="658"/>
      <c r="P530" s="658"/>
      <c r="Q530" s="658"/>
      <c r="R530" s="658"/>
      <c r="S530" s="658"/>
      <c r="T530" s="658"/>
      <c r="U530" s="658"/>
      <c r="V530" s="658"/>
      <c r="W530" s="658"/>
      <c r="X530" s="658"/>
      <c r="Y530" s="658"/>
      <c r="Z530" s="658"/>
    </row>
    <row r="531" ht="14.25" customHeight="1">
      <c r="A531" s="658"/>
      <c r="B531" s="658"/>
      <c r="C531" s="658"/>
      <c r="D531" s="658"/>
      <c r="E531" s="658"/>
      <c r="F531" s="658"/>
      <c r="G531" s="658"/>
      <c r="H531" s="658"/>
      <c r="I531" s="658"/>
      <c r="J531" s="658"/>
      <c r="K531" s="658"/>
      <c r="L531" s="658"/>
      <c r="M531" s="658"/>
      <c r="N531" s="658"/>
      <c r="O531" s="658"/>
      <c r="P531" s="658"/>
      <c r="Q531" s="658"/>
      <c r="R531" s="658"/>
      <c r="S531" s="658"/>
      <c r="T531" s="658"/>
      <c r="U531" s="658"/>
      <c r="V531" s="658"/>
      <c r="W531" s="658"/>
      <c r="X531" s="658"/>
      <c r="Y531" s="658"/>
      <c r="Z531" s="658"/>
    </row>
    <row r="532" ht="14.25" customHeight="1">
      <c r="A532" s="658"/>
      <c r="B532" s="658"/>
      <c r="C532" s="658"/>
      <c r="D532" s="658"/>
      <c r="E532" s="658"/>
      <c r="F532" s="658"/>
      <c r="G532" s="658"/>
      <c r="H532" s="658"/>
      <c r="I532" s="658"/>
      <c r="J532" s="658"/>
      <c r="K532" s="658"/>
      <c r="L532" s="658"/>
      <c r="M532" s="658"/>
      <c r="N532" s="658"/>
      <c r="O532" s="658"/>
      <c r="P532" s="658"/>
      <c r="Q532" s="658"/>
      <c r="R532" s="658"/>
      <c r="S532" s="658"/>
      <c r="T532" s="658"/>
      <c r="U532" s="658"/>
      <c r="V532" s="658"/>
      <c r="W532" s="658"/>
      <c r="X532" s="658"/>
      <c r="Y532" s="658"/>
      <c r="Z532" s="658"/>
    </row>
    <row r="533" ht="14.25" customHeight="1">
      <c r="A533" s="658"/>
      <c r="B533" s="658"/>
      <c r="C533" s="658"/>
      <c r="D533" s="658"/>
      <c r="E533" s="658"/>
      <c r="F533" s="658"/>
      <c r="G533" s="658"/>
      <c r="H533" s="658"/>
      <c r="I533" s="658"/>
      <c r="J533" s="658"/>
      <c r="K533" s="658"/>
      <c r="L533" s="658"/>
      <c r="M533" s="658"/>
      <c r="N533" s="658"/>
      <c r="O533" s="658"/>
      <c r="P533" s="658"/>
      <c r="Q533" s="658"/>
      <c r="R533" s="658"/>
      <c r="S533" s="658"/>
      <c r="T533" s="658"/>
      <c r="U533" s="658"/>
      <c r="V533" s="658"/>
      <c r="W533" s="658"/>
      <c r="X533" s="658"/>
      <c r="Y533" s="658"/>
      <c r="Z533" s="658"/>
    </row>
    <row r="534" ht="14.25" customHeight="1">
      <c r="A534" s="658"/>
      <c r="B534" s="658"/>
      <c r="C534" s="658"/>
      <c r="D534" s="658"/>
      <c r="E534" s="658"/>
      <c r="F534" s="658"/>
      <c r="G534" s="658"/>
      <c r="H534" s="658"/>
      <c r="I534" s="658"/>
      <c r="J534" s="658"/>
      <c r="K534" s="658"/>
      <c r="L534" s="658"/>
      <c r="M534" s="658"/>
      <c r="N534" s="658"/>
      <c r="O534" s="658"/>
      <c r="P534" s="658"/>
      <c r="Q534" s="658"/>
      <c r="R534" s="658"/>
      <c r="S534" s="658"/>
      <c r="T534" s="658"/>
      <c r="U534" s="658"/>
      <c r="V534" s="658"/>
      <c r="W534" s="658"/>
      <c r="X534" s="658"/>
      <c r="Y534" s="658"/>
      <c r="Z534" s="658"/>
    </row>
    <row r="535" ht="14.25" customHeight="1">
      <c r="A535" s="658"/>
      <c r="B535" s="658"/>
      <c r="C535" s="658"/>
      <c r="D535" s="658"/>
      <c r="E535" s="658"/>
      <c r="F535" s="658"/>
      <c r="G535" s="658"/>
      <c r="H535" s="658"/>
      <c r="I535" s="658"/>
      <c r="J535" s="658"/>
      <c r="K535" s="658"/>
      <c r="L535" s="658"/>
      <c r="M535" s="658"/>
      <c r="N535" s="658"/>
      <c r="O535" s="658"/>
      <c r="P535" s="658"/>
      <c r="Q535" s="658"/>
      <c r="R535" s="658"/>
      <c r="S535" s="658"/>
      <c r="T535" s="658"/>
      <c r="U535" s="658"/>
      <c r="V535" s="658"/>
      <c r="W535" s="658"/>
      <c r="X535" s="658"/>
      <c r="Y535" s="658"/>
      <c r="Z535" s="658"/>
    </row>
    <row r="536" ht="14.25" customHeight="1">
      <c r="A536" s="658"/>
      <c r="B536" s="658"/>
      <c r="C536" s="658"/>
      <c r="D536" s="658"/>
      <c r="E536" s="658"/>
      <c r="F536" s="658"/>
      <c r="G536" s="658"/>
      <c r="H536" s="658"/>
      <c r="I536" s="658"/>
      <c r="J536" s="658"/>
      <c r="K536" s="658"/>
      <c r="L536" s="658"/>
      <c r="M536" s="658"/>
      <c r="N536" s="658"/>
      <c r="O536" s="658"/>
      <c r="P536" s="658"/>
      <c r="Q536" s="658"/>
      <c r="R536" s="658"/>
      <c r="S536" s="658"/>
      <c r="T536" s="658"/>
      <c r="U536" s="658"/>
      <c r="V536" s="658"/>
      <c r="W536" s="658"/>
      <c r="X536" s="658"/>
      <c r="Y536" s="658"/>
      <c r="Z536" s="658"/>
    </row>
    <row r="537" ht="14.25" customHeight="1">
      <c r="A537" s="658"/>
      <c r="B537" s="658"/>
      <c r="C537" s="658"/>
      <c r="D537" s="658"/>
      <c r="E537" s="658"/>
      <c r="F537" s="658"/>
      <c r="G537" s="658"/>
      <c r="H537" s="658"/>
      <c r="I537" s="658"/>
      <c r="J537" s="658"/>
      <c r="K537" s="658"/>
      <c r="L537" s="658"/>
      <c r="M537" s="658"/>
      <c r="N537" s="658"/>
      <c r="O537" s="658"/>
      <c r="P537" s="658"/>
      <c r="Q537" s="658"/>
      <c r="R537" s="658"/>
      <c r="S537" s="658"/>
      <c r="T537" s="658"/>
      <c r="U537" s="658"/>
      <c r="V537" s="658"/>
      <c r="W537" s="658"/>
      <c r="X537" s="658"/>
      <c r="Y537" s="658"/>
      <c r="Z537" s="658"/>
    </row>
    <row r="538" ht="14.25" customHeight="1">
      <c r="A538" s="658"/>
      <c r="B538" s="658"/>
      <c r="C538" s="658"/>
      <c r="D538" s="658"/>
      <c r="E538" s="658"/>
      <c r="F538" s="658"/>
      <c r="G538" s="658"/>
      <c r="H538" s="658"/>
      <c r="I538" s="658"/>
      <c r="J538" s="658"/>
      <c r="K538" s="658"/>
      <c r="L538" s="658"/>
      <c r="M538" s="658"/>
      <c r="N538" s="658"/>
      <c r="O538" s="658"/>
      <c r="P538" s="658"/>
      <c r="Q538" s="658"/>
      <c r="R538" s="658"/>
      <c r="S538" s="658"/>
      <c r="T538" s="658"/>
      <c r="U538" s="658"/>
      <c r="V538" s="658"/>
      <c r="W538" s="658"/>
      <c r="X538" s="658"/>
      <c r="Y538" s="658"/>
      <c r="Z538" s="658"/>
    </row>
    <row r="539" ht="14.25" customHeight="1">
      <c r="A539" s="658"/>
      <c r="B539" s="658"/>
      <c r="C539" s="658"/>
      <c r="D539" s="658"/>
      <c r="E539" s="658"/>
      <c r="F539" s="658"/>
      <c r="G539" s="658"/>
      <c r="H539" s="658"/>
      <c r="I539" s="658"/>
      <c r="J539" s="658"/>
      <c r="K539" s="658"/>
      <c r="L539" s="658"/>
      <c r="M539" s="658"/>
      <c r="N539" s="658"/>
      <c r="O539" s="658"/>
      <c r="P539" s="658"/>
      <c r="Q539" s="658"/>
      <c r="R539" s="658"/>
      <c r="S539" s="658"/>
      <c r="T539" s="658"/>
      <c r="U539" s="658"/>
      <c r="V539" s="658"/>
      <c r="W539" s="658"/>
      <c r="X539" s="658"/>
      <c r="Y539" s="658"/>
      <c r="Z539" s="658"/>
    </row>
    <row r="540" ht="14.25" customHeight="1">
      <c r="A540" s="658"/>
      <c r="B540" s="658"/>
      <c r="C540" s="658"/>
      <c r="D540" s="658"/>
      <c r="E540" s="658"/>
      <c r="F540" s="658"/>
      <c r="G540" s="658"/>
      <c r="H540" s="658"/>
      <c r="I540" s="658"/>
      <c r="J540" s="658"/>
      <c r="K540" s="658"/>
      <c r="L540" s="658"/>
      <c r="M540" s="658"/>
      <c r="N540" s="658"/>
      <c r="O540" s="658"/>
      <c r="P540" s="658"/>
      <c r="Q540" s="658"/>
      <c r="R540" s="658"/>
      <c r="S540" s="658"/>
      <c r="T540" s="658"/>
      <c r="U540" s="658"/>
      <c r="V540" s="658"/>
      <c r="W540" s="658"/>
      <c r="X540" s="658"/>
      <c r="Y540" s="658"/>
      <c r="Z540" s="658"/>
    </row>
    <row r="541" ht="14.25" customHeight="1">
      <c r="A541" s="658"/>
      <c r="B541" s="658"/>
      <c r="C541" s="658"/>
      <c r="D541" s="658"/>
      <c r="E541" s="658"/>
      <c r="F541" s="658"/>
      <c r="G541" s="658"/>
      <c r="H541" s="658"/>
      <c r="I541" s="658"/>
      <c r="J541" s="658"/>
      <c r="K541" s="658"/>
      <c r="L541" s="658"/>
      <c r="M541" s="658"/>
      <c r="N541" s="658"/>
      <c r="O541" s="658"/>
      <c r="P541" s="658"/>
      <c r="Q541" s="658"/>
      <c r="R541" s="658"/>
      <c r="S541" s="658"/>
      <c r="T541" s="658"/>
      <c r="U541" s="658"/>
      <c r="V541" s="658"/>
      <c r="W541" s="658"/>
      <c r="X541" s="658"/>
      <c r="Y541" s="658"/>
      <c r="Z541" s="658"/>
    </row>
    <row r="542" ht="14.25" customHeight="1">
      <c r="A542" s="658"/>
      <c r="B542" s="658"/>
      <c r="C542" s="658"/>
      <c r="D542" s="658"/>
      <c r="E542" s="658"/>
      <c r="F542" s="658"/>
      <c r="G542" s="658"/>
      <c r="H542" s="658"/>
      <c r="I542" s="658"/>
      <c r="J542" s="658"/>
      <c r="K542" s="658"/>
      <c r="L542" s="658"/>
      <c r="M542" s="658"/>
      <c r="N542" s="658"/>
      <c r="O542" s="658"/>
      <c r="P542" s="658"/>
      <c r="Q542" s="658"/>
      <c r="R542" s="658"/>
      <c r="S542" s="658"/>
      <c r="T542" s="658"/>
      <c r="U542" s="658"/>
      <c r="V542" s="658"/>
      <c r="W542" s="658"/>
      <c r="X542" s="658"/>
      <c r="Y542" s="658"/>
      <c r="Z542" s="658"/>
    </row>
    <row r="543" ht="14.25" customHeight="1">
      <c r="A543" s="658"/>
      <c r="B543" s="658"/>
      <c r="C543" s="658"/>
      <c r="D543" s="658"/>
      <c r="E543" s="658"/>
      <c r="F543" s="658"/>
      <c r="G543" s="658"/>
      <c r="H543" s="658"/>
      <c r="I543" s="658"/>
      <c r="J543" s="658"/>
      <c r="K543" s="658"/>
      <c r="L543" s="658"/>
      <c r="M543" s="658"/>
      <c r="N543" s="658"/>
      <c r="O543" s="658"/>
      <c r="P543" s="658"/>
      <c r="Q543" s="658"/>
      <c r="R543" s="658"/>
      <c r="S543" s="658"/>
      <c r="T543" s="658"/>
      <c r="U543" s="658"/>
      <c r="V543" s="658"/>
      <c r="W543" s="658"/>
      <c r="X543" s="658"/>
      <c r="Y543" s="658"/>
      <c r="Z543" s="658"/>
    </row>
    <row r="544" ht="14.25" customHeight="1">
      <c r="A544" s="658"/>
      <c r="B544" s="658"/>
      <c r="C544" s="658"/>
      <c r="D544" s="658"/>
      <c r="E544" s="658"/>
      <c r="F544" s="658"/>
      <c r="G544" s="658"/>
      <c r="H544" s="658"/>
      <c r="I544" s="658"/>
      <c r="J544" s="658"/>
      <c r="K544" s="658"/>
      <c r="L544" s="658"/>
      <c r="M544" s="658"/>
      <c r="N544" s="658"/>
      <c r="O544" s="658"/>
      <c r="P544" s="658"/>
      <c r="Q544" s="658"/>
      <c r="R544" s="658"/>
      <c r="S544" s="658"/>
      <c r="T544" s="658"/>
      <c r="U544" s="658"/>
      <c r="V544" s="658"/>
      <c r="W544" s="658"/>
      <c r="X544" s="658"/>
      <c r="Y544" s="658"/>
      <c r="Z544" s="658"/>
    </row>
    <row r="545" ht="14.25" customHeight="1">
      <c r="A545" s="658"/>
      <c r="B545" s="658"/>
      <c r="C545" s="658"/>
      <c r="D545" s="658"/>
      <c r="E545" s="658"/>
      <c r="F545" s="658"/>
      <c r="G545" s="658"/>
      <c r="H545" s="658"/>
      <c r="I545" s="658"/>
      <c r="J545" s="658"/>
      <c r="K545" s="658"/>
      <c r="L545" s="658"/>
      <c r="M545" s="658"/>
      <c r="N545" s="658"/>
      <c r="O545" s="658"/>
      <c r="P545" s="658"/>
      <c r="Q545" s="658"/>
      <c r="R545" s="658"/>
      <c r="S545" s="658"/>
      <c r="T545" s="658"/>
      <c r="U545" s="658"/>
      <c r="V545" s="658"/>
      <c r="W545" s="658"/>
      <c r="X545" s="658"/>
      <c r="Y545" s="658"/>
      <c r="Z545" s="658"/>
    </row>
    <row r="546" ht="14.25" customHeight="1">
      <c r="A546" s="658"/>
      <c r="B546" s="658"/>
      <c r="C546" s="658"/>
      <c r="D546" s="658"/>
      <c r="E546" s="658"/>
      <c r="F546" s="658"/>
      <c r="G546" s="658"/>
      <c r="H546" s="658"/>
      <c r="I546" s="658"/>
      <c r="J546" s="658"/>
      <c r="K546" s="658"/>
      <c r="L546" s="658"/>
      <c r="M546" s="658"/>
      <c r="N546" s="658"/>
      <c r="O546" s="658"/>
      <c r="P546" s="658"/>
      <c r="Q546" s="658"/>
      <c r="R546" s="658"/>
      <c r="S546" s="658"/>
      <c r="T546" s="658"/>
      <c r="U546" s="658"/>
      <c r="V546" s="658"/>
      <c r="W546" s="658"/>
      <c r="X546" s="658"/>
      <c r="Y546" s="658"/>
      <c r="Z546" s="658"/>
    </row>
    <row r="547" ht="14.25" customHeight="1">
      <c r="A547" s="658"/>
      <c r="B547" s="658"/>
      <c r="C547" s="658"/>
      <c r="D547" s="658"/>
      <c r="E547" s="658"/>
      <c r="F547" s="658"/>
      <c r="G547" s="658"/>
      <c r="H547" s="658"/>
      <c r="I547" s="658"/>
      <c r="J547" s="658"/>
      <c r="K547" s="658"/>
      <c r="L547" s="658"/>
      <c r="M547" s="658"/>
      <c r="N547" s="658"/>
      <c r="O547" s="658"/>
      <c r="P547" s="658"/>
      <c r="Q547" s="658"/>
      <c r="R547" s="658"/>
      <c r="S547" s="658"/>
      <c r="T547" s="658"/>
      <c r="U547" s="658"/>
      <c r="V547" s="658"/>
      <c r="W547" s="658"/>
      <c r="X547" s="658"/>
      <c r="Y547" s="658"/>
      <c r="Z547" s="658"/>
    </row>
    <row r="548" ht="14.25" customHeight="1">
      <c r="A548" s="658"/>
      <c r="B548" s="658"/>
      <c r="C548" s="658"/>
      <c r="D548" s="658"/>
      <c r="E548" s="658"/>
      <c r="F548" s="658"/>
      <c r="G548" s="658"/>
      <c r="H548" s="658"/>
      <c r="I548" s="658"/>
      <c r="J548" s="658"/>
      <c r="K548" s="658"/>
      <c r="L548" s="658"/>
      <c r="M548" s="658"/>
      <c r="N548" s="658"/>
      <c r="O548" s="658"/>
      <c r="P548" s="658"/>
      <c r="Q548" s="658"/>
      <c r="R548" s="658"/>
      <c r="S548" s="658"/>
      <c r="T548" s="658"/>
      <c r="U548" s="658"/>
      <c r="V548" s="658"/>
      <c r="W548" s="658"/>
      <c r="X548" s="658"/>
      <c r="Y548" s="658"/>
      <c r="Z548" s="658"/>
    </row>
    <row r="549" ht="14.25" customHeight="1">
      <c r="A549" s="658"/>
      <c r="B549" s="658"/>
      <c r="C549" s="658"/>
      <c r="D549" s="658"/>
      <c r="E549" s="658"/>
      <c r="F549" s="658"/>
      <c r="G549" s="658"/>
      <c r="H549" s="658"/>
      <c r="I549" s="658"/>
      <c r="J549" s="658"/>
      <c r="K549" s="658"/>
      <c r="L549" s="658"/>
      <c r="M549" s="658"/>
      <c r="N549" s="658"/>
      <c r="O549" s="658"/>
      <c r="P549" s="658"/>
      <c r="Q549" s="658"/>
      <c r="R549" s="658"/>
      <c r="S549" s="658"/>
      <c r="T549" s="658"/>
      <c r="U549" s="658"/>
      <c r="V549" s="658"/>
      <c r="W549" s="658"/>
      <c r="X549" s="658"/>
      <c r="Y549" s="658"/>
      <c r="Z549" s="658"/>
    </row>
    <row r="550" ht="14.25" customHeight="1">
      <c r="A550" s="658"/>
      <c r="B550" s="658"/>
      <c r="C550" s="658"/>
      <c r="D550" s="658"/>
      <c r="E550" s="658"/>
      <c r="F550" s="658"/>
      <c r="G550" s="658"/>
      <c r="H550" s="658"/>
      <c r="I550" s="658"/>
      <c r="J550" s="658"/>
      <c r="K550" s="658"/>
      <c r="L550" s="658"/>
      <c r="M550" s="658"/>
      <c r="N550" s="658"/>
      <c r="O550" s="658"/>
      <c r="P550" s="658"/>
      <c r="Q550" s="658"/>
      <c r="R550" s="658"/>
      <c r="S550" s="658"/>
      <c r="T550" s="658"/>
      <c r="U550" s="658"/>
      <c r="V550" s="658"/>
      <c r="W550" s="658"/>
      <c r="X550" s="658"/>
      <c r="Y550" s="658"/>
      <c r="Z550" s="658"/>
    </row>
    <row r="551" ht="14.25" customHeight="1">
      <c r="A551" s="658"/>
      <c r="B551" s="658"/>
      <c r="C551" s="658"/>
      <c r="D551" s="658"/>
      <c r="E551" s="658"/>
      <c r="F551" s="658"/>
      <c r="G551" s="658"/>
      <c r="H551" s="658"/>
      <c r="I551" s="658"/>
      <c r="J551" s="658"/>
      <c r="K551" s="658"/>
      <c r="L551" s="658"/>
      <c r="M551" s="658"/>
      <c r="N551" s="658"/>
      <c r="O551" s="658"/>
      <c r="P551" s="658"/>
      <c r="Q551" s="658"/>
      <c r="R551" s="658"/>
      <c r="S551" s="658"/>
      <c r="T551" s="658"/>
      <c r="U551" s="658"/>
      <c r="V551" s="658"/>
      <c r="W551" s="658"/>
      <c r="X551" s="658"/>
      <c r="Y551" s="658"/>
      <c r="Z551" s="658"/>
    </row>
    <row r="552" ht="14.25" customHeight="1">
      <c r="A552" s="658"/>
      <c r="B552" s="658"/>
      <c r="C552" s="658"/>
      <c r="D552" s="658"/>
      <c r="E552" s="658"/>
      <c r="F552" s="658"/>
      <c r="G552" s="658"/>
      <c r="H552" s="658"/>
      <c r="I552" s="658"/>
      <c r="J552" s="658"/>
      <c r="K552" s="658"/>
      <c r="L552" s="658"/>
      <c r="M552" s="658"/>
      <c r="N552" s="658"/>
      <c r="O552" s="658"/>
      <c r="P552" s="658"/>
      <c r="Q552" s="658"/>
      <c r="R552" s="658"/>
      <c r="S552" s="658"/>
      <c r="T552" s="658"/>
      <c r="U552" s="658"/>
      <c r="V552" s="658"/>
      <c r="W552" s="658"/>
      <c r="X552" s="658"/>
      <c r="Y552" s="658"/>
      <c r="Z552" s="658"/>
    </row>
    <row r="553" ht="14.25" customHeight="1">
      <c r="A553" s="658"/>
      <c r="B553" s="658"/>
      <c r="C553" s="658"/>
      <c r="D553" s="658"/>
      <c r="E553" s="658"/>
      <c r="F553" s="658"/>
      <c r="G553" s="658"/>
      <c r="H553" s="658"/>
      <c r="I553" s="658"/>
      <c r="J553" s="658"/>
      <c r="K553" s="658"/>
      <c r="L553" s="658"/>
      <c r="M553" s="658"/>
      <c r="N553" s="658"/>
      <c r="O553" s="658"/>
      <c r="P553" s="658"/>
      <c r="Q553" s="658"/>
      <c r="R553" s="658"/>
      <c r="S553" s="658"/>
      <c r="T553" s="658"/>
      <c r="U553" s="658"/>
      <c r="V553" s="658"/>
      <c r="W553" s="658"/>
      <c r="X553" s="658"/>
      <c r="Y553" s="658"/>
      <c r="Z553" s="658"/>
    </row>
    <row r="554" ht="14.25" customHeight="1">
      <c r="A554" s="658"/>
      <c r="B554" s="658"/>
      <c r="C554" s="658"/>
      <c r="D554" s="658"/>
      <c r="E554" s="658"/>
      <c r="F554" s="658"/>
      <c r="G554" s="658"/>
      <c r="H554" s="658"/>
      <c r="I554" s="658"/>
      <c r="J554" s="658"/>
      <c r="K554" s="658"/>
      <c r="L554" s="658"/>
      <c r="M554" s="658"/>
      <c r="N554" s="658"/>
      <c r="O554" s="658"/>
      <c r="P554" s="658"/>
      <c r="Q554" s="658"/>
      <c r="R554" s="658"/>
      <c r="S554" s="658"/>
      <c r="T554" s="658"/>
      <c r="U554" s="658"/>
      <c r="V554" s="658"/>
      <c r="W554" s="658"/>
      <c r="X554" s="658"/>
      <c r="Y554" s="658"/>
      <c r="Z554" s="658"/>
    </row>
    <row r="555" ht="14.25" customHeight="1">
      <c r="A555" s="658"/>
      <c r="B555" s="658"/>
      <c r="C555" s="658"/>
      <c r="D555" s="658"/>
      <c r="E555" s="658"/>
      <c r="F555" s="658"/>
      <c r="G555" s="658"/>
      <c r="H555" s="658"/>
      <c r="I555" s="658"/>
      <c r="J555" s="658"/>
      <c r="K555" s="658"/>
      <c r="L555" s="658"/>
      <c r="M555" s="658"/>
      <c r="N555" s="658"/>
      <c r="O555" s="658"/>
      <c r="P555" s="658"/>
      <c r="Q555" s="658"/>
      <c r="R555" s="658"/>
      <c r="S555" s="658"/>
      <c r="T555" s="658"/>
      <c r="U555" s="658"/>
      <c r="V555" s="658"/>
      <c r="W555" s="658"/>
      <c r="X555" s="658"/>
      <c r="Y555" s="658"/>
      <c r="Z555" s="658"/>
    </row>
    <row r="556" ht="14.25" customHeight="1">
      <c r="A556" s="658"/>
      <c r="B556" s="658"/>
      <c r="C556" s="658"/>
      <c r="D556" s="658"/>
      <c r="E556" s="658"/>
      <c r="F556" s="658"/>
      <c r="G556" s="658"/>
      <c r="H556" s="658"/>
      <c r="I556" s="658"/>
      <c r="J556" s="658"/>
      <c r="K556" s="658"/>
      <c r="L556" s="658"/>
      <c r="M556" s="658"/>
      <c r="N556" s="658"/>
      <c r="O556" s="658"/>
      <c r="P556" s="658"/>
      <c r="Q556" s="658"/>
      <c r="R556" s="658"/>
      <c r="S556" s="658"/>
      <c r="T556" s="658"/>
      <c r="U556" s="658"/>
      <c r="V556" s="658"/>
      <c r="W556" s="658"/>
      <c r="X556" s="658"/>
      <c r="Y556" s="658"/>
      <c r="Z556" s="658"/>
    </row>
    <row r="557" ht="14.25" customHeight="1">
      <c r="A557" s="658"/>
      <c r="B557" s="658"/>
      <c r="C557" s="658"/>
      <c r="D557" s="658"/>
      <c r="E557" s="658"/>
      <c r="F557" s="658"/>
      <c r="G557" s="658"/>
      <c r="H557" s="658"/>
      <c r="I557" s="658"/>
      <c r="J557" s="658"/>
      <c r="K557" s="658"/>
      <c r="L557" s="658"/>
      <c r="M557" s="658"/>
      <c r="N557" s="658"/>
      <c r="O557" s="658"/>
      <c r="P557" s="658"/>
      <c r="Q557" s="658"/>
      <c r="R557" s="658"/>
      <c r="S557" s="658"/>
      <c r="T557" s="658"/>
      <c r="U557" s="658"/>
      <c r="V557" s="658"/>
      <c r="W557" s="658"/>
      <c r="X557" s="658"/>
      <c r="Y557" s="658"/>
      <c r="Z557" s="658"/>
    </row>
    <row r="558" ht="14.25" customHeight="1">
      <c r="A558" s="658"/>
      <c r="B558" s="658"/>
      <c r="C558" s="658"/>
      <c r="D558" s="658"/>
      <c r="E558" s="658"/>
      <c r="F558" s="658"/>
      <c r="G558" s="658"/>
      <c r="H558" s="658"/>
      <c r="I558" s="658"/>
      <c r="J558" s="658"/>
      <c r="K558" s="658"/>
      <c r="L558" s="658"/>
      <c r="M558" s="658"/>
      <c r="N558" s="658"/>
      <c r="O558" s="658"/>
      <c r="P558" s="658"/>
      <c r="Q558" s="658"/>
      <c r="R558" s="658"/>
      <c r="S558" s="658"/>
      <c r="T558" s="658"/>
      <c r="U558" s="658"/>
      <c r="V558" s="658"/>
      <c r="W558" s="658"/>
      <c r="X558" s="658"/>
      <c r="Y558" s="658"/>
      <c r="Z558" s="658"/>
    </row>
    <row r="559" ht="14.25" customHeight="1">
      <c r="A559" s="658"/>
      <c r="B559" s="658"/>
      <c r="C559" s="658"/>
      <c r="D559" s="658"/>
      <c r="E559" s="658"/>
      <c r="F559" s="658"/>
      <c r="G559" s="658"/>
      <c r="H559" s="658"/>
      <c r="I559" s="658"/>
      <c r="J559" s="658"/>
      <c r="K559" s="658"/>
      <c r="L559" s="658"/>
      <c r="M559" s="658"/>
      <c r="N559" s="658"/>
      <c r="O559" s="658"/>
      <c r="P559" s="658"/>
      <c r="Q559" s="658"/>
      <c r="R559" s="658"/>
      <c r="S559" s="658"/>
      <c r="T559" s="658"/>
      <c r="U559" s="658"/>
      <c r="V559" s="658"/>
      <c r="W559" s="658"/>
      <c r="X559" s="658"/>
      <c r="Y559" s="658"/>
      <c r="Z559" s="658"/>
    </row>
    <row r="560" ht="14.25" customHeight="1">
      <c r="A560" s="658"/>
      <c r="B560" s="658"/>
      <c r="C560" s="658"/>
      <c r="D560" s="658"/>
      <c r="E560" s="658"/>
      <c r="F560" s="658"/>
      <c r="G560" s="658"/>
      <c r="H560" s="658"/>
      <c r="I560" s="658"/>
      <c r="J560" s="658"/>
      <c r="K560" s="658"/>
      <c r="L560" s="658"/>
      <c r="M560" s="658"/>
      <c r="N560" s="658"/>
      <c r="O560" s="658"/>
      <c r="P560" s="658"/>
      <c r="Q560" s="658"/>
      <c r="R560" s="658"/>
      <c r="S560" s="658"/>
      <c r="T560" s="658"/>
      <c r="U560" s="658"/>
      <c r="V560" s="658"/>
      <c r="W560" s="658"/>
      <c r="X560" s="658"/>
      <c r="Y560" s="658"/>
      <c r="Z560" s="658"/>
    </row>
    <row r="561" ht="14.25" customHeight="1">
      <c r="A561" s="658"/>
      <c r="B561" s="658"/>
      <c r="C561" s="658"/>
      <c r="D561" s="658"/>
      <c r="E561" s="658"/>
      <c r="F561" s="658"/>
      <c r="G561" s="658"/>
      <c r="H561" s="658"/>
      <c r="I561" s="658"/>
      <c r="J561" s="658"/>
      <c r="K561" s="658"/>
      <c r="L561" s="658"/>
      <c r="M561" s="658"/>
      <c r="N561" s="658"/>
      <c r="O561" s="658"/>
      <c r="P561" s="658"/>
      <c r="Q561" s="658"/>
      <c r="R561" s="658"/>
      <c r="S561" s="658"/>
      <c r="T561" s="658"/>
      <c r="U561" s="658"/>
      <c r="V561" s="658"/>
      <c r="W561" s="658"/>
      <c r="X561" s="658"/>
      <c r="Y561" s="658"/>
      <c r="Z561" s="658"/>
    </row>
    <row r="562" ht="14.25" customHeight="1">
      <c r="A562" s="658"/>
      <c r="B562" s="658"/>
      <c r="C562" s="658"/>
      <c r="D562" s="658"/>
      <c r="E562" s="658"/>
      <c r="F562" s="658"/>
      <c r="G562" s="658"/>
      <c r="H562" s="658"/>
      <c r="I562" s="658"/>
      <c r="J562" s="658"/>
      <c r="K562" s="658"/>
      <c r="L562" s="658"/>
      <c r="M562" s="658"/>
      <c r="N562" s="658"/>
      <c r="O562" s="658"/>
      <c r="P562" s="658"/>
      <c r="Q562" s="658"/>
      <c r="R562" s="658"/>
      <c r="S562" s="658"/>
      <c r="T562" s="658"/>
      <c r="U562" s="658"/>
      <c r="V562" s="658"/>
      <c r="W562" s="658"/>
      <c r="X562" s="658"/>
      <c r="Y562" s="658"/>
      <c r="Z562" s="658"/>
    </row>
    <row r="563" ht="14.25" customHeight="1">
      <c r="A563" s="658"/>
      <c r="B563" s="658"/>
      <c r="C563" s="658"/>
      <c r="D563" s="658"/>
      <c r="E563" s="658"/>
      <c r="F563" s="658"/>
      <c r="G563" s="658"/>
      <c r="H563" s="658"/>
      <c r="I563" s="658"/>
      <c r="J563" s="658"/>
      <c r="K563" s="658"/>
      <c r="L563" s="658"/>
      <c r="M563" s="658"/>
      <c r="N563" s="658"/>
      <c r="O563" s="658"/>
      <c r="P563" s="658"/>
      <c r="Q563" s="658"/>
      <c r="R563" s="658"/>
      <c r="S563" s="658"/>
      <c r="T563" s="658"/>
      <c r="U563" s="658"/>
      <c r="V563" s="658"/>
      <c r="W563" s="658"/>
      <c r="X563" s="658"/>
      <c r="Y563" s="658"/>
      <c r="Z563" s="658"/>
    </row>
    <row r="564" ht="14.25" customHeight="1">
      <c r="A564" s="658"/>
      <c r="B564" s="658"/>
      <c r="C564" s="658"/>
      <c r="D564" s="658"/>
      <c r="E564" s="658"/>
      <c r="F564" s="658"/>
      <c r="G564" s="658"/>
      <c r="H564" s="658"/>
      <c r="I564" s="658"/>
      <c r="J564" s="658"/>
      <c r="K564" s="658"/>
      <c r="L564" s="658"/>
      <c r="M564" s="658"/>
      <c r="N564" s="658"/>
      <c r="O564" s="658"/>
      <c r="P564" s="658"/>
      <c r="Q564" s="658"/>
      <c r="R564" s="658"/>
      <c r="S564" s="658"/>
      <c r="T564" s="658"/>
      <c r="U564" s="658"/>
      <c r="V564" s="658"/>
      <c r="W564" s="658"/>
      <c r="X564" s="658"/>
      <c r="Y564" s="658"/>
      <c r="Z564" s="658"/>
    </row>
    <row r="565" ht="14.25" customHeight="1">
      <c r="A565" s="658"/>
      <c r="B565" s="658"/>
      <c r="C565" s="658"/>
      <c r="D565" s="658"/>
      <c r="E565" s="658"/>
      <c r="F565" s="658"/>
      <c r="G565" s="658"/>
      <c r="H565" s="658"/>
      <c r="I565" s="658"/>
      <c r="J565" s="658"/>
      <c r="K565" s="658"/>
      <c r="L565" s="658"/>
      <c r="M565" s="658"/>
      <c r="N565" s="658"/>
      <c r="O565" s="658"/>
      <c r="P565" s="658"/>
      <c r="Q565" s="658"/>
      <c r="R565" s="658"/>
      <c r="S565" s="658"/>
      <c r="T565" s="658"/>
      <c r="U565" s="658"/>
      <c r="V565" s="658"/>
      <c r="W565" s="658"/>
      <c r="X565" s="658"/>
      <c r="Y565" s="658"/>
      <c r="Z565" s="658"/>
    </row>
    <row r="566" ht="14.25" customHeight="1">
      <c r="A566" s="658"/>
      <c r="B566" s="658"/>
      <c r="C566" s="658"/>
      <c r="D566" s="658"/>
      <c r="E566" s="658"/>
      <c r="F566" s="658"/>
      <c r="G566" s="658"/>
      <c r="H566" s="658"/>
      <c r="I566" s="658"/>
      <c r="J566" s="658"/>
      <c r="K566" s="658"/>
      <c r="L566" s="658"/>
      <c r="M566" s="658"/>
      <c r="N566" s="658"/>
      <c r="O566" s="658"/>
      <c r="P566" s="658"/>
      <c r="Q566" s="658"/>
      <c r="R566" s="658"/>
      <c r="S566" s="658"/>
      <c r="T566" s="658"/>
      <c r="U566" s="658"/>
      <c r="V566" s="658"/>
      <c r="W566" s="658"/>
      <c r="X566" s="658"/>
      <c r="Y566" s="658"/>
      <c r="Z566" s="658"/>
    </row>
    <row r="567" ht="14.25" customHeight="1">
      <c r="A567" s="658"/>
      <c r="B567" s="658"/>
      <c r="C567" s="658"/>
      <c r="D567" s="658"/>
      <c r="E567" s="658"/>
      <c r="F567" s="658"/>
      <c r="G567" s="658"/>
      <c r="H567" s="658"/>
      <c r="I567" s="658"/>
      <c r="J567" s="658"/>
      <c r="K567" s="658"/>
      <c r="L567" s="658"/>
      <c r="M567" s="658"/>
      <c r="N567" s="658"/>
      <c r="O567" s="658"/>
      <c r="P567" s="658"/>
      <c r="Q567" s="658"/>
      <c r="R567" s="658"/>
      <c r="S567" s="658"/>
      <c r="T567" s="658"/>
      <c r="U567" s="658"/>
      <c r="V567" s="658"/>
      <c r="W567" s="658"/>
      <c r="X567" s="658"/>
      <c r="Y567" s="658"/>
      <c r="Z567" s="658"/>
    </row>
    <row r="568" ht="14.25" customHeight="1">
      <c r="A568" s="658"/>
      <c r="B568" s="658"/>
      <c r="C568" s="658"/>
      <c r="D568" s="658"/>
      <c r="E568" s="658"/>
      <c r="F568" s="658"/>
      <c r="G568" s="658"/>
      <c r="H568" s="658"/>
      <c r="I568" s="658"/>
      <c r="J568" s="658"/>
      <c r="K568" s="658"/>
      <c r="L568" s="658"/>
      <c r="M568" s="658"/>
      <c r="N568" s="658"/>
      <c r="O568" s="658"/>
      <c r="P568" s="658"/>
      <c r="Q568" s="658"/>
      <c r="R568" s="658"/>
      <c r="S568" s="658"/>
      <c r="T568" s="658"/>
      <c r="U568" s="658"/>
      <c r="V568" s="658"/>
      <c r="W568" s="658"/>
      <c r="X568" s="658"/>
      <c r="Y568" s="658"/>
      <c r="Z568" s="658"/>
    </row>
    <row r="569" ht="14.25" customHeight="1">
      <c r="A569" s="658"/>
      <c r="B569" s="658"/>
      <c r="C569" s="658"/>
      <c r="D569" s="658"/>
      <c r="E569" s="658"/>
      <c r="F569" s="658"/>
      <c r="G569" s="658"/>
      <c r="H569" s="658"/>
      <c r="I569" s="658"/>
      <c r="J569" s="658"/>
      <c r="K569" s="658"/>
      <c r="L569" s="658"/>
      <c r="M569" s="658"/>
      <c r="N569" s="658"/>
      <c r="O569" s="658"/>
      <c r="P569" s="658"/>
      <c r="Q569" s="658"/>
      <c r="R569" s="658"/>
      <c r="S569" s="658"/>
      <c r="T569" s="658"/>
      <c r="U569" s="658"/>
      <c r="V569" s="658"/>
      <c r="W569" s="658"/>
      <c r="X569" s="658"/>
      <c r="Y569" s="658"/>
      <c r="Z569" s="658"/>
    </row>
    <row r="570" ht="14.25" customHeight="1">
      <c r="A570" s="658"/>
      <c r="B570" s="658"/>
      <c r="C570" s="658"/>
      <c r="D570" s="658"/>
      <c r="E570" s="658"/>
      <c r="F570" s="658"/>
      <c r="G570" s="658"/>
      <c r="H570" s="658"/>
      <c r="I570" s="658"/>
      <c r="J570" s="658"/>
      <c r="K570" s="658"/>
      <c r="L570" s="658"/>
      <c r="M570" s="658"/>
      <c r="N570" s="658"/>
      <c r="O570" s="658"/>
      <c r="P570" s="658"/>
      <c r="Q570" s="658"/>
      <c r="R570" s="658"/>
      <c r="S570" s="658"/>
      <c r="T570" s="658"/>
      <c r="U570" s="658"/>
      <c r="V570" s="658"/>
      <c r="W570" s="658"/>
      <c r="X570" s="658"/>
      <c r="Y570" s="658"/>
      <c r="Z570" s="658"/>
    </row>
    <row r="571" ht="14.25" customHeight="1">
      <c r="A571" s="658"/>
      <c r="B571" s="658"/>
      <c r="C571" s="658"/>
      <c r="D571" s="658"/>
      <c r="E571" s="658"/>
      <c r="F571" s="658"/>
      <c r="G571" s="658"/>
      <c r="H571" s="658"/>
      <c r="I571" s="658"/>
      <c r="J571" s="658"/>
      <c r="K571" s="658"/>
      <c r="L571" s="658"/>
      <c r="M571" s="658"/>
      <c r="N571" s="658"/>
      <c r="O571" s="658"/>
      <c r="P571" s="658"/>
      <c r="Q571" s="658"/>
      <c r="R571" s="658"/>
      <c r="S571" s="658"/>
      <c r="T571" s="658"/>
      <c r="U571" s="658"/>
      <c r="V571" s="658"/>
      <c r="W571" s="658"/>
      <c r="X571" s="658"/>
      <c r="Y571" s="658"/>
      <c r="Z571" s="658"/>
    </row>
    <row r="572" ht="14.25" customHeight="1">
      <c r="A572" s="658"/>
      <c r="B572" s="658"/>
      <c r="C572" s="658"/>
      <c r="D572" s="658"/>
      <c r="E572" s="658"/>
      <c r="F572" s="658"/>
      <c r="G572" s="658"/>
      <c r="H572" s="658"/>
      <c r="I572" s="658"/>
      <c r="J572" s="658"/>
      <c r="K572" s="658"/>
      <c r="L572" s="658"/>
      <c r="M572" s="658"/>
      <c r="N572" s="658"/>
      <c r="O572" s="658"/>
      <c r="P572" s="658"/>
      <c r="Q572" s="658"/>
      <c r="R572" s="658"/>
      <c r="S572" s="658"/>
      <c r="T572" s="658"/>
      <c r="U572" s="658"/>
      <c r="V572" s="658"/>
      <c r="W572" s="658"/>
      <c r="X572" s="658"/>
      <c r="Y572" s="658"/>
      <c r="Z572" s="658"/>
    </row>
    <row r="573" ht="14.25" customHeight="1">
      <c r="A573" s="658"/>
      <c r="B573" s="658"/>
      <c r="C573" s="658"/>
      <c r="D573" s="658"/>
      <c r="E573" s="658"/>
      <c r="F573" s="658"/>
      <c r="G573" s="658"/>
      <c r="H573" s="658"/>
      <c r="I573" s="658"/>
      <c r="J573" s="658"/>
      <c r="K573" s="658"/>
      <c r="L573" s="658"/>
      <c r="M573" s="658"/>
      <c r="N573" s="658"/>
      <c r="O573" s="658"/>
      <c r="P573" s="658"/>
      <c r="Q573" s="658"/>
      <c r="R573" s="658"/>
      <c r="S573" s="658"/>
      <c r="T573" s="658"/>
      <c r="U573" s="658"/>
      <c r="V573" s="658"/>
      <c r="W573" s="658"/>
      <c r="X573" s="658"/>
      <c r="Y573" s="658"/>
      <c r="Z573" s="658"/>
    </row>
    <row r="574" ht="14.25" customHeight="1">
      <c r="A574" s="658"/>
      <c r="B574" s="658"/>
      <c r="C574" s="658"/>
      <c r="D574" s="658"/>
      <c r="E574" s="658"/>
      <c r="F574" s="658"/>
      <c r="G574" s="658"/>
      <c r="H574" s="658"/>
      <c r="I574" s="658"/>
      <c r="J574" s="658"/>
      <c r="K574" s="658"/>
      <c r="L574" s="658"/>
      <c r="M574" s="658"/>
      <c r="N574" s="658"/>
      <c r="O574" s="658"/>
      <c r="P574" s="658"/>
      <c r="Q574" s="658"/>
      <c r="R574" s="658"/>
      <c r="S574" s="658"/>
      <c r="T574" s="658"/>
      <c r="U574" s="658"/>
      <c r="V574" s="658"/>
      <c r="W574" s="658"/>
      <c r="X574" s="658"/>
      <c r="Y574" s="658"/>
      <c r="Z574" s="658"/>
    </row>
    <row r="575" ht="14.25" customHeight="1">
      <c r="A575" s="658"/>
      <c r="B575" s="658"/>
      <c r="C575" s="658"/>
      <c r="D575" s="658"/>
      <c r="E575" s="658"/>
      <c r="F575" s="658"/>
      <c r="G575" s="658"/>
      <c r="H575" s="658"/>
      <c r="I575" s="658"/>
      <c r="J575" s="658"/>
      <c r="K575" s="658"/>
      <c r="L575" s="658"/>
      <c r="M575" s="658"/>
      <c r="N575" s="658"/>
      <c r="O575" s="658"/>
      <c r="P575" s="658"/>
      <c r="Q575" s="658"/>
      <c r="R575" s="658"/>
      <c r="S575" s="658"/>
      <c r="T575" s="658"/>
      <c r="U575" s="658"/>
      <c r="V575" s="658"/>
      <c r="W575" s="658"/>
      <c r="X575" s="658"/>
      <c r="Y575" s="658"/>
      <c r="Z575" s="658"/>
    </row>
    <row r="576" ht="14.25" customHeight="1">
      <c r="A576" s="658"/>
      <c r="B576" s="658"/>
      <c r="C576" s="658"/>
      <c r="D576" s="658"/>
      <c r="E576" s="658"/>
      <c r="F576" s="658"/>
      <c r="G576" s="658"/>
      <c r="H576" s="658"/>
      <c r="I576" s="658"/>
      <c r="J576" s="658"/>
      <c r="K576" s="658"/>
      <c r="L576" s="658"/>
      <c r="M576" s="658"/>
      <c r="N576" s="658"/>
      <c r="O576" s="658"/>
      <c r="P576" s="658"/>
      <c r="Q576" s="658"/>
      <c r="R576" s="658"/>
      <c r="S576" s="658"/>
      <c r="T576" s="658"/>
      <c r="U576" s="658"/>
      <c r="V576" s="658"/>
      <c r="W576" s="658"/>
      <c r="X576" s="658"/>
      <c r="Y576" s="658"/>
      <c r="Z576" s="658"/>
    </row>
    <row r="577" ht="14.25" customHeight="1">
      <c r="A577" s="658"/>
      <c r="B577" s="658"/>
      <c r="C577" s="658"/>
      <c r="D577" s="658"/>
      <c r="E577" s="658"/>
      <c r="F577" s="658"/>
      <c r="G577" s="658"/>
      <c r="H577" s="658"/>
      <c r="I577" s="658"/>
      <c r="J577" s="658"/>
      <c r="K577" s="658"/>
      <c r="L577" s="658"/>
      <c r="M577" s="658"/>
      <c r="N577" s="658"/>
      <c r="O577" s="658"/>
      <c r="P577" s="658"/>
      <c r="Q577" s="658"/>
      <c r="R577" s="658"/>
      <c r="S577" s="658"/>
      <c r="T577" s="658"/>
      <c r="U577" s="658"/>
      <c r="V577" s="658"/>
      <c r="W577" s="658"/>
      <c r="X577" s="658"/>
      <c r="Y577" s="658"/>
      <c r="Z577" s="658"/>
    </row>
    <row r="578" ht="14.25" customHeight="1">
      <c r="A578" s="658"/>
      <c r="B578" s="658"/>
      <c r="C578" s="658"/>
      <c r="D578" s="658"/>
      <c r="E578" s="658"/>
      <c r="F578" s="658"/>
      <c r="G578" s="658"/>
      <c r="H578" s="658"/>
      <c r="I578" s="658"/>
      <c r="J578" s="658"/>
      <c r="K578" s="658"/>
      <c r="L578" s="658"/>
      <c r="M578" s="658"/>
      <c r="N578" s="658"/>
      <c r="O578" s="658"/>
      <c r="P578" s="658"/>
      <c r="Q578" s="658"/>
      <c r="R578" s="658"/>
      <c r="S578" s="658"/>
      <c r="T578" s="658"/>
      <c r="U578" s="658"/>
      <c r="V578" s="658"/>
      <c r="W578" s="658"/>
      <c r="X578" s="658"/>
      <c r="Y578" s="658"/>
      <c r="Z578" s="658"/>
    </row>
    <row r="579" ht="14.25" customHeight="1">
      <c r="A579" s="658"/>
      <c r="B579" s="658"/>
      <c r="C579" s="658"/>
      <c r="D579" s="658"/>
      <c r="E579" s="658"/>
      <c r="F579" s="658"/>
      <c r="G579" s="658"/>
      <c r="H579" s="658"/>
      <c r="I579" s="658"/>
      <c r="J579" s="658"/>
      <c r="K579" s="658"/>
      <c r="L579" s="658"/>
      <c r="M579" s="658"/>
      <c r="N579" s="658"/>
      <c r="O579" s="658"/>
      <c r="P579" s="658"/>
      <c r="Q579" s="658"/>
      <c r="R579" s="658"/>
      <c r="S579" s="658"/>
      <c r="T579" s="658"/>
      <c r="U579" s="658"/>
      <c r="V579" s="658"/>
      <c r="W579" s="658"/>
      <c r="X579" s="658"/>
      <c r="Y579" s="658"/>
      <c r="Z579" s="658"/>
    </row>
    <row r="580" ht="14.25" customHeight="1">
      <c r="A580" s="658"/>
      <c r="B580" s="658"/>
      <c r="C580" s="658"/>
      <c r="D580" s="658"/>
      <c r="E580" s="658"/>
      <c r="F580" s="658"/>
      <c r="G580" s="658"/>
      <c r="H580" s="658"/>
      <c r="I580" s="658"/>
      <c r="J580" s="658"/>
      <c r="K580" s="658"/>
      <c r="L580" s="658"/>
      <c r="M580" s="658"/>
      <c r="N580" s="658"/>
      <c r="O580" s="658"/>
      <c r="P580" s="658"/>
      <c r="Q580" s="658"/>
      <c r="R580" s="658"/>
      <c r="S580" s="658"/>
      <c r="T580" s="658"/>
      <c r="U580" s="658"/>
      <c r="V580" s="658"/>
      <c r="W580" s="658"/>
      <c r="X580" s="658"/>
      <c r="Y580" s="658"/>
      <c r="Z580" s="658"/>
    </row>
    <row r="581" ht="14.25" customHeight="1">
      <c r="A581" s="658"/>
      <c r="B581" s="658"/>
      <c r="C581" s="658"/>
      <c r="D581" s="658"/>
      <c r="E581" s="658"/>
      <c r="F581" s="658"/>
      <c r="G581" s="658"/>
      <c r="H581" s="658"/>
      <c r="I581" s="658"/>
      <c r="J581" s="658"/>
      <c r="K581" s="658"/>
      <c r="L581" s="658"/>
      <c r="M581" s="658"/>
      <c r="N581" s="658"/>
      <c r="O581" s="658"/>
      <c r="P581" s="658"/>
      <c r="Q581" s="658"/>
      <c r="R581" s="658"/>
      <c r="S581" s="658"/>
      <c r="T581" s="658"/>
      <c r="U581" s="658"/>
      <c r="V581" s="658"/>
      <c r="W581" s="658"/>
      <c r="X581" s="658"/>
      <c r="Y581" s="658"/>
      <c r="Z581" s="658"/>
    </row>
    <row r="582" ht="14.25" customHeight="1">
      <c r="A582" s="658"/>
      <c r="B582" s="658"/>
      <c r="C582" s="658"/>
      <c r="D582" s="658"/>
      <c r="E582" s="658"/>
      <c r="F582" s="658"/>
      <c r="G582" s="658"/>
      <c r="H582" s="658"/>
      <c r="I582" s="658"/>
      <c r="J582" s="658"/>
      <c r="K582" s="658"/>
      <c r="L582" s="658"/>
      <c r="M582" s="658"/>
      <c r="N582" s="658"/>
      <c r="O582" s="658"/>
      <c r="P582" s="658"/>
      <c r="Q582" s="658"/>
      <c r="R582" s="658"/>
      <c r="S582" s="658"/>
      <c r="T582" s="658"/>
      <c r="U582" s="658"/>
      <c r="V582" s="658"/>
      <c r="W582" s="658"/>
      <c r="X582" s="658"/>
      <c r="Y582" s="658"/>
      <c r="Z582" s="658"/>
    </row>
    <row r="583" ht="14.25" customHeight="1">
      <c r="A583" s="658"/>
      <c r="B583" s="658"/>
      <c r="C583" s="658"/>
      <c r="D583" s="658"/>
      <c r="E583" s="658"/>
      <c r="F583" s="658"/>
      <c r="G583" s="658"/>
      <c r="H583" s="658"/>
      <c r="I583" s="658"/>
      <c r="J583" s="658"/>
      <c r="K583" s="658"/>
      <c r="L583" s="658"/>
      <c r="M583" s="658"/>
      <c r="N583" s="658"/>
      <c r="O583" s="658"/>
      <c r="P583" s="658"/>
      <c r="Q583" s="658"/>
      <c r="R583" s="658"/>
      <c r="S583" s="658"/>
      <c r="T583" s="658"/>
      <c r="U583" s="658"/>
      <c r="V583" s="658"/>
      <c r="W583" s="658"/>
      <c r="X583" s="658"/>
      <c r="Y583" s="658"/>
      <c r="Z583" s="658"/>
    </row>
    <row r="584" ht="14.25" customHeight="1">
      <c r="A584" s="658"/>
      <c r="B584" s="658"/>
      <c r="C584" s="658"/>
      <c r="D584" s="658"/>
      <c r="E584" s="658"/>
      <c r="F584" s="658"/>
      <c r="G584" s="658"/>
      <c r="H584" s="658"/>
      <c r="I584" s="658"/>
      <c r="J584" s="658"/>
      <c r="K584" s="658"/>
      <c r="L584" s="658"/>
      <c r="M584" s="658"/>
      <c r="N584" s="658"/>
      <c r="O584" s="658"/>
      <c r="P584" s="658"/>
      <c r="Q584" s="658"/>
      <c r="R584" s="658"/>
      <c r="S584" s="658"/>
      <c r="T584" s="658"/>
      <c r="U584" s="658"/>
      <c r="V584" s="658"/>
      <c r="W584" s="658"/>
      <c r="X584" s="658"/>
      <c r="Y584" s="658"/>
      <c r="Z584" s="658"/>
    </row>
    <row r="585" ht="14.25" customHeight="1">
      <c r="A585" s="658"/>
      <c r="B585" s="658"/>
      <c r="C585" s="658"/>
      <c r="D585" s="658"/>
      <c r="E585" s="658"/>
      <c r="F585" s="658"/>
      <c r="G585" s="658"/>
      <c r="H585" s="658"/>
      <c r="I585" s="658"/>
      <c r="J585" s="658"/>
      <c r="K585" s="658"/>
      <c r="L585" s="658"/>
      <c r="M585" s="658"/>
      <c r="N585" s="658"/>
      <c r="O585" s="658"/>
      <c r="P585" s="658"/>
      <c r="Q585" s="658"/>
      <c r="R585" s="658"/>
      <c r="S585" s="658"/>
      <c r="T585" s="658"/>
      <c r="U585" s="658"/>
      <c r="V585" s="658"/>
      <c r="W585" s="658"/>
      <c r="X585" s="658"/>
      <c r="Y585" s="658"/>
      <c r="Z585" s="658"/>
    </row>
    <row r="586" ht="14.25" customHeight="1">
      <c r="A586" s="658"/>
      <c r="B586" s="658"/>
      <c r="C586" s="658"/>
      <c r="D586" s="658"/>
      <c r="E586" s="658"/>
      <c r="F586" s="658"/>
      <c r="G586" s="658"/>
      <c r="H586" s="658"/>
      <c r="I586" s="658"/>
      <c r="J586" s="658"/>
      <c r="K586" s="658"/>
      <c r="L586" s="658"/>
      <c r="M586" s="658"/>
      <c r="N586" s="658"/>
      <c r="O586" s="658"/>
      <c r="P586" s="658"/>
      <c r="Q586" s="658"/>
      <c r="R586" s="658"/>
      <c r="S586" s="658"/>
      <c r="T586" s="658"/>
      <c r="U586" s="658"/>
      <c r="V586" s="658"/>
      <c r="W586" s="658"/>
      <c r="X586" s="658"/>
      <c r="Y586" s="658"/>
      <c r="Z586" s="658"/>
    </row>
    <row r="587" ht="14.25" customHeight="1">
      <c r="A587" s="658"/>
      <c r="B587" s="658"/>
      <c r="C587" s="658"/>
      <c r="D587" s="658"/>
      <c r="E587" s="658"/>
      <c r="F587" s="658"/>
      <c r="G587" s="658"/>
      <c r="H587" s="658"/>
      <c r="I587" s="658"/>
      <c r="J587" s="658"/>
      <c r="K587" s="658"/>
      <c r="L587" s="658"/>
      <c r="M587" s="658"/>
      <c r="N587" s="658"/>
      <c r="O587" s="658"/>
      <c r="P587" s="658"/>
      <c r="Q587" s="658"/>
      <c r="R587" s="658"/>
      <c r="S587" s="658"/>
      <c r="T587" s="658"/>
      <c r="U587" s="658"/>
      <c r="V587" s="658"/>
      <c r="W587" s="658"/>
      <c r="X587" s="658"/>
      <c r="Y587" s="658"/>
      <c r="Z587" s="658"/>
    </row>
    <row r="588" ht="14.25" customHeight="1">
      <c r="A588" s="658"/>
      <c r="B588" s="658"/>
      <c r="C588" s="658"/>
      <c r="D588" s="658"/>
      <c r="E588" s="658"/>
      <c r="F588" s="658"/>
      <c r="G588" s="658"/>
      <c r="H588" s="658"/>
      <c r="I588" s="658"/>
      <c r="J588" s="658"/>
      <c r="K588" s="658"/>
      <c r="L588" s="658"/>
      <c r="M588" s="658"/>
      <c r="N588" s="658"/>
      <c r="O588" s="658"/>
      <c r="P588" s="658"/>
      <c r="Q588" s="658"/>
      <c r="R588" s="658"/>
      <c r="S588" s="658"/>
      <c r="T588" s="658"/>
      <c r="U588" s="658"/>
      <c r="V588" s="658"/>
      <c r="W588" s="658"/>
      <c r="X588" s="658"/>
      <c r="Y588" s="658"/>
      <c r="Z588" s="658"/>
    </row>
    <row r="589" ht="14.25" customHeight="1">
      <c r="A589" s="658"/>
      <c r="B589" s="658"/>
      <c r="C589" s="658"/>
      <c r="D589" s="658"/>
      <c r="E589" s="658"/>
      <c r="F589" s="658"/>
      <c r="G589" s="658"/>
      <c r="H589" s="658"/>
      <c r="I589" s="658"/>
      <c r="J589" s="658"/>
      <c r="K589" s="658"/>
      <c r="L589" s="658"/>
      <c r="M589" s="658"/>
      <c r="N589" s="658"/>
      <c r="O589" s="658"/>
      <c r="P589" s="658"/>
      <c r="Q589" s="658"/>
      <c r="R589" s="658"/>
      <c r="S589" s="658"/>
      <c r="T589" s="658"/>
      <c r="U589" s="658"/>
      <c r="V589" s="658"/>
      <c r="W589" s="658"/>
      <c r="X589" s="658"/>
      <c r="Y589" s="658"/>
      <c r="Z589" s="658"/>
    </row>
    <row r="590" ht="14.25" customHeight="1">
      <c r="A590" s="658"/>
      <c r="B590" s="658"/>
      <c r="C590" s="658"/>
      <c r="D590" s="658"/>
      <c r="E590" s="658"/>
      <c r="F590" s="658"/>
      <c r="G590" s="658"/>
      <c r="H590" s="658"/>
      <c r="I590" s="658"/>
      <c r="J590" s="658"/>
      <c r="K590" s="658"/>
      <c r="L590" s="658"/>
      <c r="M590" s="658"/>
      <c r="N590" s="658"/>
      <c r="O590" s="658"/>
      <c r="P590" s="658"/>
      <c r="Q590" s="658"/>
      <c r="R590" s="658"/>
      <c r="S590" s="658"/>
      <c r="T590" s="658"/>
      <c r="U590" s="658"/>
      <c r="V590" s="658"/>
      <c r="W590" s="658"/>
      <c r="X590" s="658"/>
      <c r="Y590" s="658"/>
      <c r="Z590" s="658"/>
    </row>
    <row r="591" ht="14.25" customHeight="1">
      <c r="A591" s="658"/>
      <c r="B591" s="658"/>
      <c r="C591" s="658"/>
      <c r="D591" s="658"/>
      <c r="E591" s="658"/>
      <c r="F591" s="658"/>
      <c r="G591" s="658"/>
      <c r="H591" s="658"/>
      <c r="I591" s="658"/>
      <c r="J591" s="658"/>
      <c r="K591" s="658"/>
      <c r="L591" s="658"/>
      <c r="M591" s="658"/>
      <c r="N591" s="658"/>
      <c r="O591" s="658"/>
      <c r="P591" s="658"/>
      <c r="Q591" s="658"/>
      <c r="R591" s="658"/>
      <c r="S591" s="658"/>
      <c r="T591" s="658"/>
      <c r="U591" s="658"/>
      <c r="V591" s="658"/>
      <c r="W591" s="658"/>
      <c r="X591" s="658"/>
      <c r="Y591" s="658"/>
      <c r="Z591" s="658"/>
    </row>
    <row r="592" ht="14.25" customHeight="1">
      <c r="A592" s="658"/>
      <c r="B592" s="658"/>
      <c r="C592" s="658"/>
      <c r="D592" s="658"/>
      <c r="E592" s="658"/>
      <c r="F592" s="658"/>
      <c r="G592" s="658"/>
      <c r="H592" s="658"/>
      <c r="I592" s="658"/>
      <c r="J592" s="658"/>
      <c r="K592" s="658"/>
      <c r="L592" s="658"/>
      <c r="M592" s="658"/>
      <c r="N592" s="658"/>
      <c r="O592" s="658"/>
      <c r="P592" s="658"/>
      <c r="Q592" s="658"/>
      <c r="R592" s="658"/>
      <c r="S592" s="658"/>
      <c r="T592" s="658"/>
      <c r="U592" s="658"/>
      <c r="V592" s="658"/>
      <c r="W592" s="658"/>
      <c r="X592" s="658"/>
      <c r="Y592" s="658"/>
      <c r="Z592" s="658"/>
    </row>
    <row r="593" ht="14.25" customHeight="1">
      <c r="A593" s="658"/>
      <c r="B593" s="658"/>
      <c r="C593" s="658"/>
      <c r="D593" s="658"/>
      <c r="E593" s="658"/>
      <c r="F593" s="658"/>
      <c r="G593" s="658"/>
      <c r="H593" s="658"/>
      <c r="I593" s="658"/>
      <c r="J593" s="658"/>
      <c r="K593" s="658"/>
      <c r="L593" s="658"/>
      <c r="M593" s="658"/>
      <c r="N593" s="658"/>
      <c r="O593" s="658"/>
      <c r="P593" s="658"/>
      <c r="Q593" s="658"/>
      <c r="R593" s="658"/>
      <c r="S593" s="658"/>
      <c r="T593" s="658"/>
      <c r="U593" s="658"/>
      <c r="V593" s="658"/>
      <c r="W593" s="658"/>
      <c r="X593" s="658"/>
      <c r="Y593" s="658"/>
      <c r="Z593" s="658"/>
    </row>
    <row r="594" ht="14.25" customHeight="1">
      <c r="A594" s="658"/>
      <c r="B594" s="658"/>
      <c r="C594" s="658"/>
      <c r="D594" s="658"/>
      <c r="E594" s="658"/>
      <c r="F594" s="658"/>
      <c r="G594" s="658"/>
      <c r="H594" s="658"/>
      <c r="I594" s="658"/>
      <c r="J594" s="658"/>
      <c r="K594" s="658"/>
      <c r="L594" s="658"/>
      <c r="M594" s="658"/>
      <c r="N594" s="658"/>
      <c r="O594" s="658"/>
      <c r="P594" s="658"/>
      <c r="Q594" s="658"/>
      <c r="R594" s="658"/>
      <c r="S594" s="658"/>
      <c r="T594" s="658"/>
      <c r="U594" s="658"/>
      <c r="V594" s="658"/>
      <c r="W594" s="658"/>
      <c r="X594" s="658"/>
      <c r="Y594" s="658"/>
      <c r="Z594" s="658"/>
    </row>
    <row r="595" ht="14.25" customHeight="1">
      <c r="A595" s="658"/>
      <c r="B595" s="658"/>
      <c r="C595" s="658"/>
      <c r="D595" s="658"/>
      <c r="E595" s="658"/>
      <c r="F595" s="658"/>
      <c r="G595" s="658"/>
      <c r="H595" s="658"/>
      <c r="I595" s="658"/>
      <c r="J595" s="658"/>
      <c r="K595" s="658"/>
      <c r="L595" s="658"/>
      <c r="M595" s="658"/>
      <c r="N595" s="658"/>
      <c r="O595" s="658"/>
      <c r="P595" s="658"/>
      <c r="Q595" s="658"/>
      <c r="R595" s="658"/>
      <c r="S595" s="658"/>
      <c r="T595" s="658"/>
      <c r="U595" s="658"/>
      <c r="V595" s="658"/>
      <c r="W595" s="658"/>
      <c r="X595" s="658"/>
      <c r="Y595" s="658"/>
      <c r="Z595" s="658"/>
    </row>
    <row r="596" ht="14.25" customHeight="1">
      <c r="A596" s="658"/>
      <c r="B596" s="658"/>
      <c r="C596" s="658"/>
      <c r="D596" s="658"/>
      <c r="E596" s="658"/>
      <c r="F596" s="658"/>
      <c r="G596" s="658"/>
      <c r="H596" s="658"/>
      <c r="I596" s="658"/>
      <c r="J596" s="658"/>
      <c r="K596" s="658"/>
      <c r="L596" s="658"/>
      <c r="M596" s="658"/>
      <c r="N596" s="658"/>
      <c r="O596" s="658"/>
      <c r="P596" s="658"/>
      <c r="Q596" s="658"/>
      <c r="R596" s="658"/>
      <c r="S596" s="658"/>
      <c r="T596" s="658"/>
      <c r="U596" s="658"/>
      <c r="V596" s="658"/>
      <c r="W596" s="658"/>
      <c r="X596" s="658"/>
      <c r="Y596" s="658"/>
      <c r="Z596" s="658"/>
    </row>
    <row r="597" ht="14.25" customHeight="1">
      <c r="A597" s="658"/>
      <c r="B597" s="658"/>
      <c r="C597" s="658"/>
      <c r="D597" s="658"/>
      <c r="E597" s="658"/>
      <c r="F597" s="658"/>
      <c r="G597" s="658"/>
      <c r="H597" s="658"/>
      <c r="I597" s="658"/>
      <c r="J597" s="658"/>
      <c r="K597" s="658"/>
      <c r="L597" s="658"/>
      <c r="M597" s="658"/>
      <c r="N597" s="658"/>
      <c r="O597" s="658"/>
      <c r="P597" s="658"/>
      <c r="Q597" s="658"/>
      <c r="R597" s="658"/>
      <c r="S597" s="658"/>
      <c r="T597" s="658"/>
      <c r="U597" s="658"/>
      <c r="V597" s="658"/>
      <c r="W597" s="658"/>
      <c r="X597" s="658"/>
      <c r="Y597" s="658"/>
      <c r="Z597" s="658"/>
    </row>
    <row r="598" ht="14.25" customHeight="1">
      <c r="A598" s="658"/>
      <c r="B598" s="658"/>
      <c r="C598" s="658"/>
      <c r="D598" s="658"/>
      <c r="E598" s="658"/>
      <c r="F598" s="658"/>
      <c r="G598" s="658"/>
      <c r="H598" s="658"/>
      <c r="I598" s="658"/>
      <c r="J598" s="658"/>
      <c r="K598" s="658"/>
      <c r="L598" s="658"/>
      <c r="M598" s="658"/>
      <c r="N598" s="658"/>
      <c r="O598" s="658"/>
      <c r="P598" s="658"/>
      <c r="Q598" s="658"/>
      <c r="R598" s="658"/>
      <c r="S598" s="658"/>
      <c r="T598" s="658"/>
      <c r="U598" s="658"/>
      <c r="V598" s="658"/>
      <c r="W598" s="658"/>
      <c r="X598" s="658"/>
      <c r="Y598" s="658"/>
      <c r="Z598" s="658"/>
    </row>
    <row r="599" ht="14.25" customHeight="1">
      <c r="A599" s="658"/>
      <c r="B599" s="658"/>
      <c r="C599" s="658"/>
      <c r="D599" s="658"/>
      <c r="E599" s="658"/>
      <c r="F599" s="658"/>
      <c r="G599" s="658"/>
      <c r="H599" s="658"/>
      <c r="I599" s="658"/>
      <c r="J599" s="658"/>
      <c r="K599" s="658"/>
      <c r="L599" s="658"/>
      <c r="M599" s="658"/>
      <c r="N599" s="658"/>
      <c r="O599" s="658"/>
      <c r="P599" s="658"/>
      <c r="Q599" s="658"/>
      <c r="R599" s="658"/>
      <c r="S599" s="658"/>
      <c r="T599" s="658"/>
      <c r="U599" s="658"/>
      <c r="V599" s="658"/>
      <c r="W599" s="658"/>
      <c r="X599" s="658"/>
      <c r="Y599" s="658"/>
      <c r="Z599" s="658"/>
    </row>
    <row r="600" ht="14.25" customHeight="1">
      <c r="A600" s="658"/>
      <c r="B600" s="658"/>
      <c r="C600" s="658"/>
      <c r="D600" s="658"/>
      <c r="E600" s="658"/>
      <c r="F600" s="658"/>
      <c r="G600" s="658"/>
      <c r="H600" s="658"/>
      <c r="I600" s="658"/>
      <c r="J600" s="658"/>
      <c r="K600" s="658"/>
      <c r="L600" s="658"/>
      <c r="M600" s="658"/>
      <c r="N600" s="658"/>
      <c r="O600" s="658"/>
      <c r="P600" s="658"/>
      <c r="Q600" s="658"/>
      <c r="R600" s="658"/>
      <c r="S600" s="658"/>
      <c r="T600" s="658"/>
      <c r="U600" s="658"/>
      <c r="V600" s="658"/>
      <c r="W600" s="658"/>
      <c r="X600" s="658"/>
      <c r="Y600" s="658"/>
      <c r="Z600" s="658"/>
    </row>
    <row r="601" ht="14.25" customHeight="1">
      <c r="A601" s="658"/>
      <c r="B601" s="658"/>
      <c r="C601" s="658"/>
      <c r="D601" s="658"/>
      <c r="E601" s="658"/>
      <c r="F601" s="658"/>
      <c r="G601" s="658"/>
      <c r="H601" s="658"/>
      <c r="I601" s="658"/>
      <c r="J601" s="658"/>
      <c r="K601" s="658"/>
      <c r="L601" s="658"/>
      <c r="M601" s="658"/>
      <c r="N601" s="658"/>
      <c r="O601" s="658"/>
      <c r="P601" s="658"/>
      <c r="Q601" s="658"/>
      <c r="R601" s="658"/>
      <c r="S601" s="658"/>
      <c r="T601" s="658"/>
      <c r="U601" s="658"/>
      <c r="V601" s="658"/>
      <c r="W601" s="658"/>
      <c r="X601" s="658"/>
      <c r="Y601" s="658"/>
      <c r="Z601" s="658"/>
    </row>
    <row r="602" ht="14.25" customHeight="1">
      <c r="A602" s="658"/>
      <c r="B602" s="658"/>
      <c r="C602" s="658"/>
      <c r="D602" s="658"/>
      <c r="E602" s="658"/>
      <c r="F602" s="658"/>
      <c r="G602" s="658"/>
      <c r="H602" s="658"/>
      <c r="I602" s="658"/>
      <c r="J602" s="658"/>
      <c r="K602" s="658"/>
      <c r="L602" s="658"/>
      <c r="M602" s="658"/>
      <c r="N602" s="658"/>
      <c r="O602" s="658"/>
      <c r="P602" s="658"/>
      <c r="Q602" s="658"/>
      <c r="R602" s="658"/>
      <c r="S602" s="658"/>
      <c r="T602" s="658"/>
      <c r="U602" s="658"/>
      <c r="V602" s="658"/>
      <c r="W602" s="658"/>
      <c r="X602" s="658"/>
      <c r="Y602" s="658"/>
      <c r="Z602" s="658"/>
    </row>
    <row r="603" ht="14.25" customHeight="1">
      <c r="A603" s="658"/>
      <c r="B603" s="658"/>
      <c r="C603" s="658"/>
      <c r="D603" s="658"/>
      <c r="E603" s="658"/>
      <c r="F603" s="658"/>
      <c r="G603" s="658"/>
      <c r="H603" s="658"/>
      <c r="I603" s="658"/>
      <c r="J603" s="658"/>
      <c r="K603" s="658"/>
      <c r="L603" s="658"/>
      <c r="M603" s="658"/>
      <c r="N603" s="658"/>
      <c r="O603" s="658"/>
      <c r="P603" s="658"/>
      <c r="Q603" s="658"/>
      <c r="R603" s="658"/>
      <c r="S603" s="658"/>
      <c r="T603" s="658"/>
      <c r="U603" s="658"/>
      <c r="V603" s="658"/>
      <c r="W603" s="658"/>
      <c r="X603" s="658"/>
      <c r="Y603" s="658"/>
      <c r="Z603" s="658"/>
    </row>
    <row r="604" ht="14.25" customHeight="1">
      <c r="A604" s="658"/>
      <c r="B604" s="658"/>
      <c r="C604" s="658"/>
      <c r="D604" s="658"/>
      <c r="E604" s="658"/>
      <c r="F604" s="658"/>
      <c r="G604" s="658"/>
      <c r="H604" s="658"/>
      <c r="I604" s="658"/>
      <c r="J604" s="658"/>
      <c r="K604" s="658"/>
      <c r="L604" s="658"/>
      <c r="M604" s="658"/>
      <c r="N604" s="658"/>
      <c r="O604" s="658"/>
      <c r="P604" s="658"/>
      <c r="Q604" s="658"/>
      <c r="R604" s="658"/>
      <c r="S604" s="658"/>
      <c r="T604" s="658"/>
      <c r="U604" s="658"/>
      <c r="V604" s="658"/>
      <c r="W604" s="658"/>
      <c r="X604" s="658"/>
      <c r="Y604" s="658"/>
      <c r="Z604" s="658"/>
    </row>
    <row r="605" ht="14.25" customHeight="1">
      <c r="A605" s="658"/>
      <c r="B605" s="658"/>
      <c r="C605" s="658"/>
      <c r="D605" s="658"/>
      <c r="E605" s="658"/>
      <c r="F605" s="658"/>
      <c r="G605" s="658"/>
      <c r="H605" s="658"/>
      <c r="I605" s="658"/>
      <c r="J605" s="658"/>
      <c r="K605" s="658"/>
      <c r="L605" s="658"/>
      <c r="M605" s="658"/>
      <c r="N605" s="658"/>
      <c r="O605" s="658"/>
      <c r="P605" s="658"/>
      <c r="Q605" s="658"/>
      <c r="R605" s="658"/>
      <c r="S605" s="658"/>
      <c r="T605" s="658"/>
      <c r="U605" s="658"/>
      <c r="V605" s="658"/>
      <c r="W605" s="658"/>
      <c r="X605" s="658"/>
      <c r="Y605" s="658"/>
      <c r="Z605" s="658"/>
    </row>
    <row r="606" ht="14.25" customHeight="1">
      <c r="A606" s="658"/>
      <c r="B606" s="658"/>
      <c r="C606" s="658"/>
      <c r="D606" s="658"/>
      <c r="E606" s="658"/>
      <c r="F606" s="658"/>
      <c r="G606" s="658"/>
      <c r="H606" s="658"/>
      <c r="I606" s="658"/>
      <c r="J606" s="658"/>
      <c r="K606" s="658"/>
      <c r="L606" s="658"/>
      <c r="M606" s="658"/>
      <c r="N606" s="658"/>
      <c r="O606" s="658"/>
      <c r="P606" s="658"/>
      <c r="Q606" s="658"/>
      <c r="R606" s="658"/>
      <c r="S606" s="658"/>
      <c r="T606" s="658"/>
      <c r="U606" s="658"/>
      <c r="V606" s="658"/>
      <c r="W606" s="658"/>
      <c r="X606" s="658"/>
      <c r="Y606" s="658"/>
      <c r="Z606" s="658"/>
    </row>
    <row r="607" ht="14.25" customHeight="1">
      <c r="A607" s="658"/>
      <c r="B607" s="658"/>
      <c r="C607" s="658"/>
      <c r="D607" s="658"/>
      <c r="E607" s="658"/>
      <c r="F607" s="658"/>
      <c r="G607" s="658"/>
      <c r="H607" s="658"/>
      <c r="I607" s="658"/>
      <c r="J607" s="658"/>
      <c r="K607" s="658"/>
      <c r="L607" s="658"/>
      <c r="M607" s="658"/>
      <c r="N607" s="658"/>
      <c r="O607" s="658"/>
      <c r="P607" s="658"/>
      <c r="Q607" s="658"/>
      <c r="R607" s="658"/>
      <c r="S607" s="658"/>
      <c r="T607" s="658"/>
      <c r="U607" s="658"/>
      <c r="V607" s="658"/>
      <c r="W607" s="658"/>
      <c r="X607" s="658"/>
      <c r="Y607" s="658"/>
      <c r="Z607" s="658"/>
    </row>
    <row r="608" ht="14.25" customHeight="1">
      <c r="A608" s="658"/>
      <c r="B608" s="658"/>
      <c r="C608" s="658"/>
      <c r="D608" s="658"/>
      <c r="E608" s="658"/>
      <c r="F608" s="658"/>
      <c r="G608" s="658"/>
      <c r="H608" s="658"/>
      <c r="I608" s="658"/>
      <c r="J608" s="658"/>
      <c r="K608" s="658"/>
      <c r="L608" s="658"/>
      <c r="M608" s="658"/>
      <c r="N608" s="658"/>
      <c r="O608" s="658"/>
      <c r="P608" s="658"/>
      <c r="Q608" s="658"/>
      <c r="R608" s="658"/>
      <c r="S608" s="658"/>
      <c r="T608" s="658"/>
      <c r="U608" s="658"/>
      <c r="V608" s="658"/>
      <c r="W608" s="658"/>
      <c r="X608" s="658"/>
      <c r="Y608" s="658"/>
      <c r="Z608" s="658"/>
    </row>
    <row r="609" ht="14.25" customHeight="1">
      <c r="A609" s="658"/>
      <c r="B609" s="658"/>
      <c r="C609" s="658"/>
      <c r="D609" s="658"/>
      <c r="E609" s="658"/>
      <c r="F609" s="658"/>
      <c r="G609" s="658"/>
      <c r="H609" s="658"/>
      <c r="I609" s="658"/>
      <c r="J609" s="658"/>
      <c r="K609" s="658"/>
      <c r="L609" s="658"/>
      <c r="M609" s="658"/>
      <c r="N609" s="658"/>
      <c r="O609" s="658"/>
      <c r="P609" s="658"/>
      <c r="Q609" s="658"/>
      <c r="R609" s="658"/>
      <c r="S609" s="658"/>
      <c r="T609" s="658"/>
      <c r="U609" s="658"/>
      <c r="V609" s="658"/>
      <c r="W609" s="658"/>
      <c r="X609" s="658"/>
      <c r="Y609" s="658"/>
      <c r="Z609" s="658"/>
    </row>
    <row r="610" ht="14.25" customHeight="1">
      <c r="A610" s="658"/>
      <c r="B610" s="658"/>
      <c r="C610" s="658"/>
      <c r="D610" s="658"/>
      <c r="E610" s="658"/>
      <c r="F610" s="658"/>
      <c r="G610" s="658"/>
      <c r="H610" s="658"/>
      <c r="I610" s="658"/>
      <c r="J610" s="658"/>
      <c r="K610" s="658"/>
      <c r="L610" s="658"/>
      <c r="M610" s="658"/>
      <c r="N610" s="658"/>
      <c r="O610" s="658"/>
      <c r="P610" s="658"/>
      <c r="Q610" s="658"/>
      <c r="R610" s="658"/>
      <c r="S610" s="658"/>
      <c r="T610" s="658"/>
      <c r="U610" s="658"/>
      <c r="V610" s="658"/>
      <c r="W610" s="658"/>
      <c r="X610" s="658"/>
      <c r="Y610" s="658"/>
      <c r="Z610" s="658"/>
    </row>
    <row r="611" ht="14.25" customHeight="1">
      <c r="A611" s="658"/>
      <c r="B611" s="658"/>
      <c r="C611" s="658"/>
      <c r="D611" s="658"/>
      <c r="E611" s="658"/>
      <c r="F611" s="658"/>
      <c r="G611" s="658"/>
      <c r="H611" s="658"/>
      <c r="I611" s="658"/>
      <c r="J611" s="658"/>
      <c r="K611" s="658"/>
      <c r="L611" s="658"/>
      <c r="M611" s="658"/>
      <c r="N611" s="658"/>
      <c r="O611" s="658"/>
      <c r="P611" s="658"/>
      <c r="Q611" s="658"/>
      <c r="R611" s="658"/>
      <c r="S611" s="658"/>
      <c r="T611" s="658"/>
      <c r="U611" s="658"/>
      <c r="V611" s="658"/>
      <c r="W611" s="658"/>
      <c r="X611" s="658"/>
      <c r="Y611" s="658"/>
      <c r="Z611" s="658"/>
    </row>
    <row r="612" ht="14.25" customHeight="1">
      <c r="A612" s="658"/>
      <c r="B612" s="658"/>
      <c r="C612" s="658"/>
      <c r="D612" s="658"/>
      <c r="E612" s="658"/>
      <c r="F612" s="658"/>
      <c r="G612" s="658"/>
      <c r="H612" s="658"/>
      <c r="I612" s="658"/>
      <c r="J612" s="658"/>
      <c r="K612" s="658"/>
      <c r="L612" s="658"/>
      <c r="M612" s="658"/>
      <c r="N612" s="658"/>
      <c r="O612" s="658"/>
      <c r="P612" s="658"/>
      <c r="Q612" s="658"/>
      <c r="R612" s="658"/>
      <c r="S612" s="658"/>
      <c r="T612" s="658"/>
      <c r="U612" s="658"/>
      <c r="V612" s="658"/>
      <c r="W612" s="658"/>
      <c r="X612" s="658"/>
      <c r="Y612" s="658"/>
      <c r="Z612" s="658"/>
    </row>
    <row r="613" ht="14.25" customHeight="1">
      <c r="A613" s="658"/>
      <c r="B613" s="658"/>
      <c r="C613" s="658"/>
      <c r="D613" s="658"/>
      <c r="E613" s="658"/>
      <c r="F613" s="658"/>
      <c r="G613" s="658"/>
      <c r="H613" s="658"/>
      <c r="I613" s="658"/>
      <c r="J613" s="658"/>
      <c r="K613" s="658"/>
      <c r="L613" s="658"/>
      <c r="M613" s="658"/>
      <c r="N613" s="658"/>
      <c r="O613" s="658"/>
      <c r="P613" s="658"/>
      <c r="Q613" s="658"/>
      <c r="R613" s="658"/>
      <c r="S613" s="658"/>
      <c r="T613" s="658"/>
      <c r="U613" s="658"/>
      <c r="V613" s="658"/>
      <c r="W613" s="658"/>
      <c r="X613" s="658"/>
      <c r="Y613" s="658"/>
      <c r="Z613" s="658"/>
    </row>
    <row r="614" ht="14.25" customHeight="1">
      <c r="A614" s="658"/>
      <c r="B614" s="658"/>
      <c r="C614" s="658"/>
      <c r="D614" s="658"/>
      <c r="E614" s="658"/>
      <c r="F614" s="658"/>
      <c r="G614" s="658"/>
      <c r="H614" s="658"/>
      <c r="I614" s="658"/>
      <c r="J614" s="658"/>
      <c r="K614" s="658"/>
      <c r="L614" s="658"/>
      <c r="M614" s="658"/>
      <c r="N614" s="658"/>
      <c r="O614" s="658"/>
      <c r="P614" s="658"/>
      <c r="Q614" s="658"/>
      <c r="R614" s="658"/>
      <c r="S614" s="658"/>
      <c r="T614" s="658"/>
      <c r="U614" s="658"/>
      <c r="V614" s="658"/>
      <c r="W614" s="658"/>
      <c r="X614" s="658"/>
      <c r="Y614" s="658"/>
      <c r="Z614" s="658"/>
    </row>
    <row r="615" ht="14.25" customHeight="1">
      <c r="A615" s="658"/>
      <c r="B615" s="658"/>
      <c r="C615" s="658"/>
      <c r="D615" s="658"/>
      <c r="E615" s="658"/>
      <c r="F615" s="658"/>
      <c r="G615" s="658"/>
      <c r="H615" s="658"/>
      <c r="I615" s="658"/>
      <c r="J615" s="658"/>
      <c r="K615" s="658"/>
      <c r="L615" s="658"/>
      <c r="M615" s="658"/>
      <c r="N615" s="658"/>
      <c r="O615" s="658"/>
      <c r="P615" s="658"/>
      <c r="Q615" s="658"/>
      <c r="R615" s="658"/>
      <c r="S615" s="658"/>
      <c r="T615" s="658"/>
      <c r="U615" s="658"/>
      <c r="V615" s="658"/>
      <c r="W615" s="658"/>
      <c r="X615" s="658"/>
      <c r="Y615" s="658"/>
      <c r="Z615" s="658"/>
    </row>
    <row r="616" ht="14.25" customHeight="1">
      <c r="A616" s="658"/>
      <c r="B616" s="658"/>
      <c r="C616" s="658"/>
      <c r="D616" s="658"/>
      <c r="E616" s="658"/>
      <c r="F616" s="658"/>
      <c r="G616" s="658"/>
      <c r="H616" s="658"/>
      <c r="I616" s="658"/>
      <c r="J616" s="658"/>
      <c r="K616" s="658"/>
      <c r="L616" s="658"/>
      <c r="M616" s="658"/>
      <c r="N616" s="658"/>
      <c r="O616" s="658"/>
      <c r="P616" s="658"/>
      <c r="Q616" s="658"/>
      <c r="R616" s="658"/>
      <c r="S616" s="658"/>
      <c r="T616" s="658"/>
      <c r="U616" s="658"/>
      <c r="V616" s="658"/>
      <c r="W616" s="658"/>
      <c r="X616" s="658"/>
      <c r="Y616" s="658"/>
      <c r="Z616" s="658"/>
    </row>
    <row r="617" ht="14.25" customHeight="1">
      <c r="A617" s="658"/>
      <c r="B617" s="658"/>
      <c r="C617" s="658"/>
      <c r="D617" s="658"/>
      <c r="E617" s="658"/>
      <c r="F617" s="658"/>
      <c r="G617" s="658"/>
      <c r="H617" s="658"/>
      <c r="I617" s="658"/>
      <c r="J617" s="658"/>
      <c r="K617" s="658"/>
      <c r="L617" s="658"/>
      <c r="M617" s="658"/>
      <c r="N617" s="658"/>
      <c r="O617" s="658"/>
      <c r="P617" s="658"/>
      <c r="Q617" s="658"/>
      <c r="R617" s="658"/>
      <c r="S617" s="658"/>
      <c r="T617" s="658"/>
      <c r="U617" s="658"/>
      <c r="V617" s="658"/>
      <c r="W617" s="658"/>
      <c r="X617" s="658"/>
      <c r="Y617" s="658"/>
      <c r="Z617" s="658"/>
    </row>
    <row r="618" ht="14.25" customHeight="1">
      <c r="A618" s="658"/>
      <c r="B618" s="658"/>
      <c r="C618" s="658"/>
      <c r="D618" s="658"/>
      <c r="E618" s="658"/>
      <c r="F618" s="658"/>
      <c r="G618" s="658"/>
      <c r="H618" s="658"/>
      <c r="I618" s="658"/>
      <c r="J618" s="658"/>
      <c r="K618" s="658"/>
      <c r="L618" s="658"/>
      <c r="M618" s="658"/>
      <c r="N618" s="658"/>
      <c r="O618" s="658"/>
      <c r="P618" s="658"/>
      <c r="Q618" s="658"/>
      <c r="R618" s="658"/>
      <c r="S618" s="658"/>
      <c r="T618" s="658"/>
      <c r="U618" s="658"/>
      <c r="V618" s="658"/>
      <c r="W618" s="658"/>
      <c r="X618" s="658"/>
      <c r="Y618" s="658"/>
      <c r="Z618" s="658"/>
    </row>
    <row r="619" ht="14.25" customHeight="1">
      <c r="A619" s="658"/>
      <c r="B619" s="658"/>
      <c r="C619" s="658"/>
      <c r="D619" s="658"/>
      <c r="E619" s="658"/>
      <c r="F619" s="658"/>
      <c r="G619" s="658"/>
      <c r="H619" s="658"/>
      <c r="I619" s="658"/>
      <c r="J619" s="658"/>
      <c r="K619" s="658"/>
      <c r="L619" s="658"/>
      <c r="M619" s="658"/>
      <c r="N619" s="658"/>
      <c r="O619" s="658"/>
      <c r="P619" s="658"/>
      <c r="Q619" s="658"/>
      <c r="R619" s="658"/>
      <c r="S619" s="658"/>
      <c r="T619" s="658"/>
      <c r="U619" s="658"/>
      <c r="V619" s="658"/>
      <c r="W619" s="658"/>
      <c r="X619" s="658"/>
      <c r="Y619" s="658"/>
      <c r="Z619" s="658"/>
    </row>
    <row r="620" ht="14.25" customHeight="1">
      <c r="A620" s="658"/>
      <c r="B620" s="658"/>
      <c r="C620" s="658"/>
      <c r="D620" s="658"/>
      <c r="E620" s="658"/>
      <c r="F620" s="658"/>
      <c r="G620" s="658"/>
      <c r="H620" s="658"/>
      <c r="I620" s="658"/>
      <c r="J620" s="658"/>
      <c r="K620" s="658"/>
      <c r="L620" s="658"/>
      <c r="M620" s="658"/>
      <c r="N620" s="658"/>
      <c r="O620" s="658"/>
      <c r="P620" s="658"/>
      <c r="Q620" s="658"/>
      <c r="R620" s="658"/>
      <c r="S620" s="658"/>
      <c r="T620" s="658"/>
      <c r="U620" s="658"/>
      <c r="V620" s="658"/>
      <c r="W620" s="658"/>
      <c r="X620" s="658"/>
      <c r="Y620" s="658"/>
      <c r="Z620" s="658"/>
    </row>
    <row r="621" ht="14.25" customHeight="1">
      <c r="A621" s="658"/>
      <c r="B621" s="658"/>
      <c r="C621" s="658"/>
      <c r="D621" s="658"/>
      <c r="E621" s="658"/>
      <c r="F621" s="658"/>
      <c r="G621" s="658"/>
      <c r="H621" s="658"/>
      <c r="I621" s="658"/>
      <c r="J621" s="658"/>
      <c r="K621" s="658"/>
      <c r="L621" s="658"/>
      <c r="M621" s="658"/>
      <c r="N621" s="658"/>
      <c r="O621" s="658"/>
      <c r="P621" s="658"/>
      <c r="Q621" s="658"/>
      <c r="R621" s="658"/>
      <c r="S621" s="658"/>
      <c r="T621" s="658"/>
      <c r="U621" s="658"/>
      <c r="V621" s="658"/>
      <c r="W621" s="658"/>
      <c r="X621" s="658"/>
      <c r="Y621" s="658"/>
      <c r="Z621" s="658"/>
    </row>
    <row r="622" ht="14.25" customHeight="1">
      <c r="A622" s="658"/>
      <c r="B622" s="658"/>
      <c r="C622" s="658"/>
      <c r="D622" s="658"/>
      <c r="E622" s="658"/>
      <c r="F622" s="658"/>
      <c r="G622" s="658"/>
      <c r="H622" s="658"/>
      <c r="I622" s="658"/>
      <c r="J622" s="658"/>
      <c r="K622" s="658"/>
      <c r="L622" s="658"/>
      <c r="M622" s="658"/>
      <c r="N622" s="658"/>
      <c r="O622" s="658"/>
      <c r="P622" s="658"/>
      <c r="Q622" s="658"/>
      <c r="R622" s="658"/>
      <c r="S622" s="658"/>
      <c r="T622" s="658"/>
      <c r="U622" s="658"/>
      <c r="V622" s="658"/>
      <c r="W622" s="658"/>
      <c r="X622" s="658"/>
      <c r="Y622" s="658"/>
      <c r="Z622" s="658"/>
    </row>
    <row r="623" ht="14.25" customHeight="1">
      <c r="A623" s="658"/>
      <c r="B623" s="658"/>
      <c r="C623" s="658"/>
      <c r="D623" s="658"/>
      <c r="E623" s="658"/>
      <c r="F623" s="658"/>
      <c r="G623" s="658"/>
      <c r="H623" s="658"/>
      <c r="I623" s="658"/>
      <c r="J623" s="658"/>
      <c r="K623" s="658"/>
      <c r="L623" s="658"/>
      <c r="M623" s="658"/>
      <c r="N623" s="658"/>
      <c r="O623" s="658"/>
      <c r="P623" s="658"/>
      <c r="Q623" s="658"/>
      <c r="R623" s="658"/>
      <c r="S623" s="658"/>
      <c r="T623" s="658"/>
      <c r="U623" s="658"/>
      <c r="V623" s="658"/>
      <c r="W623" s="658"/>
      <c r="X623" s="658"/>
      <c r="Y623" s="658"/>
      <c r="Z623" s="658"/>
    </row>
    <row r="624" ht="14.25" customHeight="1">
      <c r="A624" s="658"/>
      <c r="B624" s="658"/>
      <c r="C624" s="658"/>
      <c r="D624" s="658"/>
      <c r="E624" s="658"/>
      <c r="F624" s="658"/>
      <c r="G624" s="658"/>
      <c r="H624" s="658"/>
      <c r="I624" s="658"/>
      <c r="J624" s="658"/>
      <c r="K624" s="658"/>
      <c r="L624" s="658"/>
      <c r="M624" s="658"/>
      <c r="N624" s="658"/>
      <c r="O624" s="658"/>
      <c r="P624" s="658"/>
      <c r="Q624" s="658"/>
      <c r="R624" s="658"/>
      <c r="S624" s="658"/>
      <c r="T624" s="658"/>
      <c r="U624" s="658"/>
      <c r="V624" s="658"/>
      <c r="W624" s="658"/>
      <c r="X624" s="658"/>
      <c r="Y624" s="658"/>
      <c r="Z624" s="658"/>
    </row>
    <row r="625" ht="14.25" customHeight="1">
      <c r="A625" s="658"/>
      <c r="B625" s="658"/>
      <c r="C625" s="658"/>
      <c r="D625" s="658"/>
      <c r="E625" s="658"/>
      <c r="F625" s="658"/>
      <c r="G625" s="658"/>
      <c r="H625" s="658"/>
      <c r="I625" s="658"/>
      <c r="J625" s="658"/>
      <c r="K625" s="658"/>
      <c r="L625" s="658"/>
      <c r="M625" s="658"/>
      <c r="N625" s="658"/>
      <c r="O625" s="658"/>
      <c r="P625" s="658"/>
      <c r="Q625" s="658"/>
      <c r="R625" s="658"/>
      <c r="S625" s="658"/>
      <c r="T625" s="658"/>
      <c r="U625" s="658"/>
      <c r="V625" s="658"/>
      <c r="W625" s="658"/>
      <c r="X625" s="658"/>
      <c r="Y625" s="658"/>
      <c r="Z625" s="658"/>
    </row>
    <row r="626" ht="14.25" customHeight="1">
      <c r="A626" s="658"/>
      <c r="B626" s="658"/>
      <c r="C626" s="658"/>
      <c r="D626" s="658"/>
      <c r="E626" s="658"/>
      <c r="F626" s="658"/>
      <c r="G626" s="658"/>
      <c r="H626" s="658"/>
      <c r="I626" s="658"/>
      <c r="J626" s="658"/>
      <c r="K626" s="658"/>
      <c r="L626" s="658"/>
      <c r="M626" s="658"/>
      <c r="N626" s="658"/>
      <c r="O626" s="658"/>
      <c r="P626" s="658"/>
      <c r="Q626" s="658"/>
      <c r="R626" s="658"/>
      <c r="S626" s="658"/>
      <c r="T626" s="658"/>
      <c r="U626" s="658"/>
      <c r="V626" s="658"/>
      <c r="W626" s="658"/>
      <c r="X626" s="658"/>
      <c r="Y626" s="658"/>
      <c r="Z626" s="658"/>
    </row>
    <row r="627" ht="14.25" customHeight="1">
      <c r="A627" s="658"/>
      <c r="B627" s="658"/>
      <c r="C627" s="658"/>
      <c r="D627" s="658"/>
      <c r="E627" s="658"/>
      <c r="F627" s="658"/>
      <c r="G627" s="658"/>
      <c r="H627" s="658"/>
      <c r="I627" s="658"/>
      <c r="J627" s="658"/>
      <c r="K627" s="658"/>
      <c r="L627" s="658"/>
      <c r="M627" s="658"/>
      <c r="N627" s="658"/>
      <c r="O627" s="658"/>
      <c r="P627" s="658"/>
      <c r="Q627" s="658"/>
      <c r="R627" s="658"/>
      <c r="S627" s="658"/>
      <c r="T627" s="658"/>
      <c r="U627" s="658"/>
      <c r="V627" s="658"/>
      <c r="W627" s="658"/>
      <c r="X627" s="658"/>
      <c r="Y627" s="658"/>
      <c r="Z627" s="658"/>
    </row>
    <row r="628" ht="14.25" customHeight="1">
      <c r="A628" s="658"/>
      <c r="B628" s="658"/>
      <c r="C628" s="658"/>
      <c r="D628" s="658"/>
      <c r="E628" s="658"/>
      <c r="F628" s="658"/>
      <c r="G628" s="658"/>
      <c r="H628" s="658"/>
      <c r="I628" s="658"/>
      <c r="J628" s="658"/>
      <c r="K628" s="658"/>
      <c r="L628" s="658"/>
      <c r="M628" s="658"/>
      <c r="N628" s="658"/>
      <c r="O628" s="658"/>
      <c r="P628" s="658"/>
      <c r="Q628" s="658"/>
      <c r="R628" s="658"/>
      <c r="S628" s="658"/>
      <c r="T628" s="658"/>
      <c r="U628" s="658"/>
      <c r="V628" s="658"/>
      <c r="W628" s="658"/>
      <c r="X628" s="658"/>
      <c r="Y628" s="658"/>
      <c r="Z628" s="658"/>
    </row>
    <row r="629" ht="14.25" customHeight="1">
      <c r="A629" s="658"/>
      <c r="B629" s="658"/>
      <c r="C629" s="658"/>
      <c r="D629" s="658"/>
      <c r="E629" s="658"/>
      <c r="F629" s="658"/>
      <c r="G629" s="658"/>
      <c r="H629" s="658"/>
      <c r="I629" s="658"/>
      <c r="J629" s="658"/>
      <c r="K629" s="658"/>
      <c r="L629" s="658"/>
      <c r="M629" s="658"/>
      <c r="N629" s="658"/>
      <c r="O629" s="658"/>
      <c r="P629" s="658"/>
      <c r="Q629" s="658"/>
      <c r="R629" s="658"/>
      <c r="S629" s="658"/>
      <c r="T629" s="658"/>
      <c r="U629" s="658"/>
      <c r="V629" s="658"/>
      <c r="W629" s="658"/>
      <c r="X629" s="658"/>
      <c r="Y629" s="658"/>
      <c r="Z629" s="658"/>
    </row>
    <row r="630" ht="14.25" customHeight="1">
      <c r="A630" s="658"/>
      <c r="B630" s="658"/>
      <c r="C630" s="658"/>
      <c r="D630" s="658"/>
      <c r="E630" s="658"/>
      <c r="F630" s="658"/>
      <c r="G630" s="658"/>
      <c r="H630" s="658"/>
      <c r="I630" s="658"/>
      <c r="J630" s="658"/>
      <c r="K630" s="658"/>
      <c r="L630" s="658"/>
      <c r="M630" s="658"/>
      <c r="N630" s="658"/>
      <c r="O630" s="658"/>
      <c r="P630" s="658"/>
      <c r="Q630" s="658"/>
      <c r="R630" s="658"/>
      <c r="S630" s="658"/>
      <c r="T630" s="658"/>
      <c r="U630" s="658"/>
      <c r="V630" s="658"/>
      <c r="W630" s="658"/>
      <c r="X630" s="658"/>
      <c r="Y630" s="658"/>
      <c r="Z630" s="658"/>
    </row>
    <row r="631" ht="14.25" customHeight="1">
      <c r="A631" s="658"/>
      <c r="B631" s="658"/>
      <c r="C631" s="658"/>
      <c r="D631" s="658"/>
      <c r="E631" s="658"/>
      <c r="F631" s="658"/>
      <c r="G631" s="658"/>
      <c r="H631" s="658"/>
      <c r="I631" s="658"/>
      <c r="J631" s="658"/>
      <c r="K631" s="658"/>
      <c r="L631" s="658"/>
      <c r="M631" s="658"/>
      <c r="N631" s="658"/>
      <c r="O631" s="658"/>
      <c r="P631" s="658"/>
      <c r="Q631" s="658"/>
      <c r="R631" s="658"/>
      <c r="S631" s="658"/>
      <c r="T631" s="658"/>
      <c r="U631" s="658"/>
      <c r="V631" s="658"/>
      <c r="W631" s="658"/>
      <c r="X631" s="658"/>
      <c r="Y631" s="658"/>
      <c r="Z631" s="658"/>
    </row>
    <row r="632" ht="14.25" customHeight="1">
      <c r="A632" s="658"/>
      <c r="B632" s="658"/>
      <c r="C632" s="658"/>
      <c r="D632" s="658"/>
      <c r="E632" s="658"/>
      <c r="F632" s="658"/>
      <c r="G632" s="658"/>
      <c r="H632" s="658"/>
      <c r="I632" s="658"/>
      <c r="J632" s="658"/>
      <c r="K632" s="658"/>
      <c r="L632" s="658"/>
      <c r="M632" s="658"/>
      <c r="N632" s="658"/>
      <c r="O632" s="658"/>
      <c r="P632" s="658"/>
      <c r="Q632" s="658"/>
      <c r="R632" s="658"/>
      <c r="S632" s="658"/>
      <c r="T632" s="658"/>
      <c r="U632" s="658"/>
      <c r="V632" s="658"/>
      <c r="W632" s="658"/>
      <c r="X632" s="658"/>
      <c r="Y632" s="658"/>
      <c r="Z632" s="658"/>
    </row>
    <row r="633" ht="14.25" customHeight="1">
      <c r="A633" s="658"/>
      <c r="B633" s="658"/>
      <c r="C633" s="658"/>
      <c r="D633" s="658"/>
      <c r="E633" s="658"/>
      <c r="F633" s="658"/>
      <c r="G633" s="658"/>
      <c r="H633" s="658"/>
      <c r="I633" s="658"/>
      <c r="J633" s="658"/>
      <c r="K633" s="658"/>
      <c r="L633" s="658"/>
      <c r="M633" s="658"/>
      <c r="N633" s="658"/>
      <c r="O633" s="658"/>
      <c r="P633" s="658"/>
      <c r="Q633" s="658"/>
      <c r="R633" s="658"/>
      <c r="S633" s="658"/>
      <c r="T633" s="658"/>
      <c r="U633" s="658"/>
      <c r="V633" s="658"/>
      <c r="W633" s="658"/>
      <c r="X633" s="658"/>
      <c r="Y633" s="658"/>
      <c r="Z633" s="658"/>
    </row>
    <row r="634" ht="14.25" customHeight="1">
      <c r="A634" s="658"/>
      <c r="B634" s="658"/>
      <c r="C634" s="658"/>
      <c r="D634" s="658"/>
      <c r="E634" s="658"/>
      <c r="F634" s="658"/>
      <c r="G634" s="658"/>
      <c r="H634" s="658"/>
      <c r="I634" s="658"/>
      <c r="J634" s="658"/>
      <c r="K634" s="658"/>
      <c r="L634" s="658"/>
      <c r="M634" s="658"/>
      <c r="N634" s="658"/>
      <c r="O634" s="658"/>
      <c r="P634" s="658"/>
      <c r="Q634" s="658"/>
      <c r="R634" s="658"/>
      <c r="S634" s="658"/>
      <c r="T634" s="658"/>
      <c r="U634" s="658"/>
      <c r="V634" s="658"/>
      <c r="W634" s="658"/>
      <c r="X634" s="658"/>
      <c r="Y634" s="658"/>
      <c r="Z634" s="658"/>
    </row>
    <row r="635" ht="14.25" customHeight="1">
      <c r="A635" s="658"/>
      <c r="B635" s="658"/>
      <c r="C635" s="658"/>
      <c r="D635" s="658"/>
      <c r="E635" s="658"/>
      <c r="F635" s="658"/>
      <c r="G635" s="658"/>
      <c r="H635" s="658"/>
      <c r="I635" s="658"/>
      <c r="J635" s="658"/>
      <c r="K635" s="658"/>
      <c r="L635" s="658"/>
      <c r="M635" s="658"/>
      <c r="N635" s="658"/>
      <c r="O635" s="658"/>
      <c r="P635" s="658"/>
      <c r="Q635" s="658"/>
      <c r="R635" s="658"/>
      <c r="S635" s="658"/>
      <c r="T635" s="658"/>
      <c r="U635" s="658"/>
      <c r="V635" s="658"/>
      <c r="W635" s="658"/>
      <c r="X635" s="658"/>
      <c r="Y635" s="658"/>
      <c r="Z635" s="658"/>
    </row>
    <row r="636" ht="14.25" customHeight="1">
      <c r="A636" s="658"/>
      <c r="B636" s="658"/>
      <c r="C636" s="658"/>
      <c r="D636" s="658"/>
      <c r="E636" s="658"/>
      <c r="F636" s="658"/>
      <c r="G636" s="658"/>
      <c r="H636" s="658"/>
      <c r="I636" s="658"/>
      <c r="J636" s="658"/>
      <c r="K636" s="658"/>
      <c r="L636" s="658"/>
      <c r="M636" s="658"/>
      <c r="N636" s="658"/>
      <c r="O636" s="658"/>
      <c r="P636" s="658"/>
      <c r="Q636" s="658"/>
      <c r="R636" s="658"/>
      <c r="S636" s="658"/>
      <c r="T636" s="658"/>
      <c r="U636" s="658"/>
      <c r="V636" s="658"/>
      <c r="W636" s="658"/>
      <c r="X636" s="658"/>
      <c r="Y636" s="658"/>
      <c r="Z636" s="658"/>
    </row>
    <row r="637" ht="14.25" customHeight="1">
      <c r="A637" s="658"/>
      <c r="B637" s="658"/>
      <c r="C637" s="658"/>
      <c r="D637" s="658"/>
      <c r="E637" s="658"/>
      <c r="F637" s="658"/>
      <c r="G637" s="658"/>
      <c r="H637" s="658"/>
      <c r="I637" s="658"/>
      <c r="J637" s="658"/>
      <c r="K637" s="658"/>
      <c r="L637" s="658"/>
      <c r="M637" s="658"/>
      <c r="N637" s="658"/>
      <c r="O637" s="658"/>
      <c r="P637" s="658"/>
      <c r="Q637" s="658"/>
      <c r="R637" s="658"/>
      <c r="S637" s="658"/>
      <c r="T637" s="658"/>
      <c r="U637" s="658"/>
      <c r="V637" s="658"/>
      <c r="W637" s="658"/>
      <c r="X637" s="658"/>
      <c r="Y637" s="658"/>
      <c r="Z637" s="658"/>
    </row>
    <row r="638" ht="14.25" customHeight="1">
      <c r="A638" s="658"/>
      <c r="B638" s="658"/>
      <c r="C638" s="658"/>
      <c r="D638" s="658"/>
      <c r="E638" s="658"/>
      <c r="F638" s="658"/>
      <c r="G638" s="658"/>
      <c r="H638" s="658"/>
      <c r="I638" s="658"/>
      <c r="J638" s="658"/>
      <c r="K638" s="658"/>
      <c r="L638" s="658"/>
      <c r="M638" s="658"/>
      <c r="N638" s="658"/>
      <c r="O638" s="658"/>
      <c r="P638" s="658"/>
      <c r="Q638" s="658"/>
      <c r="R638" s="658"/>
      <c r="S638" s="658"/>
      <c r="T638" s="658"/>
      <c r="U638" s="658"/>
      <c r="V638" s="658"/>
      <c r="W638" s="658"/>
      <c r="X638" s="658"/>
      <c r="Y638" s="658"/>
      <c r="Z638" s="658"/>
    </row>
    <row r="639" ht="14.25" customHeight="1">
      <c r="A639" s="658"/>
      <c r="B639" s="658"/>
      <c r="C639" s="658"/>
      <c r="D639" s="658"/>
      <c r="E639" s="658"/>
      <c r="F639" s="658"/>
      <c r="G639" s="658"/>
      <c r="H639" s="658"/>
      <c r="I639" s="658"/>
      <c r="J639" s="658"/>
      <c r="K639" s="658"/>
      <c r="L639" s="658"/>
      <c r="M639" s="658"/>
      <c r="N639" s="658"/>
      <c r="O639" s="658"/>
      <c r="P639" s="658"/>
      <c r="Q639" s="658"/>
      <c r="R639" s="658"/>
      <c r="S639" s="658"/>
      <c r="T639" s="658"/>
      <c r="U639" s="658"/>
      <c r="V639" s="658"/>
      <c r="W639" s="658"/>
      <c r="X639" s="658"/>
      <c r="Y639" s="658"/>
      <c r="Z639" s="658"/>
    </row>
    <row r="640" ht="14.25" customHeight="1">
      <c r="A640" s="658"/>
      <c r="B640" s="658"/>
      <c r="C640" s="658"/>
      <c r="D640" s="658"/>
      <c r="E640" s="658"/>
      <c r="F640" s="658"/>
      <c r="G640" s="658"/>
      <c r="H640" s="658"/>
      <c r="I640" s="658"/>
      <c r="J640" s="658"/>
      <c r="K640" s="658"/>
      <c r="L640" s="658"/>
      <c r="M640" s="658"/>
      <c r="N640" s="658"/>
      <c r="O640" s="658"/>
      <c r="P640" s="658"/>
      <c r="Q640" s="658"/>
      <c r="R640" s="658"/>
      <c r="S640" s="658"/>
      <c r="T640" s="658"/>
      <c r="U640" s="658"/>
      <c r="V640" s="658"/>
      <c r="W640" s="658"/>
      <c r="X640" s="658"/>
      <c r="Y640" s="658"/>
      <c r="Z640" s="658"/>
    </row>
    <row r="641" ht="14.25" customHeight="1">
      <c r="A641" s="658"/>
      <c r="B641" s="658"/>
      <c r="C641" s="658"/>
      <c r="D641" s="658"/>
      <c r="E641" s="658"/>
      <c r="F641" s="658"/>
      <c r="G641" s="658"/>
      <c r="H641" s="658"/>
      <c r="I641" s="658"/>
      <c r="J641" s="658"/>
      <c r="K641" s="658"/>
      <c r="L641" s="658"/>
      <c r="M641" s="658"/>
      <c r="N641" s="658"/>
      <c r="O641" s="658"/>
      <c r="P641" s="658"/>
      <c r="Q641" s="658"/>
      <c r="R641" s="658"/>
      <c r="S641" s="658"/>
      <c r="T641" s="658"/>
      <c r="U641" s="658"/>
      <c r="V641" s="658"/>
      <c r="W641" s="658"/>
      <c r="X641" s="658"/>
      <c r="Y641" s="658"/>
      <c r="Z641" s="658"/>
    </row>
    <row r="642" ht="14.25" customHeight="1">
      <c r="A642" s="658"/>
      <c r="B642" s="658"/>
      <c r="C642" s="658"/>
      <c r="D642" s="658"/>
      <c r="E642" s="658"/>
      <c r="F642" s="658"/>
      <c r="G642" s="658"/>
      <c r="H642" s="658"/>
      <c r="I642" s="658"/>
      <c r="J642" s="658"/>
      <c r="K642" s="658"/>
      <c r="L642" s="658"/>
      <c r="M642" s="658"/>
      <c r="N642" s="658"/>
      <c r="O642" s="658"/>
      <c r="P642" s="658"/>
      <c r="Q642" s="658"/>
      <c r="R642" s="658"/>
      <c r="S642" s="658"/>
      <c r="T642" s="658"/>
      <c r="U642" s="658"/>
      <c r="V642" s="658"/>
      <c r="W642" s="658"/>
      <c r="X642" s="658"/>
      <c r="Y642" s="658"/>
      <c r="Z642" s="658"/>
    </row>
    <row r="643" ht="14.25" customHeight="1">
      <c r="A643" s="658"/>
      <c r="B643" s="658"/>
      <c r="C643" s="658"/>
      <c r="D643" s="658"/>
      <c r="E643" s="658"/>
      <c r="F643" s="658"/>
      <c r="G643" s="658"/>
      <c r="H643" s="658"/>
      <c r="I643" s="658"/>
      <c r="J643" s="658"/>
      <c r="K643" s="658"/>
      <c r="L643" s="658"/>
      <c r="M643" s="658"/>
      <c r="N643" s="658"/>
      <c r="O643" s="658"/>
      <c r="P643" s="658"/>
      <c r="Q643" s="658"/>
      <c r="R643" s="658"/>
      <c r="S643" s="658"/>
      <c r="T643" s="658"/>
      <c r="U643" s="658"/>
      <c r="V643" s="658"/>
      <c r="W643" s="658"/>
      <c r="X643" s="658"/>
      <c r="Y643" s="658"/>
      <c r="Z643" s="658"/>
    </row>
    <row r="644" ht="14.25" customHeight="1">
      <c r="A644" s="658"/>
      <c r="B644" s="658"/>
      <c r="C644" s="658"/>
      <c r="D644" s="658"/>
      <c r="E644" s="658"/>
      <c r="F644" s="658"/>
      <c r="G644" s="658"/>
      <c r="H644" s="658"/>
      <c r="I644" s="658"/>
      <c r="J644" s="658"/>
      <c r="K644" s="658"/>
      <c r="L644" s="658"/>
      <c r="M644" s="658"/>
      <c r="N644" s="658"/>
      <c r="O644" s="658"/>
      <c r="P644" s="658"/>
      <c r="Q644" s="658"/>
      <c r="R644" s="658"/>
      <c r="S644" s="658"/>
      <c r="T644" s="658"/>
      <c r="U644" s="658"/>
      <c r="V644" s="658"/>
      <c r="W644" s="658"/>
      <c r="X644" s="658"/>
      <c r="Y644" s="658"/>
      <c r="Z644" s="658"/>
    </row>
    <row r="645" ht="14.25" customHeight="1">
      <c r="A645" s="658"/>
      <c r="B645" s="658"/>
      <c r="C645" s="658"/>
      <c r="D645" s="658"/>
      <c r="E645" s="658"/>
      <c r="F645" s="658"/>
      <c r="G645" s="658"/>
      <c r="H645" s="658"/>
      <c r="I645" s="658"/>
      <c r="J645" s="658"/>
      <c r="K645" s="658"/>
      <c r="L645" s="658"/>
      <c r="M645" s="658"/>
      <c r="N645" s="658"/>
      <c r="O645" s="658"/>
      <c r="P645" s="658"/>
      <c r="Q645" s="658"/>
      <c r="R645" s="658"/>
      <c r="S645" s="658"/>
      <c r="T645" s="658"/>
      <c r="U645" s="658"/>
      <c r="V645" s="658"/>
      <c r="W645" s="658"/>
      <c r="X645" s="658"/>
      <c r="Y645" s="658"/>
      <c r="Z645" s="658"/>
    </row>
    <row r="646" ht="14.25" customHeight="1">
      <c r="A646" s="658"/>
      <c r="B646" s="658"/>
      <c r="C646" s="658"/>
      <c r="D646" s="658"/>
      <c r="E646" s="658"/>
      <c r="F646" s="658"/>
      <c r="G646" s="658"/>
      <c r="H646" s="658"/>
      <c r="I646" s="658"/>
      <c r="J646" s="658"/>
      <c r="K646" s="658"/>
      <c r="L646" s="658"/>
      <c r="M646" s="658"/>
      <c r="N646" s="658"/>
      <c r="O646" s="658"/>
      <c r="P646" s="658"/>
      <c r="Q646" s="658"/>
      <c r="R646" s="658"/>
      <c r="S646" s="658"/>
      <c r="T646" s="658"/>
      <c r="U646" s="658"/>
      <c r="V646" s="658"/>
      <c r="W646" s="658"/>
      <c r="X646" s="658"/>
      <c r="Y646" s="658"/>
      <c r="Z646" s="658"/>
    </row>
    <row r="647" ht="14.25" customHeight="1">
      <c r="A647" s="658"/>
      <c r="B647" s="658"/>
      <c r="C647" s="658"/>
      <c r="D647" s="658"/>
      <c r="E647" s="658"/>
      <c r="F647" s="658"/>
      <c r="G647" s="658"/>
      <c r="H647" s="658"/>
      <c r="I647" s="658"/>
      <c r="J647" s="658"/>
      <c r="K647" s="658"/>
      <c r="L647" s="658"/>
      <c r="M647" s="658"/>
      <c r="N647" s="658"/>
      <c r="O647" s="658"/>
      <c r="P647" s="658"/>
      <c r="Q647" s="658"/>
      <c r="R647" s="658"/>
      <c r="S647" s="658"/>
      <c r="T647" s="658"/>
      <c r="U647" s="658"/>
      <c r="V647" s="658"/>
      <c r="W647" s="658"/>
      <c r="X647" s="658"/>
      <c r="Y647" s="658"/>
      <c r="Z647" s="658"/>
    </row>
    <row r="648" ht="14.25" customHeight="1">
      <c r="A648" s="658"/>
      <c r="B648" s="658"/>
      <c r="C648" s="658"/>
      <c r="D648" s="658"/>
      <c r="E648" s="658"/>
      <c r="F648" s="658"/>
      <c r="G648" s="658"/>
      <c r="H648" s="658"/>
      <c r="I648" s="658"/>
      <c r="J648" s="658"/>
      <c r="K648" s="658"/>
      <c r="L648" s="658"/>
      <c r="M648" s="658"/>
      <c r="N648" s="658"/>
      <c r="O648" s="658"/>
      <c r="P648" s="658"/>
      <c r="Q648" s="658"/>
      <c r="R648" s="658"/>
      <c r="S648" s="658"/>
      <c r="T648" s="658"/>
      <c r="U648" s="658"/>
      <c r="V648" s="658"/>
      <c r="W648" s="658"/>
      <c r="X648" s="658"/>
      <c r="Y648" s="658"/>
      <c r="Z648" s="658"/>
    </row>
    <row r="649" ht="14.25" customHeight="1">
      <c r="A649" s="658"/>
      <c r="B649" s="658"/>
      <c r="C649" s="658"/>
      <c r="D649" s="658"/>
      <c r="E649" s="658"/>
      <c r="F649" s="658"/>
      <c r="G649" s="658"/>
      <c r="H649" s="658"/>
      <c r="I649" s="658"/>
      <c r="J649" s="658"/>
      <c r="K649" s="658"/>
      <c r="L649" s="658"/>
      <c r="M649" s="658"/>
      <c r="N649" s="658"/>
      <c r="O649" s="658"/>
      <c r="P649" s="658"/>
      <c r="Q649" s="658"/>
      <c r="R649" s="658"/>
      <c r="S649" s="658"/>
      <c r="T649" s="658"/>
      <c r="U649" s="658"/>
      <c r="V649" s="658"/>
      <c r="W649" s="658"/>
      <c r="X649" s="658"/>
      <c r="Y649" s="658"/>
      <c r="Z649" s="658"/>
    </row>
    <row r="650" ht="14.25" customHeight="1">
      <c r="A650" s="658"/>
      <c r="B650" s="658"/>
      <c r="C650" s="658"/>
      <c r="D650" s="658"/>
      <c r="E650" s="658"/>
      <c r="F650" s="658"/>
      <c r="G650" s="658"/>
      <c r="H650" s="658"/>
      <c r="I650" s="658"/>
      <c r="J650" s="658"/>
      <c r="K650" s="658"/>
      <c r="L650" s="658"/>
      <c r="M650" s="658"/>
      <c r="N650" s="658"/>
      <c r="O650" s="658"/>
      <c r="P650" s="658"/>
      <c r="Q650" s="658"/>
      <c r="R650" s="658"/>
      <c r="S650" s="658"/>
      <c r="T650" s="658"/>
      <c r="U650" s="658"/>
      <c r="V650" s="658"/>
      <c r="W650" s="658"/>
      <c r="X650" s="658"/>
      <c r="Y650" s="658"/>
      <c r="Z650" s="658"/>
    </row>
    <row r="651" ht="14.25" customHeight="1">
      <c r="A651" s="658"/>
      <c r="B651" s="658"/>
      <c r="C651" s="658"/>
      <c r="D651" s="658"/>
      <c r="E651" s="658"/>
      <c r="F651" s="658"/>
      <c r="G651" s="658"/>
      <c r="H651" s="658"/>
      <c r="I651" s="658"/>
      <c r="J651" s="658"/>
      <c r="K651" s="658"/>
      <c r="L651" s="658"/>
      <c r="M651" s="658"/>
      <c r="N651" s="658"/>
      <c r="O651" s="658"/>
      <c r="P651" s="658"/>
      <c r="Q651" s="658"/>
      <c r="R651" s="658"/>
      <c r="S651" s="658"/>
      <c r="T651" s="658"/>
      <c r="U651" s="658"/>
      <c r="V651" s="658"/>
      <c r="W651" s="658"/>
      <c r="X651" s="658"/>
      <c r="Y651" s="658"/>
      <c r="Z651" s="658"/>
    </row>
    <row r="652" ht="14.25" customHeight="1">
      <c r="A652" s="658"/>
      <c r="B652" s="658"/>
      <c r="C652" s="658"/>
      <c r="D652" s="658"/>
      <c r="E652" s="658"/>
      <c r="F652" s="658"/>
      <c r="G652" s="658"/>
      <c r="H652" s="658"/>
      <c r="I652" s="658"/>
      <c r="J652" s="658"/>
      <c r="K652" s="658"/>
      <c r="L652" s="658"/>
      <c r="M652" s="658"/>
      <c r="N652" s="658"/>
      <c r="O652" s="658"/>
      <c r="P652" s="658"/>
      <c r="Q652" s="658"/>
      <c r="R652" s="658"/>
      <c r="S652" s="658"/>
      <c r="T652" s="658"/>
      <c r="U652" s="658"/>
      <c r="V652" s="658"/>
      <c r="W652" s="658"/>
      <c r="X652" s="658"/>
      <c r="Y652" s="658"/>
      <c r="Z652" s="658"/>
    </row>
    <row r="653" ht="14.25" customHeight="1">
      <c r="A653" s="658"/>
      <c r="B653" s="658"/>
      <c r="C653" s="658"/>
      <c r="D653" s="658"/>
      <c r="E653" s="658"/>
      <c r="F653" s="658"/>
      <c r="G653" s="658"/>
      <c r="H653" s="658"/>
      <c r="I653" s="658"/>
      <c r="J653" s="658"/>
      <c r="K653" s="658"/>
      <c r="L653" s="658"/>
      <c r="M653" s="658"/>
      <c r="N653" s="658"/>
      <c r="O653" s="658"/>
      <c r="P653" s="658"/>
      <c r="Q653" s="658"/>
      <c r="R653" s="658"/>
      <c r="S653" s="658"/>
      <c r="T653" s="658"/>
      <c r="U653" s="658"/>
      <c r="V653" s="658"/>
      <c r="W653" s="658"/>
      <c r="X653" s="658"/>
      <c r="Y653" s="658"/>
      <c r="Z653" s="658"/>
    </row>
    <row r="654" ht="14.25" customHeight="1">
      <c r="A654" s="658"/>
      <c r="B654" s="658"/>
      <c r="C654" s="658"/>
      <c r="D654" s="658"/>
      <c r="E654" s="658"/>
      <c r="F654" s="658"/>
      <c r="G654" s="658"/>
      <c r="H654" s="658"/>
      <c r="I654" s="658"/>
      <c r="J654" s="658"/>
      <c r="K654" s="658"/>
      <c r="L654" s="658"/>
      <c r="M654" s="658"/>
      <c r="N654" s="658"/>
      <c r="O654" s="658"/>
      <c r="P654" s="658"/>
      <c r="Q654" s="658"/>
      <c r="R654" s="658"/>
      <c r="S654" s="658"/>
      <c r="T654" s="658"/>
      <c r="U654" s="658"/>
      <c r="V654" s="658"/>
      <c r="W654" s="658"/>
      <c r="X654" s="658"/>
      <c r="Y654" s="658"/>
      <c r="Z654" s="658"/>
    </row>
    <row r="655" ht="14.25" customHeight="1">
      <c r="A655" s="658"/>
      <c r="B655" s="658"/>
      <c r="C655" s="658"/>
      <c r="D655" s="658"/>
      <c r="E655" s="658"/>
      <c r="F655" s="658"/>
      <c r="G655" s="658"/>
      <c r="H655" s="658"/>
      <c r="I655" s="658"/>
      <c r="J655" s="658"/>
      <c r="K655" s="658"/>
      <c r="L655" s="658"/>
      <c r="M655" s="658"/>
      <c r="N655" s="658"/>
      <c r="O655" s="658"/>
      <c r="P655" s="658"/>
      <c r="Q655" s="658"/>
      <c r="R655" s="658"/>
      <c r="S655" s="658"/>
      <c r="T655" s="658"/>
      <c r="U655" s="658"/>
      <c r="V655" s="658"/>
      <c r="W655" s="658"/>
      <c r="X655" s="658"/>
      <c r="Y655" s="658"/>
      <c r="Z655" s="658"/>
    </row>
    <row r="656" ht="14.25" customHeight="1">
      <c r="A656" s="658"/>
      <c r="B656" s="658"/>
      <c r="C656" s="658"/>
      <c r="D656" s="658"/>
      <c r="E656" s="658"/>
      <c r="F656" s="658"/>
      <c r="G656" s="658"/>
      <c r="H656" s="658"/>
      <c r="I656" s="658"/>
      <c r="J656" s="658"/>
      <c r="K656" s="658"/>
      <c r="L656" s="658"/>
      <c r="M656" s="658"/>
      <c r="N656" s="658"/>
      <c r="O656" s="658"/>
      <c r="P656" s="658"/>
      <c r="Q656" s="658"/>
      <c r="R656" s="658"/>
      <c r="S656" s="658"/>
      <c r="T656" s="658"/>
      <c r="U656" s="658"/>
      <c r="V656" s="658"/>
      <c r="W656" s="658"/>
      <c r="X656" s="658"/>
      <c r="Y656" s="658"/>
      <c r="Z656" s="658"/>
    </row>
    <row r="657" ht="14.25" customHeight="1">
      <c r="A657" s="658"/>
      <c r="B657" s="658"/>
      <c r="C657" s="658"/>
      <c r="D657" s="658"/>
      <c r="E657" s="658"/>
      <c r="F657" s="658"/>
      <c r="G657" s="658"/>
      <c r="H657" s="658"/>
      <c r="I657" s="658"/>
      <c r="J657" s="658"/>
      <c r="K657" s="658"/>
      <c r="L657" s="658"/>
      <c r="M657" s="658"/>
      <c r="N657" s="658"/>
      <c r="O657" s="658"/>
      <c r="P657" s="658"/>
      <c r="Q657" s="658"/>
      <c r="R657" s="658"/>
      <c r="S657" s="658"/>
      <c r="T657" s="658"/>
      <c r="U657" s="658"/>
      <c r="V657" s="658"/>
      <c r="W657" s="658"/>
      <c r="X657" s="658"/>
      <c r="Y657" s="658"/>
      <c r="Z657" s="658"/>
    </row>
    <row r="658" ht="14.25" customHeight="1">
      <c r="A658" s="658"/>
      <c r="B658" s="658"/>
      <c r="C658" s="658"/>
      <c r="D658" s="658"/>
      <c r="E658" s="658"/>
      <c r="F658" s="658"/>
      <c r="G658" s="658"/>
      <c r="H658" s="658"/>
      <c r="I658" s="658"/>
      <c r="J658" s="658"/>
      <c r="K658" s="658"/>
      <c r="L658" s="658"/>
      <c r="M658" s="658"/>
      <c r="N658" s="658"/>
      <c r="O658" s="658"/>
      <c r="P658" s="658"/>
      <c r="Q658" s="658"/>
      <c r="R658" s="658"/>
      <c r="S658" s="658"/>
      <c r="T658" s="658"/>
      <c r="U658" s="658"/>
      <c r="V658" s="658"/>
      <c r="W658" s="658"/>
      <c r="X658" s="658"/>
      <c r="Y658" s="658"/>
      <c r="Z658" s="658"/>
    </row>
    <row r="659" ht="14.25" customHeight="1">
      <c r="A659" s="658"/>
      <c r="B659" s="658"/>
      <c r="C659" s="658"/>
      <c r="D659" s="658"/>
      <c r="E659" s="658"/>
      <c r="F659" s="658"/>
      <c r="G659" s="658"/>
      <c r="H659" s="658"/>
      <c r="I659" s="658"/>
      <c r="J659" s="658"/>
      <c r="K659" s="658"/>
      <c r="L659" s="658"/>
      <c r="M659" s="658"/>
      <c r="N659" s="658"/>
      <c r="O659" s="658"/>
      <c r="P659" s="658"/>
      <c r="Q659" s="658"/>
      <c r="R659" s="658"/>
      <c r="S659" s="658"/>
      <c r="T659" s="658"/>
      <c r="U659" s="658"/>
      <c r="V659" s="658"/>
      <c r="W659" s="658"/>
      <c r="X659" s="658"/>
      <c r="Y659" s="658"/>
      <c r="Z659" s="658"/>
    </row>
    <row r="660" ht="14.25" customHeight="1">
      <c r="A660" s="658"/>
      <c r="B660" s="658"/>
      <c r="C660" s="658"/>
      <c r="D660" s="658"/>
      <c r="E660" s="658"/>
      <c r="F660" s="658"/>
      <c r="G660" s="658"/>
      <c r="H660" s="658"/>
      <c r="I660" s="658"/>
      <c r="J660" s="658"/>
      <c r="K660" s="658"/>
      <c r="L660" s="658"/>
      <c r="M660" s="658"/>
      <c r="N660" s="658"/>
      <c r="O660" s="658"/>
      <c r="P660" s="658"/>
      <c r="Q660" s="658"/>
      <c r="R660" s="658"/>
      <c r="S660" s="658"/>
      <c r="T660" s="658"/>
      <c r="U660" s="658"/>
      <c r="V660" s="658"/>
      <c r="W660" s="658"/>
      <c r="X660" s="658"/>
      <c r="Y660" s="658"/>
      <c r="Z660" s="658"/>
    </row>
    <row r="661" ht="14.25" customHeight="1">
      <c r="A661" s="658"/>
      <c r="B661" s="658"/>
      <c r="C661" s="658"/>
      <c r="D661" s="658"/>
      <c r="E661" s="658"/>
      <c r="F661" s="658"/>
      <c r="G661" s="658"/>
      <c r="H661" s="658"/>
      <c r="I661" s="658"/>
      <c r="J661" s="658"/>
      <c r="K661" s="658"/>
      <c r="L661" s="658"/>
      <c r="M661" s="658"/>
      <c r="N661" s="658"/>
      <c r="O661" s="658"/>
      <c r="P661" s="658"/>
      <c r="Q661" s="658"/>
      <c r="R661" s="658"/>
      <c r="S661" s="658"/>
      <c r="T661" s="658"/>
      <c r="U661" s="658"/>
      <c r="V661" s="658"/>
      <c r="W661" s="658"/>
      <c r="X661" s="658"/>
      <c r="Y661" s="658"/>
      <c r="Z661" s="658"/>
    </row>
    <row r="662" ht="14.25" customHeight="1">
      <c r="A662" s="658"/>
      <c r="B662" s="658"/>
      <c r="C662" s="658"/>
      <c r="D662" s="658"/>
      <c r="E662" s="658"/>
      <c r="F662" s="658"/>
      <c r="G662" s="658"/>
      <c r="H662" s="658"/>
      <c r="I662" s="658"/>
      <c r="J662" s="658"/>
      <c r="K662" s="658"/>
      <c r="L662" s="658"/>
      <c r="M662" s="658"/>
      <c r="N662" s="658"/>
      <c r="O662" s="658"/>
      <c r="P662" s="658"/>
      <c r="Q662" s="658"/>
      <c r="R662" s="658"/>
      <c r="S662" s="658"/>
      <c r="T662" s="658"/>
      <c r="U662" s="658"/>
      <c r="V662" s="658"/>
      <c r="W662" s="658"/>
      <c r="X662" s="658"/>
      <c r="Y662" s="658"/>
      <c r="Z662" s="658"/>
    </row>
    <row r="663" ht="14.25" customHeight="1">
      <c r="A663" s="658"/>
      <c r="B663" s="658"/>
      <c r="C663" s="658"/>
      <c r="D663" s="658"/>
      <c r="E663" s="658"/>
      <c r="F663" s="658"/>
      <c r="G663" s="658"/>
      <c r="H663" s="658"/>
      <c r="I663" s="658"/>
      <c r="J663" s="658"/>
      <c r="K663" s="658"/>
      <c r="L663" s="658"/>
      <c r="M663" s="658"/>
      <c r="N663" s="658"/>
      <c r="O663" s="658"/>
      <c r="P663" s="658"/>
      <c r="Q663" s="658"/>
      <c r="R663" s="658"/>
      <c r="S663" s="658"/>
      <c r="T663" s="658"/>
      <c r="U663" s="658"/>
      <c r="V663" s="658"/>
      <c r="W663" s="658"/>
      <c r="X663" s="658"/>
      <c r="Y663" s="658"/>
      <c r="Z663" s="658"/>
    </row>
    <row r="664" ht="14.25" customHeight="1">
      <c r="A664" s="658"/>
      <c r="B664" s="658"/>
      <c r="C664" s="658"/>
      <c r="D664" s="658"/>
      <c r="E664" s="658"/>
      <c r="F664" s="658"/>
      <c r="G664" s="658"/>
      <c r="H664" s="658"/>
      <c r="I664" s="658"/>
      <c r="J664" s="658"/>
      <c r="K664" s="658"/>
      <c r="L664" s="658"/>
      <c r="M664" s="658"/>
      <c r="N664" s="658"/>
      <c r="O664" s="658"/>
      <c r="P664" s="658"/>
      <c r="Q664" s="658"/>
      <c r="R664" s="658"/>
      <c r="S664" s="658"/>
      <c r="T664" s="658"/>
      <c r="U664" s="658"/>
      <c r="V664" s="658"/>
      <c r="W664" s="658"/>
      <c r="X664" s="658"/>
      <c r="Y664" s="658"/>
      <c r="Z664" s="658"/>
    </row>
    <row r="665" ht="14.25" customHeight="1">
      <c r="A665" s="658"/>
      <c r="B665" s="658"/>
      <c r="C665" s="658"/>
      <c r="D665" s="658"/>
      <c r="E665" s="658"/>
      <c r="F665" s="658"/>
      <c r="G665" s="658"/>
      <c r="H665" s="658"/>
      <c r="I665" s="658"/>
      <c r="J665" s="658"/>
      <c r="K665" s="658"/>
      <c r="L665" s="658"/>
      <c r="M665" s="658"/>
      <c r="N665" s="658"/>
      <c r="O665" s="658"/>
      <c r="P665" s="658"/>
      <c r="Q665" s="658"/>
      <c r="R665" s="658"/>
      <c r="S665" s="658"/>
      <c r="T665" s="658"/>
      <c r="U665" s="658"/>
      <c r="V665" s="658"/>
      <c r="W665" s="658"/>
      <c r="X665" s="658"/>
      <c r="Y665" s="658"/>
      <c r="Z665" s="658"/>
    </row>
    <row r="666" ht="14.25" customHeight="1">
      <c r="A666" s="658"/>
      <c r="B666" s="658"/>
      <c r="C666" s="658"/>
      <c r="D666" s="658"/>
      <c r="E666" s="658"/>
      <c r="F666" s="658"/>
      <c r="G666" s="658"/>
      <c r="H666" s="658"/>
      <c r="I666" s="658"/>
      <c r="J666" s="658"/>
      <c r="K666" s="658"/>
      <c r="L666" s="658"/>
      <c r="M666" s="658"/>
      <c r="N666" s="658"/>
      <c r="O666" s="658"/>
      <c r="P666" s="658"/>
      <c r="Q666" s="658"/>
      <c r="R666" s="658"/>
      <c r="S666" s="658"/>
      <c r="T666" s="658"/>
      <c r="U666" s="658"/>
      <c r="V666" s="658"/>
      <c r="W666" s="658"/>
      <c r="X666" s="658"/>
      <c r="Y666" s="658"/>
      <c r="Z666" s="658"/>
    </row>
    <row r="667" ht="14.25" customHeight="1">
      <c r="A667" s="658"/>
      <c r="B667" s="658"/>
      <c r="C667" s="658"/>
      <c r="D667" s="658"/>
      <c r="E667" s="658"/>
      <c r="F667" s="658"/>
      <c r="G667" s="658"/>
      <c r="H667" s="658"/>
      <c r="I667" s="658"/>
      <c r="J667" s="658"/>
      <c r="K667" s="658"/>
      <c r="L667" s="658"/>
      <c r="M667" s="658"/>
      <c r="N667" s="658"/>
      <c r="O667" s="658"/>
      <c r="P667" s="658"/>
      <c r="Q667" s="658"/>
      <c r="R667" s="658"/>
      <c r="S667" s="658"/>
      <c r="T667" s="658"/>
      <c r="U667" s="658"/>
      <c r="V667" s="658"/>
      <c r="W667" s="658"/>
      <c r="X667" s="658"/>
      <c r="Y667" s="658"/>
      <c r="Z667" s="658"/>
    </row>
    <row r="668" ht="14.25" customHeight="1">
      <c r="A668" s="658"/>
      <c r="B668" s="658"/>
      <c r="C668" s="658"/>
      <c r="D668" s="658"/>
      <c r="E668" s="658"/>
      <c r="F668" s="658"/>
      <c r="G668" s="658"/>
      <c r="H668" s="658"/>
      <c r="I668" s="658"/>
      <c r="J668" s="658"/>
      <c r="K668" s="658"/>
      <c r="L668" s="658"/>
      <c r="M668" s="658"/>
      <c r="N668" s="658"/>
      <c r="O668" s="658"/>
      <c r="P668" s="658"/>
      <c r="Q668" s="658"/>
      <c r="R668" s="658"/>
      <c r="S668" s="658"/>
      <c r="T668" s="658"/>
      <c r="U668" s="658"/>
      <c r="V668" s="658"/>
      <c r="W668" s="658"/>
      <c r="X668" s="658"/>
      <c r="Y668" s="658"/>
      <c r="Z668" s="658"/>
    </row>
    <row r="669" ht="14.25" customHeight="1">
      <c r="A669" s="658"/>
      <c r="B669" s="658"/>
      <c r="C669" s="658"/>
      <c r="D669" s="658"/>
      <c r="E669" s="658"/>
      <c r="F669" s="658"/>
      <c r="G669" s="658"/>
      <c r="H669" s="658"/>
      <c r="I669" s="658"/>
      <c r="J669" s="658"/>
      <c r="K669" s="658"/>
      <c r="L669" s="658"/>
      <c r="M669" s="658"/>
      <c r="N669" s="658"/>
      <c r="O669" s="658"/>
      <c r="P669" s="658"/>
      <c r="Q669" s="658"/>
      <c r="R669" s="658"/>
      <c r="S669" s="658"/>
      <c r="T669" s="658"/>
      <c r="U669" s="658"/>
      <c r="V669" s="658"/>
      <c r="W669" s="658"/>
      <c r="X669" s="658"/>
      <c r="Y669" s="658"/>
      <c r="Z669" s="658"/>
    </row>
    <row r="670" ht="14.25" customHeight="1">
      <c r="A670" s="658"/>
      <c r="B670" s="658"/>
      <c r="C670" s="658"/>
      <c r="D670" s="658"/>
      <c r="E670" s="658"/>
      <c r="F670" s="658"/>
      <c r="G670" s="658"/>
      <c r="H670" s="658"/>
      <c r="I670" s="658"/>
      <c r="J670" s="658"/>
      <c r="K670" s="658"/>
      <c r="L670" s="658"/>
      <c r="M670" s="658"/>
      <c r="N670" s="658"/>
      <c r="O670" s="658"/>
      <c r="P670" s="658"/>
      <c r="Q670" s="658"/>
      <c r="R670" s="658"/>
      <c r="S670" s="658"/>
      <c r="T670" s="658"/>
      <c r="U670" s="658"/>
      <c r="V670" s="658"/>
      <c r="W670" s="658"/>
      <c r="X670" s="658"/>
      <c r="Y670" s="658"/>
      <c r="Z670" s="658"/>
    </row>
    <row r="671" ht="14.25" customHeight="1">
      <c r="A671" s="658"/>
      <c r="B671" s="658"/>
      <c r="C671" s="658"/>
      <c r="D671" s="658"/>
      <c r="E671" s="658"/>
      <c r="F671" s="658"/>
      <c r="G671" s="658"/>
      <c r="H671" s="658"/>
      <c r="I671" s="658"/>
      <c r="J671" s="658"/>
      <c r="K671" s="658"/>
      <c r="L671" s="658"/>
      <c r="M671" s="658"/>
      <c r="N671" s="658"/>
      <c r="O671" s="658"/>
      <c r="P671" s="658"/>
      <c r="Q671" s="658"/>
      <c r="R671" s="658"/>
      <c r="S671" s="658"/>
      <c r="T671" s="658"/>
      <c r="U671" s="658"/>
      <c r="V671" s="658"/>
      <c r="W671" s="658"/>
      <c r="X671" s="658"/>
      <c r="Y671" s="658"/>
      <c r="Z671" s="658"/>
    </row>
    <row r="672" ht="14.25" customHeight="1">
      <c r="A672" s="658"/>
      <c r="B672" s="658"/>
      <c r="C672" s="658"/>
      <c r="D672" s="658"/>
      <c r="E672" s="658"/>
      <c r="F672" s="658"/>
      <c r="G672" s="658"/>
      <c r="H672" s="658"/>
      <c r="I672" s="658"/>
      <c r="J672" s="658"/>
      <c r="K672" s="658"/>
      <c r="L672" s="658"/>
      <c r="M672" s="658"/>
      <c r="N672" s="658"/>
      <c r="O672" s="658"/>
      <c r="P672" s="658"/>
      <c r="Q672" s="658"/>
      <c r="R672" s="658"/>
      <c r="S672" s="658"/>
      <c r="T672" s="658"/>
      <c r="U672" s="658"/>
      <c r="V672" s="658"/>
      <c r="W672" s="658"/>
      <c r="X672" s="658"/>
      <c r="Y672" s="658"/>
      <c r="Z672" s="658"/>
    </row>
    <row r="673" ht="14.25" customHeight="1">
      <c r="A673" s="658"/>
      <c r="B673" s="658"/>
      <c r="C673" s="658"/>
      <c r="D673" s="658"/>
      <c r="E673" s="658"/>
      <c r="F673" s="658"/>
      <c r="G673" s="658"/>
      <c r="H673" s="658"/>
      <c r="I673" s="658"/>
      <c r="J673" s="658"/>
      <c r="K673" s="658"/>
      <c r="L673" s="658"/>
      <c r="M673" s="658"/>
      <c r="N673" s="658"/>
      <c r="O673" s="658"/>
      <c r="P673" s="658"/>
      <c r="Q673" s="658"/>
      <c r="R673" s="658"/>
      <c r="S673" s="658"/>
      <c r="T673" s="658"/>
      <c r="U673" s="658"/>
      <c r="V673" s="658"/>
      <c r="W673" s="658"/>
      <c r="X673" s="658"/>
      <c r="Y673" s="658"/>
      <c r="Z673" s="658"/>
    </row>
    <row r="674" ht="14.25" customHeight="1">
      <c r="A674" s="658"/>
      <c r="B674" s="658"/>
      <c r="C674" s="658"/>
      <c r="D674" s="658"/>
      <c r="E674" s="658"/>
      <c r="F674" s="658"/>
      <c r="G674" s="658"/>
      <c r="H674" s="658"/>
      <c r="I674" s="658"/>
      <c r="J674" s="658"/>
      <c r="K674" s="658"/>
      <c r="L674" s="658"/>
      <c r="M674" s="658"/>
      <c r="N674" s="658"/>
      <c r="O674" s="658"/>
      <c r="P674" s="658"/>
      <c r="Q674" s="658"/>
      <c r="R674" s="658"/>
      <c r="S674" s="658"/>
      <c r="T674" s="658"/>
      <c r="U674" s="658"/>
      <c r="V674" s="658"/>
      <c r="W674" s="658"/>
      <c r="X674" s="658"/>
      <c r="Y674" s="658"/>
      <c r="Z674" s="658"/>
    </row>
    <row r="675" ht="14.25" customHeight="1">
      <c r="A675" s="658"/>
      <c r="B675" s="658"/>
      <c r="C675" s="658"/>
      <c r="D675" s="658"/>
      <c r="E675" s="658"/>
      <c r="F675" s="658"/>
      <c r="G675" s="658"/>
      <c r="H675" s="658"/>
      <c r="I675" s="658"/>
      <c r="J675" s="658"/>
      <c r="K675" s="658"/>
      <c r="L675" s="658"/>
      <c r="M675" s="658"/>
      <c r="N675" s="658"/>
      <c r="O675" s="658"/>
      <c r="P675" s="658"/>
      <c r="Q675" s="658"/>
      <c r="R675" s="658"/>
      <c r="S675" s="658"/>
      <c r="T675" s="658"/>
      <c r="U675" s="658"/>
      <c r="V675" s="658"/>
      <c r="W675" s="658"/>
      <c r="X675" s="658"/>
      <c r="Y675" s="658"/>
      <c r="Z675" s="658"/>
    </row>
    <row r="676" ht="14.25" customHeight="1">
      <c r="A676" s="658"/>
      <c r="B676" s="658"/>
      <c r="C676" s="658"/>
      <c r="D676" s="658"/>
      <c r="E676" s="658"/>
      <c r="F676" s="658"/>
      <c r="G676" s="658"/>
      <c r="H676" s="658"/>
      <c r="I676" s="658"/>
      <c r="J676" s="658"/>
      <c r="K676" s="658"/>
      <c r="L676" s="658"/>
      <c r="M676" s="658"/>
      <c r="N676" s="658"/>
      <c r="O676" s="658"/>
      <c r="P676" s="658"/>
      <c r="Q676" s="658"/>
      <c r="R676" s="658"/>
      <c r="S676" s="658"/>
      <c r="T676" s="658"/>
      <c r="U676" s="658"/>
      <c r="V676" s="658"/>
      <c r="W676" s="658"/>
      <c r="X676" s="658"/>
      <c r="Y676" s="658"/>
      <c r="Z676" s="658"/>
    </row>
    <row r="677" ht="14.25" customHeight="1">
      <c r="A677" s="658"/>
      <c r="B677" s="658"/>
      <c r="C677" s="658"/>
      <c r="D677" s="658"/>
      <c r="E677" s="658"/>
      <c r="F677" s="658"/>
      <c r="G677" s="658"/>
      <c r="H677" s="658"/>
      <c r="I677" s="658"/>
      <c r="J677" s="658"/>
      <c r="K677" s="658"/>
      <c r="L677" s="658"/>
      <c r="M677" s="658"/>
      <c r="N677" s="658"/>
      <c r="O677" s="658"/>
      <c r="P677" s="658"/>
      <c r="Q677" s="658"/>
      <c r="R677" s="658"/>
      <c r="S677" s="658"/>
      <c r="T677" s="658"/>
      <c r="U677" s="658"/>
      <c r="V677" s="658"/>
      <c r="W677" s="658"/>
      <c r="X677" s="658"/>
      <c r="Y677" s="658"/>
      <c r="Z677" s="658"/>
    </row>
    <row r="678" ht="14.25" customHeight="1">
      <c r="A678" s="658"/>
      <c r="B678" s="658"/>
      <c r="C678" s="658"/>
      <c r="D678" s="658"/>
      <c r="E678" s="658"/>
      <c r="F678" s="658"/>
      <c r="G678" s="658"/>
      <c r="H678" s="658"/>
      <c r="I678" s="658"/>
      <c r="J678" s="658"/>
      <c r="K678" s="658"/>
      <c r="L678" s="658"/>
      <c r="M678" s="658"/>
      <c r="N678" s="658"/>
      <c r="O678" s="658"/>
      <c r="P678" s="658"/>
      <c r="Q678" s="658"/>
      <c r="R678" s="658"/>
      <c r="S678" s="658"/>
      <c r="T678" s="658"/>
      <c r="U678" s="658"/>
      <c r="V678" s="658"/>
      <c r="W678" s="658"/>
      <c r="X678" s="658"/>
      <c r="Y678" s="658"/>
      <c r="Z678" s="658"/>
    </row>
    <row r="679" ht="14.25" customHeight="1">
      <c r="A679" s="658"/>
      <c r="B679" s="658"/>
      <c r="C679" s="658"/>
      <c r="D679" s="658"/>
      <c r="E679" s="658"/>
      <c r="F679" s="658"/>
      <c r="G679" s="658"/>
      <c r="H679" s="658"/>
      <c r="I679" s="658"/>
      <c r="J679" s="658"/>
      <c r="K679" s="658"/>
      <c r="L679" s="658"/>
      <c r="M679" s="658"/>
      <c r="N679" s="658"/>
      <c r="O679" s="658"/>
      <c r="P679" s="658"/>
      <c r="Q679" s="658"/>
      <c r="R679" s="658"/>
      <c r="S679" s="658"/>
      <c r="T679" s="658"/>
      <c r="U679" s="658"/>
      <c r="V679" s="658"/>
      <c r="W679" s="658"/>
      <c r="X679" s="658"/>
      <c r="Y679" s="658"/>
      <c r="Z679" s="658"/>
    </row>
    <row r="680" ht="14.25" customHeight="1">
      <c r="A680" s="658"/>
      <c r="B680" s="658"/>
      <c r="C680" s="658"/>
      <c r="D680" s="658"/>
      <c r="E680" s="658"/>
      <c r="F680" s="658"/>
      <c r="G680" s="658"/>
      <c r="H680" s="658"/>
      <c r="I680" s="658"/>
      <c r="J680" s="658"/>
      <c r="K680" s="658"/>
      <c r="L680" s="658"/>
      <c r="M680" s="658"/>
      <c r="N680" s="658"/>
      <c r="O680" s="658"/>
      <c r="P680" s="658"/>
      <c r="Q680" s="658"/>
      <c r="R680" s="658"/>
      <c r="S680" s="658"/>
      <c r="T680" s="658"/>
      <c r="U680" s="658"/>
      <c r="V680" s="658"/>
      <c r="W680" s="658"/>
      <c r="X680" s="658"/>
      <c r="Y680" s="658"/>
      <c r="Z680" s="658"/>
    </row>
    <row r="681" ht="14.25" customHeight="1">
      <c r="A681" s="658"/>
      <c r="B681" s="658"/>
      <c r="C681" s="658"/>
      <c r="D681" s="658"/>
      <c r="E681" s="658"/>
      <c r="F681" s="658"/>
      <c r="G681" s="658"/>
      <c r="H681" s="658"/>
      <c r="I681" s="658"/>
      <c r="J681" s="658"/>
      <c r="K681" s="658"/>
      <c r="L681" s="658"/>
      <c r="M681" s="658"/>
      <c r="N681" s="658"/>
      <c r="O681" s="658"/>
      <c r="P681" s="658"/>
      <c r="Q681" s="658"/>
      <c r="R681" s="658"/>
      <c r="S681" s="658"/>
      <c r="T681" s="658"/>
      <c r="U681" s="658"/>
      <c r="V681" s="658"/>
      <c r="W681" s="658"/>
      <c r="X681" s="658"/>
      <c r="Y681" s="658"/>
      <c r="Z681" s="658"/>
    </row>
    <row r="682" ht="14.25" customHeight="1">
      <c r="A682" s="658"/>
      <c r="B682" s="658"/>
      <c r="C682" s="658"/>
      <c r="D682" s="658"/>
      <c r="E682" s="658"/>
      <c r="F682" s="658"/>
      <c r="G682" s="658"/>
      <c r="H682" s="658"/>
      <c r="I682" s="658"/>
      <c r="J682" s="658"/>
      <c r="K682" s="658"/>
      <c r="L682" s="658"/>
      <c r="M682" s="658"/>
      <c r="N682" s="658"/>
      <c r="O682" s="658"/>
      <c r="P682" s="658"/>
      <c r="Q682" s="658"/>
      <c r="R682" s="658"/>
      <c r="S682" s="658"/>
      <c r="T682" s="658"/>
      <c r="U682" s="658"/>
      <c r="V682" s="658"/>
      <c r="W682" s="658"/>
      <c r="X682" s="658"/>
      <c r="Y682" s="658"/>
      <c r="Z682" s="658"/>
    </row>
    <row r="683" ht="14.25" customHeight="1">
      <c r="A683" s="658"/>
      <c r="B683" s="658"/>
      <c r="C683" s="658"/>
      <c r="D683" s="658"/>
      <c r="E683" s="658"/>
      <c r="F683" s="658"/>
      <c r="G683" s="658"/>
      <c r="H683" s="658"/>
      <c r="I683" s="658"/>
      <c r="J683" s="658"/>
      <c r="K683" s="658"/>
      <c r="L683" s="658"/>
      <c r="M683" s="658"/>
      <c r="N683" s="658"/>
      <c r="O683" s="658"/>
      <c r="P683" s="658"/>
      <c r="Q683" s="658"/>
      <c r="R683" s="658"/>
      <c r="S683" s="658"/>
      <c r="T683" s="658"/>
      <c r="U683" s="658"/>
      <c r="V683" s="658"/>
      <c r="W683" s="658"/>
      <c r="X683" s="658"/>
      <c r="Y683" s="658"/>
      <c r="Z683" s="658"/>
    </row>
    <row r="684" ht="14.25" customHeight="1">
      <c r="A684" s="658"/>
      <c r="B684" s="658"/>
      <c r="C684" s="658"/>
      <c r="D684" s="658"/>
      <c r="E684" s="658"/>
      <c r="F684" s="658"/>
      <c r="G684" s="658"/>
      <c r="H684" s="658"/>
      <c r="I684" s="658"/>
      <c r="J684" s="658"/>
      <c r="K684" s="658"/>
      <c r="L684" s="658"/>
      <c r="M684" s="658"/>
      <c r="N684" s="658"/>
      <c r="O684" s="658"/>
      <c r="P684" s="658"/>
      <c r="Q684" s="658"/>
      <c r="R684" s="658"/>
      <c r="S684" s="658"/>
      <c r="T684" s="658"/>
      <c r="U684" s="658"/>
      <c r="V684" s="658"/>
      <c r="W684" s="658"/>
      <c r="X684" s="658"/>
      <c r="Y684" s="658"/>
      <c r="Z684" s="658"/>
    </row>
    <row r="685" ht="14.25" customHeight="1">
      <c r="A685" s="658"/>
      <c r="B685" s="658"/>
      <c r="C685" s="658"/>
      <c r="D685" s="658"/>
      <c r="E685" s="658"/>
      <c r="F685" s="658"/>
      <c r="G685" s="658"/>
      <c r="H685" s="658"/>
      <c r="I685" s="658"/>
      <c r="J685" s="658"/>
      <c r="K685" s="658"/>
      <c r="L685" s="658"/>
      <c r="M685" s="658"/>
      <c r="N685" s="658"/>
      <c r="O685" s="658"/>
      <c r="P685" s="658"/>
      <c r="Q685" s="658"/>
      <c r="R685" s="658"/>
      <c r="S685" s="658"/>
      <c r="T685" s="658"/>
      <c r="U685" s="658"/>
      <c r="V685" s="658"/>
      <c r="W685" s="658"/>
      <c r="X685" s="658"/>
      <c r="Y685" s="658"/>
      <c r="Z685" s="658"/>
    </row>
    <row r="686" ht="14.25" customHeight="1">
      <c r="A686" s="658"/>
      <c r="B686" s="658"/>
      <c r="C686" s="658"/>
      <c r="D686" s="658"/>
      <c r="E686" s="658"/>
      <c r="F686" s="658"/>
      <c r="G686" s="658"/>
      <c r="H686" s="658"/>
      <c r="I686" s="658"/>
      <c r="J686" s="658"/>
      <c r="K686" s="658"/>
      <c r="L686" s="658"/>
      <c r="M686" s="658"/>
      <c r="N686" s="658"/>
      <c r="O686" s="658"/>
      <c r="P686" s="658"/>
      <c r="Q686" s="658"/>
      <c r="R686" s="658"/>
      <c r="S686" s="658"/>
      <c r="T686" s="658"/>
      <c r="U686" s="658"/>
      <c r="V686" s="658"/>
      <c r="W686" s="658"/>
      <c r="X686" s="658"/>
      <c r="Y686" s="658"/>
      <c r="Z686" s="658"/>
    </row>
    <row r="687" ht="14.25" customHeight="1">
      <c r="A687" s="658"/>
      <c r="B687" s="658"/>
      <c r="C687" s="658"/>
      <c r="D687" s="658"/>
      <c r="E687" s="658"/>
      <c r="F687" s="658"/>
      <c r="G687" s="658"/>
      <c r="H687" s="658"/>
      <c r="I687" s="658"/>
      <c r="J687" s="658"/>
      <c r="K687" s="658"/>
      <c r="L687" s="658"/>
      <c r="M687" s="658"/>
      <c r="N687" s="658"/>
      <c r="O687" s="658"/>
      <c r="P687" s="658"/>
      <c r="Q687" s="658"/>
      <c r="R687" s="658"/>
      <c r="S687" s="658"/>
      <c r="T687" s="658"/>
      <c r="U687" s="658"/>
      <c r="V687" s="658"/>
      <c r="W687" s="658"/>
      <c r="X687" s="658"/>
      <c r="Y687" s="658"/>
      <c r="Z687" s="658"/>
    </row>
    <row r="688" ht="14.25" customHeight="1">
      <c r="A688" s="658"/>
      <c r="B688" s="658"/>
      <c r="C688" s="658"/>
      <c r="D688" s="658"/>
      <c r="E688" s="658"/>
      <c r="F688" s="658"/>
      <c r="G688" s="658"/>
      <c r="H688" s="658"/>
      <c r="I688" s="658"/>
      <c r="J688" s="658"/>
      <c r="K688" s="658"/>
      <c r="L688" s="658"/>
      <c r="M688" s="658"/>
      <c r="N688" s="658"/>
      <c r="O688" s="658"/>
      <c r="P688" s="658"/>
      <c r="Q688" s="658"/>
      <c r="R688" s="658"/>
      <c r="S688" s="658"/>
      <c r="T688" s="658"/>
      <c r="U688" s="658"/>
      <c r="V688" s="658"/>
      <c r="W688" s="658"/>
      <c r="X688" s="658"/>
      <c r="Y688" s="658"/>
      <c r="Z688" s="658"/>
    </row>
    <row r="689" ht="14.25" customHeight="1">
      <c r="A689" s="658"/>
      <c r="B689" s="658"/>
      <c r="C689" s="658"/>
      <c r="D689" s="658"/>
      <c r="E689" s="658"/>
      <c r="F689" s="658"/>
      <c r="G689" s="658"/>
      <c r="H689" s="658"/>
      <c r="I689" s="658"/>
      <c r="J689" s="658"/>
      <c r="K689" s="658"/>
      <c r="L689" s="658"/>
      <c r="M689" s="658"/>
      <c r="N689" s="658"/>
      <c r="O689" s="658"/>
      <c r="P689" s="658"/>
      <c r="Q689" s="658"/>
      <c r="R689" s="658"/>
      <c r="S689" s="658"/>
      <c r="T689" s="658"/>
      <c r="U689" s="658"/>
      <c r="V689" s="658"/>
      <c r="W689" s="658"/>
      <c r="X689" s="658"/>
      <c r="Y689" s="658"/>
      <c r="Z689" s="658"/>
    </row>
    <row r="690" ht="14.25" customHeight="1">
      <c r="A690" s="658"/>
      <c r="B690" s="658"/>
      <c r="C690" s="658"/>
      <c r="D690" s="658"/>
      <c r="E690" s="658"/>
      <c r="F690" s="658"/>
      <c r="G690" s="658"/>
      <c r="H690" s="658"/>
      <c r="I690" s="658"/>
      <c r="J690" s="658"/>
      <c r="K690" s="658"/>
      <c r="L690" s="658"/>
      <c r="M690" s="658"/>
      <c r="N690" s="658"/>
      <c r="O690" s="658"/>
      <c r="P690" s="658"/>
      <c r="Q690" s="658"/>
      <c r="R690" s="658"/>
      <c r="S690" s="658"/>
      <c r="T690" s="658"/>
      <c r="U690" s="658"/>
      <c r="V690" s="658"/>
      <c r="W690" s="658"/>
      <c r="X690" s="658"/>
      <c r="Y690" s="658"/>
      <c r="Z690" s="658"/>
    </row>
    <row r="691" ht="14.25" customHeight="1">
      <c r="A691" s="658"/>
      <c r="B691" s="658"/>
      <c r="C691" s="658"/>
      <c r="D691" s="658"/>
      <c r="E691" s="658"/>
      <c r="F691" s="658"/>
      <c r="G691" s="658"/>
      <c r="H691" s="658"/>
      <c r="I691" s="658"/>
      <c r="J691" s="658"/>
      <c r="K691" s="658"/>
      <c r="L691" s="658"/>
      <c r="M691" s="658"/>
      <c r="N691" s="658"/>
      <c r="O691" s="658"/>
      <c r="P691" s="658"/>
      <c r="Q691" s="658"/>
      <c r="R691" s="658"/>
      <c r="S691" s="658"/>
      <c r="T691" s="658"/>
      <c r="U691" s="658"/>
      <c r="V691" s="658"/>
      <c r="W691" s="658"/>
      <c r="X691" s="658"/>
      <c r="Y691" s="658"/>
      <c r="Z691" s="658"/>
    </row>
    <row r="692" ht="14.25" customHeight="1">
      <c r="A692" s="658"/>
      <c r="B692" s="658"/>
      <c r="C692" s="658"/>
      <c r="D692" s="658"/>
      <c r="E692" s="658"/>
      <c r="F692" s="658"/>
      <c r="G692" s="658"/>
      <c r="H692" s="658"/>
      <c r="I692" s="658"/>
      <c r="J692" s="658"/>
      <c r="K692" s="658"/>
      <c r="L692" s="658"/>
      <c r="M692" s="658"/>
      <c r="N692" s="658"/>
      <c r="O692" s="658"/>
      <c r="P692" s="658"/>
      <c r="Q692" s="658"/>
      <c r="R692" s="658"/>
      <c r="S692" s="658"/>
      <c r="T692" s="658"/>
      <c r="U692" s="658"/>
      <c r="V692" s="658"/>
      <c r="W692" s="658"/>
      <c r="X692" s="658"/>
      <c r="Y692" s="658"/>
      <c r="Z692" s="658"/>
    </row>
    <row r="693" ht="14.25" customHeight="1">
      <c r="A693" s="658"/>
      <c r="B693" s="658"/>
      <c r="C693" s="658"/>
      <c r="D693" s="658"/>
      <c r="E693" s="658"/>
      <c r="F693" s="658"/>
      <c r="G693" s="658"/>
      <c r="H693" s="658"/>
      <c r="I693" s="658"/>
      <c r="J693" s="658"/>
      <c r="K693" s="658"/>
      <c r="L693" s="658"/>
      <c r="M693" s="658"/>
      <c r="N693" s="658"/>
      <c r="O693" s="658"/>
      <c r="P693" s="658"/>
      <c r="Q693" s="658"/>
      <c r="R693" s="658"/>
      <c r="S693" s="658"/>
      <c r="T693" s="658"/>
      <c r="U693" s="658"/>
      <c r="V693" s="658"/>
      <c r="W693" s="658"/>
      <c r="X693" s="658"/>
      <c r="Y693" s="658"/>
      <c r="Z693" s="658"/>
    </row>
    <row r="694" ht="14.25" customHeight="1">
      <c r="A694" s="658"/>
      <c r="B694" s="658"/>
      <c r="C694" s="658"/>
      <c r="D694" s="658"/>
      <c r="E694" s="658"/>
      <c r="F694" s="658"/>
      <c r="G694" s="658"/>
      <c r="H694" s="658"/>
      <c r="I694" s="658"/>
      <c r="J694" s="658"/>
      <c r="K694" s="658"/>
      <c r="L694" s="658"/>
      <c r="M694" s="658"/>
      <c r="N694" s="658"/>
      <c r="O694" s="658"/>
      <c r="P694" s="658"/>
      <c r="Q694" s="658"/>
      <c r="R694" s="658"/>
      <c r="S694" s="658"/>
      <c r="T694" s="658"/>
      <c r="U694" s="658"/>
      <c r="V694" s="658"/>
      <c r="W694" s="658"/>
      <c r="X694" s="658"/>
      <c r="Y694" s="658"/>
      <c r="Z694" s="658"/>
    </row>
    <row r="695" ht="14.25" customHeight="1">
      <c r="A695" s="658"/>
      <c r="B695" s="658"/>
      <c r="C695" s="658"/>
      <c r="D695" s="658"/>
      <c r="E695" s="658"/>
      <c r="F695" s="658"/>
      <c r="G695" s="658"/>
      <c r="H695" s="658"/>
      <c r="I695" s="658"/>
      <c r="J695" s="658"/>
      <c r="K695" s="658"/>
      <c r="L695" s="658"/>
      <c r="M695" s="658"/>
      <c r="N695" s="658"/>
      <c r="O695" s="658"/>
      <c r="P695" s="658"/>
      <c r="Q695" s="658"/>
      <c r="R695" s="658"/>
      <c r="S695" s="658"/>
      <c r="T695" s="658"/>
      <c r="U695" s="658"/>
      <c r="V695" s="658"/>
      <c r="W695" s="658"/>
      <c r="X695" s="658"/>
      <c r="Y695" s="658"/>
      <c r="Z695" s="658"/>
    </row>
    <row r="696" ht="14.25" customHeight="1">
      <c r="A696" s="658"/>
      <c r="B696" s="658"/>
      <c r="C696" s="658"/>
      <c r="D696" s="658"/>
      <c r="E696" s="658"/>
      <c r="F696" s="658"/>
      <c r="G696" s="658"/>
      <c r="H696" s="658"/>
      <c r="I696" s="658"/>
      <c r="J696" s="658"/>
      <c r="K696" s="658"/>
      <c r="L696" s="658"/>
      <c r="M696" s="658"/>
      <c r="N696" s="658"/>
      <c r="O696" s="658"/>
      <c r="P696" s="658"/>
      <c r="Q696" s="658"/>
      <c r="R696" s="658"/>
      <c r="S696" s="658"/>
      <c r="T696" s="658"/>
      <c r="U696" s="658"/>
      <c r="V696" s="658"/>
      <c r="W696" s="658"/>
      <c r="X696" s="658"/>
      <c r="Y696" s="658"/>
      <c r="Z696" s="658"/>
    </row>
    <row r="697" ht="14.25" customHeight="1">
      <c r="A697" s="658"/>
      <c r="B697" s="658"/>
      <c r="C697" s="658"/>
      <c r="D697" s="658"/>
      <c r="E697" s="658"/>
      <c r="F697" s="658"/>
      <c r="G697" s="658"/>
      <c r="H697" s="658"/>
      <c r="I697" s="658"/>
      <c r="J697" s="658"/>
      <c r="K697" s="658"/>
      <c r="L697" s="658"/>
      <c r="M697" s="658"/>
      <c r="N697" s="658"/>
      <c r="O697" s="658"/>
      <c r="P697" s="658"/>
      <c r="Q697" s="658"/>
      <c r="R697" s="658"/>
      <c r="S697" s="658"/>
      <c r="T697" s="658"/>
      <c r="U697" s="658"/>
      <c r="V697" s="658"/>
      <c r="W697" s="658"/>
      <c r="X697" s="658"/>
      <c r="Y697" s="658"/>
      <c r="Z697" s="658"/>
    </row>
    <row r="698" ht="14.25" customHeight="1">
      <c r="A698" s="658"/>
      <c r="B698" s="658"/>
      <c r="C698" s="658"/>
      <c r="D698" s="658"/>
      <c r="E698" s="658"/>
      <c r="F698" s="658"/>
      <c r="G698" s="658"/>
      <c r="H698" s="658"/>
      <c r="I698" s="658"/>
      <c r="J698" s="658"/>
      <c r="K698" s="658"/>
      <c r="L698" s="658"/>
      <c r="M698" s="658"/>
      <c r="N698" s="658"/>
      <c r="O698" s="658"/>
      <c r="P698" s="658"/>
      <c r="Q698" s="658"/>
      <c r="R698" s="658"/>
      <c r="S698" s="658"/>
      <c r="T698" s="658"/>
      <c r="U698" s="658"/>
      <c r="V698" s="658"/>
      <c r="W698" s="658"/>
      <c r="X698" s="658"/>
      <c r="Y698" s="658"/>
      <c r="Z698" s="658"/>
    </row>
    <row r="699" ht="14.25" customHeight="1">
      <c r="A699" s="658"/>
      <c r="B699" s="658"/>
      <c r="C699" s="658"/>
      <c r="D699" s="658"/>
      <c r="E699" s="658"/>
      <c r="F699" s="658"/>
      <c r="G699" s="658"/>
      <c r="H699" s="658"/>
      <c r="I699" s="658"/>
      <c r="J699" s="658"/>
      <c r="K699" s="658"/>
      <c r="L699" s="658"/>
      <c r="M699" s="658"/>
      <c r="N699" s="658"/>
      <c r="O699" s="658"/>
      <c r="P699" s="658"/>
      <c r="Q699" s="658"/>
      <c r="R699" s="658"/>
      <c r="S699" s="658"/>
      <c r="T699" s="658"/>
      <c r="U699" s="658"/>
      <c r="V699" s="658"/>
      <c r="W699" s="658"/>
      <c r="X699" s="658"/>
      <c r="Y699" s="658"/>
      <c r="Z699" s="658"/>
    </row>
    <row r="700" ht="14.25" customHeight="1">
      <c r="A700" s="658"/>
      <c r="B700" s="658"/>
      <c r="C700" s="658"/>
      <c r="D700" s="658"/>
      <c r="E700" s="658"/>
      <c r="F700" s="658"/>
      <c r="G700" s="658"/>
      <c r="H700" s="658"/>
      <c r="I700" s="658"/>
      <c r="J700" s="658"/>
      <c r="K700" s="658"/>
      <c r="L700" s="658"/>
      <c r="M700" s="658"/>
      <c r="N700" s="658"/>
      <c r="O700" s="658"/>
      <c r="P700" s="658"/>
      <c r="Q700" s="658"/>
      <c r="R700" s="658"/>
      <c r="S700" s="658"/>
      <c r="T700" s="658"/>
      <c r="U700" s="658"/>
      <c r="V700" s="658"/>
      <c r="W700" s="658"/>
      <c r="X700" s="658"/>
      <c r="Y700" s="658"/>
      <c r="Z700" s="658"/>
    </row>
    <row r="701" ht="14.25" customHeight="1">
      <c r="A701" s="658"/>
      <c r="B701" s="658"/>
      <c r="C701" s="658"/>
      <c r="D701" s="658"/>
      <c r="E701" s="658"/>
      <c r="F701" s="658"/>
      <c r="G701" s="658"/>
      <c r="H701" s="658"/>
      <c r="I701" s="658"/>
      <c r="J701" s="658"/>
      <c r="K701" s="658"/>
      <c r="L701" s="658"/>
      <c r="M701" s="658"/>
      <c r="N701" s="658"/>
      <c r="O701" s="658"/>
      <c r="P701" s="658"/>
      <c r="Q701" s="658"/>
      <c r="R701" s="658"/>
      <c r="S701" s="658"/>
      <c r="T701" s="658"/>
      <c r="U701" s="658"/>
      <c r="V701" s="658"/>
      <c r="W701" s="658"/>
      <c r="X701" s="658"/>
      <c r="Y701" s="658"/>
      <c r="Z701" s="658"/>
    </row>
    <row r="702" ht="14.25" customHeight="1">
      <c r="A702" s="658"/>
      <c r="B702" s="658"/>
      <c r="C702" s="658"/>
      <c r="D702" s="658"/>
      <c r="E702" s="658"/>
      <c r="F702" s="658"/>
      <c r="G702" s="658"/>
      <c r="H702" s="658"/>
      <c r="I702" s="658"/>
      <c r="J702" s="658"/>
      <c r="K702" s="658"/>
      <c r="L702" s="658"/>
      <c r="M702" s="658"/>
      <c r="N702" s="658"/>
      <c r="O702" s="658"/>
      <c r="P702" s="658"/>
      <c r="Q702" s="658"/>
      <c r="R702" s="658"/>
      <c r="S702" s="658"/>
      <c r="T702" s="658"/>
      <c r="U702" s="658"/>
      <c r="V702" s="658"/>
      <c r="W702" s="658"/>
      <c r="X702" s="658"/>
      <c r="Y702" s="658"/>
      <c r="Z702" s="658"/>
    </row>
    <row r="703" ht="14.25" customHeight="1">
      <c r="A703" s="658"/>
      <c r="B703" s="658"/>
      <c r="C703" s="658"/>
      <c r="D703" s="658"/>
      <c r="E703" s="658"/>
      <c r="F703" s="658"/>
      <c r="G703" s="658"/>
      <c r="H703" s="658"/>
      <c r="I703" s="658"/>
      <c r="J703" s="658"/>
      <c r="K703" s="658"/>
      <c r="L703" s="658"/>
      <c r="M703" s="658"/>
      <c r="N703" s="658"/>
      <c r="O703" s="658"/>
      <c r="P703" s="658"/>
      <c r="Q703" s="658"/>
      <c r="R703" s="658"/>
      <c r="S703" s="658"/>
      <c r="T703" s="658"/>
      <c r="U703" s="658"/>
      <c r="V703" s="658"/>
      <c r="W703" s="658"/>
      <c r="X703" s="658"/>
      <c r="Y703" s="658"/>
      <c r="Z703" s="658"/>
    </row>
    <row r="704" ht="14.25" customHeight="1">
      <c r="A704" s="658"/>
      <c r="B704" s="658"/>
      <c r="C704" s="658"/>
      <c r="D704" s="658"/>
      <c r="E704" s="658"/>
      <c r="F704" s="658"/>
      <c r="G704" s="658"/>
      <c r="H704" s="658"/>
      <c r="I704" s="658"/>
      <c r="J704" s="658"/>
      <c r="K704" s="658"/>
      <c r="L704" s="658"/>
      <c r="M704" s="658"/>
      <c r="N704" s="658"/>
      <c r="O704" s="658"/>
      <c r="P704" s="658"/>
      <c r="Q704" s="658"/>
      <c r="R704" s="658"/>
      <c r="S704" s="658"/>
      <c r="T704" s="658"/>
      <c r="U704" s="658"/>
      <c r="V704" s="658"/>
      <c r="W704" s="658"/>
      <c r="X704" s="658"/>
      <c r="Y704" s="658"/>
      <c r="Z704" s="658"/>
    </row>
    <row r="705" ht="14.25" customHeight="1">
      <c r="A705" s="658"/>
      <c r="B705" s="658"/>
      <c r="C705" s="658"/>
      <c r="D705" s="658"/>
      <c r="E705" s="658"/>
      <c r="F705" s="658"/>
      <c r="G705" s="658"/>
      <c r="H705" s="658"/>
      <c r="I705" s="658"/>
      <c r="J705" s="658"/>
      <c r="K705" s="658"/>
      <c r="L705" s="658"/>
      <c r="M705" s="658"/>
      <c r="N705" s="658"/>
      <c r="O705" s="658"/>
      <c r="P705" s="658"/>
      <c r="Q705" s="658"/>
      <c r="R705" s="658"/>
      <c r="S705" s="658"/>
      <c r="T705" s="658"/>
      <c r="U705" s="658"/>
      <c r="V705" s="658"/>
      <c r="W705" s="658"/>
      <c r="X705" s="658"/>
      <c r="Y705" s="658"/>
      <c r="Z705" s="658"/>
    </row>
    <row r="706" ht="14.25" customHeight="1">
      <c r="A706" s="658"/>
      <c r="B706" s="658"/>
      <c r="C706" s="658"/>
      <c r="D706" s="658"/>
      <c r="E706" s="658"/>
      <c r="F706" s="658"/>
      <c r="G706" s="658"/>
      <c r="H706" s="658"/>
      <c r="I706" s="658"/>
      <c r="J706" s="658"/>
      <c r="K706" s="658"/>
      <c r="L706" s="658"/>
      <c r="M706" s="658"/>
      <c r="N706" s="658"/>
      <c r="O706" s="658"/>
      <c r="P706" s="658"/>
      <c r="Q706" s="658"/>
      <c r="R706" s="658"/>
      <c r="S706" s="658"/>
      <c r="T706" s="658"/>
      <c r="U706" s="658"/>
      <c r="V706" s="658"/>
      <c r="W706" s="658"/>
      <c r="X706" s="658"/>
      <c r="Y706" s="658"/>
      <c r="Z706" s="658"/>
    </row>
    <row r="707" ht="14.25" customHeight="1">
      <c r="A707" s="658"/>
      <c r="B707" s="658"/>
      <c r="C707" s="658"/>
      <c r="D707" s="658"/>
      <c r="E707" s="658"/>
      <c r="F707" s="658"/>
      <c r="G707" s="658"/>
      <c r="H707" s="658"/>
      <c r="I707" s="658"/>
      <c r="J707" s="658"/>
      <c r="K707" s="658"/>
      <c r="L707" s="658"/>
      <c r="M707" s="658"/>
      <c r="N707" s="658"/>
      <c r="O707" s="658"/>
      <c r="P707" s="658"/>
      <c r="Q707" s="658"/>
      <c r="R707" s="658"/>
      <c r="S707" s="658"/>
      <c r="T707" s="658"/>
      <c r="U707" s="658"/>
      <c r="V707" s="658"/>
      <c r="W707" s="658"/>
      <c r="X707" s="658"/>
      <c r="Y707" s="658"/>
      <c r="Z707" s="658"/>
    </row>
    <row r="708" ht="14.25" customHeight="1">
      <c r="A708" s="658"/>
      <c r="B708" s="658"/>
      <c r="C708" s="658"/>
      <c r="D708" s="658"/>
      <c r="E708" s="658"/>
      <c r="F708" s="658"/>
      <c r="G708" s="658"/>
      <c r="H708" s="658"/>
      <c r="I708" s="658"/>
      <c r="J708" s="658"/>
      <c r="K708" s="658"/>
      <c r="L708" s="658"/>
      <c r="M708" s="658"/>
      <c r="N708" s="658"/>
      <c r="O708" s="658"/>
      <c r="P708" s="658"/>
      <c r="Q708" s="658"/>
      <c r="R708" s="658"/>
      <c r="S708" s="658"/>
      <c r="T708" s="658"/>
      <c r="U708" s="658"/>
      <c r="V708" s="658"/>
      <c r="W708" s="658"/>
      <c r="X708" s="658"/>
      <c r="Y708" s="658"/>
      <c r="Z708" s="658"/>
    </row>
    <row r="709" ht="14.25" customHeight="1">
      <c r="A709" s="658"/>
      <c r="B709" s="658"/>
      <c r="C709" s="658"/>
      <c r="D709" s="658"/>
      <c r="E709" s="658"/>
      <c r="F709" s="658"/>
      <c r="G709" s="658"/>
      <c r="H709" s="658"/>
      <c r="I709" s="658"/>
      <c r="J709" s="658"/>
      <c r="K709" s="658"/>
      <c r="L709" s="658"/>
      <c r="M709" s="658"/>
      <c r="N709" s="658"/>
      <c r="O709" s="658"/>
      <c r="P709" s="658"/>
      <c r="Q709" s="658"/>
      <c r="R709" s="658"/>
      <c r="S709" s="658"/>
      <c r="T709" s="658"/>
      <c r="U709" s="658"/>
      <c r="V709" s="658"/>
      <c r="W709" s="658"/>
      <c r="X709" s="658"/>
      <c r="Y709" s="658"/>
      <c r="Z709" s="658"/>
    </row>
    <row r="710" ht="14.25" customHeight="1">
      <c r="A710" s="658"/>
      <c r="B710" s="658"/>
      <c r="C710" s="658"/>
      <c r="D710" s="658"/>
      <c r="E710" s="658"/>
      <c r="F710" s="658"/>
      <c r="G710" s="658"/>
      <c r="H710" s="658"/>
      <c r="I710" s="658"/>
      <c r="J710" s="658"/>
      <c r="K710" s="658"/>
      <c r="L710" s="658"/>
      <c r="M710" s="658"/>
      <c r="N710" s="658"/>
      <c r="O710" s="658"/>
      <c r="P710" s="658"/>
      <c r="Q710" s="658"/>
      <c r="R710" s="658"/>
      <c r="S710" s="658"/>
      <c r="T710" s="658"/>
      <c r="U710" s="658"/>
      <c r="V710" s="658"/>
      <c r="W710" s="658"/>
      <c r="X710" s="658"/>
      <c r="Y710" s="658"/>
      <c r="Z710" s="658"/>
    </row>
    <row r="711" ht="14.25" customHeight="1">
      <c r="A711" s="658"/>
      <c r="B711" s="658"/>
      <c r="C711" s="658"/>
      <c r="D711" s="658"/>
      <c r="E711" s="658"/>
      <c r="F711" s="658"/>
      <c r="G711" s="658"/>
      <c r="H711" s="658"/>
      <c r="I711" s="658"/>
      <c r="J711" s="658"/>
      <c r="K711" s="658"/>
      <c r="L711" s="658"/>
      <c r="M711" s="658"/>
      <c r="N711" s="658"/>
      <c r="O711" s="658"/>
      <c r="P711" s="658"/>
      <c r="Q711" s="658"/>
      <c r="R711" s="658"/>
      <c r="S711" s="658"/>
      <c r="T711" s="658"/>
      <c r="U711" s="658"/>
      <c r="V711" s="658"/>
      <c r="W711" s="658"/>
      <c r="X711" s="658"/>
      <c r="Y711" s="658"/>
      <c r="Z711" s="658"/>
    </row>
    <row r="712" ht="14.25" customHeight="1">
      <c r="A712" s="658"/>
      <c r="B712" s="658"/>
      <c r="C712" s="658"/>
      <c r="D712" s="658"/>
      <c r="E712" s="658"/>
      <c r="F712" s="658"/>
      <c r="G712" s="658"/>
      <c r="H712" s="658"/>
      <c r="I712" s="658"/>
      <c r="J712" s="658"/>
      <c r="K712" s="658"/>
      <c r="L712" s="658"/>
      <c r="M712" s="658"/>
      <c r="N712" s="658"/>
      <c r="O712" s="658"/>
      <c r="P712" s="658"/>
      <c r="Q712" s="658"/>
      <c r="R712" s="658"/>
      <c r="S712" s="658"/>
      <c r="T712" s="658"/>
      <c r="U712" s="658"/>
      <c r="V712" s="658"/>
      <c r="W712" s="658"/>
      <c r="X712" s="658"/>
      <c r="Y712" s="658"/>
      <c r="Z712" s="658"/>
    </row>
    <row r="713" ht="14.25" customHeight="1">
      <c r="A713" s="658"/>
      <c r="B713" s="658"/>
      <c r="C713" s="658"/>
      <c r="D713" s="658"/>
      <c r="E713" s="658"/>
      <c r="F713" s="658"/>
      <c r="G713" s="658"/>
      <c r="H713" s="658"/>
      <c r="I713" s="658"/>
      <c r="J713" s="658"/>
      <c r="K713" s="658"/>
      <c r="L713" s="658"/>
      <c r="M713" s="658"/>
      <c r="N713" s="658"/>
      <c r="O713" s="658"/>
      <c r="P713" s="658"/>
      <c r="Q713" s="658"/>
      <c r="R713" s="658"/>
      <c r="S713" s="658"/>
      <c r="T713" s="658"/>
      <c r="U713" s="658"/>
      <c r="V713" s="658"/>
      <c r="W713" s="658"/>
      <c r="X713" s="658"/>
      <c r="Y713" s="658"/>
      <c r="Z713" s="658"/>
    </row>
    <row r="714" ht="14.25" customHeight="1">
      <c r="A714" s="658"/>
      <c r="B714" s="658"/>
      <c r="C714" s="658"/>
      <c r="D714" s="658"/>
      <c r="E714" s="658"/>
      <c r="F714" s="658"/>
      <c r="G714" s="658"/>
      <c r="H714" s="658"/>
      <c r="I714" s="658"/>
      <c r="J714" s="658"/>
      <c r="K714" s="658"/>
      <c r="L714" s="658"/>
      <c r="M714" s="658"/>
      <c r="N714" s="658"/>
      <c r="O714" s="658"/>
      <c r="P714" s="658"/>
      <c r="Q714" s="658"/>
      <c r="R714" s="658"/>
      <c r="S714" s="658"/>
      <c r="T714" s="658"/>
      <c r="U714" s="658"/>
      <c r="V714" s="658"/>
      <c r="W714" s="658"/>
      <c r="X714" s="658"/>
      <c r="Y714" s="658"/>
      <c r="Z714" s="658"/>
    </row>
    <row r="715" ht="14.25" customHeight="1">
      <c r="A715" s="658"/>
      <c r="B715" s="658"/>
      <c r="C715" s="658"/>
      <c r="D715" s="658"/>
      <c r="E715" s="658"/>
      <c r="F715" s="658"/>
      <c r="G715" s="658"/>
      <c r="H715" s="658"/>
      <c r="I715" s="658"/>
      <c r="J715" s="658"/>
      <c r="K715" s="658"/>
      <c r="L715" s="658"/>
      <c r="M715" s="658"/>
      <c r="N715" s="658"/>
      <c r="O715" s="658"/>
      <c r="P715" s="658"/>
      <c r="Q715" s="658"/>
      <c r="R715" s="658"/>
      <c r="S715" s="658"/>
      <c r="T715" s="658"/>
      <c r="U715" s="658"/>
      <c r="V715" s="658"/>
      <c r="W715" s="658"/>
      <c r="X715" s="658"/>
      <c r="Y715" s="658"/>
      <c r="Z715" s="658"/>
    </row>
    <row r="716" ht="14.25" customHeight="1">
      <c r="A716" s="658"/>
      <c r="B716" s="658"/>
      <c r="C716" s="658"/>
      <c r="D716" s="658"/>
      <c r="E716" s="658"/>
      <c r="F716" s="658"/>
      <c r="G716" s="658"/>
      <c r="H716" s="658"/>
      <c r="I716" s="658"/>
      <c r="J716" s="658"/>
      <c r="K716" s="658"/>
      <c r="L716" s="658"/>
      <c r="M716" s="658"/>
      <c r="N716" s="658"/>
      <c r="O716" s="658"/>
      <c r="P716" s="658"/>
      <c r="Q716" s="658"/>
      <c r="R716" s="658"/>
      <c r="S716" s="658"/>
      <c r="T716" s="658"/>
      <c r="U716" s="658"/>
      <c r="V716" s="658"/>
      <c r="W716" s="658"/>
      <c r="X716" s="658"/>
      <c r="Y716" s="658"/>
      <c r="Z716" s="658"/>
    </row>
    <row r="717" ht="14.25" customHeight="1">
      <c r="A717" s="658"/>
      <c r="B717" s="658"/>
      <c r="C717" s="658"/>
      <c r="D717" s="658"/>
      <c r="E717" s="658"/>
      <c r="F717" s="658"/>
      <c r="G717" s="658"/>
      <c r="H717" s="658"/>
      <c r="I717" s="658"/>
      <c r="J717" s="658"/>
      <c r="K717" s="658"/>
      <c r="L717" s="658"/>
      <c r="M717" s="658"/>
      <c r="N717" s="658"/>
      <c r="O717" s="658"/>
      <c r="P717" s="658"/>
      <c r="Q717" s="658"/>
      <c r="R717" s="658"/>
      <c r="S717" s="658"/>
      <c r="T717" s="658"/>
      <c r="U717" s="658"/>
      <c r="V717" s="658"/>
      <c r="W717" s="658"/>
      <c r="X717" s="658"/>
      <c r="Y717" s="658"/>
      <c r="Z717" s="658"/>
    </row>
    <row r="718" ht="14.25" customHeight="1">
      <c r="A718" s="658"/>
      <c r="B718" s="658"/>
      <c r="C718" s="658"/>
      <c r="D718" s="658"/>
      <c r="E718" s="658"/>
      <c r="F718" s="658"/>
      <c r="G718" s="658"/>
      <c r="H718" s="658"/>
      <c r="I718" s="658"/>
      <c r="J718" s="658"/>
      <c r="K718" s="658"/>
      <c r="L718" s="658"/>
      <c r="M718" s="658"/>
      <c r="N718" s="658"/>
      <c r="O718" s="658"/>
      <c r="P718" s="658"/>
      <c r="Q718" s="658"/>
      <c r="R718" s="658"/>
      <c r="S718" s="658"/>
      <c r="T718" s="658"/>
      <c r="U718" s="658"/>
      <c r="V718" s="658"/>
      <c r="W718" s="658"/>
      <c r="X718" s="658"/>
      <c r="Y718" s="658"/>
      <c r="Z718" s="658"/>
    </row>
    <row r="719" ht="14.25" customHeight="1">
      <c r="A719" s="658"/>
      <c r="B719" s="658"/>
      <c r="C719" s="658"/>
      <c r="D719" s="658"/>
      <c r="E719" s="658"/>
      <c r="F719" s="658"/>
      <c r="G719" s="658"/>
      <c r="H719" s="658"/>
      <c r="I719" s="658"/>
      <c r="J719" s="658"/>
      <c r="K719" s="658"/>
      <c r="L719" s="658"/>
      <c r="M719" s="658"/>
      <c r="N719" s="658"/>
      <c r="O719" s="658"/>
      <c r="P719" s="658"/>
      <c r="Q719" s="658"/>
      <c r="R719" s="658"/>
      <c r="S719" s="658"/>
      <c r="T719" s="658"/>
      <c r="U719" s="658"/>
      <c r="V719" s="658"/>
      <c r="W719" s="658"/>
      <c r="X719" s="658"/>
      <c r="Y719" s="658"/>
      <c r="Z719" s="658"/>
    </row>
    <row r="720" ht="14.25" customHeight="1">
      <c r="A720" s="658"/>
      <c r="B720" s="658"/>
      <c r="C720" s="658"/>
      <c r="D720" s="658"/>
      <c r="E720" s="658"/>
      <c r="F720" s="658"/>
      <c r="G720" s="658"/>
      <c r="H720" s="658"/>
      <c r="I720" s="658"/>
      <c r="J720" s="658"/>
      <c r="K720" s="658"/>
      <c r="L720" s="658"/>
      <c r="M720" s="658"/>
      <c r="N720" s="658"/>
      <c r="O720" s="658"/>
      <c r="P720" s="658"/>
      <c r="Q720" s="658"/>
      <c r="R720" s="658"/>
      <c r="S720" s="658"/>
      <c r="T720" s="658"/>
      <c r="U720" s="658"/>
      <c r="V720" s="658"/>
      <c r="W720" s="658"/>
      <c r="X720" s="658"/>
      <c r="Y720" s="658"/>
      <c r="Z720" s="658"/>
    </row>
    <row r="721" ht="14.25" customHeight="1">
      <c r="A721" s="658"/>
      <c r="B721" s="658"/>
      <c r="C721" s="658"/>
      <c r="D721" s="658"/>
      <c r="E721" s="658"/>
      <c r="F721" s="658"/>
      <c r="G721" s="658"/>
      <c r="H721" s="658"/>
      <c r="I721" s="658"/>
      <c r="J721" s="658"/>
      <c r="K721" s="658"/>
      <c r="L721" s="658"/>
      <c r="M721" s="658"/>
      <c r="N721" s="658"/>
      <c r="O721" s="658"/>
      <c r="P721" s="658"/>
      <c r="Q721" s="658"/>
      <c r="R721" s="658"/>
      <c r="S721" s="658"/>
      <c r="T721" s="658"/>
      <c r="U721" s="658"/>
      <c r="V721" s="658"/>
      <c r="W721" s="658"/>
      <c r="X721" s="658"/>
      <c r="Y721" s="658"/>
      <c r="Z721" s="658"/>
    </row>
    <row r="722" ht="14.25" customHeight="1">
      <c r="A722" s="658"/>
      <c r="B722" s="658"/>
      <c r="C722" s="658"/>
      <c r="D722" s="658"/>
      <c r="E722" s="658"/>
      <c r="F722" s="658"/>
      <c r="G722" s="658"/>
      <c r="H722" s="658"/>
      <c r="I722" s="658"/>
      <c r="J722" s="658"/>
      <c r="K722" s="658"/>
      <c r="L722" s="658"/>
      <c r="M722" s="658"/>
      <c r="N722" s="658"/>
      <c r="O722" s="658"/>
      <c r="P722" s="658"/>
      <c r="Q722" s="658"/>
      <c r="R722" s="658"/>
      <c r="S722" s="658"/>
      <c r="T722" s="658"/>
      <c r="U722" s="658"/>
      <c r="V722" s="658"/>
      <c r="W722" s="658"/>
      <c r="X722" s="658"/>
      <c r="Y722" s="658"/>
      <c r="Z722" s="658"/>
    </row>
    <row r="723" ht="14.25" customHeight="1">
      <c r="A723" s="658"/>
      <c r="B723" s="658"/>
      <c r="C723" s="658"/>
      <c r="D723" s="658"/>
      <c r="E723" s="658"/>
      <c r="F723" s="658"/>
      <c r="G723" s="658"/>
      <c r="H723" s="658"/>
      <c r="I723" s="658"/>
      <c r="J723" s="658"/>
      <c r="K723" s="658"/>
      <c r="L723" s="658"/>
      <c r="M723" s="658"/>
      <c r="N723" s="658"/>
      <c r="O723" s="658"/>
      <c r="P723" s="658"/>
      <c r="Q723" s="658"/>
      <c r="R723" s="658"/>
      <c r="S723" s="658"/>
      <c r="T723" s="658"/>
      <c r="U723" s="658"/>
      <c r="V723" s="658"/>
      <c r="W723" s="658"/>
      <c r="X723" s="658"/>
      <c r="Y723" s="658"/>
      <c r="Z723" s="658"/>
    </row>
    <row r="724" ht="14.25" customHeight="1">
      <c r="A724" s="658"/>
      <c r="B724" s="658"/>
      <c r="C724" s="658"/>
      <c r="D724" s="658"/>
      <c r="E724" s="658"/>
      <c r="F724" s="658"/>
      <c r="G724" s="658"/>
      <c r="H724" s="658"/>
      <c r="I724" s="658"/>
      <c r="J724" s="658"/>
      <c r="K724" s="658"/>
      <c r="L724" s="658"/>
      <c r="M724" s="658"/>
      <c r="N724" s="658"/>
      <c r="O724" s="658"/>
      <c r="P724" s="658"/>
      <c r="Q724" s="658"/>
      <c r="R724" s="658"/>
      <c r="S724" s="658"/>
      <c r="T724" s="658"/>
      <c r="U724" s="658"/>
      <c r="V724" s="658"/>
      <c r="W724" s="658"/>
      <c r="X724" s="658"/>
      <c r="Y724" s="658"/>
      <c r="Z724" s="658"/>
    </row>
    <row r="725" ht="14.25" customHeight="1">
      <c r="A725" s="658"/>
      <c r="B725" s="658"/>
      <c r="C725" s="658"/>
      <c r="D725" s="658"/>
      <c r="E725" s="658"/>
      <c r="F725" s="658"/>
      <c r="G725" s="658"/>
      <c r="H725" s="658"/>
      <c r="I725" s="658"/>
      <c r="J725" s="658"/>
      <c r="K725" s="658"/>
      <c r="L725" s="658"/>
      <c r="M725" s="658"/>
      <c r="N725" s="658"/>
      <c r="O725" s="658"/>
      <c r="P725" s="658"/>
      <c r="Q725" s="658"/>
      <c r="R725" s="658"/>
      <c r="S725" s="658"/>
      <c r="T725" s="658"/>
      <c r="U725" s="658"/>
      <c r="V725" s="658"/>
      <c r="W725" s="658"/>
      <c r="X725" s="658"/>
      <c r="Y725" s="658"/>
      <c r="Z725" s="658"/>
    </row>
    <row r="726" ht="14.25" customHeight="1">
      <c r="A726" s="658"/>
      <c r="B726" s="658"/>
      <c r="C726" s="658"/>
      <c r="D726" s="658"/>
      <c r="E726" s="658"/>
      <c r="F726" s="658"/>
      <c r="G726" s="658"/>
      <c r="H726" s="658"/>
      <c r="I726" s="658"/>
      <c r="J726" s="658"/>
      <c r="K726" s="658"/>
      <c r="L726" s="658"/>
      <c r="M726" s="658"/>
      <c r="N726" s="658"/>
      <c r="O726" s="658"/>
      <c r="P726" s="658"/>
      <c r="Q726" s="658"/>
      <c r="R726" s="658"/>
      <c r="S726" s="658"/>
      <c r="T726" s="658"/>
      <c r="U726" s="658"/>
      <c r="V726" s="658"/>
      <c r="W726" s="658"/>
      <c r="X726" s="658"/>
      <c r="Y726" s="658"/>
      <c r="Z726" s="658"/>
    </row>
    <row r="727" ht="14.25" customHeight="1">
      <c r="A727" s="658"/>
      <c r="B727" s="658"/>
      <c r="C727" s="658"/>
      <c r="D727" s="658"/>
      <c r="E727" s="658"/>
      <c r="F727" s="658"/>
      <c r="G727" s="658"/>
      <c r="H727" s="658"/>
      <c r="I727" s="658"/>
      <c r="J727" s="658"/>
      <c r="K727" s="658"/>
      <c r="L727" s="658"/>
      <c r="M727" s="658"/>
      <c r="N727" s="658"/>
      <c r="O727" s="658"/>
      <c r="P727" s="658"/>
      <c r="Q727" s="658"/>
      <c r="R727" s="658"/>
      <c r="S727" s="658"/>
      <c r="T727" s="658"/>
      <c r="U727" s="658"/>
      <c r="V727" s="658"/>
      <c r="W727" s="658"/>
      <c r="X727" s="658"/>
      <c r="Y727" s="658"/>
      <c r="Z727" s="658"/>
    </row>
    <row r="728" ht="14.25" customHeight="1">
      <c r="A728" s="658"/>
      <c r="B728" s="658"/>
      <c r="C728" s="658"/>
      <c r="D728" s="658"/>
      <c r="E728" s="658"/>
      <c r="F728" s="658"/>
      <c r="G728" s="658"/>
      <c r="H728" s="658"/>
      <c r="I728" s="658"/>
      <c r="J728" s="658"/>
      <c r="K728" s="658"/>
      <c r="L728" s="658"/>
      <c r="M728" s="658"/>
      <c r="N728" s="658"/>
      <c r="O728" s="658"/>
      <c r="P728" s="658"/>
      <c r="Q728" s="658"/>
      <c r="R728" s="658"/>
      <c r="S728" s="658"/>
      <c r="T728" s="658"/>
      <c r="U728" s="658"/>
      <c r="V728" s="658"/>
      <c r="W728" s="658"/>
      <c r="X728" s="658"/>
      <c r="Y728" s="658"/>
      <c r="Z728" s="658"/>
    </row>
    <row r="729" ht="14.25" customHeight="1">
      <c r="A729" s="658"/>
      <c r="B729" s="658"/>
      <c r="C729" s="658"/>
      <c r="D729" s="658"/>
      <c r="E729" s="658"/>
      <c r="F729" s="658"/>
      <c r="G729" s="658"/>
      <c r="H729" s="658"/>
      <c r="I729" s="658"/>
      <c r="J729" s="658"/>
      <c r="K729" s="658"/>
      <c r="L729" s="658"/>
      <c r="M729" s="658"/>
      <c r="N729" s="658"/>
      <c r="O729" s="658"/>
      <c r="P729" s="658"/>
      <c r="Q729" s="658"/>
      <c r="R729" s="658"/>
      <c r="S729" s="658"/>
      <c r="T729" s="658"/>
      <c r="U729" s="658"/>
      <c r="V729" s="658"/>
      <c r="W729" s="658"/>
      <c r="X729" s="658"/>
      <c r="Y729" s="658"/>
      <c r="Z729" s="658"/>
    </row>
    <row r="730" ht="14.25" customHeight="1">
      <c r="A730" s="658"/>
      <c r="B730" s="658"/>
      <c r="C730" s="658"/>
      <c r="D730" s="658"/>
      <c r="E730" s="658"/>
      <c r="F730" s="658"/>
      <c r="G730" s="658"/>
      <c r="H730" s="658"/>
      <c r="I730" s="658"/>
      <c r="J730" s="658"/>
      <c r="K730" s="658"/>
      <c r="L730" s="658"/>
      <c r="M730" s="658"/>
      <c r="N730" s="658"/>
      <c r="O730" s="658"/>
      <c r="P730" s="658"/>
      <c r="Q730" s="658"/>
      <c r="R730" s="658"/>
      <c r="S730" s="658"/>
      <c r="T730" s="658"/>
      <c r="U730" s="658"/>
      <c r="V730" s="658"/>
      <c r="W730" s="658"/>
      <c r="X730" s="658"/>
      <c r="Y730" s="658"/>
      <c r="Z730" s="658"/>
    </row>
    <row r="731" ht="14.25" customHeight="1">
      <c r="A731" s="658"/>
      <c r="B731" s="658"/>
      <c r="C731" s="658"/>
      <c r="D731" s="658"/>
      <c r="E731" s="658"/>
      <c r="F731" s="658"/>
      <c r="G731" s="658"/>
      <c r="H731" s="658"/>
      <c r="I731" s="658"/>
      <c r="J731" s="658"/>
      <c r="K731" s="658"/>
      <c r="L731" s="658"/>
      <c r="M731" s="658"/>
      <c r="N731" s="658"/>
      <c r="O731" s="658"/>
      <c r="P731" s="658"/>
      <c r="Q731" s="658"/>
      <c r="R731" s="658"/>
      <c r="S731" s="658"/>
      <c r="T731" s="658"/>
      <c r="U731" s="658"/>
      <c r="V731" s="658"/>
      <c r="W731" s="658"/>
      <c r="X731" s="658"/>
      <c r="Y731" s="658"/>
      <c r="Z731" s="658"/>
    </row>
    <row r="732" ht="14.25" customHeight="1">
      <c r="A732" s="658"/>
      <c r="B732" s="658"/>
      <c r="C732" s="658"/>
      <c r="D732" s="658"/>
      <c r="E732" s="658"/>
      <c r="F732" s="658"/>
      <c r="G732" s="658"/>
      <c r="H732" s="658"/>
      <c r="I732" s="658"/>
      <c r="J732" s="658"/>
      <c r="K732" s="658"/>
      <c r="L732" s="658"/>
      <c r="M732" s="658"/>
      <c r="N732" s="658"/>
      <c r="O732" s="658"/>
      <c r="P732" s="658"/>
      <c r="Q732" s="658"/>
      <c r="R732" s="658"/>
      <c r="S732" s="658"/>
      <c r="T732" s="658"/>
      <c r="U732" s="658"/>
      <c r="V732" s="658"/>
      <c r="W732" s="658"/>
      <c r="X732" s="658"/>
      <c r="Y732" s="658"/>
      <c r="Z732" s="658"/>
    </row>
    <row r="733" ht="14.25" customHeight="1">
      <c r="A733" s="658"/>
      <c r="B733" s="658"/>
      <c r="C733" s="658"/>
      <c r="D733" s="658"/>
      <c r="E733" s="658"/>
      <c r="F733" s="658"/>
      <c r="G733" s="658"/>
      <c r="H733" s="658"/>
      <c r="I733" s="658"/>
      <c r="J733" s="658"/>
      <c r="K733" s="658"/>
      <c r="L733" s="658"/>
      <c r="M733" s="658"/>
      <c r="N733" s="658"/>
      <c r="O733" s="658"/>
      <c r="P733" s="658"/>
      <c r="Q733" s="658"/>
      <c r="R733" s="658"/>
      <c r="S733" s="658"/>
      <c r="T733" s="658"/>
      <c r="U733" s="658"/>
      <c r="V733" s="658"/>
      <c r="W733" s="658"/>
      <c r="X733" s="658"/>
      <c r="Y733" s="658"/>
      <c r="Z733" s="658"/>
    </row>
    <row r="734" ht="14.25" customHeight="1">
      <c r="A734" s="658"/>
      <c r="B734" s="658"/>
      <c r="C734" s="658"/>
      <c r="D734" s="658"/>
      <c r="E734" s="658"/>
      <c r="F734" s="658"/>
      <c r="G734" s="658"/>
      <c r="H734" s="658"/>
      <c r="I734" s="658"/>
      <c r="J734" s="658"/>
      <c r="K734" s="658"/>
      <c r="L734" s="658"/>
      <c r="M734" s="658"/>
      <c r="N734" s="658"/>
      <c r="O734" s="658"/>
      <c r="P734" s="658"/>
      <c r="Q734" s="658"/>
      <c r="R734" s="658"/>
      <c r="S734" s="658"/>
      <c r="T734" s="658"/>
      <c r="U734" s="658"/>
      <c r="V734" s="658"/>
      <c r="W734" s="658"/>
      <c r="X734" s="658"/>
      <c r="Y734" s="658"/>
      <c r="Z734" s="658"/>
    </row>
    <row r="735" ht="14.25" customHeight="1">
      <c r="A735" s="658"/>
      <c r="B735" s="658"/>
      <c r="C735" s="658"/>
      <c r="D735" s="658"/>
      <c r="E735" s="658"/>
      <c r="F735" s="658"/>
      <c r="G735" s="658"/>
      <c r="H735" s="658"/>
      <c r="I735" s="658"/>
      <c r="J735" s="658"/>
      <c r="K735" s="658"/>
      <c r="L735" s="658"/>
      <c r="M735" s="658"/>
      <c r="N735" s="658"/>
      <c r="O735" s="658"/>
      <c r="P735" s="658"/>
      <c r="Q735" s="658"/>
      <c r="R735" s="658"/>
      <c r="S735" s="658"/>
      <c r="T735" s="658"/>
      <c r="U735" s="658"/>
      <c r="V735" s="658"/>
      <c r="W735" s="658"/>
      <c r="X735" s="658"/>
      <c r="Y735" s="658"/>
      <c r="Z735" s="658"/>
    </row>
    <row r="736" ht="14.25" customHeight="1">
      <c r="A736" s="658"/>
      <c r="B736" s="658"/>
      <c r="C736" s="658"/>
      <c r="D736" s="658"/>
      <c r="E736" s="658"/>
      <c r="F736" s="658"/>
      <c r="G736" s="658"/>
      <c r="H736" s="658"/>
      <c r="I736" s="658"/>
      <c r="J736" s="658"/>
      <c r="K736" s="658"/>
      <c r="L736" s="658"/>
      <c r="M736" s="658"/>
      <c r="N736" s="658"/>
      <c r="O736" s="658"/>
      <c r="P736" s="658"/>
      <c r="Q736" s="658"/>
      <c r="R736" s="658"/>
      <c r="S736" s="658"/>
      <c r="T736" s="658"/>
      <c r="U736" s="658"/>
      <c r="V736" s="658"/>
      <c r="W736" s="658"/>
      <c r="X736" s="658"/>
      <c r="Y736" s="658"/>
      <c r="Z736" s="658"/>
    </row>
    <row r="737" ht="14.25" customHeight="1">
      <c r="A737" s="658"/>
      <c r="B737" s="658"/>
      <c r="C737" s="658"/>
      <c r="D737" s="658"/>
      <c r="E737" s="658"/>
      <c r="F737" s="658"/>
      <c r="G737" s="658"/>
      <c r="H737" s="658"/>
      <c r="I737" s="658"/>
      <c r="J737" s="658"/>
      <c r="K737" s="658"/>
      <c r="L737" s="658"/>
      <c r="M737" s="658"/>
      <c r="N737" s="658"/>
      <c r="O737" s="658"/>
      <c r="P737" s="658"/>
      <c r="Q737" s="658"/>
      <c r="R737" s="658"/>
      <c r="S737" s="658"/>
      <c r="T737" s="658"/>
      <c r="U737" s="658"/>
      <c r="V737" s="658"/>
      <c r="W737" s="658"/>
      <c r="X737" s="658"/>
      <c r="Y737" s="658"/>
      <c r="Z737" s="658"/>
    </row>
    <row r="738" ht="14.25" customHeight="1">
      <c r="A738" s="658"/>
      <c r="B738" s="658"/>
      <c r="C738" s="658"/>
      <c r="D738" s="658"/>
      <c r="E738" s="658"/>
      <c r="F738" s="658"/>
      <c r="G738" s="658"/>
      <c r="H738" s="658"/>
      <c r="I738" s="658"/>
      <c r="J738" s="658"/>
      <c r="K738" s="658"/>
      <c r="L738" s="658"/>
      <c r="M738" s="658"/>
      <c r="N738" s="658"/>
      <c r="O738" s="658"/>
      <c r="P738" s="658"/>
      <c r="Q738" s="658"/>
      <c r="R738" s="658"/>
      <c r="S738" s="658"/>
      <c r="T738" s="658"/>
      <c r="U738" s="658"/>
      <c r="V738" s="658"/>
      <c r="W738" s="658"/>
      <c r="X738" s="658"/>
      <c r="Y738" s="658"/>
      <c r="Z738" s="658"/>
    </row>
    <row r="739" ht="14.25" customHeight="1">
      <c r="A739" s="658"/>
      <c r="B739" s="658"/>
      <c r="C739" s="658"/>
      <c r="D739" s="658"/>
      <c r="E739" s="658"/>
      <c r="F739" s="658"/>
      <c r="G739" s="658"/>
      <c r="H739" s="658"/>
      <c r="I739" s="658"/>
      <c r="J739" s="658"/>
      <c r="K739" s="658"/>
      <c r="L739" s="658"/>
      <c r="M739" s="658"/>
      <c r="N739" s="658"/>
      <c r="O739" s="658"/>
      <c r="P739" s="658"/>
      <c r="Q739" s="658"/>
      <c r="R739" s="658"/>
      <c r="S739" s="658"/>
      <c r="T739" s="658"/>
      <c r="U739" s="658"/>
      <c r="V739" s="658"/>
      <c r="W739" s="658"/>
      <c r="X739" s="658"/>
      <c r="Y739" s="658"/>
      <c r="Z739" s="658"/>
    </row>
    <row r="740" ht="14.25" customHeight="1">
      <c r="A740" s="658"/>
      <c r="B740" s="658"/>
      <c r="C740" s="658"/>
      <c r="D740" s="658"/>
      <c r="E740" s="658"/>
      <c r="F740" s="658"/>
      <c r="G740" s="658"/>
      <c r="H740" s="658"/>
      <c r="I740" s="658"/>
      <c r="J740" s="658"/>
      <c r="K740" s="658"/>
      <c r="L740" s="658"/>
      <c r="M740" s="658"/>
      <c r="N740" s="658"/>
      <c r="O740" s="658"/>
      <c r="P740" s="658"/>
      <c r="Q740" s="658"/>
      <c r="R740" s="658"/>
      <c r="S740" s="658"/>
      <c r="T740" s="658"/>
      <c r="U740" s="658"/>
      <c r="V740" s="658"/>
      <c r="W740" s="658"/>
      <c r="X740" s="658"/>
      <c r="Y740" s="658"/>
      <c r="Z740" s="658"/>
    </row>
    <row r="741" ht="14.25" customHeight="1">
      <c r="A741" s="658"/>
      <c r="B741" s="658"/>
      <c r="C741" s="658"/>
      <c r="D741" s="658"/>
      <c r="E741" s="658"/>
      <c r="F741" s="658"/>
      <c r="G741" s="658"/>
      <c r="H741" s="658"/>
      <c r="I741" s="658"/>
      <c r="J741" s="658"/>
      <c r="K741" s="658"/>
      <c r="L741" s="658"/>
      <c r="M741" s="658"/>
      <c r="N741" s="658"/>
      <c r="O741" s="658"/>
      <c r="P741" s="658"/>
      <c r="Q741" s="658"/>
      <c r="R741" s="658"/>
      <c r="S741" s="658"/>
      <c r="T741" s="658"/>
      <c r="U741" s="658"/>
      <c r="V741" s="658"/>
      <c r="W741" s="658"/>
      <c r="X741" s="658"/>
      <c r="Y741" s="658"/>
      <c r="Z741" s="658"/>
    </row>
    <row r="742" ht="14.25" customHeight="1">
      <c r="A742" s="658"/>
      <c r="B742" s="658"/>
      <c r="C742" s="658"/>
      <c r="D742" s="658"/>
      <c r="E742" s="658"/>
      <c r="F742" s="658"/>
      <c r="G742" s="658"/>
      <c r="H742" s="658"/>
      <c r="I742" s="658"/>
      <c r="J742" s="658"/>
      <c r="K742" s="658"/>
      <c r="L742" s="658"/>
      <c r="M742" s="658"/>
      <c r="N742" s="658"/>
      <c r="O742" s="658"/>
      <c r="P742" s="658"/>
      <c r="Q742" s="658"/>
      <c r="R742" s="658"/>
      <c r="S742" s="658"/>
      <c r="T742" s="658"/>
      <c r="U742" s="658"/>
      <c r="V742" s="658"/>
      <c r="W742" s="658"/>
      <c r="X742" s="658"/>
      <c r="Y742" s="658"/>
      <c r="Z742" s="658"/>
    </row>
    <row r="743" ht="14.25" customHeight="1">
      <c r="A743" s="658"/>
      <c r="B743" s="658"/>
      <c r="C743" s="658"/>
      <c r="D743" s="658"/>
      <c r="E743" s="658"/>
      <c r="F743" s="658"/>
      <c r="G743" s="658"/>
      <c r="H743" s="658"/>
      <c r="I743" s="658"/>
      <c r="J743" s="658"/>
      <c r="K743" s="658"/>
      <c r="L743" s="658"/>
      <c r="M743" s="658"/>
      <c r="N743" s="658"/>
      <c r="O743" s="658"/>
      <c r="P743" s="658"/>
      <c r="Q743" s="658"/>
      <c r="R743" s="658"/>
      <c r="S743" s="658"/>
      <c r="T743" s="658"/>
      <c r="U743" s="658"/>
      <c r="V743" s="658"/>
      <c r="W743" s="658"/>
      <c r="X743" s="658"/>
      <c r="Y743" s="658"/>
      <c r="Z743" s="658"/>
    </row>
    <row r="744" ht="14.25" customHeight="1">
      <c r="A744" s="658"/>
      <c r="B744" s="658"/>
      <c r="C744" s="658"/>
      <c r="D744" s="658"/>
      <c r="E744" s="658"/>
      <c r="F744" s="658"/>
      <c r="G744" s="658"/>
      <c r="H744" s="658"/>
      <c r="I744" s="658"/>
      <c r="J744" s="658"/>
      <c r="K744" s="658"/>
      <c r="L744" s="658"/>
      <c r="M744" s="658"/>
      <c r="N744" s="658"/>
      <c r="O744" s="658"/>
      <c r="P744" s="658"/>
      <c r="Q744" s="658"/>
      <c r="R744" s="658"/>
      <c r="S744" s="658"/>
      <c r="T744" s="658"/>
      <c r="U744" s="658"/>
      <c r="V744" s="658"/>
      <c r="W744" s="658"/>
      <c r="X744" s="658"/>
      <c r="Y744" s="658"/>
      <c r="Z744" s="658"/>
    </row>
    <row r="745" ht="14.25" customHeight="1">
      <c r="A745" s="658"/>
      <c r="B745" s="658"/>
      <c r="C745" s="658"/>
      <c r="D745" s="658"/>
      <c r="E745" s="658"/>
      <c r="F745" s="658"/>
      <c r="G745" s="658"/>
      <c r="H745" s="658"/>
      <c r="I745" s="658"/>
      <c r="J745" s="658"/>
      <c r="K745" s="658"/>
      <c r="L745" s="658"/>
      <c r="M745" s="658"/>
      <c r="N745" s="658"/>
      <c r="O745" s="658"/>
      <c r="P745" s="658"/>
      <c r="Q745" s="658"/>
      <c r="R745" s="658"/>
      <c r="S745" s="658"/>
      <c r="T745" s="658"/>
      <c r="U745" s="658"/>
      <c r="V745" s="658"/>
      <c r="W745" s="658"/>
      <c r="X745" s="658"/>
      <c r="Y745" s="658"/>
      <c r="Z745" s="658"/>
    </row>
    <row r="746" ht="14.25" customHeight="1">
      <c r="A746" s="658"/>
      <c r="B746" s="658"/>
      <c r="C746" s="658"/>
      <c r="D746" s="658"/>
      <c r="E746" s="658"/>
      <c r="F746" s="658"/>
      <c r="G746" s="658"/>
      <c r="H746" s="658"/>
      <c r="I746" s="658"/>
      <c r="J746" s="658"/>
      <c r="K746" s="658"/>
      <c r="L746" s="658"/>
      <c r="M746" s="658"/>
      <c r="N746" s="658"/>
      <c r="O746" s="658"/>
      <c r="P746" s="658"/>
      <c r="Q746" s="658"/>
      <c r="R746" s="658"/>
      <c r="S746" s="658"/>
      <c r="T746" s="658"/>
      <c r="U746" s="658"/>
      <c r="V746" s="658"/>
      <c r="W746" s="658"/>
      <c r="X746" s="658"/>
      <c r="Y746" s="658"/>
      <c r="Z746" s="658"/>
    </row>
    <row r="747" ht="14.25" customHeight="1">
      <c r="A747" s="658"/>
      <c r="B747" s="658"/>
      <c r="C747" s="658"/>
      <c r="D747" s="658"/>
      <c r="E747" s="658"/>
      <c r="F747" s="658"/>
      <c r="G747" s="658"/>
      <c r="H747" s="658"/>
      <c r="I747" s="658"/>
      <c r="J747" s="658"/>
      <c r="K747" s="658"/>
      <c r="L747" s="658"/>
      <c r="M747" s="658"/>
      <c r="N747" s="658"/>
      <c r="O747" s="658"/>
      <c r="P747" s="658"/>
      <c r="Q747" s="658"/>
      <c r="R747" s="658"/>
      <c r="S747" s="658"/>
      <c r="T747" s="658"/>
      <c r="U747" s="658"/>
      <c r="V747" s="658"/>
      <c r="W747" s="658"/>
      <c r="X747" s="658"/>
      <c r="Y747" s="658"/>
      <c r="Z747" s="658"/>
    </row>
    <row r="748" ht="14.25" customHeight="1">
      <c r="A748" s="658"/>
      <c r="B748" s="658"/>
      <c r="C748" s="658"/>
      <c r="D748" s="658"/>
      <c r="E748" s="658"/>
      <c r="F748" s="658"/>
      <c r="G748" s="658"/>
      <c r="H748" s="658"/>
      <c r="I748" s="658"/>
      <c r="J748" s="658"/>
      <c r="K748" s="658"/>
      <c r="L748" s="658"/>
      <c r="M748" s="658"/>
      <c r="N748" s="658"/>
      <c r="O748" s="658"/>
      <c r="P748" s="658"/>
      <c r="Q748" s="658"/>
      <c r="R748" s="658"/>
      <c r="S748" s="658"/>
      <c r="T748" s="658"/>
      <c r="U748" s="658"/>
      <c r="V748" s="658"/>
      <c r="W748" s="658"/>
      <c r="X748" s="658"/>
      <c r="Y748" s="658"/>
      <c r="Z748" s="658"/>
    </row>
    <row r="749" ht="14.25" customHeight="1">
      <c r="A749" s="658"/>
      <c r="B749" s="658"/>
      <c r="C749" s="658"/>
      <c r="D749" s="658"/>
      <c r="E749" s="658"/>
      <c r="F749" s="658"/>
      <c r="G749" s="658"/>
      <c r="H749" s="658"/>
      <c r="I749" s="658"/>
      <c r="J749" s="658"/>
      <c r="K749" s="658"/>
      <c r="L749" s="658"/>
      <c r="M749" s="658"/>
      <c r="N749" s="658"/>
      <c r="O749" s="658"/>
      <c r="P749" s="658"/>
      <c r="Q749" s="658"/>
      <c r="R749" s="658"/>
      <c r="S749" s="658"/>
      <c r="T749" s="658"/>
      <c r="U749" s="658"/>
      <c r="V749" s="658"/>
      <c r="W749" s="658"/>
      <c r="X749" s="658"/>
      <c r="Y749" s="658"/>
      <c r="Z749" s="658"/>
    </row>
    <row r="750" ht="14.25" customHeight="1">
      <c r="A750" s="658"/>
      <c r="B750" s="658"/>
      <c r="C750" s="658"/>
      <c r="D750" s="658"/>
      <c r="E750" s="658"/>
      <c r="F750" s="658"/>
      <c r="G750" s="658"/>
      <c r="H750" s="658"/>
      <c r="I750" s="658"/>
      <c r="J750" s="658"/>
      <c r="K750" s="658"/>
      <c r="L750" s="658"/>
      <c r="M750" s="658"/>
      <c r="N750" s="658"/>
      <c r="O750" s="658"/>
      <c r="P750" s="658"/>
      <c r="Q750" s="658"/>
      <c r="R750" s="658"/>
      <c r="S750" s="658"/>
      <c r="T750" s="658"/>
      <c r="U750" s="658"/>
      <c r="V750" s="658"/>
      <c r="W750" s="658"/>
      <c r="X750" s="658"/>
      <c r="Y750" s="658"/>
      <c r="Z750" s="658"/>
    </row>
    <row r="751" ht="14.25" customHeight="1">
      <c r="A751" s="658"/>
      <c r="B751" s="658"/>
      <c r="C751" s="658"/>
      <c r="D751" s="658"/>
      <c r="E751" s="658"/>
      <c r="F751" s="658"/>
      <c r="G751" s="658"/>
      <c r="H751" s="658"/>
      <c r="I751" s="658"/>
      <c r="J751" s="658"/>
      <c r="K751" s="658"/>
      <c r="L751" s="658"/>
      <c r="M751" s="658"/>
      <c r="N751" s="658"/>
      <c r="O751" s="658"/>
      <c r="P751" s="658"/>
      <c r="Q751" s="658"/>
      <c r="R751" s="658"/>
      <c r="S751" s="658"/>
      <c r="T751" s="658"/>
      <c r="U751" s="658"/>
      <c r="V751" s="658"/>
      <c r="W751" s="658"/>
      <c r="X751" s="658"/>
      <c r="Y751" s="658"/>
      <c r="Z751" s="658"/>
    </row>
    <row r="752" ht="14.25" customHeight="1">
      <c r="A752" s="658"/>
      <c r="B752" s="658"/>
      <c r="C752" s="658"/>
      <c r="D752" s="658"/>
      <c r="E752" s="658"/>
      <c r="F752" s="658"/>
      <c r="G752" s="658"/>
      <c r="H752" s="658"/>
      <c r="I752" s="658"/>
      <c r="J752" s="658"/>
      <c r="K752" s="658"/>
      <c r="L752" s="658"/>
      <c r="M752" s="658"/>
      <c r="N752" s="658"/>
      <c r="O752" s="658"/>
      <c r="P752" s="658"/>
      <c r="Q752" s="658"/>
      <c r="R752" s="658"/>
      <c r="S752" s="658"/>
      <c r="T752" s="658"/>
      <c r="U752" s="658"/>
      <c r="V752" s="658"/>
      <c r="W752" s="658"/>
      <c r="X752" s="658"/>
      <c r="Y752" s="658"/>
      <c r="Z752" s="658"/>
    </row>
    <row r="753" ht="14.25" customHeight="1">
      <c r="A753" s="658"/>
      <c r="B753" s="658"/>
      <c r="C753" s="658"/>
      <c r="D753" s="658"/>
      <c r="E753" s="658"/>
      <c r="F753" s="658"/>
      <c r="G753" s="658"/>
      <c r="H753" s="658"/>
      <c r="I753" s="658"/>
      <c r="J753" s="658"/>
      <c r="K753" s="658"/>
      <c r="L753" s="658"/>
      <c r="M753" s="658"/>
      <c r="N753" s="658"/>
      <c r="O753" s="658"/>
      <c r="P753" s="658"/>
      <c r="Q753" s="658"/>
      <c r="R753" s="658"/>
      <c r="S753" s="658"/>
      <c r="T753" s="658"/>
      <c r="U753" s="658"/>
      <c r="V753" s="658"/>
      <c r="W753" s="658"/>
      <c r="X753" s="658"/>
      <c r="Y753" s="658"/>
      <c r="Z753" s="658"/>
    </row>
    <row r="754" ht="14.25" customHeight="1">
      <c r="A754" s="658"/>
      <c r="B754" s="658"/>
      <c r="C754" s="658"/>
      <c r="D754" s="658"/>
      <c r="E754" s="658"/>
      <c r="F754" s="658"/>
      <c r="G754" s="658"/>
      <c r="H754" s="658"/>
      <c r="I754" s="658"/>
      <c r="J754" s="658"/>
      <c r="K754" s="658"/>
      <c r="L754" s="658"/>
      <c r="M754" s="658"/>
      <c r="N754" s="658"/>
      <c r="O754" s="658"/>
      <c r="P754" s="658"/>
      <c r="Q754" s="658"/>
      <c r="R754" s="658"/>
      <c r="S754" s="658"/>
      <c r="T754" s="658"/>
      <c r="U754" s="658"/>
      <c r="V754" s="658"/>
      <c r="W754" s="658"/>
      <c r="X754" s="658"/>
      <c r="Y754" s="658"/>
      <c r="Z754" s="658"/>
    </row>
    <row r="755" ht="14.25" customHeight="1">
      <c r="A755" s="658"/>
      <c r="B755" s="658"/>
      <c r="C755" s="658"/>
      <c r="D755" s="658"/>
      <c r="E755" s="658"/>
      <c r="F755" s="658"/>
      <c r="G755" s="658"/>
      <c r="H755" s="658"/>
      <c r="I755" s="658"/>
      <c r="J755" s="658"/>
      <c r="K755" s="658"/>
      <c r="L755" s="658"/>
      <c r="M755" s="658"/>
      <c r="N755" s="658"/>
      <c r="O755" s="658"/>
      <c r="P755" s="658"/>
      <c r="Q755" s="658"/>
      <c r="R755" s="658"/>
      <c r="S755" s="658"/>
      <c r="T755" s="658"/>
      <c r="U755" s="658"/>
      <c r="V755" s="658"/>
      <c r="W755" s="658"/>
      <c r="X755" s="658"/>
      <c r="Y755" s="658"/>
      <c r="Z755" s="658"/>
    </row>
    <row r="756" ht="14.25" customHeight="1">
      <c r="A756" s="658"/>
      <c r="B756" s="658"/>
      <c r="C756" s="658"/>
      <c r="D756" s="658"/>
      <c r="E756" s="658"/>
      <c r="F756" s="658"/>
      <c r="G756" s="658"/>
      <c r="H756" s="658"/>
      <c r="I756" s="658"/>
      <c r="J756" s="658"/>
      <c r="K756" s="658"/>
      <c r="L756" s="658"/>
      <c r="M756" s="658"/>
      <c r="N756" s="658"/>
      <c r="O756" s="658"/>
      <c r="P756" s="658"/>
      <c r="Q756" s="658"/>
      <c r="R756" s="658"/>
      <c r="S756" s="658"/>
      <c r="T756" s="658"/>
      <c r="U756" s="658"/>
      <c r="V756" s="658"/>
      <c r="W756" s="658"/>
      <c r="X756" s="658"/>
      <c r="Y756" s="658"/>
      <c r="Z756" s="658"/>
    </row>
    <row r="757" ht="14.25" customHeight="1">
      <c r="A757" s="658"/>
      <c r="B757" s="658"/>
      <c r="C757" s="658"/>
      <c r="D757" s="658"/>
      <c r="E757" s="658"/>
      <c r="F757" s="658"/>
      <c r="G757" s="658"/>
      <c r="H757" s="658"/>
      <c r="I757" s="658"/>
      <c r="J757" s="658"/>
      <c r="K757" s="658"/>
      <c r="L757" s="658"/>
      <c r="M757" s="658"/>
      <c r="N757" s="658"/>
      <c r="O757" s="658"/>
      <c r="P757" s="658"/>
      <c r="Q757" s="658"/>
      <c r="R757" s="658"/>
      <c r="S757" s="658"/>
      <c r="T757" s="658"/>
      <c r="U757" s="658"/>
      <c r="V757" s="658"/>
      <c r="W757" s="658"/>
      <c r="X757" s="658"/>
      <c r="Y757" s="658"/>
      <c r="Z757" s="658"/>
    </row>
    <row r="758" ht="14.25" customHeight="1">
      <c r="A758" s="658"/>
      <c r="B758" s="658"/>
      <c r="C758" s="658"/>
      <c r="D758" s="658"/>
      <c r="E758" s="658"/>
      <c r="F758" s="658"/>
      <c r="G758" s="658"/>
      <c r="H758" s="658"/>
      <c r="I758" s="658"/>
      <c r="J758" s="658"/>
      <c r="K758" s="658"/>
      <c r="L758" s="658"/>
      <c r="M758" s="658"/>
      <c r="N758" s="658"/>
      <c r="O758" s="658"/>
      <c r="P758" s="658"/>
      <c r="Q758" s="658"/>
      <c r="R758" s="658"/>
      <c r="S758" s="658"/>
      <c r="T758" s="658"/>
      <c r="U758" s="658"/>
      <c r="V758" s="658"/>
      <c r="W758" s="658"/>
      <c r="X758" s="658"/>
      <c r="Y758" s="658"/>
      <c r="Z758" s="658"/>
    </row>
    <row r="759" ht="14.25" customHeight="1">
      <c r="A759" s="658"/>
      <c r="B759" s="658"/>
      <c r="C759" s="658"/>
      <c r="D759" s="658"/>
      <c r="E759" s="658"/>
      <c r="F759" s="658"/>
      <c r="G759" s="658"/>
      <c r="H759" s="658"/>
      <c r="I759" s="658"/>
      <c r="J759" s="658"/>
      <c r="K759" s="658"/>
      <c r="L759" s="658"/>
      <c r="M759" s="658"/>
      <c r="N759" s="658"/>
      <c r="O759" s="658"/>
      <c r="P759" s="658"/>
      <c r="Q759" s="658"/>
      <c r="R759" s="658"/>
      <c r="S759" s="658"/>
      <c r="T759" s="658"/>
      <c r="U759" s="658"/>
      <c r="V759" s="658"/>
      <c r="W759" s="658"/>
      <c r="X759" s="658"/>
      <c r="Y759" s="658"/>
      <c r="Z759" s="658"/>
    </row>
    <row r="760" ht="14.25" customHeight="1">
      <c r="A760" s="658"/>
      <c r="B760" s="658"/>
      <c r="C760" s="658"/>
      <c r="D760" s="658"/>
      <c r="E760" s="658"/>
      <c r="F760" s="658"/>
      <c r="G760" s="658"/>
      <c r="H760" s="658"/>
      <c r="I760" s="658"/>
      <c r="J760" s="658"/>
      <c r="K760" s="658"/>
      <c r="L760" s="658"/>
      <c r="M760" s="658"/>
      <c r="N760" s="658"/>
      <c r="O760" s="658"/>
      <c r="P760" s="658"/>
      <c r="Q760" s="658"/>
      <c r="R760" s="658"/>
      <c r="S760" s="658"/>
      <c r="T760" s="658"/>
      <c r="U760" s="658"/>
      <c r="V760" s="658"/>
      <c r="W760" s="658"/>
      <c r="X760" s="658"/>
      <c r="Y760" s="658"/>
      <c r="Z760" s="658"/>
    </row>
    <row r="761" ht="14.25" customHeight="1">
      <c r="A761" s="658"/>
      <c r="B761" s="658"/>
      <c r="C761" s="658"/>
      <c r="D761" s="658"/>
      <c r="E761" s="658"/>
      <c r="F761" s="658"/>
      <c r="G761" s="658"/>
      <c r="H761" s="658"/>
      <c r="I761" s="658"/>
      <c r="J761" s="658"/>
      <c r="K761" s="658"/>
      <c r="L761" s="658"/>
      <c r="M761" s="658"/>
      <c r="N761" s="658"/>
      <c r="O761" s="658"/>
      <c r="P761" s="658"/>
      <c r="Q761" s="658"/>
      <c r="R761" s="658"/>
      <c r="S761" s="658"/>
      <c r="T761" s="658"/>
      <c r="U761" s="658"/>
      <c r="V761" s="658"/>
      <c r="W761" s="658"/>
      <c r="X761" s="658"/>
      <c r="Y761" s="658"/>
      <c r="Z761" s="658"/>
    </row>
    <row r="762" ht="14.25" customHeight="1">
      <c r="A762" s="658"/>
      <c r="B762" s="658"/>
      <c r="C762" s="658"/>
      <c r="D762" s="658"/>
      <c r="E762" s="658"/>
      <c r="F762" s="658"/>
      <c r="G762" s="658"/>
      <c r="H762" s="658"/>
      <c r="I762" s="658"/>
      <c r="J762" s="658"/>
      <c r="K762" s="658"/>
      <c r="L762" s="658"/>
      <c r="M762" s="658"/>
      <c r="N762" s="658"/>
      <c r="O762" s="658"/>
      <c r="P762" s="658"/>
      <c r="Q762" s="658"/>
      <c r="R762" s="658"/>
      <c r="S762" s="658"/>
      <c r="T762" s="658"/>
      <c r="U762" s="658"/>
      <c r="V762" s="658"/>
      <c r="W762" s="658"/>
      <c r="X762" s="658"/>
      <c r="Y762" s="658"/>
      <c r="Z762" s="658"/>
    </row>
    <row r="763" ht="14.25" customHeight="1">
      <c r="A763" s="658"/>
      <c r="B763" s="658"/>
      <c r="C763" s="658"/>
      <c r="D763" s="658"/>
      <c r="E763" s="658"/>
      <c r="F763" s="658"/>
      <c r="G763" s="658"/>
      <c r="H763" s="658"/>
      <c r="I763" s="658"/>
      <c r="J763" s="658"/>
      <c r="K763" s="658"/>
      <c r="L763" s="658"/>
      <c r="M763" s="658"/>
      <c r="N763" s="658"/>
      <c r="O763" s="658"/>
      <c r="P763" s="658"/>
      <c r="Q763" s="658"/>
      <c r="R763" s="658"/>
      <c r="S763" s="658"/>
      <c r="T763" s="658"/>
      <c r="U763" s="658"/>
      <c r="V763" s="658"/>
      <c r="W763" s="658"/>
      <c r="X763" s="658"/>
      <c r="Y763" s="658"/>
      <c r="Z763" s="658"/>
    </row>
    <row r="764" ht="14.25" customHeight="1">
      <c r="A764" s="658"/>
      <c r="B764" s="658"/>
      <c r="C764" s="658"/>
      <c r="D764" s="658"/>
      <c r="E764" s="658"/>
      <c r="F764" s="658"/>
      <c r="G764" s="658"/>
      <c r="H764" s="658"/>
      <c r="I764" s="658"/>
      <c r="J764" s="658"/>
      <c r="K764" s="658"/>
      <c r="L764" s="658"/>
      <c r="M764" s="658"/>
      <c r="N764" s="658"/>
      <c r="O764" s="658"/>
      <c r="P764" s="658"/>
      <c r="Q764" s="658"/>
      <c r="R764" s="658"/>
      <c r="S764" s="658"/>
      <c r="T764" s="658"/>
      <c r="U764" s="658"/>
      <c r="V764" s="658"/>
      <c r="W764" s="658"/>
      <c r="X764" s="658"/>
      <c r="Y764" s="658"/>
      <c r="Z764" s="658"/>
    </row>
    <row r="765" ht="14.25" customHeight="1">
      <c r="A765" s="658"/>
      <c r="B765" s="658"/>
      <c r="C765" s="658"/>
      <c r="D765" s="658"/>
      <c r="E765" s="658"/>
      <c r="F765" s="658"/>
      <c r="G765" s="658"/>
      <c r="H765" s="658"/>
      <c r="I765" s="658"/>
      <c r="J765" s="658"/>
      <c r="K765" s="658"/>
      <c r="L765" s="658"/>
      <c r="M765" s="658"/>
      <c r="N765" s="658"/>
      <c r="O765" s="658"/>
      <c r="P765" s="658"/>
      <c r="Q765" s="658"/>
      <c r="R765" s="658"/>
      <c r="S765" s="658"/>
      <c r="T765" s="658"/>
      <c r="U765" s="658"/>
      <c r="V765" s="658"/>
      <c r="W765" s="658"/>
      <c r="X765" s="658"/>
      <c r="Y765" s="658"/>
      <c r="Z765" s="658"/>
    </row>
    <row r="766" ht="14.25" customHeight="1">
      <c r="A766" s="658"/>
      <c r="B766" s="658"/>
      <c r="C766" s="658"/>
      <c r="D766" s="658"/>
      <c r="E766" s="658"/>
      <c r="F766" s="658"/>
      <c r="G766" s="658"/>
      <c r="H766" s="658"/>
      <c r="I766" s="658"/>
      <c r="J766" s="658"/>
      <c r="K766" s="658"/>
      <c r="L766" s="658"/>
      <c r="M766" s="658"/>
      <c r="N766" s="658"/>
      <c r="O766" s="658"/>
      <c r="P766" s="658"/>
      <c r="Q766" s="658"/>
      <c r="R766" s="658"/>
      <c r="S766" s="658"/>
      <c r="T766" s="658"/>
      <c r="U766" s="658"/>
      <c r="V766" s="658"/>
      <c r="W766" s="658"/>
      <c r="X766" s="658"/>
      <c r="Y766" s="658"/>
      <c r="Z766" s="658"/>
    </row>
    <row r="767" ht="14.25" customHeight="1">
      <c r="A767" s="658"/>
      <c r="B767" s="658"/>
      <c r="C767" s="658"/>
      <c r="D767" s="658"/>
      <c r="E767" s="658"/>
      <c r="F767" s="658"/>
      <c r="G767" s="658"/>
      <c r="H767" s="658"/>
      <c r="I767" s="658"/>
      <c r="J767" s="658"/>
      <c r="K767" s="658"/>
      <c r="L767" s="658"/>
      <c r="M767" s="658"/>
      <c r="N767" s="658"/>
      <c r="O767" s="658"/>
      <c r="P767" s="658"/>
      <c r="Q767" s="658"/>
      <c r="R767" s="658"/>
      <c r="S767" s="658"/>
      <c r="T767" s="658"/>
      <c r="U767" s="658"/>
      <c r="V767" s="658"/>
      <c r="W767" s="658"/>
      <c r="X767" s="658"/>
      <c r="Y767" s="658"/>
      <c r="Z767" s="658"/>
    </row>
    <row r="768" ht="14.25" customHeight="1">
      <c r="A768" s="658"/>
      <c r="B768" s="658"/>
      <c r="C768" s="658"/>
      <c r="D768" s="658"/>
      <c r="E768" s="658"/>
      <c r="F768" s="658"/>
      <c r="G768" s="658"/>
      <c r="H768" s="658"/>
      <c r="I768" s="658"/>
      <c r="J768" s="658"/>
      <c r="K768" s="658"/>
      <c r="L768" s="658"/>
      <c r="M768" s="658"/>
      <c r="N768" s="658"/>
      <c r="O768" s="658"/>
      <c r="P768" s="658"/>
      <c r="Q768" s="658"/>
      <c r="R768" s="658"/>
      <c r="S768" s="658"/>
      <c r="T768" s="658"/>
      <c r="U768" s="658"/>
      <c r="V768" s="658"/>
      <c r="W768" s="658"/>
      <c r="X768" s="658"/>
      <c r="Y768" s="658"/>
      <c r="Z768" s="658"/>
    </row>
    <row r="769" ht="14.25" customHeight="1">
      <c r="A769" s="658"/>
      <c r="B769" s="658"/>
      <c r="C769" s="658"/>
      <c r="D769" s="658"/>
      <c r="E769" s="658"/>
      <c r="F769" s="658"/>
      <c r="G769" s="658"/>
      <c r="H769" s="658"/>
      <c r="I769" s="658"/>
      <c r="J769" s="658"/>
      <c r="K769" s="658"/>
      <c r="L769" s="658"/>
      <c r="M769" s="658"/>
      <c r="N769" s="658"/>
      <c r="O769" s="658"/>
      <c r="P769" s="658"/>
      <c r="Q769" s="658"/>
      <c r="R769" s="658"/>
      <c r="S769" s="658"/>
      <c r="T769" s="658"/>
      <c r="U769" s="658"/>
      <c r="V769" s="658"/>
      <c r="W769" s="658"/>
      <c r="X769" s="658"/>
      <c r="Y769" s="658"/>
      <c r="Z769" s="658"/>
    </row>
    <row r="770" ht="14.25" customHeight="1">
      <c r="A770" s="658"/>
      <c r="B770" s="658"/>
      <c r="C770" s="658"/>
      <c r="D770" s="658"/>
      <c r="E770" s="658"/>
      <c r="F770" s="658"/>
      <c r="G770" s="658"/>
      <c r="H770" s="658"/>
      <c r="I770" s="658"/>
      <c r="J770" s="658"/>
      <c r="K770" s="658"/>
      <c r="L770" s="658"/>
      <c r="M770" s="658"/>
      <c r="N770" s="658"/>
      <c r="O770" s="658"/>
      <c r="P770" s="658"/>
      <c r="Q770" s="658"/>
      <c r="R770" s="658"/>
      <c r="S770" s="658"/>
      <c r="T770" s="658"/>
      <c r="U770" s="658"/>
      <c r="V770" s="658"/>
      <c r="W770" s="658"/>
      <c r="X770" s="658"/>
      <c r="Y770" s="658"/>
      <c r="Z770" s="658"/>
    </row>
    <row r="771" ht="14.25" customHeight="1">
      <c r="A771" s="658"/>
      <c r="B771" s="658"/>
      <c r="C771" s="658"/>
      <c r="D771" s="658"/>
      <c r="E771" s="658"/>
      <c r="F771" s="658"/>
      <c r="G771" s="658"/>
      <c r="H771" s="658"/>
      <c r="I771" s="658"/>
      <c r="J771" s="658"/>
      <c r="K771" s="658"/>
      <c r="L771" s="658"/>
      <c r="M771" s="658"/>
      <c r="N771" s="658"/>
      <c r="O771" s="658"/>
      <c r="P771" s="658"/>
      <c r="Q771" s="658"/>
      <c r="R771" s="658"/>
      <c r="S771" s="658"/>
      <c r="T771" s="658"/>
      <c r="U771" s="658"/>
      <c r="V771" s="658"/>
      <c r="W771" s="658"/>
      <c r="X771" s="658"/>
      <c r="Y771" s="658"/>
      <c r="Z771" s="658"/>
    </row>
    <row r="772" ht="14.25" customHeight="1">
      <c r="A772" s="658"/>
      <c r="B772" s="658"/>
      <c r="C772" s="658"/>
      <c r="D772" s="658"/>
      <c r="E772" s="658"/>
      <c r="F772" s="658"/>
      <c r="G772" s="658"/>
      <c r="H772" s="658"/>
      <c r="I772" s="658"/>
      <c r="J772" s="658"/>
      <c r="K772" s="658"/>
      <c r="L772" s="658"/>
      <c r="M772" s="658"/>
      <c r="N772" s="658"/>
      <c r="O772" s="658"/>
      <c r="P772" s="658"/>
      <c r="Q772" s="658"/>
      <c r="R772" s="658"/>
      <c r="S772" s="658"/>
      <c r="T772" s="658"/>
      <c r="U772" s="658"/>
      <c r="V772" s="658"/>
      <c r="W772" s="658"/>
      <c r="X772" s="658"/>
      <c r="Y772" s="658"/>
      <c r="Z772" s="658"/>
    </row>
    <row r="773" ht="14.25" customHeight="1">
      <c r="A773" s="658"/>
      <c r="B773" s="658"/>
      <c r="C773" s="658"/>
      <c r="D773" s="658"/>
      <c r="E773" s="658"/>
      <c r="F773" s="658"/>
      <c r="G773" s="658"/>
      <c r="H773" s="658"/>
      <c r="I773" s="658"/>
      <c r="J773" s="658"/>
      <c r="K773" s="658"/>
      <c r="L773" s="658"/>
      <c r="M773" s="658"/>
      <c r="N773" s="658"/>
      <c r="O773" s="658"/>
      <c r="P773" s="658"/>
      <c r="Q773" s="658"/>
      <c r="R773" s="658"/>
      <c r="S773" s="658"/>
      <c r="T773" s="658"/>
      <c r="U773" s="658"/>
      <c r="V773" s="658"/>
      <c r="W773" s="658"/>
      <c r="X773" s="658"/>
      <c r="Y773" s="658"/>
      <c r="Z773" s="658"/>
    </row>
    <row r="774" ht="14.25" customHeight="1">
      <c r="A774" s="658"/>
      <c r="B774" s="658"/>
      <c r="C774" s="658"/>
      <c r="D774" s="658"/>
      <c r="E774" s="658"/>
      <c r="F774" s="658"/>
      <c r="G774" s="658"/>
      <c r="H774" s="658"/>
      <c r="I774" s="658"/>
      <c r="J774" s="658"/>
      <c r="K774" s="658"/>
      <c r="L774" s="658"/>
      <c r="M774" s="658"/>
      <c r="N774" s="658"/>
      <c r="O774" s="658"/>
      <c r="P774" s="658"/>
      <c r="Q774" s="658"/>
      <c r="R774" s="658"/>
      <c r="S774" s="658"/>
      <c r="T774" s="658"/>
      <c r="U774" s="658"/>
      <c r="V774" s="658"/>
      <c r="W774" s="658"/>
      <c r="X774" s="658"/>
      <c r="Y774" s="658"/>
      <c r="Z774" s="658"/>
    </row>
    <row r="775" ht="14.25" customHeight="1">
      <c r="A775" s="658"/>
      <c r="B775" s="658"/>
      <c r="C775" s="658"/>
      <c r="D775" s="658"/>
      <c r="E775" s="658"/>
      <c r="F775" s="658"/>
      <c r="G775" s="658"/>
      <c r="H775" s="658"/>
      <c r="I775" s="658"/>
      <c r="J775" s="658"/>
      <c r="K775" s="658"/>
      <c r="L775" s="658"/>
      <c r="M775" s="658"/>
      <c r="N775" s="658"/>
      <c r="O775" s="658"/>
      <c r="P775" s="658"/>
      <c r="Q775" s="658"/>
      <c r="R775" s="658"/>
      <c r="S775" s="658"/>
      <c r="T775" s="658"/>
      <c r="U775" s="658"/>
      <c r="V775" s="658"/>
      <c r="W775" s="658"/>
      <c r="X775" s="658"/>
      <c r="Y775" s="658"/>
      <c r="Z775" s="658"/>
    </row>
    <row r="776" ht="14.25" customHeight="1">
      <c r="A776" s="658"/>
      <c r="B776" s="658"/>
      <c r="C776" s="658"/>
      <c r="D776" s="658"/>
      <c r="E776" s="658"/>
      <c r="F776" s="658"/>
      <c r="G776" s="658"/>
      <c r="H776" s="658"/>
      <c r="I776" s="658"/>
      <c r="J776" s="658"/>
      <c r="K776" s="658"/>
      <c r="L776" s="658"/>
      <c r="M776" s="658"/>
      <c r="N776" s="658"/>
      <c r="O776" s="658"/>
      <c r="P776" s="658"/>
      <c r="Q776" s="658"/>
      <c r="R776" s="658"/>
      <c r="S776" s="658"/>
      <c r="T776" s="658"/>
      <c r="U776" s="658"/>
      <c r="V776" s="658"/>
      <c r="W776" s="658"/>
      <c r="X776" s="658"/>
      <c r="Y776" s="658"/>
      <c r="Z776" s="658"/>
    </row>
    <row r="777" ht="14.25" customHeight="1">
      <c r="A777" s="658"/>
      <c r="B777" s="658"/>
      <c r="C777" s="658"/>
      <c r="D777" s="658"/>
      <c r="E777" s="658"/>
      <c r="F777" s="658"/>
      <c r="G777" s="658"/>
      <c r="H777" s="658"/>
      <c r="I777" s="658"/>
      <c r="J777" s="658"/>
      <c r="K777" s="658"/>
      <c r="L777" s="658"/>
      <c r="M777" s="658"/>
      <c r="N777" s="658"/>
      <c r="O777" s="658"/>
      <c r="P777" s="658"/>
      <c r="Q777" s="658"/>
      <c r="R777" s="658"/>
      <c r="S777" s="658"/>
      <c r="T777" s="658"/>
      <c r="U777" s="658"/>
      <c r="V777" s="658"/>
      <c r="W777" s="658"/>
      <c r="X777" s="658"/>
      <c r="Y777" s="658"/>
      <c r="Z777" s="658"/>
    </row>
    <row r="778" ht="14.25" customHeight="1">
      <c r="A778" s="658"/>
      <c r="B778" s="658"/>
      <c r="C778" s="658"/>
      <c r="D778" s="658"/>
      <c r="E778" s="658"/>
      <c r="F778" s="658"/>
      <c r="G778" s="658"/>
      <c r="H778" s="658"/>
      <c r="I778" s="658"/>
      <c r="J778" s="658"/>
      <c r="K778" s="658"/>
      <c r="L778" s="658"/>
      <c r="M778" s="658"/>
      <c r="N778" s="658"/>
      <c r="O778" s="658"/>
      <c r="P778" s="658"/>
      <c r="Q778" s="658"/>
      <c r="R778" s="658"/>
      <c r="S778" s="658"/>
      <c r="T778" s="658"/>
      <c r="U778" s="658"/>
      <c r="V778" s="658"/>
      <c r="W778" s="658"/>
      <c r="X778" s="658"/>
      <c r="Y778" s="658"/>
      <c r="Z778" s="658"/>
    </row>
    <row r="779" ht="14.25" customHeight="1">
      <c r="A779" s="658"/>
      <c r="B779" s="658"/>
      <c r="C779" s="658"/>
      <c r="D779" s="658"/>
      <c r="E779" s="658"/>
      <c r="F779" s="658"/>
      <c r="G779" s="658"/>
      <c r="H779" s="658"/>
      <c r="I779" s="658"/>
      <c r="J779" s="658"/>
      <c r="K779" s="658"/>
      <c r="L779" s="658"/>
      <c r="M779" s="658"/>
      <c r="N779" s="658"/>
      <c r="O779" s="658"/>
      <c r="P779" s="658"/>
      <c r="Q779" s="658"/>
      <c r="R779" s="658"/>
      <c r="S779" s="658"/>
      <c r="T779" s="658"/>
      <c r="U779" s="658"/>
      <c r="V779" s="658"/>
      <c r="W779" s="658"/>
      <c r="X779" s="658"/>
      <c r="Y779" s="658"/>
      <c r="Z779" s="658"/>
    </row>
    <row r="780" ht="14.25" customHeight="1">
      <c r="A780" s="658"/>
      <c r="B780" s="658"/>
      <c r="C780" s="658"/>
      <c r="D780" s="658"/>
      <c r="E780" s="658"/>
      <c r="F780" s="658"/>
      <c r="G780" s="658"/>
      <c r="H780" s="658"/>
      <c r="I780" s="658"/>
      <c r="J780" s="658"/>
      <c r="K780" s="658"/>
      <c r="L780" s="658"/>
      <c r="M780" s="658"/>
      <c r="N780" s="658"/>
      <c r="O780" s="658"/>
      <c r="P780" s="658"/>
      <c r="Q780" s="658"/>
      <c r="R780" s="658"/>
      <c r="S780" s="658"/>
      <c r="T780" s="658"/>
      <c r="U780" s="658"/>
      <c r="V780" s="658"/>
      <c r="W780" s="658"/>
      <c r="X780" s="658"/>
      <c r="Y780" s="658"/>
      <c r="Z780" s="658"/>
    </row>
    <row r="781" ht="14.25" customHeight="1">
      <c r="A781" s="658"/>
      <c r="B781" s="658"/>
      <c r="C781" s="658"/>
      <c r="D781" s="658"/>
      <c r="E781" s="658"/>
      <c r="F781" s="658"/>
      <c r="G781" s="658"/>
      <c r="H781" s="658"/>
      <c r="I781" s="658"/>
      <c r="J781" s="658"/>
      <c r="K781" s="658"/>
      <c r="L781" s="658"/>
      <c r="M781" s="658"/>
      <c r="N781" s="658"/>
      <c r="O781" s="658"/>
      <c r="P781" s="658"/>
      <c r="Q781" s="658"/>
      <c r="R781" s="658"/>
      <c r="S781" s="658"/>
      <c r="T781" s="658"/>
      <c r="U781" s="658"/>
      <c r="V781" s="658"/>
      <c r="W781" s="658"/>
      <c r="X781" s="658"/>
      <c r="Y781" s="658"/>
      <c r="Z781" s="658"/>
    </row>
    <row r="782" ht="14.25" customHeight="1">
      <c r="A782" s="658"/>
      <c r="B782" s="658"/>
      <c r="C782" s="658"/>
      <c r="D782" s="658"/>
      <c r="E782" s="658"/>
      <c r="F782" s="658"/>
      <c r="G782" s="658"/>
      <c r="H782" s="658"/>
      <c r="I782" s="658"/>
      <c r="J782" s="658"/>
      <c r="K782" s="658"/>
      <c r="L782" s="658"/>
      <c r="M782" s="658"/>
      <c r="N782" s="658"/>
      <c r="O782" s="658"/>
      <c r="P782" s="658"/>
      <c r="Q782" s="658"/>
      <c r="R782" s="658"/>
      <c r="S782" s="658"/>
      <c r="T782" s="658"/>
      <c r="U782" s="658"/>
      <c r="V782" s="658"/>
      <c r="W782" s="658"/>
      <c r="X782" s="658"/>
      <c r="Y782" s="658"/>
      <c r="Z782" s="658"/>
    </row>
    <row r="783" ht="14.25" customHeight="1">
      <c r="A783" s="658"/>
      <c r="B783" s="658"/>
      <c r="C783" s="658"/>
      <c r="D783" s="658"/>
      <c r="E783" s="658"/>
      <c r="F783" s="658"/>
      <c r="G783" s="658"/>
      <c r="H783" s="658"/>
      <c r="I783" s="658"/>
      <c r="J783" s="658"/>
      <c r="K783" s="658"/>
      <c r="L783" s="658"/>
      <c r="M783" s="658"/>
      <c r="N783" s="658"/>
      <c r="O783" s="658"/>
      <c r="P783" s="658"/>
      <c r="Q783" s="658"/>
      <c r="R783" s="658"/>
      <c r="S783" s="658"/>
      <c r="T783" s="658"/>
      <c r="U783" s="658"/>
      <c r="V783" s="658"/>
      <c r="W783" s="658"/>
      <c r="X783" s="658"/>
      <c r="Y783" s="658"/>
      <c r="Z783" s="658"/>
    </row>
    <row r="784" ht="14.25" customHeight="1">
      <c r="A784" s="658"/>
      <c r="B784" s="658"/>
      <c r="C784" s="658"/>
      <c r="D784" s="658"/>
      <c r="E784" s="658"/>
      <c r="F784" s="658"/>
      <c r="G784" s="658"/>
      <c r="H784" s="658"/>
      <c r="I784" s="658"/>
      <c r="J784" s="658"/>
      <c r="K784" s="658"/>
      <c r="L784" s="658"/>
      <c r="M784" s="658"/>
      <c r="N784" s="658"/>
      <c r="O784" s="658"/>
      <c r="P784" s="658"/>
      <c r="Q784" s="658"/>
      <c r="R784" s="658"/>
      <c r="S784" s="658"/>
      <c r="T784" s="658"/>
      <c r="U784" s="658"/>
      <c r="V784" s="658"/>
      <c r="W784" s="658"/>
      <c r="X784" s="658"/>
      <c r="Y784" s="658"/>
      <c r="Z784" s="658"/>
    </row>
    <row r="785" ht="14.25" customHeight="1">
      <c r="A785" s="658"/>
      <c r="B785" s="658"/>
      <c r="C785" s="658"/>
      <c r="D785" s="658"/>
      <c r="E785" s="658"/>
      <c r="F785" s="658"/>
      <c r="G785" s="658"/>
      <c r="H785" s="658"/>
      <c r="I785" s="658"/>
      <c r="J785" s="658"/>
      <c r="K785" s="658"/>
      <c r="L785" s="658"/>
      <c r="M785" s="658"/>
      <c r="N785" s="658"/>
      <c r="O785" s="658"/>
      <c r="P785" s="658"/>
      <c r="Q785" s="658"/>
      <c r="R785" s="658"/>
      <c r="S785" s="658"/>
      <c r="T785" s="658"/>
      <c r="U785" s="658"/>
      <c r="V785" s="658"/>
      <c r="W785" s="658"/>
      <c r="X785" s="658"/>
      <c r="Y785" s="658"/>
      <c r="Z785" s="658"/>
    </row>
    <row r="786" ht="14.25" customHeight="1">
      <c r="A786" s="658"/>
      <c r="B786" s="658"/>
      <c r="C786" s="658"/>
      <c r="D786" s="658"/>
      <c r="E786" s="658"/>
      <c r="F786" s="658"/>
      <c r="G786" s="658"/>
      <c r="H786" s="658"/>
      <c r="I786" s="658"/>
      <c r="J786" s="658"/>
      <c r="K786" s="658"/>
      <c r="L786" s="658"/>
      <c r="M786" s="658"/>
      <c r="N786" s="658"/>
      <c r="O786" s="658"/>
      <c r="P786" s="658"/>
      <c r="Q786" s="658"/>
      <c r="R786" s="658"/>
      <c r="S786" s="658"/>
      <c r="T786" s="658"/>
      <c r="U786" s="658"/>
      <c r="V786" s="658"/>
      <c r="W786" s="658"/>
      <c r="X786" s="658"/>
      <c r="Y786" s="658"/>
      <c r="Z786" s="658"/>
    </row>
    <row r="787" ht="14.25" customHeight="1">
      <c r="A787" s="658"/>
      <c r="B787" s="658"/>
      <c r="C787" s="658"/>
      <c r="D787" s="658"/>
      <c r="E787" s="658"/>
      <c r="F787" s="658"/>
      <c r="G787" s="658"/>
      <c r="H787" s="658"/>
      <c r="I787" s="658"/>
      <c r="J787" s="658"/>
      <c r="K787" s="658"/>
      <c r="L787" s="658"/>
      <c r="M787" s="658"/>
      <c r="N787" s="658"/>
      <c r="O787" s="658"/>
      <c r="P787" s="658"/>
      <c r="Q787" s="658"/>
      <c r="R787" s="658"/>
      <c r="S787" s="658"/>
      <c r="T787" s="658"/>
      <c r="U787" s="658"/>
      <c r="V787" s="658"/>
      <c r="W787" s="658"/>
      <c r="X787" s="658"/>
      <c r="Y787" s="658"/>
      <c r="Z787" s="658"/>
    </row>
    <row r="788" ht="14.25" customHeight="1">
      <c r="A788" s="658"/>
      <c r="B788" s="658"/>
      <c r="C788" s="658"/>
      <c r="D788" s="658"/>
      <c r="E788" s="658"/>
      <c r="F788" s="658"/>
      <c r="G788" s="658"/>
      <c r="H788" s="658"/>
      <c r="I788" s="658"/>
      <c r="J788" s="658"/>
      <c r="K788" s="658"/>
      <c r="L788" s="658"/>
      <c r="M788" s="658"/>
      <c r="N788" s="658"/>
      <c r="O788" s="658"/>
      <c r="P788" s="658"/>
      <c r="Q788" s="658"/>
      <c r="R788" s="658"/>
      <c r="S788" s="658"/>
      <c r="T788" s="658"/>
      <c r="U788" s="658"/>
      <c r="V788" s="658"/>
      <c r="W788" s="658"/>
      <c r="X788" s="658"/>
      <c r="Y788" s="658"/>
      <c r="Z788" s="658"/>
    </row>
    <row r="789" ht="14.25" customHeight="1">
      <c r="A789" s="658"/>
      <c r="B789" s="658"/>
      <c r="C789" s="658"/>
      <c r="D789" s="658"/>
      <c r="E789" s="658"/>
      <c r="F789" s="658"/>
      <c r="G789" s="658"/>
      <c r="H789" s="658"/>
      <c r="I789" s="658"/>
      <c r="J789" s="658"/>
      <c r="K789" s="658"/>
      <c r="L789" s="658"/>
      <c r="M789" s="658"/>
      <c r="N789" s="658"/>
      <c r="O789" s="658"/>
      <c r="P789" s="658"/>
      <c r="Q789" s="658"/>
      <c r="R789" s="658"/>
      <c r="S789" s="658"/>
      <c r="T789" s="658"/>
      <c r="U789" s="658"/>
      <c r="V789" s="658"/>
      <c r="W789" s="658"/>
      <c r="X789" s="658"/>
      <c r="Y789" s="658"/>
      <c r="Z789" s="658"/>
    </row>
    <row r="790" ht="14.25" customHeight="1">
      <c r="A790" s="658"/>
      <c r="B790" s="658"/>
      <c r="C790" s="658"/>
      <c r="D790" s="658"/>
      <c r="E790" s="658"/>
      <c r="F790" s="658"/>
      <c r="G790" s="658"/>
      <c r="H790" s="658"/>
      <c r="I790" s="658"/>
      <c r="J790" s="658"/>
      <c r="K790" s="658"/>
      <c r="L790" s="658"/>
      <c r="M790" s="658"/>
      <c r="N790" s="658"/>
      <c r="O790" s="658"/>
      <c r="P790" s="658"/>
      <c r="Q790" s="658"/>
      <c r="R790" s="658"/>
      <c r="S790" s="658"/>
      <c r="T790" s="658"/>
      <c r="U790" s="658"/>
      <c r="V790" s="658"/>
      <c r="W790" s="658"/>
      <c r="X790" s="658"/>
      <c r="Y790" s="658"/>
      <c r="Z790" s="658"/>
    </row>
    <row r="791" ht="14.25" customHeight="1">
      <c r="A791" s="658"/>
      <c r="B791" s="658"/>
      <c r="C791" s="658"/>
      <c r="D791" s="658"/>
      <c r="E791" s="658"/>
      <c r="F791" s="658"/>
      <c r="G791" s="658"/>
      <c r="H791" s="658"/>
      <c r="I791" s="658"/>
      <c r="J791" s="658"/>
      <c r="K791" s="658"/>
      <c r="L791" s="658"/>
      <c r="M791" s="658"/>
      <c r="N791" s="658"/>
      <c r="O791" s="658"/>
      <c r="P791" s="658"/>
      <c r="Q791" s="658"/>
      <c r="R791" s="658"/>
      <c r="S791" s="658"/>
      <c r="T791" s="658"/>
      <c r="U791" s="658"/>
      <c r="V791" s="658"/>
      <c r="W791" s="658"/>
      <c r="X791" s="658"/>
      <c r="Y791" s="658"/>
      <c r="Z791" s="658"/>
    </row>
    <row r="792" ht="14.25" customHeight="1">
      <c r="A792" s="658"/>
      <c r="B792" s="658"/>
      <c r="C792" s="658"/>
      <c r="D792" s="658"/>
      <c r="E792" s="658"/>
      <c r="F792" s="658"/>
      <c r="G792" s="658"/>
      <c r="H792" s="658"/>
      <c r="I792" s="658"/>
      <c r="J792" s="658"/>
      <c r="K792" s="658"/>
      <c r="L792" s="658"/>
      <c r="M792" s="658"/>
      <c r="N792" s="658"/>
      <c r="O792" s="658"/>
      <c r="P792" s="658"/>
      <c r="Q792" s="658"/>
      <c r="R792" s="658"/>
      <c r="S792" s="658"/>
      <c r="T792" s="658"/>
      <c r="U792" s="658"/>
      <c r="V792" s="658"/>
      <c r="W792" s="658"/>
      <c r="X792" s="658"/>
      <c r="Y792" s="658"/>
      <c r="Z792" s="658"/>
    </row>
    <row r="793" ht="14.25" customHeight="1">
      <c r="A793" s="658"/>
      <c r="B793" s="658"/>
      <c r="C793" s="658"/>
      <c r="D793" s="658"/>
      <c r="E793" s="658"/>
      <c r="F793" s="658"/>
      <c r="G793" s="658"/>
      <c r="H793" s="658"/>
      <c r="I793" s="658"/>
      <c r="J793" s="658"/>
      <c r="K793" s="658"/>
      <c r="L793" s="658"/>
      <c r="M793" s="658"/>
      <c r="N793" s="658"/>
      <c r="O793" s="658"/>
      <c r="P793" s="658"/>
      <c r="Q793" s="658"/>
      <c r="R793" s="658"/>
      <c r="S793" s="658"/>
      <c r="T793" s="658"/>
      <c r="U793" s="658"/>
      <c r="V793" s="658"/>
      <c r="W793" s="658"/>
      <c r="X793" s="658"/>
      <c r="Y793" s="658"/>
      <c r="Z793" s="658"/>
    </row>
    <row r="794" ht="14.25" customHeight="1">
      <c r="A794" s="658"/>
      <c r="B794" s="658"/>
      <c r="C794" s="658"/>
      <c r="D794" s="658"/>
      <c r="E794" s="658"/>
      <c r="F794" s="658"/>
      <c r="G794" s="658"/>
      <c r="H794" s="658"/>
      <c r="I794" s="658"/>
      <c r="J794" s="658"/>
      <c r="K794" s="658"/>
      <c r="L794" s="658"/>
      <c r="M794" s="658"/>
      <c r="N794" s="658"/>
      <c r="O794" s="658"/>
      <c r="P794" s="658"/>
      <c r="Q794" s="658"/>
      <c r="R794" s="658"/>
      <c r="S794" s="658"/>
      <c r="T794" s="658"/>
      <c r="U794" s="658"/>
      <c r="V794" s="658"/>
      <c r="W794" s="658"/>
      <c r="X794" s="658"/>
      <c r="Y794" s="658"/>
      <c r="Z794" s="658"/>
    </row>
    <row r="795" ht="14.25" customHeight="1">
      <c r="A795" s="658"/>
      <c r="B795" s="658"/>
      <c r="C795" s="658"/>
      <c r="D795" s="658"/>
      <c r="E795" s="658"/>
      <c r="F795" s="658"/>
      <c r="G795" s="658"/>
      <c r="H795" s="658"/>
      <c r="I795" s="658"/>
      <c r="J795" s="658"/>
      <c r="K795" s="658"/>
      <c r="L795" s="658"/>
      <c r="M795" s="658"/>
      <c r="N795" s="658"/>
      <c r="O795" s="658"/>
      <c r="P795" s="658"/>
      <c r="Q795" s="658"/>
      <c r="R795" s="658"/>
      <c r="S795" s="658"/>
      <c r="T795" s="658"/>
      <c r="U795" s="658"/>
      <c r="V795" s="658"/>
      <c r="W795" s="658"/>
      <c r="X795" s="658"/>
      <c r="Y795" s="658"/>
      <c r="Z795" s="658"/>
    </row>
    <row r="796" ht="14.25" customHeight="1">
      <c r="A796" s="658"/>
      <c r="B796" s="658"/>
      <c r="C796" s="658"/>
      <c r="D796" s="658"/>
      <c r="E796" s="658"/>
      <c r="F796" s="658"/>
      <c r="G796" s="658"/>
      <c r="H796" s="658"/>
      <c r="I796" s="658"/>
      <c r="J796" s="658"/>
      <c r="K796" s="658"/>
      <c r="L796" s="658"/>
      <c r="M796" s="658"/>
      <c r="N796" s="658"/>
      <c r="O796" s="658"/>
      <c r="P796" s="658"/>
      <c r="Q796" s="658"/>
      <c r="R796" s="658"/>
      <c r="S796" s="658"/>
      <c r="T796" s="658"/>
      <c r="U796" s="658"/>
      <c r="V796" s="658"/>
      <c r="W796" s="658"/>
      <c r="X796" s="658"/>
      <c r="Y796" s="658"/>
      <c r="Z796" s="658"/>
    </row>
    <row r="797" ht="14.25" customHeight="1">
      <c r="A797" s="658"/>
      <c r="B797" s="658"/>
      <c r="C797" s="658"/>
      <c r="D797" s="658"/>
      <c r="E797" s="658"/>
      <c r="F797" s="658"/>
      <c r="G797" s="658"/>
      <c r="H797" s="658"/>
      <c r="I797" s="658"/>
      <c r="J797" s="658"/>
      <c r="K797" s="658"/>
      <c r="L797" s="658"/>
      <c r="M797" s="658"/>
      <c r="N797" s="658"/>
      <c r="O797" s="658"/>
      <c r="P797" s="658"/>
      <c r="Q797" s="658"/>
      <c r="R797" s="658"/>
      <c r="S797" s="658"/>
      <c r="T797" s="658"/>
      <c r="U797" s="658"/>
      <c r="V797" s="658"/>
      <c r="W797" s="658"/>
      <c r="X797" s="658"/>
      <c r="Y797" s="658"/>
      <c r="Z797" s="658"/>
    </row>
    <row r="798" ht="14.25" customHeight="1">
      <c r="A798" s="658"/>
      <c r="B798" s="658"/>
      <c r="C798" s="658"/>
      <c r="D798" s="658"/>
      <c r="E798" s="658"/>
      <c r="F798" s="658"/>
      <c r="G798" s="658"/>
      <c r="H798" s="658"/>
      <c r="I798" s="658"/>
      <c r="J798" s="658"/>
      <c r="K798" s="658"/>
      <c r="L798" s="658"/>
      <c r="M798" s="658"/>
      <c r="N798" s="658"/>
      <c r="O798" s="658"/>
      <c r="P798" s="658"/>
      <c r="Q798" s="658"/>
      <c r="R798" s="658"/>
      <c r="S798" s="658"/>
      <c r="T798" s="658"/>
      <c r="U798" s="658"/>
      <c r="V798" s="658"/>
      <c r="W798" s="658"/>
      <c r="X798" s="658"/>
      <c r="Y798" s="658"/>
      <c r="Z798" s="658"/>
    </row>
    <row r="799" ht="14.25" customHeight="1">
      <c r="A799" s="658"/>
      <c r="B799" s="658"/>
      <c r="C799" s="658"/>
      <c r="D799" s="658"/>
      <c r="E799" s="658"/>
      <c r="F799" s="658"/>
      <c r="G799" s="658"/>
      <c r="H799" s="658"/>
      <c r="I799" s="658"/>
      <c r="J799" s="658"/>
      <c r="K799" s="658"/>
      <c r="L799" s="658"/>
      <c r="M799" s="658"/>
      <c r="N799" s="658"/>
      <c r="O799" s="658"/>
      <c r="P799" s="658"/>
      <c r="Q799" s="658"/>
      <c r="R799" s="658"/>
      <c r="S799" s="658"/>
      <c r="T799" s="658"/>
      <c r="U799" s="658"/>
      <c r="V799" s="658"/>
      <c r="W799" s="658"/>
      <c r="X799" s="658"/>
      <c r="Y799" s="658"/>
      <c r="Z799" s="658"/>
    </row>
    <row r="800" ht="14.25" customHeight="1">
      <c r="A800" s="658"/>
      <c r="B800" s="658"/>
      <c r="C800" s="658"/>
      <c r="D800" s="658"/>
      <c r="E800" s="658"/>
      <c r="F800" s="658"/>
      <c r="G800" s="658"/>
      <c r="H800" s="658"/>
      <c r="I800" s="658"/>
      <c r="J800" s="658"/>
      <c r="K800" s="658"/>
      <c r="L800" s="658"/>
      <c r="M800" s="658"/>
      <c r="N800" s="658"/>
      <c r="O800" s="658"/>
      <c r="P800" s="658"/>
      <c r="Q800" s="658"/>
      <c r="R800" s="658"/>
      <c r="S800" s="658"/>
      <c r="T800" s="658"/>
      <c r="U800" s="658"/>
      <c r="V800" s="658"/>
      <c r="W800" s="658"/>
      <c r="X800" s="658"/>
      <c r="Y800" s="658"/>
      <c r="Z800" s="658"/>
    </row>
    <row r="801" ht="14.25" customHeight="1">
      <c r="A801" s="658"/>
      <c r="B801" s="658"/>
      <c r="C801" s="658"/>
      <c r="D801" s="658"/>
      <c r="E801" s="658"/>
      <c r="F801" s="658"/>
      <c r="G801" s="658"/>
      <c r="H801" s="658"/>
      <c r="I801" s="658"/>
      <c r="J801" s="658"/>
      <c r="K801" s="658"/>
      <c r="L801" s="658"/>
      <c r="M801" s="658"/>
      <c r="N801" s="658"/>
      <c r="O801" s="658"/>
      <c r="P801" s="658"/>
      <c r="Q801" s="658"/>
      <c r="R801" s="658"/>
      <c r="S801" s="658"/>
      <c r="T801" s="658"/>
      <c r="U801" s="658"/>
      <c r="V801" s="658"/>
      <c r="W801" s="658"/>
      <c r="X801" s="658"/>
      <c r="Y801" s="658"/>
      <c r="Z801" s="658"/>
    </row>
    <row r="802" ht="14.25" customHeight="1">
      <c r="A802" s="658"/>
      <c r="B802" s="658"/>
      <c r="C802" s="658"/>
      <c r="D802" s="658"/>
      <c r="E802" s="658"/>
      <c r="F802" s="658"/>
      <c r="G802" s="658"/>
      <c r="H802" s="658"/>
      <c r="I802" s="658"/>
      <c r="J802" s="658"/>
      <c r="K802" s="658"/>
      <c r="L802" s="658"/>
      <c r="M802" s="658"/>
      <c r="N802" s="658"/>
      <c r="O802" s="658"/>
      <c r="P802" s="658"/>
      <c r="Q802" s="658"/>
      <c r="R802" s="658"/>
      <c r="S802" s="658"/>
      <c r="T802" s="658"/>
      <c r="U802" s="658"/>
      <c r="V802" s="658"/>
      <c r="W802" s="658"/>
      <c r="X802" s="658"/>
      <c r="Y802" s="658"/>
      <c r="Z802" s="658"/>
    </row>
    <row r="803" ht="14.25" customHeight="1">
      <c r="A803" s="658"/>
      <c r="B803" s="658"/>
      <c r="C803" s="658"/>
      <c r="D803" s="658"/>
      <c r="E803" s="658"/>
      <c r="F803" s="658"/>
      <c r="G803" s="658"/>
      <c r="H803" s="658"/>
      <c r="I803" s="658"/>
      <c r="J803" s="658"/>
      <c r="K803" s="658"/>
      <c r="L803" s="658"/>
      <c r="M803" s="658"/>
      <c r="N803" s="658"/>
      <c r="O803" s="658"/>
      <c r="P803" s="658"/>
      <c r="Q803" s="658"/>
      <c r="R803" s="658"/>
      <c r="S803" s="658"/>
      <c r="T803" s="658"/>
      <c r="U803" s="658"/>
      <c r="V803" s="658"/>
      <c r="W803" s="658"/>
      <c r="X803" s="658"/>
      <c r="Y803" s="658"/>
      <c r="Z803" s="658"/>
    </row>
    <row r="804" ht="14.25" customHeight="1">
      <c r="A804" s="658"/>
      <c r="B804" s="658"/>
      <c r="C804" s="658"/>
      <c r="D804" s="658"/>
      <c r="E804" s="658"/>
      <c r="F804" s="658"/>
      <c r="G804" s="658"/>
      <c r="H804" s="658"/>
      <c r="I804" s="658"/>
      <c r="J804" s="658"/>
      <c r="K804" s="658"/>
      <c r="L804" s="658"/>
      <c r="M804" s="658"/>
      <c r="N804" s="658"/>
      <c r="O804" s="658"/>
      <c r="P804" s="658"/>
      <c r="Q804" s="658"/>
      <c r="R804" s="658"/>
      <c r="S804" s="658"/>
      <c r="T804" s="658"/>
      <c r="U804" s="658"/>
      <c r="V804" s="658"/>
      <c r="W804" s="658"/>
      <c r="X804" s="658"/>
      <c r="Y804" s="658"/>
      <c r="Z804" s="658"/>
    </row>
    <row r="805" ht="14.25" customHeight="1">
      <c r="A805" s="658"/>
      <c r="B805" s="658"/>
      <c r="C805" s="658"/>
      <c r="D805" s="658"/>
      <c r="E805" s="658"/>
      <c r="F805" s="658"/>
      <c r="G805" s="658"/>
      <c r="H805" s="658"/>
      <c r="I805" s="658"/>
      <c r="J805" s="658"/>
      <c r="K805" s="658"/>
      <c r="L805" s="658"/>
      <c r="M805" s="658"/>
      <c r="N805" s="658"/>
      <c r="O805" s="658"/>
      <c r="P805" s="658"/>
      <c r="Q805" s="658"/>
      <c r="R805" s="658"/>
      <c r="S805" s="658"/>
      <c r="T805" s="658"/>
      <c r="U805" s="658"/>
      <c r="V805" s="658"/>
      <c r="W805" s="658"/>
      <c r="X805" s="658"/>
      <c r="Y805" s="658"/>
      <c r="Z805" s="658"/>
    </row>
    <row r="806" ht="14.25" customHeight="1">
      <c r="A806" s="658"/>
      <c r="B806" s="658"/>
      <c r="C806" s="658"/>
      <c r="D806" s="658"/>
      <c r="E806" s="658"/>
      <c r="F806" s="658"/>
      <c r="G806" s="658"/>
      <c r="H806" s="658"/>
      <c r="I806" s="658"/>
      <c r="J806" s="658"/>
      <c r="K806" s="658"/>
      <c r="L806" s="658"/>
      <c r="M806" s="658"/>
      <c r="N806" s="658"/>
      <c r="O806" s="658"/>
      <c r="P806" s="658"/>
      <c r="Q806" s="658"/>
      <c r="R806" s="658"/>
      <c r="S806" s="658"/>
      <c r="T806" s="658"/>
      <c r="U806" s="658"/>
      <c r="V806" s="658"/>
      <c r="W806" s="658"/>
      <c r="X806" s="658"/>
      <c r="Y806" s="658"/>
      <c r="Z806" s="658"/>
    </row>
    <row r="807" ht="14.25" customHeight="1">
      <c r="A807" s="658"/>
      <c r="B807" s="658"/>
      <c r="C807" s="658"/>
      <c r="D807" s="658"/>
      <c r="E807" s="658"/>
      <c r="F807" s="658"/>
      <c r="G807" s="658"/>
      <c r="H807" s="658"/>
      <c r="I807" s="658"/>
      <c r="J807" s="658"/>
      <c r="K807" s="658"/>
      <c r="L807" s="658"/>
      <c r="M807" s="658"/>
      <c r="N807" s="658"/>
      <c r="O807" s="658"/>
      <c r="P807" s="658"/>
      <c r="Q807" s="658"/>
      <c r="R807" s="658"/>
      <c r="S807" s="658"/>
      <c r="T807" s="658"/>
      <c r="U807" s="658"/>
      <c r="V807" s="658"/>
      <c r="W807" s="658"/>
      <c r="X807" s="658"/>
      <c r="Y807" s="658"/>
      <c r="Z807" s="658"/>
    </row>
    <row r="808" ht="14.25" customHeight="1">
      <c r="A808" s="658"/>
      <c r="B808" s="658"/>
      <c r="C808" s="658"/>
      <c r="D808" s="658"/>
      <c r="E808" s="658"/>
      <c r="F808" s="658"/>
      <c r="G808" s="658"/>
      <c r="H808" s="658"/>
      <c r="I808" s="658"/>
      <c r="J808" s="658"/>
      <c r="K808" s="658"/>
      <c r="L808" s="658"/>
      <c r="M808" s="658"/>
      <c r="N808" s="658"/>
      <c r="O808" s="658"/>
      <c r="P808" s="658"/>
      <c r="Q808" s="658"/>
      <c r="R808" s="658"/>
      <c r="S808" s="658"/>
      <c r="T808" s="658"/>
      <c r="U808" s="658"/>
      <c r="V808" s="658"/>
      <c r="W808" s="658"/>
      <c r="X808" s="658"/>
      <c r="Y808" s="658"/>
      <c r="Z808" s="658"/>
    </row>
    <row r="809" ht="14.25" customHeight="1">
      <c r="A809" s="658"/>
      <c r="B809" s="658"/>
      <c r="C809" s="658"/>
      <c r="D809" s="658"/>
      <c r="E809" s="658"/>
      <c r="F809" s="658"/>
      <c r="G809" s="658"/>
      <c r="H809" s="658"/>
      <c r="I809" s="658"/>
      <c r="J809" s="658"/>
      <c r="K809" s="658"/>
      <c r="L809" s="658"/>
      <c r="M809" s="658"/>
      <c r="N809" s="658"/>
      <c r="O809" s="658"/>
      <c r="P809" s="658"/>
      <c r="Q809" s="658"/>
      <c r="R809" s="658"/>
      <c r="S809" s="658"/>
      <c r="T809" s="658"/>
      <c r="U809" s="658"/>
      <c r="V809" s="658"/>
      <c r="W809" s="658"/>
      <c r="X809" s="658"/>
      <c r="Y809" s="658"/>
      <c r="Z809" s="658"/>
    </row>
    <row r="810" ht="14.25" customHeight="1">
      <c r="A810" s="658"/>
      <c r="B810" s="658"/>
      <c r="C810" s="658"/>
      <c r="D810" s="658"/>
      <c r="E810" s="658"/>
      <c r="F810" s="658"/>
      <c r="G810" s="658"/>
      <c r="H810" s="658"/>
      <c r="I810" s="658"/>
      <c r="J810" s="658"/>
      <c r="K810" s="658"/>
      <c r="L810" s="658"/>
      <c r="M810" s="658"/>
      <c r="N810" s="658"/>
      <c r="O810" s="658"/>
      <c r="P810" s="658"/>
      <c r="Q810" s="658"/>
      <c r="R810" s="658"/>
      <c r="S810" s="658"/>
      <c r="T810" s="658"/>
      <c r="U810" s="658"/>
      <c r="V810" s="658"/>
      <c r="W810" s="658"/>
      <c r="X810" s="658"/>
      <c r="Y810" s="658"/>
      <c r="Z810" s="658"/>
    </row>
    <row r="811" ht="14.25" customHeight="1">
      <c r="A811" s="658"/>
      <c r="B811" s="658"/>
      <c r="C811" s="658"/>
      <c r="D811" s="658"/>
      <c r="E811" s="658"/>
      <c r="F811" s="658"/>
      <c r="G811" s="658"/>
      <c r="H811" s="658"/>
      <c r="I811" s="658"/>
      <c r="J811" s="658"/>
      <c r="K811" s="658"/>
      <c r="L811" s="658"/>
      <c r="M811" s="658"/>
      <c r="N811" s="658"/>
      <c r="O811" s="658"/>
      <c r="P811" s="658"/>
      <c r="Q811" s="658"/>
      <c r="R811" s="658"/>
      <c r="S811" s="658"/>
      <c r="T811" s="658"/>
      <c r="U811" s="658"/>
      <c r="V811" s="658"/>
      <c r="W811" s="658"/>
      <c r="X811" s="658"/>
      <c r="Y811" s="658"/>
      <c r="Z811" s="658"/>
    </row>
    <row r="812" ht="14.25" customHeight="1">
      <c r="A812" s="658"/>
      <c r="B812" s="658"/>
      <c r="C812" s="658"/>
      <c r="D812" s="658"/>
      <c r="E812" s="658"/>
      <c r="F812" s="658"/>
      <c r="G812" s="658"/>
      <c r="H812" s="658"/>
      <c r="I812" s="658"/>
      <c r="J812" s="658"/>
      <c r="K812" s="658"/>
      <c r="L812" s="658"/>
      <c r="M812" s="658"/>
      <c r="N812" s="658"/>
      <c r="O812" s="658"/>
      <c r="P812" s="658"/>
      <c r="Q812" s="658"/>
      <c r="R812" s="658"/>
      <c r="S812" s="658"/>
      <c r="T812" s="658"/>
      <c r="U812" s="658"/>
      <c r="V812" s="658"/>
      <c r="W812" s="658"/>
      <c r="X812" s="658"/>
      <c r="Y812" s="658"/>
      <c r="Z812" s="658"/>
    </row>
    <row r="813" ht="14.25" customHeight="1">
      <c r="A813" s="658"/>
      <c r="B813" s="658"/>
      <c r="C813" s="658"/>
      <c r="D813" s="658"/>
      <c r="E813" s="658"/>
      <c r="F813" s="658"/>
      <c r="G813" s="658"/>
      <c r="H813" s="658"/>
      <c r="I813" s="658"/>
      <c r="J813" s="658"/>
      <c r="K813" s="658"/>
      <c r="L813" s="658"/>
      <c r="M813" s="658"/>
      <c r="N813" s="658"/>
      <c r="O813" s="658"/>
      <c r="P813" s="658"/>
      <c r="Q813" s="658"/>
      <c r="R813" s="658"/>
      <c r="S813" s="658"/>
      <c r="T813" s="658"/>
      <c r="U813" s="658"/>
      <c r="V813" s="658"/>
      <c r="W813" s="658"/>
      <c r="X813" s="658"/>
      <c r="Y813" s="658"/>
      <c r="Z813" s="658"/>
    </row>
    <row r="814" ht="14.25" customHeight="1">
      <c r="A814" s="658"/>
      <c r="B814" s="658"/>
      <c r="C814" s="658"/>
      <c r="D814" s="658"/>
      <c r="E814" s="658"/>
      <c r="F814" s="658"/>
      <c r="G814" s="658"/>
      <c r="H814" s="658"/>
      <c r="I814" s="658"/>
      <c r="J814" s="658"/>
      <c r="K814" s="658"/>
      <c r="L814" s="658"/>
      <c r="M814" s="658"/>
      <c r="N814" s="658"/>
      <c r="O814" s="658"/>
      <c r="P814" s="658"/>
      <c r="Q814" s="658"/>
      <c r="R814" s="658"/>
      <c r="S814" s="658"/>
      <c r="T814" s="658"/>
      <c r="U814" s="658"/>
      <c r="V814" s="658"/>
      <c r="W814" s="658"/>
      <c r="X814" s="658"/>
      <c r="Y814" s="658"/>
      <c r="Z814" s="658"/>
    </row>
    <row r="815" ht="14.25" customHeight="1">
      <c r="A815" s="658"/>
      <c r="B815" s="658"/>
      <c r="C815" s="658"/>
      <c r="D815" s="658"/>
      <c r="E815" s="658"/>
      <c r="F815" s="658"/>
      <c r="G815" s="658"/>
      <c r="H815" s="658"/>
      <c r="I815" s="658"/>
      <c r="J815" s="658"/>
      <c r="K815" s="658"/>
      <c r="L815" s="658"/>
      <c r="M815" s="658"/>
      <c r="N815" s="658"/>
      <c r="O815" s="658"/>
      <c r="P815" s="658"/>
      <c r="Q815" s="658"/>
      <c r="R815" s="658"/>
      <c r="S815" s="658"/>
      <c r="T815" s="658"/>
      <c r="U815" s="658"/>
      <c r="V815" s="658"/>
      <c r="W815" s="658"/>
      <c r="X815" s="658"/>
      <c r="Y815" s="658"/>
      <c r="Z815" s="658"/>
    </row>
    <row r="816" ht="14.25" customHeight="1">
      <c r="A816" s="658"/>
      <c r="B816" s="658"/>
      <c r="C816" s="658"/>
      <c r="D816" s="658"/>
      <c r="E816" s="658"/>
      <c r="F816" s="658"/>
      <c r="G816" s="658"/>
      <c r="H816" s="658"/>
      <c r="I816" s="658"/>
      <c r="J816" s="658"/>
      <c r="K816" s="658"/>
      <c r="L816" s="658"/>
      <c r="M816" s="658"/>
      <c r="N816" s="658"/>
      <c r="O816" s="658"/>
      <c r="P816" s="658"/>
      <c r="Q816" s="658"/>
      <c r="R816" s="658"/>
      <c r="S816" s="658"/>
      <c r="T816" s="658"/>
      <c r="U816" s="658"/>
      <c r="V816" s="658"/>
      <c r="W816" s="658"/>
      <c r="X816" s="658"/>
      <c r="Y816" s="658"/>
      <c r="Z816" s="658"/>
    </row>
    <row r="817" ht="14.25" customHeight="1">
      <c r="A817" s="658"/>
      <c r="B817" s="658"/>
      <c r="C817" s="658"/>
      <c r="D817" s="658"/>
      <c r="E817" s="658"/>
      <c r="F817" s="658"/>
      <c r="G817" s="658"/>
      <c r="H817" s="658"/>
      <c r="I817" s="658"/>
      <c r="J817" s="658"/>
      <c r="K817" s="658"/>
      <c r="L817" s="658"/>
      <c r="M817" s="658"/>
      <c r="N817" s="658"/>
      <c r="O817" s="658"/>
      <c r="P817" s="658"/>
      <c r="Q817" s="658"/>
      <c r="R817" s="658"/>
      <c r="S817" s="658"/>
      <c r="T817" s="658"/>
      <c r="U817" s="658"/>
      <c r="V817" s="658"/>
      <c r="W817" s="658"/>
      <c r="X817" s="658"/>
      <c r="Y817" s="658"/>
      <c r="Z817" s="658"/>
    </row>
    <row r="818" ht="14.25" customHeight="1">
      <c r="A818" s="658"/>
      <c r="B818" s="658"/>
      <c r="C818" s="658"/>
      <c r="D818" s="658"/>
      <c r="E818" s="658"/>
      <c r="F818" s="658"/>
      <c r="G818" s="658"/>
      <c r="H818" s="658"/>
      <c r="I818" s="658"/>
      <c r="J818" s="658"/>
      <c r="K818" s="658"/>
      <c r="L818" s="658"/>
      <c r="M818" s="658"/>
      <c r="N818" s="658"/>
      <c r="O818" s="658"/>
      <c r="P818" s="658"/>
      <c r="Q818" s="658"/>
      <c r="R818" s="658"/>
      <c r="S818" s="658"/>
      <c r="T818" s="658"/>
      <c r="U818" s="658"/>
      <c r="V818" s="658"/>
      <c r="W818" s="658"/>
      <c r="X818" s="658"/>
      <c r="Y818" s="658"/>
      <c r="Z818" s="658"/>
    </row>
    <row r="819" ht="14.25" customHeight="1">
      <c r="A819" s="658"/>
      <c r="B819" s="658"/>
      <c r="C819" s="658"/>
      <c r="D819" s="658"/>
      <c r="E819" s="658"/>
      <c r="F819" s="658"/>
      <c r="G819" s="658"/>
      <c r="H819" s="658"/>
      <c r="I819" s="658"/>
      <c r="J819" s="658"/>
      <c r="K819" s="658"/>
      <c r="L819" s="658"/>
      <c r="M819" s="658"/>
      <c r="N819" s="658"/>
      <c r="O819" s="658"/>
      <c r="P819" s="658"/>
      <c r="Q819" s="658"/>
      <c r="R819" s="658"/>
      <c r="S819" s="658"/>
      <c r="T819" s="658"/>
      <c r="U819" s="658"/>
      <c r="V819" s="658"/>
      <c r="W819" s="658"/>
      <c r="X819" s="658"/>
      <c r="Y819" s="658"/>
      <c r="Z819" s="658"/>
    </row>
    <row r="820" ht="14.25" customHeight="1">
      <c r="A820" s="658"/>
      <c r="B820" s="658"/>
      <c r="C820" s="658"/>
      <c r="D820" s="658"/>
      <c r="E820" s="658"/>
      <c r="F820" s="658"/>
      <c r="G820" s="658"/>
      <c r="H820" s="658"/>
      <c r="I820" s="658"/>
      <c r="J820" s="658"/>
      <c r="K820" s="658"/>
      <c r="L820" s="658"/>
      <c r="M820" s="658"/>
      <c r="N820" s="658"/>
      <c r="O820" s="658"/>
      <c r="P820" s="658"/>
      <c r="Q820" s="658"/>
      <c r="R820" s="658"/>
      <c r="S820" s="658"/>
      <c r="T820" s="658"/>
      <c r="U820" s="658"/>
      <c r="V820" s="658"/>
      <c r="W820" s="658"/>
      <c r="X820" s="658"/>
      <c r="Y820" s="658"/>
      <c r="Z820" s="658"/>
    </row>
    <row r="821" ht="14.25" customHeight="1">
      <c r="A821" s="658"/>
      <c r="B821" s="658"/>
      <c r="C821" s="658"/>
      <c r="D821" s="658"/>
      <c r="E821" s="658"/>
      <c r="F821" s="658"/>
      <c r="G821" s="658"/>
      <c r="H821" s="658"/>
      <c r="I821" s="658"/>
      <c r="J821" s="658"/>
      <c r="K821" s="658"/>
      <c r="L821" s="658"/>
      <c r="M821" s="658"/>
      <c r="N821" s="658"/>
      <c r="O821" s="658"/>
      <c r="P821" s="658"/>
      <c r="Q821" s="658"/>
      <c r="R821" s="658"/>
      <c r="S821" s="658"/>
      <c r="T821" s="658"/>
      <c r="U821" s="658"/>
      <c r="V821" s="658"/>
      <c r="W821" s="658"/>
      <c r="X821" s="658"/>
      <c r="Y821" s="658"/>
      <c r="Z821" s="658"/>
    </row>
    <row r="822" ht="14.25" customHeight="1">
      <c r="A822" s="658"/>
      <c r="B822" s="658"/>
      <c r="C822" s="658"/>
      <c r="D822" s="658"/>
      <c r="E822" s="658"/>
      <c r="F822" s="658"/>
      <c r="G822" s="658"/>
      <c r="H822" s="658"/>
      <c r="I822" s="658"/>
      <c r="J822" s="658"/>
      <c r="K822" s="658"/>
      <c r="L822" s="658"/>
      <c r="M822" s="658"/>
      <c r="N822" s="658"/>
      <c r="O822" s="658"/>
      <c r="P822" s="658"/>
      <c r="Q822" s="658"/>
      <c r="R822" s="658"/>
      <c r="S822" s="658"/>
      <c r="T822" s="658"/>
      <c r="U822" s="658"/>
      <c r="V822" s="658"/>
      <c r="W822" s="658"/>
      <c r="X822" s="658"/>
      <c r="Y822" s="658"/>
      <c r="Z822" s="658"/>
    </row>
    <row r="823" ht="14.25" customHeight="1">
      <c r="A823" s="658"/>
      <c r="B823" s="658"/>
      <c r="C823" s="658"/>
      <c r="D823" s="658"/>
      <c r="E823" s="658"/>
      <c r="F823" s="658"/>
      <c r="G823" s="658"/>
      <c r="H823" s="658"/>
      <c r="I823" s="658"/>
      <c r="J823" s="658"/>
      <c r="K823" s="658"/>
      <c r="L823" s="658"/>
      <c r="M823" s="658"/>
      <c r="N823" s="658"/>
      <c r="O823" s="658"/>
      <c r="P823" s="658"/>
      <c r="Q823" s="658"/>
      <c r="R823" s="658"/>
      <c r="S823" s="658"/>
      <c r="T823" s="658"/>
      <c r="U823" s="658"/>
      <c r="V823" s="658"/>
      <c r="W823" s="658"/>
      <c r="X823" s="658"/>
      <c r="Y823" s="658"/>
      <c r="Z823" s="658"/>
    </row>
    <row r="824" ht="14.25" customHeight="1">
      <c r="A824" s="658"/>
      <c r="B824" s="658"/>
      <c r="C824" s="658"/>
      <c r="D824" s="658"/>
      <c r="E824" s="658"/>
      <c r="F824" s="658"/>
      <c r="G824" s="658"/>
      <c r="H824" s="658"/>
      <c r="I824" s="658"/>
      <c r="J824" s="658"/>
      <c r="K824" s="658"/>
      <c r="L824" s="658"/>
      <c r="M824" s="658"/>
      <c r="N824" s="658"/>
      <c r="O824" s="658"/>
      <c r="P824" s="658"/>
      <c r="Q824" s="658"/>
      <c r="R824" s="658"/>
      <c r="S824" s="658"/>
      <c r="T824" s="658"/>
      <c r="U824" s="658"/>
      <c r="V824" s="658"/>
      <c r="W824" s="658"/>
      <c r="X824" s="658"/>
      <c r="Y824" s="658"/>
      <c r="Z824" s="658"/>
    </row>
    <row r="825" ht="14.25" customHeight="1">
      <c r="A825" s="658"/>
      <c r="B825" s="658"/>
      <c r="C825" s="658"/>
      <c r="D825" s="658"/>
      <c r="E825" s="658"/>
      <c r="F825" s="658"/>
      <c r="G825" s="658"/>
      <c r="H825" s="658"/>
      <c r="I825" s="658"/>
      <c r="J825" s="658"/>
      <c r="K825" s="658"/>
      <c r="L825" s="658"/>
      <c r="M825" s="658"/>
      <c r="N825" s="658"/>
      <c r="O825" s="658"/>
      <c r="P825" s="658"/>
      <c r="Q825" s="658"/>
      <c r="R825" s="658"/>
      <c r="S825" s="658"/>
      <c r="T825" s="658"/>
      <c r="U825" s="658"/>
      <c r="V825" s="658"/>
      <c r="W825" s="658"/>
      <c r="X825" s="658"/>
      <c r="Y825" s="658"/>
      <c r="Z825" s="658"/>
    </row>
    <row r="826" ht="14.25" customHeight="1">
      <c r="A826" s="658"/>
      <c r="B826" s="658"/>
      <c r="C826" s="658"/>
      <c r="D826" s="658"/>
      <c r="E826" s="658"/>
      <c r="F826" s="658"/>
      <c r="G826" s="658"/>
      <c r="H826" s="658"/>
      <c r="I826" s="658"/>
      <c r="J826" s="658"/>
      <c r="K826" s="658"/>
      <c r="L826" s="658"/>
      <c r="M826" s="658"/>
      <c r="N826" s="658"/>
      <c r="O826" s="658"/>
      <c r="P826" s="658"/>
      <c r="Q826" s="658"/>
      <c r="R826" s="658"/>
      <c r="S826" s="658"/>
      <c r="T826" s="658"/>
      <c r="U826" s="658"/>
      <c r="V826" s="658"/>
      <c r="W826" s="658"/>
      <c r="X826" s="658"/>
      <c r="Y826" s="658"/>
      <c r="Z826" s="658"/>
    </row>
    <row r="827" ht="14.25" customHeight="1">
      <c r="A827" s="658"/>
      <c r="B827" s="658"/>
      <c r="C827" s="658"/>
      <c r="D827" s="658"/>
      <c r="E827" s="658"/>
      <c r="F827" s="658"/>
      <c r="G827" s="658"/>
      <c r="H827" s="658"/>
      <c r="I827" s="658"/>
      <c r="J827" s="658"/>
      <c r="K827" s="658"/>
      <c r="L827" s="658"/>
      <c r="M827" s="658"/>
      <c r="N827" s="658"/>
      <c r="O827" s="658"/>
      <c r="P827" s="658"/>
      <c r="Q827" s="658"/>
      <c r="R827" s="658"/>
      <c r="S827" s="658"/>
      <c r="T827" s="658"/>
      <c r="U827" s="658"/>
      <c r="V827" s="658"/>
      <c r="W827" s="658"/>
      <c r="X827" s="658"/>
      <c r="Y827" s="658"/>
      <c r="Z827" s="658"/>
    </row>
    <row r="828" ht="14.25" customHeight="1">
      <c r="A828" s="658"/>
      <c r="B828" s="658"/>
      <c r="C828" s="658"/>
      <c r="D828" s="658"/>
      <c r="E828" s="658"/>
      <c r="F828" s="658"/>
      <c r="G828" s="658"/>
      <c r="H828" s="658"/>
      <c r="I828" s="658"/>
      <c r="J828" s="658"/>
      <c r="K828" s="658"/>
      <c r="L828" s="658"/>
      <c r="M828" s="658"/>
      <c r="N828" s="658"/>
      <c r="O828" s="658"/>
      <c r="P828" s="658"/>
      <c r="Q828" s="658"/>
      <c r="R828" s="658"/>
      <c r="S828" s="658"/>
      <c r="T828" s="658"/>
      <c r="U828" s="658"/>
      <c r="V828" s="658"/>
      <c r="W828" s="658"/>
      <c r="X828" s="658"/>
      <c r="Y828" s="658"/>
      <c r="Z828" s="658"/>
    </row>
    <row r="829" ht="14.25" customHeight="1">
      <c r="A829" s="658"/>
      <c r="B829" s="658"/>
      <c r="C829" s="658"/>
      <c r="D829" s="658"/>
      <c r="E829" s="658"/>
      <c r="F829" s="658"/>
      <c r="G829" s="658"/>
      <c r="H829" s="658"/>
      <c r="I829" s="658"/>
      <c r="J829" s="658"/>
      <c r="K829" s="658"/>
      <c r="L829" s="658"/>
      <c r="M829" s="658"/>
      <c r="N829" s="658"/>
      <c r="O829" s="658"/>
      <c r="P829" s="658"/>
      <c r="Q829" s="658"/>
      <c r="R829" s="658"/>
      <c r="S829" s="658"/>
      <c r="T829" s="658"/>
      <c r="U829" s="658"/>
      <c r="V829" s="658"/>
      <c r="W829" s="658"/>
      <c r="X829" s="658"/>
      <c r="Y829" s="658"/>
      <c r="Z829" s="658"/>
    </row>
    <row r="830" ht="14.25" customHeight="1">
      <c r="A830" s="658"/>
      <c r="B830" s="658"/>
      <c r="C830" s="658"/>
      <c r="D830" s="658"/>
      <c r="E830" s="658"/>
      <c r="F830" s="658"/>
      <c r="G830" s="658"/>
      <c r="H830" s="658"/>
      <c r="I830" s="658"/>
      <c r="J830" s="658"/>
      <c r="K830" s="658"/>
      <c r="L830" s="658"/>
      <c r="M830" s="658"/>
      <c r="N830" s="658"/>
      <c r="O830" s="658"/>
      <c r="P830" s="658"/>
      <c r="Q830" s="658"/>
      <c r="R830" s="658"/>
      <c r="S830" s="658"/>
      <c r="T830" s="658"/>
      <c r="U830" s="658"/>
      <c r="V830" s="658"/>
      <c r="W830" s="658"/>
      <c r="X830" s="658"/>
      <c r="Y830" s="658"/>
      <c r="Z830" s="658"/>
    </row>
    <row r="831" ht="14.25" customHeight="1">
      <c r="A831" s="658"/>
      <c r="B831" s="658"/>
      <c r="C831" s="658"/>
      <c r="D831" s="658"/>
      <c r="E831" s="658"/>
      <c r="F831" s="658"/>
      <c r="G831" s="658"/>
      <c r="H831" s="658"/>
      <c r="I831" s="658"/>
      <c r="J831" s="658"/>
      <c r="K831" s="658"/>
      <c r="L831" s="658"/>
      <c r="M831" s="658"/>
      <c r="N831" s="658"/>
      <c r="O831" s="658"/>
      <c r="P831" s="658"/>
      <c r="Q831" s="658"/>
      <c r="R831" s="658"/>
      <c r="S831" s="658"/>
      <c r="T831" s="658"/>
      <c r="U831" s="658"/>
      <c r="V831" s="658"/>
      <c r="W831" s="658"/>
      <c r="X831" s="658"/>
      <c r="Y831" s="658"/>
      <c r="Z831" s="658"/>
    </row>
    <row r="832" ht="14.25" customHeight="1">
      <c r="A832" s="658"/>
      <c r="B832" s="658"/>
      <c r="C832" s="658"/>
      <c r="D832" s="658"/>
      <c r="E832" s="658"/>
      <c r="F832" s="658"/>
      <c r="G832" s="658"/>
      <c r="H832" s="658"/>
      <c r="I832" s="658"/>
      <c r="J832" s="658"/>
      <c r="K832" s="658"/>
      <c r="L832" s="658"/>
      <c r="M832" s="658"/>
      <c r="N832" s="658"/>
      <c r="O832" s="658"/>
      <c r="P832" s="658"/>
      <c r="Q832" s="658"/>
      <c r="R832" s="658"/>
      <c r="S832" s="658"/>
      <c r="T832" s="658"/>
      <c r="U832" s="658"/>
      <c r="V832" s="658"/>
      <c r="W832" s="658"/>
      <c r="X832" s="658"/>
      <c r="Y832" s="658"/>
      <c r="Z832" s="658"/>
    </row>
    <row r="833" ht="14.25" customHeight="1">
      <c r="A833" s="658"/>
      <c r="B833" s="658"/>
      <c r="C833" s="658"/>
      <c r="D833" s="658"/>
      <c r="E833" s="658"/>
      <c r="F833" s="658"/>
      <c r="G833" s="658"/>
      <c r="H833" s="658"/>
      <c r="I833" s="658"/>
      <c r="J833" s="658"/>
      <c r="K833" s="658"/>
      <c r="L833" s="658"/>
      <c r="M833" s="658"/>
      <c r="N833" s="658"/>
      <c r="O833" s="658"/>
      <c r="P833" s="658"/>
      <c r="Q833" s="658"/>
      <c r="R833" s="658"/>
      <c r="S833" s="658"/>
      <c r="T833" s="658"/>
      <c r="U833" s="658"/>
      <c r="V833" s="658"/>
      <c r="W833" s="658"/>
      <c r="X833" s="658"/>
      <c r="Y833" s="658"/>
      <c r="Z833" s="658"/>
    </row>
    <row r="834" ht="14.25" customHeight="1">
      <c r="A834" s="658"/>
      <c r="B834" s="658"/>
      <c r="C834" s="658"/>
      <c r="D834" s="658"/>
      <c r="E834" s="658"/>
      <c r="F834" s="658"/>
      <c r="G834" s="658"/>
      <c r="H834" s="658"/>
      <c r="I834" s="658"/>
      <c r="J834" s="658"/>
      <c r="K834" s="658"/>
      <c r="L834" s="658"/>
      <c r="M834" s="658"/>
      <c r="N834" s="658"/>
      <c r="O834" s="658"/>
      <c r="P834" s="658"/>
      <c r="Q834" s="658"/>
      <c r="R834" s="658"/>
      <c r="S834" s="658"/>
      <c r="T834" s="658"/>
      <c r="U834" s="658"/>
      <c r="V834" s="658"/>
      <c r="W834" s="658"/>
      <c r="X834" s="658"/>
      <c r="Y834" s="658"/>
      <c r="Z834" s="658"/>
    </row>
    <row r="835" ht="14.25" customHeight="1">
      <c r="A835" s="658"/>
      <c r="B835" s="658"/>
      <c r="C835" s="658"/>
      <c r="D835" s="658"/>
      <c r="E835" s="658"/>
      <c r="F835" s="658"/>
      <c r="G835" s="658"/>
      <c r="H835" s="658"/>
      <c r="I835" s="658"/>
      <c r="J835" s="658"/>
      <c r="K835" s="658"/>
      <c r="L835" s="658"/>
      <c r="M835" s="658"/>
      <c r="N835" s="658"/>
      <c r="O835" s="658"/>
      <c r="P835" s="658"/>
      <c r="Q835" s="658"/>
      <c r="R835" s="658"/>
      <c r="S835" s="658"/>
      <c r="T835" s="658"/>
      <c r="U835" s="658"/>
      <c r="V835" s="658"/>
      <c r="W835" s="658"/>
      <c r="X835" s="658"/>
      <c r="Y835" s="658"/>
      <c r="Z835" s="658"/>
    </row>
    <row r="836" ht="14.25" customHeight="1">
      <c r="A836" s="658"/>
      <c r="B836" s="658"/>
      <c r="C836" s="658"/>
      <c r="D836" s="658"/>
      <c r="E836" s="658"/>
      <c r="F836" s="658"/>
      <c r="G836" s="658"/>
      <c r="H836" s="658"/>
      <c r="I836" s="658"/>
      <c r="J836" s="658"/>
      <c r="K836" s="658"/>
      <c r="L836" s="658"/>
      <c r="M836" s="658"/>
      <c r="N836" s="658"/>
      <c r="O836" s="658"/>
      <c r="P836" s="658"/>
      <c r="Q836" s="658"/>
      <c r="R836" s="658"/>
      <c r="S836" s="658"/>
      <c r="T836" s="658"/>
      <c r="U836" s="658"/>
      <c r="V836" s="658"/>
      <c r="W836" s="658"/>
      <c r="X836" s="658"/>
      <c r="Y836" s="658"/>
      <c r="Z836" s="658"/>
    </row>
    <row r="837" ht="14.25" customHeight="1">
      <c r="A837" s="658"/>
      <c r="B837" s="658"/>
      <c r="C837" s="658"/>
      <c r="D837" s="658"/>
      <c r="E837" s="658"/>
      <c r="F837" s="658"/>
      <c r="G837" s="658"/>
      <c r="H837" s="658"/>
      <c r="I837" s="658"/>
      <c r="J837" s="658"/>
      <c r="K837" s="658"/>
      <c r="L837" s="658"/>
      <c r="M837" s="658"/>
      <c r="N837" s="658"/>
      <c r="O837" s="658"/>
      <c r="P837" s="658"/>
      <c r="Q837" s="658"/>
      <c r="R837" s="658"/>
      <c r="S837" s="658"/>
      <c r="T837" s="658"/>
      <c r="U837" s="658"/>
      <c r="V837" s="658"/>
      <c r="W837" s="658"/>
      <c r="X837" s="658"/>
      <c r="Y837" s="658"/>
      <c r="Z837" s="658"/>
    </row>
    <row r="838" ht="14.25" customHeight="1">
      <c r="A838" s="658"/>
      <c r="B838" s="658"/>
      <c r="C838" s="658"/>
      <c r="D838" s="658"/>
      <c r="E838" s="658"/>
      <c r="F838" s="658"/>
      <c r="G838" s="658"/>
      <c r="H838" s="658"/>
      <c r="I838" s="658"/>
      <c r="J838" s="658"/>
      <c r="K838" s="658"/>
      <c r="L838" s="658"/>
      <c r="M838" s="658"/>
      <c r="N838" s="658"/>
      <c r="O838" s="658"/>
      <c r="P838" s="658"/>
      <c r="Q838" s="658"/>
      <c r="R838" s="658"/>
      <c r="S838" s="658"/>
      <c r="T838" s="658"/>
      <c r="U838" s="658"/>
      <c r="V838" s="658"/>
      <c r="W838" s="658"/>
      <c r="X838" s="658"/>
      <c r="Y838" s="658"/>
      <c r="Z838" s="658"/>
    </row>
    <row r="839" ht="14.25" customHeight="1">
      <c r="A839" s="658"/>
      <c r="B839" s="658"/>
      <c r="C839" s="658"/>
      <c r="D839" s="658"/>
      <c r="E839" s="658"/>
      <c r="F839" s="658"/>
      <c r="G839" s="658"/>
      <c r="H839" s="658"/>
      <c r="I839" s="658"/>
      <c r="J839" s="658"/>
      <c r="K839" s="658"/>
      <c r="L839" s="658"/>
      <c r="M839" s="658"/>
      <c r="N839" s="658"/>
      <c r="O839" s="658"/>
      <c r="P839" s="658"/>
      <c r="Q839" s="658"/>
      <c r="R839" s="658"/>
      <c r="S839" s="658"/>
      <c r="T839" s="658"/>
      <c r="U839" s="658"/>
      <c r="V839" s="658"/>
      <c r="W839" s="658"/>
      <c r="X839" s="658"/>
      <c r="Y839" s="658"/>
      <c r="Z839" s="658"/>
    </row>
    <row r="840" ht="14.25" customHeight="1">
      <c r="A840" s="658"/>
      <c r="B840" s="658"/>
      <c r="C840" s="658"/>
      <c r="D840" s="658"/>
      <c r="E840" s="658"/>
      <c r="F840" s="658"/>
      <c r="G840" s="658"/>
      <c r="H840" s="658"/>
      <c r="I840" s="658"/>
      <c r="J840" s="658"/>
      <c r="K840" s="658"/>
      <c r="L840" s="658"/>
      <c r="M840" s="658"/>
      <c r="N840" s="658"/>
      <c r="O840" s="658"/>
      <c r="P840" s="658"/>
      <c r="Q840" s="658"/>
      <c r="R840" s="658"/>
      <c r="S840" s="658"/>
      <c r="T840" s="658"/>
      <c r="U840" s="658"/>
      <c r="V840" s="658"/>
      <c r="W840" s="658"/>
      <c r="X840" s="658"/>
      <c r="Y840" s="658"/>
      <c r="Z840" s="658"/>
    </row>
    <row r="841" ht="14.25" customHeight="1">
      <c r="A841" s="658"/>
      <c r="B841" s="658"/>
      <c r="C841" s="658"/>
      <c r="D841" s="658"/>
      <c r="E841" s="658"/>
      <c r="F841" s="658"/>
      <c r="G841" s="658"/>
      <c r="H841" s="658"/>
      <c r="I841" s="658"/>
      <c r="J841" s="658"/>
      <c r="K841" s="658"/>
      <c r="L841" s="658"/>
      <c r="M841" s="658"/>
      <c r="N841" s="658"/>
      <c r="O841" s="658"/>
      <c r="P841" s="658"/>
      <c r="Q841" s="658"/>
      <c r="R841" s="658"/>
      <c r="S841" s="658"/>
      <c r="T841" s="658"/>
      <c r="U841" s="658"/>
      <c r="V841" s="658"/>
      <c r="W841" s="658"/>
      <c r="X841" s="658"/>
      <c r="Y841" s="658"/>
      <c r="Z841" s="658"/>
    </row>
    <row r="842" ht="14.25" customHeight="1">
      <c r="A842" s="658"/>
      <c r="B842" s="658"/>
      <c r="C842" s="658"/>
      <c r="D842" s="658"/>
      <c r="E842" s="658"/>
      <c r="F842" s="658"/>
      <c r="G842" s="658"/>
      <c r="H842" s="658"/>
      <c r="I842" s="658"/>
      <c r="J842" s="658"/>
      <c r="K842" s="658"/>
      <c r="L842" s="658"/>
      <c r="M842" s="658"/>
      <c r="N842" s="658"/>
      <c r="O842" s="658"/>
      <c r="P842" s="658"/>
      <c r="Q842" s="658"/>
      <c r="R842" s="658"/>
      <c r="S842" s="658"/>
      <c r="T842" s="658"/>
      <c r="U842" s="658"/>
      <c r="V842" s="658"/>
      <c r="W842" s="658"/>
      <c r="X842" s="658"/>
      <c r="Y842" s="658"/>
      <c r="Z842" s="658"/>
    </row>
    <row r="843" ht="14.25" customHeight="1">
      <c r="A843" s="658"/>
      <c r="B843" s="658"/>
      <c r="C843" s="658"/>
      <c r="D843" s="658"/>
      <c r="E843" s="658"/>
      <c r="F843" s="658"/>
      <c r="G843" s="658"/>
      <c r="H843" s="658"/>
      <c r="I843" s="658"/>
      <c r="J843" s="658"/>
      <c r="K843" s="658"/>
      <c r="L843" s="658"/>
      <c r="M843" s="658"/>
      <c r="N843" s="658"/>
      <c r="O843" s="658"/>
      <c r="P843" s="658"/>
      <c r="Q843" s="658"/>
      <c r="R843" s="658"/>
      <c r="S843" s="658"/>
      <c r="T843" s="658"/>
      <c r="U843" s="658"/>
      <c r="V843" s="658"/>
      <c r="W843" s="658"/>
      <c r="X843" s="658"/>
      <c r="Y843" s="658"/>
      <c r="Z843" s="658"/>
    </row>
    <row r="844" ht="14.25" customHeight="1">
      <c r="A844" s="658"/>
      <c r="B844" s="658"/>
      <c r="C844" s="658"/>
      <c r="D844" s="658"/>
      <c r="E844" s="658"/>
      <c r="F844" s="658"/>
      <c r="G844" s="658"/>
      <c r="H844" s="658"/>
      <c r="I844" s="658"/>
      <c r="J844" s="658"/>
      <c r="K844" s="658"/>
      <c r="L844" s="658"/>
      <c r="M844" s="658"/>
      <c r="N844" s="658"/>
      <c r="O844" s="658"/>
      <c r="P844" s="658"/>
      <c r="Q844" s="658"/>
      <c r="R844" s="658"/>
      <c r="S844" s="658"/>
      <c r="T844" s="658"/>
      <c r="U844" s="658"/>
      <c r="V844" s="658"/>
      <c r="W844" s="658"/>
      <c r="X844" s="658"/>
      <c r="Y844" s="658"/>
      <c r="Z844" s="658"/>
    </row>
    <row r="845" ht="14.25" customHeight="1">
      <c r="A845" s="658"/>
      <c r="B845" s="658"/>
      <c r="C845" s="658"/>
      <c r="D845" s="658"/>
      <c r="E845" s="658"/>
      <c r="F845" s="658"/>
      <c r="G845" s="658"/>
      <c r="H845" s="658"/>
      <c r="I845" s="658"/>
      <c r="J845" s="658"/>
      <c r="K845" s="658"/>
      <c r="L845" s="658"/>
      <c r="M845" s="658"/>
      <c r="N845" s="658"/>
      <c r="O845" s="658"/>
      <c r="P845" s="658"/>
      <c r="Q845" s="658"/>
      <c r="R845" s="658"/>
      <c r="S845" s="658"/>
      <c r="T845" s="658"/>
      <c r="U845" s="658"/>
      <c r="V845" s="658"/>
      <c r="W845" s="658"/>
      <c r="X845" s="658"/>
      <c r="Y845" s="658"/>
      <c r="Z845" s="658"/>
    </row>
    <row r="846" ht="14.25" customHeight="1">
      <c r="A846" s="658"/>
      <c r="B846" s="658"/>
      <c r="C846" s="658"/>
      <c r="D846" s="658"/>
      <c r="E846" s="658"/>
      <c r="F846" s="658"/>
      <c r="G846" s="658"/>
      <c r="H846" s="658"/>
      <c r="I846" s="658"/>
      <c r="J846" s="658"/>
      <c r="K846" s="658"/>
      <c r="L846" s="658"/>
      <c r="M846" s="658"/>
      <c r="N846" s="658"/>
      <c r="O846" s="658"/>
      <c r="P846" s="658"/>
      <c r="Q846" s="658"/>
      <c r="R846" s="658"/>
      <c r="S846" s="658"/>
      <c r="T846" s="658"/>
      <c r="U846" s="658"/>
      <c r="V846" s="658"/>
      <c r="W846" s="658"/>
      <c r="X846" s="658"/>
      <c r="Y846" s="658"/>
      <c r="Z846" s="658"/>
    </row>
    <row r="847" ht="14.25" customHeight="1">
      <c r="A847" s="658"/>
      <c r="B847" s="658"/>
      <c r="C847" s="658"/>
      <c r="D847" s="658"/>
      <c r="E847" s="658"/>
      <c r="F847" s="658"/>
      <c r="G847" s="658"/>
      <c r="H847" s="658"/>
      <c r="I847" s="658"/>
      <c r="J847" s="658"/>
      <c r="K847" s="658"/>
      <c r="L847" s="658"/>
      <c r="M847" s="658"/>
      <c r="N847" s="658"/>
      <c r="O847" s="658"/>
      <c r="P847" s="658"/>
      <c r="Q847" s="658"/>
      <c r="R847" s="658"/>
      <c r="S847" s="658"/>
      <c r="T847" s="658"/>
      <c r="U847" s="658"/>
      <c r="V847" s="658"/>
      <c r="W847" s="658"/>
      <c r="X847" s="658"/>
      <c r="Y847" s="658"/>
      <c r="Z847" s="658"/>
    </row>
    <row r="848" ht="14.25" customHeight="1">
      <c r="A848" s="658"/>
      <c r="B848" s="658"/>
      <c r="C848" s="658"/>
      <c r="D848" s="658"/>
      <c r="E848" s="658"/>
      <c r="F848" s="658"/>
      <c r="G848" s="658"/>
      <c r="H848" s="658"/>
      <c r="I848" s="658"/>
      <c r="J848" s="658"/>
      <c r="K848" s="658"/>
      <c r="L848" s="658"/>
      <c r="M848" s="658"/>
      <c r="N848" s="658"/>
      <c r="O848" s="658"/>
      <c r="P848" s="658"/>
      <c r="Q848" s="658"/>
      <c r="R848" s="658"/>
      <c r="S848" s="658"/>
      <c r="T848" s="658"/>
      <c r="U848" s="658"/>
      <c r="V848" s="658"/>
      <c r="W848" s="658"/>
      <c r="X848" s="658"/>
      <c r="Y848" s="658"/>
      <c r="Z848" s="658"/>
    </row>
    <row r="849" ht="14.25" customHeight="1">
      <c r="A849" s="658"/>
      <c r="B849" s="658"/>
      <c r="C849" s="658"/>
      <c r="D849" s="658"/>
      <c r="E849" s="658"/>
      <c r="F849" s="658"/>
      <c r="G849" s="658"/>
      <c r="H849" s="658"/>
      <c r="I849" s="658"/>
      <c r="J849" s="658"/>
      <c r="K849" s="658"/>
      <c r="L849" s="658"/>
      <c r="M849" s="658"/>
      <c r="N849" s="658"/>
      <c r="O849" s="658"/>
      <c r="P849" s="658"/>
      <c r="Q849" s="658"/>
      <c r="R849" s="658"/>
      <c r="S849" s="658"/>
      <c r="T849" s="658"/>
      <c r="U849" s="658"/>
      <c r="V849" s="658"/>
      <c r="W849" s="658"/>
      <c r="X849" s="658"/>
      <c r="Y849" s="658"/>
      <c r="Z849" s="658"/>
    </row>
    <row r="850" ht="14.25" customHeight="1">
      <c r="A850" s="658"/>
      <c r="B850" s="658"/>
      <c r="C850" s="658"/>
      <c r="D850" s="658"/>
      <c r="E850" s="658"/>
      <c r="F850" s="658"/>
      <c r="G850" s="658"/>
      <c r="H850" s="658"/>
      <c r="I850" s="658"/>
      <c r="J850" s="658"/>
      <c r="K850" s="658"/>
      <c r="L850" s="658"/>
      <c r="M850" s="658"/>
      <c r="N850" s="658"/>
      <c r="O850" s="658"/>
      <c r="P850" s="658"/>
      <c r="Q850" s="658"/>
      <c r="R850" s="658"/>
      <c r="S850" s="658"/>
      <c r="T850" s="658"/>
      <c r="U850" s="658"/>
      <c r="V850" s="658"/>
      <c r="W850" s="658"/>
      <c r="X850" s="658"/>
      <c r="Y850" s="658"/>
      <c r="Z850" s="658"/>
    </row>
    <row r="851" ht="14.25" customHeight="1">
      <c r="A851" s="658"/>
      <c r="B851" s="658"/>
      <c r="C851" s="658"/>
      <c r="D851" s="658"/>
      <c r="E851" s="658"/>
      <c r="F851" s="658"/>
      <c r="G851" s="658"/>
      <c r="H851" s="658"/>
      <c r="I851" s="658"/>
      <c r="J851" s="658"/>
      <c r="K851" s="658"/>
      <c r="L851" s="658"/>
      <c r="M851" s="658"/>
      <c r="N851" s="658"/>
      <c r="O851" s="658"/>
      <c r="P851" s="658"/>
      <c r="Q851" s="658"/>
      <c r="R851" s="658"/>
      <c r="S851" s="658"/>
      <c r="T851" s="658"/>
      <c r="U851" s="658"/>
      <c r="V851" s="658"/>
      <c r="W851" s="658"/>
      <c r="X851" s="658"/>
      <c r="Y851" s="658"/>
      <c r="Z851" s="658"/>
    </row>
    <row r="852" ht="14.25" customHeight="1">
      <c r="A852" s="658"/>
      <c r="B852" s="658"/>
      <c r="C852" s="658"/>
      <c r="D852" s="658"/>
      <c r="E852" s="658"/>
      <c r="F852" s="658"/>
      <c r="G852" s="658"/>
      <c r="H852" s="658"/>
      <c r="I852" s="658"/>
      <c r="J852" s="658"/>
      <c r="K852" s="658"/>
      <c r="L852" s="658"/>
      <c r="M852" s="658"/>
      <c r="N852" s="658"/>
      <c r="O852" s="658"/>
      <c r="P852" s="658"/>
      <c r="Q852" s="658"/>
      <c r="R852" s="658"/>
      <c r="S852" s="658"/>
      <c r="T852" s="658"/>
      <c r="U852" s="658"/>
      <c r="V852" s="658"/>
      <c r="W852" s="658"/>
      <c r="X852" s="658"/>
      <c r="Y852" s="658"/>
      <c r="Z852" s="658"/>
    </row>
    <row r="853" ht="14.25" customHeight="1">
      <c r="A853" s="658"/>
      <c r="B853" s="658"/>
      <c r="C853" s="658"/>
      <c r="D853" s="658"/>
      <c r="E853" s="658"/>
      <c r="F853" s="658"/>
      <c r="G853" s="658"/>
      <c r="H853" s="658"/>
      <c r="I853" s="658"/>
      <c r="J853" s="658"/>
      <c r="K853" s="658"/>
      <c r="L853" s="658"/>
      <c r="M853" s="658"/>
      <c r="N853" s="658"/>
      <c r="O853" s="658"/>
      <c r="P853" s="658"/>
      <c r="Q853" s="658"/>
      <c r="R853" s="658"/>
      <c r="S853" s="658"/>
      <c r="T853" s="658"/>
      <c r="U853" s="658"/>
      <c r="V853" s="658"/>
      <c r="W853" s="658"/>
      <c r="X853" s="658"/>
      <c r="Y853" s="658"/>
      <c r="Z853" s="658"/>
    </row>
    <row r="854" ht="14.25" customHeight="1">
      <c r="A854" s="658"/>
      <c r="B854" s="658"/>
      <c r="C854" s="658"/>
      <c r="D854" s="658"/>
      <c r="E854" s="658"/>
      <c r="F854" s="658"/>
      <c r="G854" s="658"/>
      <c r="H854" s="658"/>
      <c r="I854" s="658"/>
      <c r="J854" s="658"/>
      <c r="K854" s="658"/>
      <c r="L854" s="658"/>
      <c r="M854" s="658"/>
      <c r="N854" s="658"/>
      <c r="O854" s="658"/>
      <c r="P854" s="658"/>
      <c r="Q854" s="658"/>
      <c r="R854" s="658"/>
      <c r="S854" s="658"/>
      <c r="T854" s="658"/>
      <c r="U854" s="658"/>
      <c r="V854" s="658"/>
      <c r="W854" s="658"/>
      <c r="X854" s="658"/>
      <c r="Y854" s="658"/>
      <c r="Z854" s="658"/>
    </row>
    <row r="855" ht="14.25" customHeight="1">
      <c r="A855" s="658"/>
      <c r="B855" s="658"/>
      <c r="C855" s="658"/>
      <c r="D855" s="658"/>
      <c r="E855" s="658"/>
      <c r="F855" s="658"/>
      <c r="G855" s="658"/>
      <c r="H855" s="658"/>
      <c r="I855" s="658"/>
      <c r="J855" s="658"/>
      <c r="K855" s="658"/>
      <c r="L855" s="658"/>
      <c r="M855" s="658"/>
      <c r="N855" s="658"/>
      <c r="O855" s="658"/>
      <c r="P855" s="658"/>
      <c r="Q855" s="658"/>
      <c r="R855" s="658"/>
      <c r="S855" s="658"/>
      <c r="T855" s="658"/>
      <c r="U855" s="658"/>
      <c r="V855" s="658"/>
      <c r="W855" s="658"/>
      <c r="X855" s="658"/>
      <c r="Y855" s="658"/>
      <c r="Z855" s="658"/>
    </row>
    <row r="856" ht="14.25" customHeight="1">
      <c r="A856" s="658"/>
      <c r="B856" s="658"/>
      <c r="C856" s="658"/>
      <c r="D856" s="658"/>
      <c r="E856" s="658"/>
      <c r="F856" s="658"/>
      <c r="G856" s="658"/>
      <c r="H856" s="658"/>
      <c r="I856" s="658"/>
      <c r="J856" s="658"/>
      <c r="K856" s="658"/>
      <c r="L856" s="658"/>
      <c r="M856" s="658"/>
      <c r="N856" s="658"/>
      <c r="O856" s="658"/>
      <c r="P856" s="658"/>
      <c r="Q856" s="658"/>
      <c r="R856" s="658"/>
      <c r="S856" s="658"/>
      <c r="T856" s="658"/>
      <c r="U856" s="658"/>
      <c r="V856" s="658"/>
      <c r="W856" s="658"/>
      <c r="X856" s="658"/>
      <c r="Y856" s="658"/>
      <c r="Z856" s="658"/>
    </row>
    <row r="857" ht="14.25" customHeight="1">
      <c r="A857" s="658"/>
      <c r="B857" s="658"/>
      <c r="C857" s="658"/>
      <c r="D857" s="658"/>
      <c r="E857" s="658"/>
      <c r="F857" s="658"/>
      <c r="G857" s="658"/>
      <c r="H857" s="658"/>
      <c r="I857" s="658"/>
      <c r="J857" s="658"/>
      <c r="K857" s="658"/>
      <c r="L857" s="658"/>
      <c r="M857" s="658"/>
      <c r="N857" s="658"/>
      <c r="O857" s="658"/>
      <c r="P857" s="658"/>
      <c r="Q857" s="658"/>
      <c r="R857" s="658"/>
      <c r="S857" s="658"/>
      <c r="T857" s="658"/>
      <c r="U857" s="658"/>
      <c r="V857" s="658"/>
      <c r="W857" s="658"/>
      <c r="X857" s="658"/>
      <c r="Y857" s="658"/>
      <c r="Z857" s="658"/>
    </row>
    <row r="858" ht="14.25" customHeight="1">
      <c r="A858" s="658"/>
      <c r="B858" s="658"/>
      <c r="C858" s="658"/>
      <c r="D858" s="658"/>
      <c r="E858" s="658"/>
      <c r="F858" s="658"/>
      <c r="G858" s="658"/>
      <c r="H858" s="658"/>
      <c r="I858" s="658"/>
      <c r="J858" s="658"/>
      <c r="K858" s="658"/>
      <c r="L858" s="658"/>
      <c r="M858" s="658"/>
      <c r="N858" s="658"/>
      <c r="O858" s="658"/>
      <c r="P858" s="658"/>
      <c r="Q858" s="658"/>
      <c r="R858" s="658"/>
      <c r="S858" s="658"/>
      <c r="T858" s="658"/>
      <c r="U858" s="658"/>
      <c r="V858" s="658"/>
      <c r="W858" s="658"/>
      <c r="X858" s="658"/>
      <c r="Y858" s="658"/>
      <c r="Z858" s="658"/>
    </row>
    <row r="859" ht="14.25" customHeight="1">
      <c r="A859" s="658"/>
      <c r="B859" s="658"/>
      <c r="C859" s="658"/>
      <c r="D859" s="658"/>
      <c r="E859" s="658"/>
      <c r="F859" s="658"/>
      <c r="G859" s="658"/>
      <c r="H859" s="658"/>
      <c r="I859" s="658"/>
      <c r="J859" s="658"/>
      <c r="K859" s="658"/>
      <c r="L859" s="658"/>
      <c r="M859" s="658"/>
      <c r="N859" s="658"/>
      <c r="O859" s="658"/>
      <c r="P859" s="658"/>
      <c r="Q859" s="658"/>
      <c r="R859" s="658"/>
      <c r="S859" s="658"/>
      <c r="T859" s="658"/>
      <c r="U859" s="658"/>
      <c r="V859" s="658"/>
      <c r="W859" s="658"/>
      <c r="X859" s="658"/>
      <c r="Y859" s="658"/>
      <c r="Z859" s="658"/>
    </row>
    <row r="860" ht="14.25" customHeight="1">
      <c r="A860" s="658"/>
      <c r="B860" s="658"/>
      <c r="C860" s="658"/>
      <c r="D860" s="658"/>
      <c r="E860" s="658"/>
      <c r="F860" s="658"/>
      <c r="G860" s="658"/>
      <c r="H860" s="658"/>
      <c r="I860" s="658"/>
      <c r="J860" s="658"/>
      <c r="K860" s="658"/>
      <c r="L860" s="658"/>
      <c r="M860" s="658"/>
      <c r="N860" s="658"/>
      <c r="O860" s="658"/>
      <c r="P860" s="658"/>
      <c r="Q860" s="658"/>
      <c r="R860" s="658"/>
      <c r="S860" s="658"/>
      <c r="T860" s="658"/>
      <c r="U860" s="658"/>
      <c r="V860" s="658"/>
      <c r="W860" s="658"/>
      <c r="X860" s="658"/>
      <c r="Y860" s="658"/>
      <c r="Z860" s="658"/>
    </row>
    <row r="861" ht="14.25" customHeight="1">
      <c r="A861" s="658"/>
      <c r="B861" s="658"/>
      <c r="C861" s="658"/>
      <c r="D861" s="658"/>
      <c r="E861" s="658"/>
      <c r="F861" s="658"/>
      <c r="G861" s="658"/>
      <c r="H861" s="658"/>
      <c r="I861" s="658"/>
      <c r="J861" s="658"/>
      <c r="K861" s="658"/>
      <c r="L861" s="658"/>
      <c r="M861" s="658"/>
      <c r="N861" s="658"/>
      <c r="O861" s="658"/>
      <c r="P861" s="658"/>
      <c r="Q861" s="658"/>
      <c r="R861" s="658"/>
      <c r="S861" s="658"/>
      <c r="T861" s="658"/>
      <c r="U861" s="658"/>
      <c r="V861" s="658"/>
      <c r="W861" s="658"/>
      <c r="X861" s="658"/>
      <c r="Y861" s="658"/>
      <c r="Z861" s="658"/>
    </row>
    <row r="862" ht="14.25" customHeight="1">
      <c r="A862" s="658"/>
      <c r="B862" s="658"/>
      <c r="C862" s="658"/>
      <c r="D862" s="658"/>
      <c r="E862" s="658"/>
      <c r="F862" s="658"/>
      <c r="G862" s="658"/>
      <c r="H862" s="658"/>
      <c r="I862" s="658"/>
      <c r="J862" s="658"/>
      <c r="K862" s="658"/>
      <c r="L862" s="658"/>
      <c r="M862" s="658"/>
      <c r="N862" s="658"/>
      <c r="O862" s="658"/>
      <c r="P862" s="658"/>
      <c r="Q862" s="658"/>
      <c r="R862" s="658"/>
      <c r="S862" s="658"/>
      <c r="T862" s="658"/>
      <c r="U862" s="658"/>
      <c r="V862" s="658"/>
      <c r="W862" s="658"/>
      <c r="X862" s="658"/>
      <c r="Y862" s="658"/>
      <c r="Z862" s="658"/>
    </row>
    <row r="863" ht="14.25" customHeight="1">
      <c r="A863" s="658"/>
      <c r="B863" s="658"/>
      <c r="C863" s="658"/>
      <c r="D863" s="658"/>
      <c r="E863" s="658"/>
      <c r="F863" s="658"/>
      <c r="G863" s="658"/>
      <c r="H863" s="658"/>
      <c r="I863" s="658"/>
      <c r="J863" s="658"/>
      <c r="K863" s="658"/>
      <c r="L863" s="658"/>
      <c r="M863" s="658"/>
      <c r="N863" s="658"/>
      <c r="O863" s="658"/>
      <c r="P863" s="658"/>
      <c r="Q863" s="658"/>
      <c r="R863" s="658"/>
      <c r="S863" s="658"/>
      <c r="T863" s="658"/>
      <c r="U863" s="658"/>
      <c r="V863" s="658"/>
      <c r="W863" s="658"/>
      <c r="X863" s="658"/>
      <c r="Y863" s="658"/>
      <c r="Z863" s="658"/>
    </row>
    <row r="864" ht="14.25" customHeight="1">
      <c r="A864" s="658"/>
      <c r="B864" s="658"/>
      <c r="C864" s="658"/>
      <c r="D864" s="658"/>
      <c r="E864" s="658"/>
      <c r="F864" s="658"/>
      <c r="G864" s="658"/>
      <c r="H864" s="658"/>
      <c r="I864" s="658"/>
      <c r="J864" s="658"/>
      <c r="K864" s="658"/>
      <c r="L864" s="658"/>
      <c r="M864" s="658"/>
      <c r="N864" s="658"/>
      <c r="O864" s="658"/>
      <c r="P864" s="658"/>
      <c r="Q864" s="658"/>
      <c r="R864" s="658"/>
      <c r="S864" s="658"/>
      <c r="T864" s="658"/>
      <c r="U864" s="658"/>
      <c r="V864" s="658"/>
      <c r="W864" s="658"/>
      <c r="X864" s="658"/>
      <c r="Y864" s="658"/>
      <c r="Z864" s="658"/>
    </row>
    <row r="865" ht="14.25" customHeight="1">
      <c r="A865" s="658"/>
      <c r="B865" s="658"/>
      <c r="C865" s="658"/>
      <c r="D865" s="658"/>
      <c r="E865" s="658"/>
      <c r="F865" s="658"/>
      <c r="G865" s="658"/>
      <c r="H865" s="658"/>
      <c r="I865" s="658"/>
      <c r="J865" s="658"/>
      <c r="K865" s="658"/>
      <c r="L865" s="658"/>
      <c r="M865" s="658"/>
      <c r="N865" s="658"/>
      <c r="O865" s="658"/>
      <c r="P865" s="658"/>
      <c r="Q865" s="658"/>
      <c r="R865" s="658"/>
      <c r="S865" s="658"/>
      <c r="T865" s="658"/>
      <c r="U865" s="658"/>
      <c r="V865" s="658"/>
      <c r="W865" s="658"/>
      <c r="X865" s="658"/>
      <c r="Y865" s="658"/>
      <c r="Z865" s="658"/>
    </row>
    <row r="866" ht="14.25" customHeight="1">
      <c r="A866" s="658"/>
      <c r="B866" s="658"/>
      <c r="C866" s="658"/>
      <c r="D866" s="658"/>
      <c r="E866" s="658"/>
      <c r="F866" s="658"/>
      <c r="G866" s="658"/>
      <c r="H866" s="658"/>
      <c r="I866" s="658"/>
      <c r="J866" s="658"/>
      <c r="K866" s="658"/>
      <c r="L866" s="658"/>
      <c r="M866" s="658"/>
      <c r="N866" s="658"/>
      <c r="O866" s="658"/>
      <c r="P866" s="658"/>
      <c r="Q866" s="658"/>
      <c r="R866" s="658"/>
      <c r="S866" s="658"/>
      <c r="T866" s="658"/>
      <c r="U866" s="658"/>
      <c r="V866" s="658"/>
      <c r="W866" s="658"/>
      <c r="X866" s="658"/>
      <c r="Y866" s="658"/>
      <c r="Z866" s="658"/>
    </row>
    <row r="867" ht="14.25" customHeight="1">
      <c r="A867" s="658"/>
      <c r="B867" s="658"/>
      <c r="C867" s="658"/>
      <c r="D867" s="658"/>
      <c r="E867" s="658"/>
      <c r="F867" s="658"/>
      <c r="G867" s="658"/>
      <c r="H867" s="658"/>
      <c r="I867" s="658"/>
      <c r="J867" s="658"/>
      <c r="K867" s="658"/>
      <c r="L867" s="658"/>
      <c r="M867" s="658"/>
      <c r="N867" s="658"/>
      <c r="O867" s="658"/>
      <c r="P867" s="658"/>
      <c r="Q867" s="658"/>
      <c r="R867" s="658"/>
      <c r="S867" s="658"/>
      <c r="T867" s="658"/>
      <c r="U867" s="658"/>
      <c r="V867" s="658"/>
      <c r="W867" s="658"/>
      <c r="X867" s="658"/>
      <c r="Y867" s="658"/>
      <c r="Z867" s="658"/>
    </row>
    <row r="868" ht="14.25" customHeight="1">
      <c r="A868" s="658"/>
      <c r="B868" s="658"/>
      <c r="C868" s="658"/>
      <c r="D868" s="658"/>
      <c r="E868" s="658"/>
      <c r="F868" s="658"/>
      <c r="G868" s="658"/>
      <c r="H868" s="658"/>
      <c r="I868" s="658"/>
      <c r="J868" s="658"/>
      <c r="K868" s="658"/>
      <c r="L868" s="658"/>
      <c r="M868" s="658"/>
      <c r="N868" s="658"/>
      <c r="O868" s="658"/>
      <c r="P868" s="658"/>
      <c r="Q868" s="658"/>
      <c r="R868" s="658"/>
      <c r="S868" s="658"/>
      <c r="T868" s="658"/>
      <c r="U868" s="658"/>
      <c r="V868" s="658"/>
      <c r="W868" s="658"/>
      <c r="X868" s="658"/>
      <c r="Y868" s="658"/>
      <c r="Z868" s="658"/>
    </row>
    <row r="869" ht="14.25" customHeight="1">
      <c r="A869" s="658"/>
      <c r="B869" s="658"/>
      <c r="C869" s="658"/>
      <c r="D869" s="658"/>
      <c r="E869" s="658"/>
      <c r="F869" s="658"/>
      <c r="G869" s="658"/>
      <c r="H869" s="658"/>
      <c r="I869" s="658"/>
      <c r="J869" s="658"/>
      <c r="K869" s="658"/>
      <c r="L869" s="658"/>
      <c r="M869" s="658"/>
      <c r="N869" s="658"/>
      <c r="O869" s="658"/>
      <c r="P869" s="658"/>
      <c r="Q869" s="658"/>
      <c r="R869" s="658"/>
      <c r="S869" s="658"/>
      <c r="T869" s="658"/>
      <c r="U869" s="658"/>
      <c r="V869" s="658"/>
      <c r="W869" s="658"/>
      <c r="X869" s="658"/>
      <c r="Y869" s="658"/>
      <c r="Z869" s="658"/>
    </row>
    <row r="870" ht="14.25" customHeight="1">
      <c r="A870" s="658"/>
      <c r="B870" s="658"/>
      <c r="C870" s="658"/>
      <c r="D870" s="658"/>
      <c r="E870" s="658"/>
      <c r="F870" s="658"/>
      <c r="G870" s="658"/>
      <c r="H870" s="658"/>
      <c r="I870" s="658"/>
      <c r="J870" s="658"/>
      <c r="K870" s="658"/>
      <c r="L870" s="658"/>
      <c r="M870" s="658"/>
      <c r="N870" s="658"/>
      <c r="O870" s="658"/>
      <c r="P870" s="658"/>
      <c r="Q870" s="658"/>
      <c r="R870" s="658"/>
      <c r="S870" s="658"/>
      <c r="T870" s="658"/>
      <c r="U870" s="658"/>
      <c r="V870" s="658"/>
      <c r="W870" s="658"/>
      <c r="X870" s="658"/>
      <c r="Y870" s="658"/>
      <c r="Z870" s="658"/>
    </row>
    <row r="871" ht="14.25" customHeight="1">
      <c r="A871" s="658"/>
      <c r="B871" s="658"/>
      <c r="C871" s="658"/>
      <c r="D871" s="658"/>
      <c r="E871" s="658"/>
      <c r="F871" s="658"/>
      <c r="G871" s="658"/>
      <c r="H871" s="658"/>
      <c r="I871" s="658"/>
      <c r="J871" s="658"/>
      <c r="K871" s="658"/>
      <c r="L871" s="658"/>
      <c r="M871" s="658"/>
      <c r="N871" s="658"/>
      <c r="O871" s="658"/>
      <c r="P871" s="658"/>
      <c r="Q871" s="658"/>
      <c r="R871" s="658"/>
      <c r="S871" s="658"/>
      <c r="T871" s="658"/>
      <c r="U871" s="658"/>
      <c r="V871" s="658"/>
      <c r="W871" s="658"/>
      <c r="X871" s="658"/>
      <c r="Y871" s="658"/>
      <c r="Z871" s="658"/>
    </row>
    <row r="872" ht="14.25" customHeight="1">
      <c r="A872" s="658"/>
      <c r="B872" s="658"/>
      <c r="C872" s="658"/>
      <c r="D872" s="658"/>
      <c r="E872" s="658"/>
      <c r="F872" s="658"/>
      <c r="G872" s="658"/>
      <c r="H872" s="658"/>
      <c r="I872" s="658"/>
      <c r="J872" s="658"/>
      <c r="K872" s="658"/>
      <c r="L872" s="658"/>
      <c r="M872" s="658"/>
      <c r="N872" s="658"/>
      <c r="O872" s="658"/>
      <c r="P872" s="658"/>
      <c r="Q872" s="658"/>
      <c r="R872" s="658"/>
      <c r="S872" s="658"/>
      <c r="T872" s="658"/>
      <c r="U872" s="658"/>
      <c r="V872" s="658"/>
      <c r="W872" s="658"/>
      <c r="X872" s="658"/>
      <c r="Y872" s="658"/>
      <c r="Z872" s="658"/>
    </row>
    <row r="873" ht="14.25" customHeight="1">
      <c r="A873" s="658"/>
      <c r="B873" s="658"/>
      <c r="C873" s="658"/>
      <c r="D873" s="658"/>
      <c r="E873" s="658"/>
      <c r="F873" s="658"/>
      <c r="G873" s="658"/>
      <c r="H873" s="658"/>
      <c r="I873" s="658"/>
      <c r="J873" s="658"/>
      <c r="K873" s="658"/>
      <c r="L873" s="658"/>
      <c r="M873" s="658"/>
      <c r="N873" s="658"/>
      <c r="O873" s="658"/>
      <c r="P873" s="658"/>
      <c r="Q873" s="658"/>
      <c r="R873" s="658"/>
      <c r="S873" s="658"/>
      <c r="T873" s="658"/>
      <c r="U873" s="658"/>
      <c r="V873" s="658"/>
      <c r="W873" s="658"/>
      <c r="X873" s="658"/>
      <c r="Y873" s="658"/>
      <c r="Z873" s="658"/>
    </row>
    <row r="874" ht="14.25" customHeight="1">
      <c r="A874" s="658"/>
      <c r="B874" s="658"/>
      <c r="C874" s="658"/>
      <c r="D874" s="658"/>
      <c r="E874" s="658"/>
      <c r="F874" s="658"/>
      <c r="G874" s="658"/>
      <c r="H874" s="658"/>
      <c r="I874" s="658"/>
      <c r="J874" s="658"/>
      <c r="K874" s="658"/>
      <c r="L874" s="658"/>
      <c r="M874" s="658"/>
      <c r="N874" s="658"/>
      <c r="O874" s="658"/>
      <c r="P874" s="658"/>
      <c r="Q874" s="658"/>
      <c r="R874" s="658"/>
      <c r="S874" s="658"/>
      <c r="T874" s="658"/>
      <c r="U874" s="658"/>
      <c r="V874" s="658"/>
      <c r="W874" s="658"/>
      <c r="X874" s="658"/>
      <c r="Y874" s="658"/>
      <c r="Z874" s="658"/>
    </row>
    <row r="875" ht="14.25" customHeight="1">
      <c r="A875" s="658"/>
      <c r="B875" s="658"/>
      <c r="C875" s="658"/>
      <c r="D875" s="658"/>
      <c r="E875" s="658"/>
      <c r="F875" s="658"/>
      <c r="G875" s="658"/>
      <c r="H875" s="658"/>
      <c r="I875" s="658"/>
      <c r="J875" s="658"/>
      <c r="K875" s="658"/>
      <c r="L875" s="658"/>
      <c r="M875" s="658"/>
      <c r="N875" s="658"/>
      <c r="O875" s="658"/>
      <c r="P875" s="658"/>
      <c r="Q875" s="658"/>
      <c r="R875" s="658"/>
      <c r="S875" s="658"/>
      <c r="T875" s="658"/>
      <c r="U875" s="658"/>
      <c r="V875" s="658"/>
      <c r="W875" s="658"/>
      <c r="X875" s="658"/>
      <c r="Y875" s="658"/>
      <c r="Z875" s="658"/>
    </row>
    <row r="876" ht="14.25" customHeight="1">
      <c r="A876" s="658"/>
      <c r="B876" s="658"/>
      <c r="C876" s="658"/>
      <c r="D876" s="658"/>
      <c r="E876" s="658"/>
      <c r="F876" s="658"/>
      <c r="G876" s="658"/>
      <c r="H876" s="658"/>
      <c r="I876" s="658"/>
      <c r="J876" s="658"/>
      <c r="K876" s="658"/>
      <c r="L876" s="658"/>
      <c r="M876" s="658"/>
      <c r="N876" s="658"/>
      <c r="O876" s="658"/>
      <c r="P876" s="658"/>
      <c r="Q876" s="658"/>
      <c r="R876" s="658"/>
      <c r="S876" s="658"/>
      <c r="T876" s="658"/>
      <c r="U876" s="658"/>
      <c r="V876" s="658"/>
      <c r="W876" s="658"/>
      <c r="X876" s="658"/>
      <c r="Y876" s="658"/>
      <c r="Z876" s="658"/>
    </row>
    <row r="877" ht="14.25" customHeight="1">
      <c r="A877" s="658"/>
      <c r="B877" s="658"/>
      <c r="C877" s="658"/>
      <c r="D877" s="658"/>
      <c r="E877" s="658"/>
      <c r="F877" s="658"/>
      <c r="G877" s="658"/>
      <c r="H877" s="658"/>
      <c r="I877" s="658"/>
      <c r="J877" s="658"/>
      <c r="K877" s="658"/>
      <c r="L877" s="658"/>
      <c r="M877" s="658"/>
      <c r="N877" s="658"/>
      <c r="O877" s="658"/>
      <c r="P877" s="658"/>
      <c r="Q877" s="658"/>
      <c r="R877" s="658"/>
      <c r="S877" s="658"/>
      <c r="T877" s="658"/>
      <c r="U877" s="658"/>
      <c r="V877" s="658"/>
      <c r="W877" s="658"/>
      <c r="X877" s="658"/>
      <c r="Y877" s="658"/>
      <c r="Z877" s="658"/>
    </row>
    <row r="878" ht="14.25" customHeight="1">
      <c r="A878" s="658"/>
      <c r="B878" s="658"/>
      <c r="C878" s="658"/>
      <c r="D878" s="658"/>
      <c r="E878" s="658"/>
      <c r="F878" s="658"/>
      <c r="G878" s="658"/>
      <c r="H878" s="658"/>
      <c r="I878" s="658"/>
      <c r="J878" s="658"/>
      <c r="K878" s="658"/>
      <c r="L878" s="658"/>
      <c r="M878" s="658"/>
      <c r="N878" s="658"/>
      <c r="O878" s="658"/>
      <c r="P878" s="658"/>
      <c r="Q878" s="658"/>
      <c r="R878" s="658"/>
      <c r="S878" s="658"/>
      <c r="T878" s="658"/>
      <c r="U878" s="658"/>
      <c r="V878" s="658"/>
      <c r="W878" s="658"/>
      <c r="X878" s="658"/>
      <c r="Y878" s="658"/>
      <c r="Z878" s="658"/>
    </row>
    <row r="879" ht="14.25" customHeight="1">
      <c r="A879" s="658"/>
      <c r="B879" s="658"/>
      <c r="C879" s="658"/>
      <c r="D879" s="658"/>
      <c r="E879" s="658"/>
      <c r="F879" s="658"/>
      <c r="G879" s="658"/>
      <c r="H879" s="658"/>
      <c r="I879" s="658"/>
      <c r="J879" s="658"/>
      <c r="K879" s="658"/>
      <c r="L879" s="658"/>
      <c r="M879" s="658"/>
      <c r="N879" s="658"/>
      <c r="O879" s="658"/>
      <c r="P879" s="658"/>
      <c r="Q879" s="658"/>
      <c r="R879" s="658"/>
      <c r="S879" s="658"/>
      <c r="T879" s="658"/>
      <c r="U879" s="658"/>
      <c r="V879" s="658"/>
      <c r="W879" s="658"/>
      <c r="X879" s="658"/>
      <c r="Y879" s="658"/>
      <c r="Z879" s="658"/>
    </row>
    <row r="880" ht="14.25" customHeight="1">
      <c r="A880" s="658"/>
      <c r="B880" s="658"/>
      <c r="C880" s="658"/>
      <c r="D880" s="658"/>
      <c r="E880" s="658"/>
      <c r="F880" s="658"/>
      <c r="G880" s="658"/>
      <c r="H880" s="658"/>
      <c r="I880" s="658"/>
      <c r="J880" s="658"/>
      <c r="K880" s="658"/>
      <c r="L880" s="658"/>
      <c r="M880" s="658"/>
      <c r="N880" s="658"/>
      <c r="O880" s="658"/>
      <c r="P880" s="658"/>
      <c r="Q880" s="658"/>
      <c r="R880" s="658"/>
      <c r="S880" s="658"/>
      <c r="T880" s="658"/>
      <c r="U880" s="658"/>
      <c r="V880" s="658"/>
      <c r="W880" s="658"/>
      <c r="X880" s="658"/>
      <c r="Y880" s="658"/>
      <c r="Z880" s="658"/>
    </row>
    <row r="881" ht="14.25" customHeight="1">
      <c r="A881" s="658"/>
      <c r="B881" s="658"/>
      <c r="C881" s="658"/>
      <c r="D881" s="658"/>
      <c r="E881" s="658"/>
      <c r="F881" s="658"/>
      <c r="G881" s="658"/>
      <c r="H881" s="658"/>
      <c r="I881" s="658"/>
      <c r="J881" s="658"/>
      <c r="K881" s="658"/>
      <c r="L881" s="658"/>
      <c r="M881" s="658"/>
      <c r="N881" s="658"/>
      <c r="O881" s="658"/>
      <c r="P881" s="658"/>
      <c r="Q881" s="658"/>
      <c r="R881" s="658"/>
      <c r="S881" s="658"/>
      <c r="T881" s="658"/>
      <c r="U881" s="658"/>
      <c r="V881" s="658"/>
      <c r="W881" s="658"/>
      <c r="X881" s="658"/>
      <c r="Y881" s="658"/>
      <c r="Z881" s="658"/>
    </row>
    <row r="882" ht="14.25" customHeight="1">
      <c r="A882" s="658"/>
      <c r="B882" s="658"/>
      <c r="C882" s="658"/>
      <c r="D882" s="658"/>
      <c r="E882" s="658"/>
      <c r="F882" s="658"/>
      <c r="G882" s="658"/>
      <c r="H882" s="658"/>
      <c r="I882" s="658"/>
      <c r="J882" s="658"/>
      <c r="K882" s="658"/>
      <c r="L882" s="658"/>
      <c r="M882" s="658"/>
      <c r="N882" s="658"/>
      <c r="O882" s="658"/>
      <c r="P882" s="658"/>
      <c r="Q882" s="658"/>
      <c r="R882" s="658"/>
      <c r="S882" s="658"/>
      <c r="T882" s="658"/>
      <c r="U882" s="658"/>
      <c r="V882" s="658"/>
      <c r="W882" s="658"/>
      <c r="X882" s="658"/>
      <c r="Y882" s="658"/>
      <c r="Z882" s="658"/>
    </row>
    <row r="883" ht="14.25" customHeight="1">
      <c r="A883" s="658"/>
      <c r="B883" s="658"/>
      <c r="C883" s="658"/>
      <c r="D883" s="658"/>
      <c r="E883" s="658"/>
      <c r="F883" s="658"/>
      <c r="G883" s="658"/>
      <c r="H883" s="658"/>
      <c r="I883" s="658"/>
      <c r="J883" s="658"/>
      <c r="K883" s="658"/>
      <c r="L883" s="658"/>
      <c r="M883" s="658"/>
      <c r="N883" s="658"/>
      <c r="O883" s="658"/>
      <c r="P883" s="658"/>
      <c r="Q883" s="658"/>
      <c r="R883" s="658"/>
      <c r="S883" s="658"/>
      <c r="T883" s="658"/>
      <c r="U883" s="658"/>
      <c r="V883" s="658"/>
      <c r="W883" s="658"/>
      <c r="X883" s="658"/>
      <c r="Y883" s="658"/>
      <c r="Z883" s="658"/>
    </row>
    <row r="884" ht="14.25" customHeight="1">
      <c r="A884" s="658"/>
      <c r="B884" s="658"/>
      <c r="C884" s="658"/>
      <c r="D884" s="658"/>
      <c r="E884" s="658"/>
      <c r="F884" s="658"/>
      <c r="G884" s="658"/>
      <c r="H884" s="658"/>
      <c r="I884" s="658"/>
      <c r="J884" s="658"/>
      <c r="K884" s="658"/>
      <c r="L884" s="658"/>
      <c r="M884" s="658"/>
      <c r="N884" s="658"/>
      <c r="O884" s="658"/>
      <c r="P884" s="658"/>
      <c r="Q884" s="658"/>
      <c r="R884" s="658"/>
      <c r="S884" s="658"/>
      <c r="T884" s="658"/>
      <c r="U884" s="658"/>
      <c r="V884" s="658"/>
      <c r="W884" s="658"/>
      <c r="X884" s="658"/>
      <c r="Y884" s="658"/>
      <c r="Z884" s="658"/>
    </row>
    <row r="885" ht="14.25" customHeight="1">
      <c r="A885" s="658"/>
      <c r="B885" s="658"/>
      <c r="C885" s="658"/>
      <c r="D885" s="658"/>
      <c r="E885" s="658"/>
      <c r="F885" s="658"/>
      <c r="G885" s="658"/>
      <c r="H885" s="658"/>
      <c r="I885" s="658"/>
      <c r="J885" s="658"/>
      <c r="K885" s="658"/>
      <c r="L885" s="658"/>
      <c r="M885" s="658"/>
      <c r="N885" s="658"/>
      <c r="O885" s="658"/>
      <c r="P885" s="658"/>
      <c r="Q885" s="658"/>
      <c r="R885" s="658"/>
      <c r="S885" s="658"/>
      <c r="T885" s="658"/>
      <c r="U885" s="658"/>
      <c r="V885" s="658"/>
      <c r="W885" s="658"/>
      <c r="X885" s="658"/>
      <c r="Y885" s="658"/>
      <c r="Z885" s="658"/>
    </row>
    <row r="886" ht="14.25" customHeight="1">
      <c r="A886" s="658"/>
      <c r="B886" s="658"/>
      <c r="C886" s="658"/>
      <c r="D886" s="658"/>
      <c r="E886" s="658"/>
      <c r="F886" s="658"/>
      <c r="G886" s="658"/>
      <c r="H886" s="658"/>
      <c r="I886" s="658"/>
      <c r="J886" s="658"/>
      <c r="K886" s="658"/>
      <c r="L886" s="658"/>
      <c r="M886" s="658"/>
      <c r="N886" s="658"/>
      <c r="O886" s="658"/>
      <c r="P886" s="658"/>
      <c r="Q886" s="658"/>
      <c r="R886" s="658"/>
      <c r="S886" s="658"/>
      <c r="T886" s="658"/>
      <c r="U886" s="658"/>
      <c r="V886" s="658"/>
      <c r="W886" s="658"/>
      <c r="X886" s="658"/>
      <c r="Y886" s="658"/>
      <c r="Z886" s="658"/>
    </row>
    <row r="887" ht="14.25" customHeight="1">
      <c r="A887" s="658"/>
      <c r="B887" s="658"/>
      <c r="C887" s="658"/>
      <c r="D887" s="658"/>
      <c r="E887" s="658"/>
      <c r="F887" s="658"/>
      <c r="G887" s="658"/>
      <c r="H887" s="658"/>
      <c r="I887" s="658"/>
      <c r="J887" s="658"/>
      <c r="K887" s="658"/>
      <c r="L887" s="658"/>
      <c r="M887" s="658"/>
      <c r="N887" s="658"/>
      <c r="O887" s="658"/>
      <c r="P887" s="658"/>
      <c r="Q887" s="658"/>
      <c r="R887" s="658"/>
      <c r="S887" s="658"/>
      <c r="T887" s="658"/>
      <c r="U887" s="658"/>
      <c r="V887" s="658"/>
      <c r="W887" s="658"/>
      <c r="X887" s="658"/>
      <c r="Y887" s="658"/>
      <c r="Z887" s="658"/>
    </row>
    <row r="888" ht="14.25" customHeight="1">
      <c r="A888" s="658"/>
      <c r="B888" s="658"/>
      <c r="C888" s="658"/>
      <c r="D888" s="658"/>
      <c r="E888" s="658"/>
      <c r="F888" s="658"/>
      <c r="G888" s="658"/>
      <c r="H888" s="658"/>
      <c r="I888" s="658"/>
      <c r="J888" s="658"/>
      <c r="K888" s="658"/>
      <c r="L888" s="658"/>
      <c r="M888" s="658"/>
      <c r="N888" s="658"/>
      <c r="O888" s="658"/>
      <c r="P888" s="658"/>
      <c r="Q888" s="658"/>
      <c r="R888" s="658"/>
      <c r="S888" s="658"/>
      <c r="T888" s="658"/>
      <c r="U888" s="658"/>
      <c r="V888" s="658"/>
      <c r="W888" s="658"/>
      <c r="X888" s="658"/>
      <c r="Y888" s="658"/>
      <c r="Z888" s="658"/>
    </row>
    <row r="889" ht="14.25" customHeight="1">
      <c r="A889" s="658"/>
      <c r="B889" s="658"/>
      <c r="C889" s="658"/>
      <c r="D889" s="658"/>
      <c r="E889" s="658"/>
      <c r="F889" s="658"/>
      <c r="G889" s="658"/>
      <c r="H889" s="658"/>
      <c r="I889" s="658"/>
      <c r="J889" s="658"/>
      <c r="K889" s="658"/>
      <c r="L889" s="658"/>
      <c r="M889" s="658"/>
      <c r="N889" s="658"/>
      <c r="O889" s="658"/>
      <c r="P889" s="658"/>
      <c r="Q889" s="658"/>
      <c r="R889" s="658"/>
      <c r="S889" s="658"/>
      <c r="T889" s="658"/>
      <c r="U889" s="658"/>
      <c r="V889" s="658"/>
      <c r="W889" s="658"/>
      <c r="X889" s="658"/>
      <c r="Y889" s="658"/>
      <c r="Z889" s="658"/>
    </row>
    <row r="890" ht="14.25" customHeight="1">
      <c r="A890" s="658"/>
      <c r="B890" s="658"/>
      <c r="C890" s="658"/>
      <c r="D890" s="658"/>
      <c r="E890" s="658"/>
      <c r="F890" s="658"/>
      <c r="G890" s="658"/>
      <c r="H890" s="658"/>
      <c r="I890" s="658"/>
      <c r="J890" s="658"/>
      <c r="K890" s="658"/>
      <c r="L890" s="658"/>
      <c r="M890" s="658"/>
      <c r="N890" s="658"/>
      <c r="O890" s="658"/>
      <c r="P890" s="658"/>
      <c r="Q890" s="658"/>
      <c r="R890" s="658"/>
      <c r="S890" s="658"/>
      <c r="T890" s="658"/>
      <c r="U890" s="658"/>
      <c r="V890" s="658"/>
      <c r="W890" s="658"/>
      <c r="X890" s="658"/>
      <c r="Y890" s="658"/>
      <c r="Z890" s="658"/>
    </row>
    <row r="891" ht="14.25" customHeight="1">
      <c r="A891" s="658"/>
      <c r="B891" s="658"/>
      <c r="C891" s="658"/>
      <c r="D891" s="658"/>
      <c r="E891" s="658"/>
      <c r="F891" s="658"/>
      <c r="G891" s="658"/>
      <c r="H891" s="658"/>
      <c r="I891" s="658"/>
      <c r="J891" s="658"/>
      <c r="K891" s="658"/>
      <c r="L891" s="658"/>
      <c r="M891" s="658"/>
      <c r="N891" s="658"/>
      <c r="O891" s="658"/>
      <c r="P891" s="658"/>
      <c r="Q891" s="658"/>
      <c r="R891" s="658"/>
      <c r="S891" s="658"/>
      <c r="T891" s="658"/>
      <c r="U891" s="658"/>
      <c r="V891" s="658"/>
      <c r="W891" s="658"/>
      <c r="X891" s="658"/>
      <c r="Y891" s="658"/>
      <c r="Z891" s="658"/>
    </row>
    <row r="892" ht="14.25" customHeight="1">
      <c r="A892" s="658"/>
      <c r="B892" s="658"/>
      <c r="C892" s="658"/>
      <c r="D892" s="658"/>
      <c r="E892" s="658"/>
      <c r="F892" s="658"/>
      <c r="G892" s="658"/>
      <c r="H892" s="658"/>
      <c r="I892" s="658"/>
      <c r="J892" s="658"/>
      <c r="K892" s="658"/>
      <c r="L892" s="658"/>
      <c r="M892" s="658"/>
      <c r="N892" s="658"/>
      <c r="O892" s="658"/>
      <c r="P892" s="658"/>
      <c r="Q892" s="658"/>
      <c r="R892" s="658"/>
      <c r="S892" s="658"/>
      <c r="T892" s="658"/>
      <c r="U892" s="658"/>
      <c r="V892" s="658"/>
      <c r="W892" s="658"/>
      <c r="X892" s="658"/>
      <c r="Y892" s="658"/>
      <c r="Z892" s="658"/>
    </row>
    <row r="893" ht="14.25" customHeight="1">
      <c r="A893" s="658"/>
      <c r="B893" s="658"/>
      <c r="C893" s="658"/>
      <c r="D893" s="658"/>
      <c r="E893" s="658"/>
      <c r="F893" s="658"/>
      <c r="G893" s="658"/>
      <c r="H893" s="658"/>
      <c r="I893" s="658"/>
      <c r="J893" s="658"/>
      <c r="K893" s="658"/>
      <c r="L893" s="658"/>
      <c r="M893" s="658"/>
      <c r="N893" s="658"/>
      <c r="O893" s="658"/>
      <c r="P893" s="658"/>
      <c r="Q893" s="658"/>
      <c r="R893" s="658"/>
      <c r="S893" s="658"/>
      <c r="T893" s="658"/>
      <c r="U893" s="658"/>
      <c r="V893" s="658"/>
      <c r="W893" s="658"/>
      <c r="X893" s="658"/>
      <c r="Y893" s="658"/>
      <c r="Z893" s="658"/>
    </row>
    <row r="894" ht="14.25" customHeight="1">
      <c r="A894" s="658"/>
      <c r="B894" s="658"/>
      <c r="C894" s="658"/>
      <c r="D894" s="658"/>
      <c r="E894" s="658"/>
      <c r="F894" s="658"/>
      <c r="G894" s="658"/>
      <c r="H894" s="658"/>
      <c r="I894" s="658"/>
      <c r="J894" s="658"/>
      <c r="K894" s="658"/>
      <c r="L894" s="658"/>
      <c r="M894" s="658"/>
      <c r="N894" s="658"/>
      <c r="O894" s="658"/>
      <c r="P894" s="658"/>
      <c r="Q894" s="658"/>
      <c r="R894" s="658"/>
      <c r="S894" s="658"/>
      <c r="T894" s="658"/>
      <c r="U894" s="658"/>
      <c r="V894" s="658"/>
      <c r="W894" s="658"/>
      <c r="X894" s="658"/>
      <c r="Y894" s="658"/>
      <c r="Z894" s="658"/>
    </row>
    <row r="895" ht="14.25" customHeight="1">
      <c r="A895" s="658"/>
      <c r="B895" s="658"/>
      <c r="C895" s="658"/>
      <c r="D895" s="658"/>
      <c r="E895" s="658"/>
      <c r="F895" s="658"/>
      <c r="G895" s="658"/>
      <c r="H895" s="658"/>
      <c r="I895" s="658"/>
      <c r="J895" s="658"/>
      <c r="K895" s="658"/>
      <c r="L895" s="658"/>
      <c r="M895" s="658"/>
      <c r="N895" s="658"/>
      <c r="O895" s="658"/>
      <c r="P895" s="658"/>
      <c r="Q895" s="658"/>
      <c r="R895" s="658"/>
      <c r="S895" s="658"/>
      <c r="T895" s="658"/>
      <c r="U895" s="658"/>
      <c r="V895" s="658"/>
      <c r="W895" s="658"/>
      <c r="X895" s="658"/>
      <c r="Y895" s="658"/>
      <c r="Z895" s="658"/>
    </row>
    <row r="896" ht="14.25" customHeight="1">
      <c r="A896" s="658"/>
      <c r="B896" s="658"/>
      <c r="C896" s="658"/>
      <c r="D896" s="658"/>
      <c r="E896" s="658"/>
      <c r="F896" s="658"/>
      <c r="G896" s="658"/>
      <c r="H896" s="658"/>
      <c r="I896" s="658"/>
      <c r="J896" s="658"/>
      <c r="K896" s="658"/>
      <c r="L896" s="658"/>
      <c r="M896" s="658"/>
      <c r="N896" s="658"/>
      <c r="O896" s="658"/>
      <c r="P896" s="658"/>
      <c r="Q896" s="658"/>
      <c r="R896" s="658"/>
      <c r="S896" s="658"/>
      <c r="T896" s="658"/>
      <c r="U896" s="658"/>
      <c r="V896" s="658"/>
      <c r="W896" s="658"/>
      <c r="X896" s="658"/>
      <c r="Y896" s="658"/>
      <c r="Z896" s="658"/>
    </row>
    <row r="897" ht="14.25" customHeight="1">
      <c r="A897" s="658"/>
      <c r="B897" s="658"/>
      <c r="C897" s="658"/>
      <c r="D897" s="658"/>
      <c r="E897" s="658"/>
      <c r="F897" s="658"/>
      <c r="G897" s="658"/>
      <c r="H897" s="658"/>
      <c r="I897" s="658"/>
      <c r="J897" s="658"/>
      <c r="K897" s="658"/>
      <c r="L897" s="658"/>
      <c r="M897" s="658"/>
      <c r="N897" s="658"/>
      <c r="O897" s="658"/>
      <c r="P897" s="658"/>
      <c r="Q897" s="658"/>
      <c r="R897" s="658"/>
      <c r="S897" s="658"/>
      <c r="T897" s="658"/>
      <c r="U897" s="658"/>
      <c r="V897" s="658"/>
      <c r="W897" s="658"/>
      <c r="X897" s="658"/>
      <c r="Y897" s="658"/>
      <c r="Z897" s="658"/>
    </row>
    <row r="898" ht="14.25" customHeight="1">
      <c r="A898" s="658"/>
      <c r="B898" s="658"/>
      <c r="C898" s="658"/>
      <c r="D898" s="658"/>
      <c r="E898" s="658"/>
      <c r="F898" s="658"/>
      <c r="G898" s="658"/>
      <c r="H898" s="658"/>
      <c r="I898" s="658"/>
      <c r="J898" s="658"/>
      <c r="K898" s="658"/>
      <c r="L898" s="658"/>
      <c r="M898" s="658"/>
      <c r="N898" s="658"/>
      <c r="O898" s="658"/>
      <c r="P898" s="658"/>
      <c r="Q898" s="658"/>
      <c r="R898" s="658"/>
      <c r="S898" s="658"/>
      <c r="T898" s="658"/>
      <c r="U898" s="658"/>
      <c r="V898" s="658"/>
      <c r="W898" s="658"/>
      <c r="X898" s="658"/>
      <c r="Y898" s="658"/>
      <c r="Z898" s="658"/>
    </row>
    <row r="899" ht="14.25" customHeight="1">
      <c r="A899" s="658"/>
      <c r="B899" s="658"/>
      <c r="C899" s="658"/>
      <c r="D899" s="658"/>
      <c r="E899" s="658"/>
      <c r="F899" s="658"/>
      <c r="G899" s="658"/>
      <c r="H899" s="658"/>
      <c r="I899" s="658"/>
      <c r="J899" s="658"/>
      <c r="K899" s="658"/>
      <c r="L899" s="658"/>
      <c r="M899" s="658"/>
      <c r="N899" s="658"/>
      <c r="O899" s="658"/>
      <c r="P899" s="658"/>
      <c r="Q899" s="658"/>
      <c r="R899" s="658"/>
      <c r="S899" s="658"/>
      <c r="T899" s="658"/>
      <c r="U899" s="658"/>
      <c r="V899" s="658"/>
      <c r="W899" s="658"/>
      <c r="X899" s="658"/>
      <c r="Y899" s="658"/>
      <c r="Z899" s="658"/>
    </row>
    <row r="900" ht="14.25" customHeight="1">
      <c r="A900" s="658"/>
      <c r="B900" s="658"/>
      <c r="C900" s="658"/>
      <c r="D900" s="658"/>
      <c r="E900" s="658"/>
      <c r="F900" s="658"/>
      <c r="G900" s="658"/>
      <c r="H900" s="658"/>
      <c r="I900" s="658"/>
      <c r="J900" s="658"/>
      <c r="K900" s="658"/>
      <c r="L900" s="658"/>
      <c r="M900" s="658"/>
      <c r="N900" s="658"/>
      <c r="O900" s="658"/>
      <c r="P900" s="658"/>
      <c r="Q900" s="658"/>
      <c r="R900" s="658"/>
      <c r="S900" s="658"/>
      <c r="T900" s="658"/>
      <c r="U900" s="658"/>
      <c r="V900" s="658"/>
      <c r="W900" s="658"/>
      <c r="X900" s="658"/>
      <c r="Y900" s="658"/>
      <c r="Z900" s="658"/>
    </row>
    <row r="901" ht="14.25" customHeight="1">
      <c r="A901" s="658"/>
      <c r="B901" s="658"/>
      <c r="C901" s="658"/>
      <c r="D901" s="658"/>
      <c r="E901" s="658"/>
      <c r="F901" s="658"/>
      <c r="G901" s="658"/>
      <c r="H901" s="658"/>
      <c r="I901" s="658"/>
      <c r="J901" s="658"/>
      <c r="K901" s="658"/>
      <c r="L901" s="658"/>
      <c r="M901" s="658"/>
      <c r="N901" s="658"/>
      <c r="O901" s="658"/>
      <c r="P901" s="658"/>
      <c r="Q901" s="658"/>
      <c r="R901" s="658"/>
      <c r="S901" s="658"/>
      <c r="T901" s="658"/>
      <c r="U901" s="658"/>
      <c r="V901" s="658"/>
      <c r="W901" s="658"/>
      <c r="X901" s="658"/>
      <c r="Y901" s="658"/>
      <c r="Z901" s="658"/>
    </row>
    <row r="902" ht="14.25" customHeight="1">
      <c r="A902" s="658"/>
      <c r="B902" s="658"/>
      <c r="C902" s="658"/>
      <c r="D902" s="658"/>
      <c r="E902" s="658"/>
      <c r="F902" s="658"/>
      <c r="G902" s="658"/>
      <c r="H902" s="658"/>
      <c r="I902" s="658"/>
      <c r="J902" s="658"/>
      <c r="K902" s="658"/>
      <c r="L902" s="658"/>
      <c r="M902" s="658"/>
      <c r="N902" s="658"/>
      <c r="O902" s="658"/>
      <c r="P902" s="658"/>
      <c r="Q902" s="658"/>
      <c r="R902" s="658"/>
      <c r="S902" s="658"/>
      <c r="T902" s="658"/>
      <c r="U902" s="658"/>
      <c r="V902" s="658"/>
      <c r="W902" s="658"/>
      <c r="X902" s="658"/>
      <c r="Y902" s="658"/>
      <c r="Z902" s="658"/>
    </row>
    <row r="903" ht="14.25" customHeight="1">
      <c r="A903" s="658"/>
      <c r="B903" s="658"/>
      <c r="C903" s="658"/>
      <c r="D903" s="658"/>
      <c r="E903" s="658"/>
      <c r="F903" s="658"/>
      <c r="G903" s="658"/>
      <c r="H903" s="658"/>
      <c r="I903" s="658"/>
      <c r="J903" s="658"/>
      <c r="K903" s="658"/>
      <c r="L903" s="658"/>
      <c r="M903" s="658"/>
      <c r="N903" s="658"/>
      <c r="O903" s="658"/>
      <c r="P903" s="658"/>
      <c r="Q903" s="658"/>
      <c r="R903" s="658"/>
      <c r="S903" s="658"/>
      <c r="T903" s="658"/>
      <c r="U903" s="658"/>
      <c r="V903" s="658"/>
      <c r="W903" s="658"/>
      <c r="X903" s="658"/>
      <c r="Y903" s="658"/>
      <c r="Z903" s="658"/>
    </row>
    <row r="904" ht="14.25" customHeight="1">
      <c r="A904" s="658"/>
      <c r="B904" s="658"/>
      <c r="C904" s="658"/>
      <c r="D904" s="658"/>
      <c r="E904" s="658"/>
      <c r="F904" s="658"/>
      <c r="G904" s="658"/>
      <c r="H904" s="658"/>
      <c r="I904" s="658"/>
      <c r="J904" s="658"/>
      <c r="K904" s="658"/>
      <c r="L904" s="658"/>
      <c r="M904" s="658"/>
      <c r="N904" s="658"/>
      <c r="O904" s="658"/>
      <c r="P904" s="658"/>
      <c r="Q904" s="658"/>
      <c r="R904" s="658"/>
      <c r="S904" s="658"/>
      <c r="T904" s="658"/>
      <c r="U904" s="658"/>
      <c r="V904" s="658"/>
      <c r="W904" s="658"/>
      <c r="X904" s="658"/>
      <c r="Y904" s="658"/>
      <c r="Z904" s="658"/>
    </row>
    <row r="905" ht="14.25" customHeight="1">
      <c r="A905" s="658"/>
      <c r="B905" s="658"/>
      <c r="C905" s="658"/>
      <c r="D905" s="658"/>
      <c r="E905" s="658"/>
      <c r="F905" s="658"/>
      <c r="G905" s="658"/>
      <c r="H905" s="658"/>
      <c r="I905" s="658"/>
      <c r="J905" s="658"/>
      <c r="K905" s="658"/>
      <c r="L905" s="658"/>
      <c r="M905" s="658"/>
      <c r="N905" s="658"/>
      <c r="O905" s="658"/>
      <c r="P905" s="658"/>
      <c r="Q905" s="658"/>
      <c r="R905" s="658"/>
      <c r="S905" s="658"/>
      <c r="T905" s="658"/>
      <c r="U905" s="658"/>
      <c r="V905" s="658"/>
      <c r="W905" s="658"/>
      <c r="X905" s="658"/>
      <c r="Y905" s="658"/>
      <c r="Z905" s="658"/>
    </row>
    <row r="906" ht="14.25" customHeight="1">
      <c r="A906" s="658"/>
      <c r="B906" s="658"/>
      <c r="C906" s="658"/>
      <c r="D906" s="658"/>
      <c r="E906" s="658"/>
      <c r="F906" s="658"/>
      <c r="G906" s="658"/>
      <c r="H906" s="658"/>
      <c r="I906" s="658"/>
      <c r="J906" s="658"/>
      <c r="K906" s="658"/>
      <c r="L906" s="658"/>
      <c r="M906" s="658"/>
      <c r="N906" s="658"/>
      <c r="O906" s="658"/>
      <c r="P906" s="658"/>
      <c r="Q906" s="658"/>
      <c r="R906" s="658"/>
      <c r="S906" s="658"/>
      <c r="T906" s="658"/>
      <c r="U906" s="658"/>
      <c r="V906" s="658"/>
      <c r="W906" s="658"/>
      <c r="X906" s="658"/>
      <c r="Y906" s="658"/>
      <c r="Z906" s="658"/>
    </row>
    <row r="907" ht="14.25" customHeight="1">
      <c r="A907" s="658"/>
      <c r="B907" s="658"/>
      <c r="C907" s="658"/>
      <c r="D907" s="658"/>
      <c r="E907" s="658"/>
      <c r="F907" s="658"/>
      <c r="G907" s="658"/>
      <c r="H907" s="658"/>
      <c r="I907" s="658"/>
      <c r="J907" s="658"/>
      <c r="K907" s="658"/>
      <c r="L907" s="658"/>
      <c r="M907" s="658"/>
      <c r="N907" s="658"/>
      <c r="O907" s="658"/>
      <c r="P907" s="658"/>
      <c r="Q907" s="658"/>
      <c r="R907" s="658"/>
      <c r="S907" s="658"/>
      <c r="T907" s="658"/>
      <c r="U907" s="658"/>
      <c r="V907" s="658"/>
      <c r="W907" s="658"/>
      <c r="X907" s="658"/>
      <c r="Y907" s="658"/>
      <c r="Z907" s="658"/>
    </row>
    <row r="908" ht="14.25" customHeight="1">
      <c r="A908" s="658"/>
      <c r="B908" s="658"/>
      <c r="C908" s="658"/>
      <c r="D908" s="658"/>
      <c r="E908" s="658"/>
      <c r="F908" s="658"/>
      <c r="G908" s="658"/>
      <c r="H908" s="658"/>
      <c r="I908" s="658"/>
      <c r="J908" s="658"/>
      <c r="K908" s="658"/>
      <c r="L908" s="658"/>
      <c r="M908" s="658"/>
      <c r="N908" s="658"/>
      <c r="O908" s="658"/>
      <c r="P908" s="658"/>
      <c r="Q908" s="658"/>
      <c r="R908" s="658"/>
      <c r="S908" s="658"/>
      <c r="T908" s="658"/>
      <c r="U908" s="658"/>
      <c r="V908" s="658"/>
      <c r="W908" s="658"/>
      <c r="X908" s="658"/>
      <c r="Y908" s="658"/>
      <c r="Z908" s="658"/>
    </row>
    <row r="909" ht="14.25" customHeight="1">
      <c r="A909" s="658"/>
      <c r="B909" s="658"/>
      <c r="C909" s="658"/>
      <c r="D909" s="658"/>
      <c r="E909" s="658"/>
      <c r="F909" s="658"/>
      <c r="G909" s="658"/>
      <c r="H909" s="658"/>
      <c r="I909" s="658"/>
      <c r="J909" s="658"/>
      <c r="K909" s="658"/>
      <c r="L909" s="658"/>
      <c r="M909" s="658"/>
      <c r="N909" s="658"/>
      <c r="O909" s="658"/>
      <c r="P909" s="658"/>
      <c r="Q909" s="658"/>
      <c r="R909" s="658"/>
      <c r="S909" s="658"/>
      <c r="T909" s="658"/>
      <c r="U909" s="658"/>
      <c r="V909" s="658"/>
      <c r="W909" s="658"/>
      <c r="X909" s="658"/>
      <c r="Y909" s="658"/>
      <c r="Z909" s="658"/>
    </row>
    <row r="910" ht="14.25" customHeight="1">
      <c r="A910" s="658"/>
      <c r="B910" s="658"/>
      <c r="C910" s="658"/>
      <c r="D910" s="658"/>
      <c r="E910" s="658"/>
      <c r="F910" s="658"/>
      <c r="G910" s="658"/>
      <c r="H910" s="658"/>
      <c r="I910" s="658"/>
      <c r="J910" s="658"/>
      <c r="K910" s="658"/>
      <c r="L910" s="658"/>
      <c r="M910" s="658"/>
      <c r="N910" s="658"/>
      <c r="O910" s="658"/>
      <c r="P910" s="658"/>
      <c r="Q910" s="658"/>
      <c r="R910" s="658"/>
      <c r="S910" s="658"/>
      <c r="T910" s="658"/>
      <c r="U910" s="658"/>
      <c r="V910" s="658"/>
      <c r="W910" s="658"/>
      <c r="X910" s="658"/>
      <c r="Y910" s="658"/>
      <c r="Z910" s="658"/>
    </row>
    <row r="911" ht="14.25" customHeight="1">
      <c r="A911" s="658"/>
      <c r="B911" s="658"/>
      <c r="C911" s="658"/>
      <c r="D911" s="658"/>
      <c r="E911" s="658"/>
      <c r="F911" s="658"/>
      <c r="G911" s="658"/>
      <c r="H911" s="658"/>
      <c r="I911" s="658"/>
      <c r="J911" s="658"/>
      <c r="K911" s="658"/>
      <c r="L911" s="658"/>
      <c r="M911" s="658"/>
      <c r="N911" s="658"/>
      <c r="O911" s="658"/>
      <c r="P911" s="658"/>
      <c r="Q911" s="658"/>
      <c r="R911" s="658"/>
      <c r="S911" s="658"/>
      <c r="T911" s="658"/>
      <c r="U911" s="658"/>
      <c r="V911" s="658"/>
      <c r="W911" s="658"/>
      <c r="X911" s="658"/>
      <c r="Y911" s="658"/>
      <c r="Z911" s="658"/>
    </row>
    <row r="912" ht="14.25" customHeight="1">
      <c r="A912" s="658"/>
      <c r="B912" s="658"/>
      <c r="C912" s="658"/>
      <c r="D912" s="658"/>
      <c r="E912" s="658"/>
      <c r="F912" s="658"/>
      <c r="G912" s="658"/>
      <c r="H912" s="658"/>
      <c r="I912" s="658"/>
      <c r="J912" s="658"/>
      <c r="K912" s="658"/>
      <c r="L912" s="658"/>
      <c r="M912" s="658"/>
      <c r="N912" s="658"/>
      <c r="O912" s="658"/>
      <c r="P912" s="658"/>
      <c r="Q912" s="658"/>
      <c r="R912" s="658"/>
      <c r="S912" s="658"/>
      <c r="T912" s="658"/>
      <c r="U912" s="658"/>
      <c r="V912" s="658"/>
      <c r="W912" s="658"/>
      <c r="X912" s="658"/>
      <c r="Y912" s="658"/>
      <c r="Z912" s="658"/>
    </row>
    <row r="913" ht="14.25" customHeight="1">
      <c r="A913" s="658"/>
      <c r="B913" s="658"/>
      <c r="C913" s="658"/>
      <c r="D913" s="658"/>
      <c r="E913" s="658"/>
      <c r="F913" s="658"/>
      <c r="G913" s="658"/>
      <c r="H913" s="658"/>
      <c r="I913" s="658"/>
      <c r="J913" s="658"/>
      <c r="K913" s="658"/>
      <c r="L913" s="658"/>
      <c r="M913" s="658"/>
      <c r="N913" s="658"/>
      <c r="O913" s="658"/>
      <c r="P913" s="658"/>
      <c r="Q913" s="658"/>
      <c r="R913" s="658"/>
      <c r="S913" s="658"/>
      <c r="T913" s="658"/>
      <c r="U913" s="658"/>
      <c r="V913" s="658"/>
      <c r="W913" s="658"/>
      <c r="X913" s="658"/>
      <c r="Y913" s="658"/>
      <c r="Z913" s="658"/>
    </row>
    <row r="914" ht="14.25" customHeight="1">
      <c r="A914" s="658"/>
      <c r="B914" s="658"/>
      <c r="C914" s="658"/>
      <c r="D914" s="658"/>
      <c r="E914" s="658"/>
      <c r="F914" s="658"/>
      <c r="G914" s="658"/>
      <c r="H914" s="658"/>
      <c r="I914" s="658"/>
      <c r="J914" s="658"/>
      <c r="K914" s="658"/>
      <c r="L914" s="658"/>
      <c r="M914" s="658"/>
      <c r="N914" s="658"/>
      <c r="O914" s="658"/>
      <c r="P914" s="658"/>
      <c r="Q914" s="658"/>
      <c r="R914" s="658"/>
      <c r="S914" s="658"/>
      <c r="T914" s="658"/>
      <c r="U914" s="658"/>
      <c r="V914" s="658"/>
      <c r="W914" s="658"/>
      <c r="X914" s="658"/>
      <c r="Y914" s="658"/>
      <c r="Z914" s="658"/>
    </row>
    <row r="915" ht="14.25" customHeight="1">
      <c r="A915" s="658"/>
      <c r="B915" s="658"/>
      <c r="C915" s="658"/>
      <c r="D915" s="658"/>
      <c r="E915" s="658"/>
      <c r="F915" s="658"/>
      <c r="G915" s="658"/>
      <c r="H915" s="658"/>
      <c r="I915" s="658"/>
      <c r="J915" s="658"/>
      <c r="K915" s="658"/>
      <c r="L915" s="658"/>
      <c r="M915" s="658"/>
      <c r="N915" s="658"/>
      <c r="O915" s="658"/>
      <c r="P915" s="658"/>
      <c r="Q915" s="658"/>
      <c r="R915" s="658"/>
      <c r="S915" s="658"/>
      <c r="T915" s="658"/>
      <c r="U915" s="658"/>
      <c r="V915" s="658"/>
      <c r="W915" s="658"/>
      <c r="X915" s="658"/>
      <c r="Y915" s="658"/>
      <c r="Z915" s="658"/>
    </row>
    <row r="916" ht="14.25" customHeight="1">
      <c r="A916" s="658"/>
      <c r="B916" s="658"/>
      <c r="C916" s="658"/>
      <c r="D916" s="658"/>
      <c r="E916" s="658"/>
      <c r="F916" s="658"/>
      <c r="G916" s="658"/>
      <c r="H916" s="658"/>
      <c r="I916" s="658"/>
      <c r="J916" s="658"/>
      <c r="K916" s="658"/>
      <c r="L916" s="658"/>
      <c r="M916" s="658"/>
      <c r="N916" s="658"/>
      <c r="O916" s="658"/>
      <c r="P916" s="658"/>
      <c r="Q916" s="658"/>
      <c r="R916" s="658"/>
      <c r="S916" s="658"/>
      <c r="T916" s="658"/>
      <c r="U916" s="658"/>
      <c r="V916" s="658"/>
      <c r="W916" s="658"/>
      <c r="X916" s="658"/>
      <c r="Y916" s="658"/>
      <c r="Z916" s="658"/>
    </row>
    <row r="917" ht="14.25" customHeight="1">
      <c r="A917" s="658"/>
      <c r="B917" s="658"/>
      <c r="C917" s="658"/>
      <c r="D917" s="658"/>
      <c r="E917" s="658"/>
      <c r="F917" s="658"/>
      <c r="G917" s="658"/>
      <c r="H917" s="658"/>
      <c r="I917" s="658"/>
      <c r="J917" s="658"/>
      <c r="K917" s="658"/>
      <c r="L917" s="658"/>
      <c r="M917" s="658"/>
      <c r="N917" s="658"/>
      <c r="O917" s="658"/>
      <c r="P917" s="658"/>
      <c r="Q917" s="658"/>
      <c r="R917" s="658"/>
      <c r="S917" s="658"/>
      <c r="T917" s="658"/>
      <c r="U917" s="658"/>
      <c r="V917" s="658"/>
      <c r="W917" s="658"/>
      <c r="X917" s="658"/>
      <c r="Y917" s="658"/>
      <c r="Z917" s="658"/>
    </row>
    <row r="918" ht="14.25" customHeight="1">
      <c r="A918" s="658"/>
      <c r="B918" s="658"/>
      <c r="C918" s="658"/>
      <c r="D918" s="658"/>
      <c r="E918" s="658"/>
      <c r="F918" s="658"/>
      <c r="G918" s="658"/>
      <c r="H918" s="658"/>
      <c r="I918" s="658"/>
      <c r="J918" s="658"/>
      <c r="K918" s="658"/>
      <c r="L918" s="658"/>
      <c r="M918" s="658"/>
      <c r="N918" s="658"/>
      <c r="O918" s="658"/>
      <c r="P918" s="658"/>
      <c r="Q918" s="658"/>
      <c r="R918" s="658"/>
      <c r="S918" s="658"/>
      <c r="T918" s="658"/>
      <c r="U918" s="658"/>
      <c r="V918" s="658"/>
      <c r="W918" s="658"/>
      <c r="X918" s="658"/>
      <c r="Y918" s="658"/>
      <c r="Z918" s="658"/>
    </row>
    <row r="919" ht="14.25" customHeight="1">
      <c r="A919" s="658"/>
      <c r="B919" s="658"/>
      <c r="C919" s="658"/>
      <c r="D919" s="658"/>
      <c r="E919" s="658"/>
      <c r="F919" s="658"/>
      <c r="G919" s="658"/>
      <c r="H919" s="658"/>
      <c r="I919" s="658"/>
      <c r="J919" s="658"/>
      <c r="K919" s="658"/>
      <c r="L919" s="658"/>
      <c r="M919" s="658"/>
      <c r="N919" s="658"/>
      <c r="O919" s="658"/>
      <c r="P919" s="658"/>
      <c r="Q919" s="658"/>
      <c r="R919" s="658"/>
      <c r="S919" s="658"/>
      <c r="T919" s="658"/>
      <c r="U919" s="658"/>
      <c r="V919" s="658"/>
      <c r="W919" s="658"/>
      <c r="X919" s="658"/>
      <c r="Y919" s="658"/>
      <c r="Z919" s="658"/>
    </row>
    <row r="920" ht="14.25" customHeight="1">
      <c r="A920" s="658"/>
      <c r="B920" s="658"/>
      <c r="C920" s="658"/>
      <c r="D920" s="658"/>
      <c r="E920" s="658"/>
      <c r="F920" s="658"/>
      <c r="G920" s="658"/>
      <c r="H920" s="658"/>
      <c r="I920" s="658"/>
      <c r="J920" s="658"/>
      <c r="K920" s="658"/>
      <c r="L920" s="658"/>
      <c r="M920" s="658"/>
      <c r="N920" s="658"/>
      <c r="O920" s="658"/>
      <c r="P920" s="658"/>
      <c r="Q920" s="658"/>
      <c r="R920" s="658"/>
      <c r="S920" s="658"/>
      <c r="T920" s="658"/>
      <c r="U920" s="658"/>
      <c r="V920" s="658"/>
      <c r="W920" s="658"/>
      <c r="X920" s="658"/>
      <c r="Y920" s="658"/>
      <c r="Z920" s="658"/>
    </row>
    <row r="921" ht="14.25" customHeight="1">
      <c r="A921" s="658"/>
      <c r="B921" s="658"/>
      <c r="C921" s="658"/>
      <c r="D921" s="658"/>
      <c r="E921" s="658"/>
      <c r="F921" s="658"/>
      <c r="G921" s="658"/>
      <c r="H921" s="658"/>
      <c r="I921" s="658"/>
      <c r="J921" s="658"/>
      <c r="K921" s="658"/>
      <c r="L921" s="658"/>
      <c r="M921" s="658"/>
      <c r="N921" s="658"/>
      <c r="O921" s="658"/>
      <c r="P921" s="658"/>
      <c r="Q921" s="658"/>
      <c r="R921" s="658"/>
      <c r="S921" s="658"/>
      <c r="T921" s="658"/>
      <c r="U921" s="658"/>
      <c r="V921" s="658"/>
      <c r="W921" s="658"/>
      <c r="X921" s="658"/>
      <c r="Y921" s="658"/>
      <c r="Z921" s="658"/>
    </row>
    <row r="922" ht="14.25" customHeight="1">
      <c r="A922" s="658"/>
      <c r="B922" s="658"/>
      <c r="C922" s="658"/>
      <c r="D922" s="658"/>
      <c r="E922" s="658"/>
      <c r="F922" s="658"/>
      <c r="G922" s="658"/>
      <c r="H922" s="658"/>
      <c r="I922" s="658"/>
      <c r="J922" s="658"/>
      <c r="K922" s="658"/>
      <c r="L922" s="658"/>
      <c r="M922" s="658"/>
      <c r="N922" s="658"/>
      <c r="O922" s="658"/>
      <c r="P922" s="658"/>
      <c r="Q922" s="658"/>
      <c r="R922" s="658"/>
      <c r="S922" s="658"/>
      <c r="T922" s="658"/>
      <c r="U922" s="658"/>
      <c r="V922" s="658"/>
      <c r="W922" s="658"/>
      <c r="X922" s="658"/>
      <c r="Y922" s="658"/>
      <c r="Z922" s="658"/>
    </row>
    <row r="923" ht="14.25" customHeight="1">
      <c r="A923" s="658"/>
      <c r="B923" s="658"/>
      <c r="C923" s="658"/>
      <c r="D923" s="658"/>
      <c r="E923" s="658"/>
      <c r="F923" s="658"/>
      <c r="G923" s="658"/>
      <c r="H923" s="658"/>
      <c r="I923" s="658"/>
      <c r="J923" s="658"/>
      <c r="K923" s="658"/>
      <c r="L923" s="658"/>
      <c r="M923" s="658"/>
      <c r="N923" s="658"/>
      <c r="O923" s="658"/>
      <c r="P923" s="658"/>
      <c r="Q923" s="658"/>
      <c r="R923" s="658"/>
      <c r="S923" s="658"/>
      <c r="T923" s="658"/>
      <c r="U923" s="658"/>
      <c r="V923" s="658"/>
      <c r="W923" s="658"/>
      <c r="X923" s="658"/>
      <c r="Y923" s="658"/>
      <c r="Z923" s="658"/>
    </row>
    <row r="924" ht="14.25" customHeight="1">
      <c r="A924" s="658"/>
      <c r="B924" s="658"/>
      <c r="C924" s="658"/>
      <c r="D924" s="658"/>
      <c r="E924" s="658"/>
      <c r="F924" s="658"/>
      <c r="G924" s="658"/>
      <c r="H924" s="658"/>
      <c r="I924" s="658"/>
      <c r="J924" s="658"/>
      <c r="K924" s="658"/>
      <c r="L924" s="658"/>
      <c r="M924" s="658"/>
      <c r="N924" s="658"/>
      <c r="O924" s="658"/>
      <c r="P924" s="658"/>
      <c r="Q924" s="658"/>
      <c r="R924" s="658"/>
      <c r="S924" s="658"/>
      <c r="T924" s="658"/>
      <c r="U924" s="658"/>
      <c r="V924" s="658"/>
      <c r="W924" s="658"/>
      <c r="X924" s="658"/>
      <c r="Y924" s="658"/>
      <c r="Z924" s="658"/>
    </row>
    <row r="925" ht="14.25" customHeight="1">
      <c r="A925" s="658"/>
      <c r="B925" s="658"/>
      <c r="C925" s="658"/>
      <c r="D925" s="658"/>
      <c r="E925" s="658"/>
      <c r="F925" s="658"/>
      <c r="G925" s="658"/>
      <c r="H925" s="658"/>
      <c r="I925" s="658"/>
      <c r="J925" s="658"/>
      <c r="K925" s="658"/>
      <c r="L925" s="658"/>
      <c r="M925" s="658"/>
      <c r="N925" s="658"/>
      <c r="O925" s="658"/>
      <c r="P925" s="658"/>
      <c r="Q925" s="658"/>
      <c r="R925" s="658"/>
      <c r="S925" s="658"/>
      <c r="T925" s="658"/>
      <c r="U925" s="658"/>
      <c r="V925" s="658"/>
      <c r="W925" s="658"/>
      <c r="X925" s="658"/>
      <c r="Y925" s="658"/>
      <c r="Z925" s="658"/>
    </row>
    <row r="926" ht="14.25" customHeight="1">
      <c r="A926" s="658"/>
      <c r="B926" s="658"/>
      <c r="C926" s="658"/>
      <c r="D926" s="658"/>
      <c r="E926" s="658"/>
      <c r="F926" s="658"/>
      <c r="G926" s="658"/>
      <c r="H926" s="658"/>
      <c r="I926" s="658"/>
      <c r="J926" s="658"/>
      <c r="K926" s="658"/>
      <c r="L926" s="658"/>
      <c r="M926" s="658"/>
      <c r="N926" s="658"/>
      <c r="O926" s="658"/>
      <c r="P926" s="658"/>
      <c r="Q926" s="658"/>
      <c r="R926" s="658"/>
      <c r="S926" s="658"/>
      <c r="T926" s="658"/>
      <c r="U926" s="658"/>
      <c r="V926" s="658"/>
      <c r="W926" s="658"/>
      <c r="X926" s="658"/>
      <c r="Y926" s="658"/>
      <c r="Z926" s="658"/>
    </row>
    <row r="927" ht="14.25" customHeight="1">
      <c r="A927" s="658"/>
      <c r="B927" s="658"/>
      <c r="C927" s="658"/>
      <c r="D927" s="658"/>
      <c r="E927" s="658"/>
      <c r="F927" s="658"/>
      <c r="G927" s="658"/>
      <c r="H927" s="658"/>
      <c r="I927" s="658"/>
      <c r="J927" s="658"/>
      <c r="K927" s="658"/>
      <c r="L927" s="658"/>
      <c r="M927" s="658"/>
      <c r="N927" s="658"/>
      <c r="O927" s="658"/>
      <c r="P927" s="658"/>
      <c r="Q927" s="658"/>
      <c r="R927" s="658"/>
      <c r="S927" s="658"/>
      <c r="T927" s="658"/>
      <c r="U927" s="658"/>
      <c r="V927" s="658"/>
      <c r="W927" s="658"/>
      <c r="X927" s="658"/>
      <c r="Y927" s="658"/>
      <c r="Z927" s="658"/>
    </row>
    <row r="928" ht="14.25" customHeight="1">
      <c r="A928" s="658"/>
      <c r="B928" s="658"/>
      <c r="C928" s="658"/>
      <c r="D928" s="658"/>
      <c r="E928" s="658"/>
      <c r="F928" s="658"/>
      <c r="G928" s="658"/>
      <c r="H928" s="658"/>
      <c r="I928" s="658"/>
      <c r="J928" s="658"/>
      <c r="K928" s="658"/>
      <c r="L928" s="658"/>
      <c r="M928" s="658"/>
      <c r="N928" s="658"/>
      <c r="O928" s="658"/>
      <c r="P928" s="658"/>
      <c r="Q928" s="658"/>
      <c r="R928" s="658"/>
      <c r="S928" s="658"/>
      <c r="T928" s="658"/>
      <c r="U928" s="658"/>
      <c r="V928" s="658"/>
      <c r="W928" s="658"/>
      <c r="X928" s="658"/>
      <c r="Y928" s="658"/>
      <c r="Z928" s="658"/>
    </row>
    <row r="929" ht="14.25" customHeight="1">
      <c r="A929" s="658"/>
      <c r="B929" s="658"/>
      <c r="C929" s="658"/>
      <c r="D929" s="658"/>
      <c r="E929" s="658"/>
      <c r="F929" s="658"/>
      <c r="G929" s="658"/>
      <c r="H929" s="658"/>
      <c r="I929" s="658"/>
      <c r="J929" s="658"/>
      <c r="K929" s="658"/>
      <c r="L929" s="658"/>
      <c r="M929" s="658"/>
      <c r="N929" s="658"/>
      <c r="O929" s="658"/>
      <c r="P929" s="658"/>
      <c r="Q929" s="658"/>
      <c r="R929" s="658"/>
      <c r="S929" s="658"/>
      <c r="T929" s="658"/>
      <c r="U929" s="658"/>
      <c r="V929" s="658"/>
      <c r="W929" s="658"/>
      <c r="X929" s="658"/>
      <c r="Y929" s="658"/>
      <c r="Z929" s="658"/>
    </row>
    <row r="930" ht="14.25" customHeight="1">
      <c r="A930" s="658"/>
      <c r="B930" s="658"/>
      <c r="C930" s="658"/>
      <c r="D930" s="658"/>
      <c r="E930" s="658"/>
      <c r="F930" s="658"/>
      <c r="G930" s="658"/>
      <c r="H930" s="658"/>
      <c r="I930" s="658"/>
      <c r="J930" s="658"/>
      <c r="K930" s="658"/>
      <c r="L930" s="658"/>
      <c r="M930" s="658"/>
      <c r="N930" s="658"/>
      <c r="O930" s="658"/>
      <c r="P930" s="658"/>
      <c r="Q930" s="658"/>
      <c r="R930" s="658"/>
      <c r="S930" s="658"/>
      <c r="T930" s="658"/>
      <c r="U930" s="658"/>
      <c r="V930" s="658"/>
      <c r="W930" s="658"/>
      <c r="X930" s="658"/>
      <c r="Y930" s="658"/>
      <c r="Z930" s="658"/>
    </row>
    <row r="931" ht="14.25" customHeight="1">
      <c r="A931" s="658"/>
      <c r="B931" s="658"/>
      <c r="C931" s="658"/>
      <c r="D931" s="658"/>
      <c r="E931" s="658"/>
      <c r="F931" s="658"/>
      <c r="G931" s="658"/>
      <c r="H931" s="658"/>
      <c r="I931" s="658"/>
      <c r="J931" s="658"/>
      <c r="K931" s="658"/>
      <c r="L931" s="658"/>
      <c r="M931" s="658"/>
      <c r="N931" s="658"/>
      <c r="O931" s="658"/>
      <c r="P931" s="658"/>
      <c r="Q931" s="658"/>
      <c r="R931" s="658"/>
      <c r="S931" s="658"/>
      <c r="T931" s="658"/>
      <c r="U931" s="658"/>
      <c r="V931" s="658"/>
      <c r="W931" s="658"/>
      <c r="X931" s="658"/>
      <c r="Y931" s="658"/>
      <c r="Z931" s="658"/>
    </row>
    <row r="932" ht="14.25" customHeight="1">
      <c r="A932" s="658"/>
      <c r="B932" s="658"/>
      <c r="C932" s="658"/>
      <c r="D932" s="658"/>
      <c r="E932" s="658"/>
      <c r="F932" s="658"/>
      <c r="G932" s="658"/>
      <c r="H932" s="658"/>
      <c r="I932" s="658"/>
      <c r="J932" s="658"/>
      <c r="K932" s="658"/>
      <c r="L932" s="658"/>
      <c r="M932" s="658"/>
      <c r="N932" s="658"/>
      <c r="O932" s="658"/>
      <c r="P932" s="658"/>
      <c r="Q932" s="658"/>
      <c r="R932" s="658"/>
      <c r="S932" s="658"/>
      <c r="T932" s="658"/>
      <c r="U932" s="658"/>
      <c r="V932" s="658"/>
      <c r="W932" s="658"/>
      <c r="X932" s="658"/>
      <c r="Y932" s="658"/>
      <c r="Z932" s="658"/>
    </row>
    <row r="933" ht="14.25" customHeight="1">
      <c r="A933" s="658"/>
      <c r="B933" s="658"/>
      <c r="C933" s="658"/>
      <c r="D933" s="658"/>
      <c r="E933" s="658"/>
      <c r="F933" s="658"/>
      <c r="G933" s="658"/>
      <c r="H933" s="658"/>
      <c r="I933" s="658"/>
      <c r="J933" s="658"/>
      <c r="K933" s="658"/>
      <c r="L933" s="658"/>
      <c r="M933" s="658"/>
      <c r="N933" s="658"/>
      <c r="O933" s="658"/>
      <c r="P933" s="658"/>
      <c r="Q933" s="658"/>
      <c r="R933" s="658"/>
      <c r="S933" s="658"/>
      <c r="T933" s="658"/>
      <c r="U933" s="658"/>
      <c r="V933" s="658"/>
      <c r="W933" s="658"/>
      <c r="X933" s="658"/>
      <c r="Y933" s="658"/>
      <c r="Z933" s="658"/>
    </row>
    <row r="934" ht="14.25" customHeight="1">
      <c r="A934" s="658"/>
      <c r="B934" s="658"/>
      <c r="C934" s="658"/>
      <c r="D934" s="658"/>
      <c r="E934" s="658"/>
      <c r="F934" s="658"/>
      <c r="G934" s="658"/>
      <c r="H934" s="658"/>
      <c r="I934" s="658"/>
      <c r="J934" s="658"/>
      <c r="K934" s="658"/>
      <c r="L934" s="658"/>
      <c r="M934" s="658"/>
      <c r="N934" s="658"/>
      <c r="O934" s="658"/>
      <c r="P934" s="658"/>
      <c r="Q934" s="658"/>
      <c r="R934" s="658"/>
      <c r="S934" s="658"/>
      <c r="T934" s="658"/>
      <c r="U934" s="658"/>
      <c r="V934" s="658"/>
      <c r="W934" s="658"/>
      <c r="X934" s="658"/>
      <c r="Y934" s="658"/>
      <c r="Z934" s="658"/>
    </row>
    <row r="935" ht="14.25" customHeight="1">
      <c r="A935" s="658"/>
      <c r="B935" s="658"/>
      <c r="C935" s="658"/>
      <c r="D935" s="658"/>
      <c r="E935" s="658"/>
      <c r="F935" s="658"/>
      <c r="G935" s="658"/>
      <c r="H935" s="658"/>
      <c r="I935" s="658"/>
      <c r="J935" s="658"/>
      <c r="K935" s="658"/>
      <c r="L935" s="658"/>
      <c r="M935" s="658"/>
      <c r="N935" s="658"/>
      <c r="O935" s="658"/>
      <c r="P935" s="658"/>
      <c r="Q935" s="658"/>
      <c r="R935" s="658"/>
      <c r="S935" s="658"/>
      <c r="T935" s="658"/>
      <c r="U935" s="658"/>
      <c r="V935" s="658"/>
      <c r="W935" s="658"/>
      <c r="X935" s="658"/>
      <c r="Y935" s="658"/>
      <c r="Z935" s="658"/>
    </row>
    <row r="936" ht="14.25" customHeight="1">
      <c r="A936" s="658"/>
      <c r="B936" s="658"/>
      <c r="C936" s="658"/>
      <c r="D936" s="658"/>
      <c r="E936" s="658"/>
      <c r="F936" s="658"/>
      <c r="G936" s="658"/>
      <c r="H936" s="658"/>
      <c r="I936" s="658"/>
      <c r="J936" s="658"/>
      <c r="K936" s="658"/>
      <c r="L936" s="658"/>
      <c r="M936" s="658"/>
      <c r="N936" s="658"/>
      <c r="O936" s="658"/>
      <c r="P936" s="658"/>
      <c r="Q936" s="658"/>
      <c r="R936" s="658"/>
      <c r="S936" s="658"/>
      <c r="T936" s="658"/>
      <c r="U936" s="658"/>
      <c r="V936" s="658"/>
      <c r="W936" s="658"/>
      <c r="X936" s="658"/>
      <c r="Y936" s="658"/>
      <c r="Z936" s="658"/>
    </row>
    <row r="937" ht="14.25" customHeight="1">
      <c r="A937" s="658"/>
      <c r="B937" s="658"/>
      <c r="C937" s="658"/>
      <c r="D937" s="658"/>
      <c r="E937" s="658"/>
      <c r="F937" s="658"/>
      <c r="G937" s="658"/>
      <c r="H937" s="658"/>
      <c r="I937" s="658"/>
      <c r="J937" s="658"/>
      <c r="K937" s="658"/>
      <c r="L937" s="658"/>
      <c r="M937" s="658"/>
      <c r="N937" s="658"/>
      <c r="O937" s="658"/>
      <c r="P937" s="658"/>
      <c r="Q937" s="658"/>
      <c r="R937" s="658"/>
      <c r="S937" s="658"/>
      <c r="T937" s="658"/>
      <c r="U937" s="658"/>
      <c r="V937" s="658"/>
      <c r="W937" s="658"/>
      <c r="X937" s="658"/>
      <c r="Y937" s="658"/>
      <c r="Z937" s="658"/>
    </row>
    <row r="938" ht="14.25" customHeight="1">
      <c r="A938" s="658"/>
      <c r="B938" s="658"/>
      <c r="C938" s="658"/>
      <c r="D938" s="658"/>
      <c r="E938" s="658"/>
      <c r="F938" s="658"/>
      <c r="G938" s="658"/>
      <c r="H938" s="658"/>
      <c r="I938" s="658"/>
      <c r="J938" s="658"/>
      <c r="K938" s="658"/>
      <c r="L938" s="658"/>
      <c r="M938" s="658"/>
      <c r="N938" s="658"/>
      <c r="O938" s="658"/>
      <c r="P938" s="658"/>
      <c r="Q938" s="658"/>
      <c r="R938" s="658"/>
      <c r="S938" s="658"/>
      <c r="T938" s="658"/>
      <c r="U938" s="658"/>
      <c r="V938" s="658"/>
      <c r="W938" s="658"/>
      <c r="X938" s="658"/>
      <c r="Y938" s="658"/>
      <c r="Z938" s="658"/>
    </row>
    <row r="939" ht="14.25" customHeight="1">
      <c r="A939" s="658"/>
      <c r="B939" s="658"/>
      <c r="C939" s="658"/>
      <c r="D939" s="658"/>
      <c r="E939" s="658"/>
      <c r="F939" s="658"/>
      <c r="G939" s="658"/>
      <c r="H939" s="658"/>
      <c r="I939" s="658"/>
      <c r="J939" s="658"/>
      <c r="K939" s="658"/>
      <c r="L939" s="658"/>
      <c r="M939" s="658"/>
      <c r="N939" s="658"/>
      <c r="O939" s="658"/>
      <c r="P939" s="658"/>
      <c r="Q939" s="658"/>
      <c r="R939" s="658"/>
      <c r="S939" s="658"/>
      <c r="T939" s="658"/>
      <c r="U939" s="658"/>
      <c r="V939" s="658"/>
      <c r="W939" s="658"/>
      <c r="X939" s="658"/>
      <c r="Y939" s="658"/>
      <c r="Z939" s="658"/>
    </row>
    <row r="940" ht="14.25" customHeight="1">
      <c r="A940" s="658"/>
      <c r="B940" s="658"/>
      <c r="C940" s="658"/>
      <c r="D940" s="658"/>
      <c r="E940" s="658"/>
      <c r="F940" s="658"/>
      <c r="G940" s="658"/>
      <c r="H940" s="658"/>
      <c r="I940" s="658"/>
      <c r="J940" s="658"/>
      <c r="K940" s="658"/>
      <c r="L940" s="658"/>
      <c r="M940" s="658"/>
      <c r="N940" s="658"/>
      <c r="O940" s="658"/>
      <c r="P940" s="658"/>
      <c r="Q940" s="658"/>
      <c r="R940" s="658"/>
      <c r="S940" s="658"/>
      <c r="T940" s="658"/>
      <c r="U940" s="658"/>
      <c r="V940" s="658"/>
      <c r="W940" s="658"/>
      <c r="X940" s="658"/>
      <c r="Y940" s="658"/>
      <c r="Z940" s="658"/>
    </row>
    <row r="941" ht="14.25" customHeight="1">
      <c r="A941" s="658"/>
      <c r="B941" s="658"/>
      <c r="C941" s="658"/>
      <c r="D941" s="658"/>
      <c r="E941" s="658"/>
      <c r="F941" s="658"/>
      <c r="G941" s="658"/>
      <c r="H941" s="658"/>
      <c r="I941" s="658"/>
      <c r="J941" s="658"/>
      <c r="K941" s="658"/>
      <c r="L941" s="658"/>
      <c r="M941" s="658"/>
      <c r="N941" s="658"/>
      <c r="O941" s="658"/>
      <c r="P941" s="658"/>
      <c r="Q941" s="658"/>
      <c r="R941" s="658"/>
      <c r="S941" s="658"/>
      <c r="T941" s="658"/>
      <c r="U941" s="658"/>
      <c r="V941" s="658"/>
      <c r="W941" s="658"/>
      <c r="X941" s="658"/>
      <c r="Y941" s="658"/>
      <c r="Z941" s="658"/>
    </row>
    <row r="942" ht="14.25" customHeight="1">
      <c r="A942" s="658"/>
      <c r="B942" s="658"/>
      <c r="C942" s="658"/>
      <c r="D942" s="658"/>
      <c r="E942" s="658"/>
      <c r="F942" s="658"/>
      <c r="G942" s="658"/>
      <c r="H942" s="658"/>
      <c r="I942" s="658"/>
      <c r="J942" s="658"/>
      <c r="K942" s="658"/>
      <c r="L942" s="658"/>
      <c r="M942" s="658"/>
      <c r="N942" s="658"/>
      <c r="O942" s="658"/>
      <c r="P942" s="658"/>
      <c r="Q942" s="658"/>
      <c r="R942" s="658"/>
      <c r="S942" s="658"/>
      <c r="T942" s="658"/>
      <c r="U942" s="658"/>
      <c r="V942" s="658"/>
      <c r="W942" s="658"/>
      <c r="X942" s="658"/>
      <c r="Y942" s="658"/>
      <c r="Z942" s="658"/>
    </row>
    <row r="943" ht="14.25" customHeight="1">
      <c r="A943" s="658"/>
      <c r="B943" s="658"/>
      <c r="C943" s="658"/>
      <c r="D943" s="658"/>
      <c r="E943" s="658"/>
      <c r="F943" s="658"/>
      <c r="G943" s="658"/>
      <c r="H943" s="658"/>
      <c r="I943" s="658"/>
      <c r="J943" s="658"/>
      <c r="K943" s="658"/>
      <c r="L943" s="658"/>
      <c r="M943" s="658"/>
      <c r="N943" s="658"/>
      <c r="O943" s="658"/>
      <c r="P943" s="658"/>
      <c r="Q943" s="658"/>
      <c r="R943" s="658"/>
      <c r="S943" s="658"/>
      <c r="T943" s="658"/>
      <c r="U943" s="658"/>
      <c r="V943" s="658"/>
      <c r="W943" s="658"/>
      <c r="X943" s="658"/>
      <c r="Y943" s="658"/>
      <c r="Z943" s="658"/>
    </row>
    <row r="944" ht="14.25" customHeight="1">
      <c r="A944" s="658"/>
      <c r="B944" s="658"/>
      <c r="C944" s="658"/>
      <c r="D944" s="658"/>
      <c r="E944" s="658"/>
      <c r="F944" s="658"/>
      <c r="G944" s="658"/>
      <c r="H944" s="658"/>
      <c r="I944" s="658"/>
      <c r="J944" s="658"/>
      <c r="K944" s="658"/>
      <c r="L944" s="658"/>
      <c r="M944" s="658"/>
      <c r="N944" s="658"/>
      <c r="O944" s="658"/>
      <c r="P944" s="658"/>
      <c r="Q944" s="658"/>
      <c r="R944" s="658"/>
      <c r="S944" s="658"/>
      <c r="T944" s="658"/>
      <c r="U944" s="658"/>
      <c r="V944" s="658"/>
      <c r="W944" s="658"/>
      <c r="X944" s="658"/>
      <c r="Y944" s="658"/>
      <c r="Z944" s="658"/>
    </row>
    <row r="945" ht="14.25" customHeight="1">
      <c r="A945" s="658"/>
      <c r="B945" s="658"/>
      <c r="C945" s="658"/>
      <c r="D945" s="658"/>
      <c r="E945" s="658"/>
      <c r="F945" s="658"/>
      <c r="G945" s="658"/>
      <c r="H945" s="658"/>
      <c r="I945" s="658"/>
      <c r="J945" s="658"/>
      <c r="K945" s="658"/>
      <c r="L945" s="658"/>
      <c r="M945" s="658"/>
      <c r="N945" s="658"/>
      <c r="O945" s="658"/>
      <c r="P945" s="658"/>
      <c r="Q945" s="658"/>
      <c r="R945" s="658"/>
      <c r="S945" s="658"/>
      <c r="T945" s="658"/>
      <c r="U945" s="658"/>
      <c r="V945" s="658"/>
      <c r="W945" s="658"/>
      <c r="X945" s="658"/>
      <c r="Y945" s="658"/>
      <c r="Z945" s="658"/>
    </row>
    <row r="946" ht="14.25" customHeight="1">
      <c r="A946" s="658"/>
      <c r="B946" s="658"/>
      <c r="C946" s="658"/>
      <c r="D946" s="658"/>
      <c r="E946" s="658"/>
      <c r="F946" s="658"/>
      <c r="G946" s="658"/>
      <c r="H946" s="658"/>
      <c r="I946" s="658"/>
      <c r="J946" s="658"/>
      <c r="K946" s="658"/>
      <c r="L946" s="658"/>
      <c r="M946" s="658"/>
      <c r="N946" s="658"/>
      <c r="O946" s="658"/>
      <c r="P946" s="658"/>
      <c r="Q946" s="658"/>
      <c r="R946" s="658"/>
      <c r="S946" s="658"/>
      <c r="T946" s="658"/>
      <c r="U946" s="658"/>
      <c r="V946" s="658"/>
      <c r="W946" s="658"/>
      <c r="X946" s="658"/>
      <c r="Y946" s="658"/>
      <c r="Z946" s="658"/>
    </row>
    <row r="947" ht="14.25" customHeight="1">
      <c r="A947" s="658"/>
      <c r="B947" s="658"/>
      <c r="C947" s="658"/>
      <c r="D947" s="658"/>
      <c r="E947" s="658"/>
      <c r="F947" s="658"/>
      <c r="G947" s="658"/>
      <c r="H947" s="658"/>
      <c r="I947" s="658"/>
      <c r="J947" s="658"/>
      <c r="K947" s="658"/>
      <c r="L947" s="658"/>
      <c r="M947" s="658"/>
      <c r="N947" s="658"/>
      <c r="O947" s="658"/>
      <c r="P947" s="658"/>
      <c r="Q947" s="658"/>
      <c r="R947" s="658"/>
      <c r="S947" s="658"/>
      <c r="T947" s="658"/>
      <c r="U947" s="658"/>
      <c r="V947" s="658"/>
      <c r="W947" s="658"/>
      <c r="X947" s="658"/>
      <c r="Y947" s="658"/>
      <c r="Z947" s="658"/>
    </row>
    <row r="948" ht="14.25" customHeight="1">
      <c r="A948" s="658"/>
      <c r="B948" s="658"/>
      <c r="C948" s="658"/>
      <c r="D948" s="658"/>
      <c r="E948" s="658"/>
      <c r="F948" s="658"/>
      <c r="G948" s="658"/>
      <c r="H948" s="658"/>
      <c r="I948" s="658"/>
      <c r="J948" s="658"/>
      <c r="K948" s="658"/>
      <c r="L948" s="658"/>
      <c r="M948" s="658"/>
      <c r="N948" s="658"/>
      <c r="O948" s="658"/>
      <c r="P948" s="658"/>
      <c r="Q948" s="658"/>
      <c r="R948" s="658"/>
      <c r="S948" s="658"/>
      <c r="T948" s="658"/>
      <c r="U948" s="658"/>
      <c r="V948" s="658"/>
      <c r="W948" s="658"/>
      <c r="X948" s="658"/>
      <c r="Y948" s="658"/>
      <c r="Z948" s="658"/>
    </row>
    <row r="949" ht="14.25" customHeight="1">
      <c r="A949" s="658"/>
      <c r="B949" s="658"/>
      <c r="C949" s="658"/>
      <c r="D949" s="658"/>
      <c r="E949" s="658"/>
      <c r="F949" s="658"/>
      <c r="G949" s="658"/>
      <c r="H949" s="658"/>
      <c r="I949" s="658"/>
      <c r="J949" s="658"/>
      <c r="K949" s="658"/>
      <c r="L949" s="658"/>
      <c r="M949" s="658"/>
      <c r="N949" s="658"/>
      <c r="O949" s="658"/>
      <c r="P949" s="658"/>
      <c r="Q949" s="658"/>
      <c r="R949" s="658"/>
      <c r="S949" s="658"/>
      <c r="T949" s="658"/>
      <c r="U949" s="658"/>
      <c r="V949" s="658"/>
      <c r="W949" s="658"/>
      <c r="X949" s="658"/>
      <c r="Y949" s="658"/>
      <c r="Z949" s="658"/>
    </row>
    <row r="950" ht="14.25" customHeight="1">
      <c r="A950" s="658"/>
      <c r="B950" s="658"/>
      <c r="C950" s="658"/>
      <c r="D950" s="658"/>
      <c r="E950" s="658"/>
      <c r="F950" s="658"/>
      <c r="G950" s="658"/>
      <c r="H950" s="658"/>
      <c r="I950" s="658"/>
      <c r="J950" s="658"/>
      <c r="K950" s="658"/>
      <c r="L950" s="658"/>
      <c r="M950" s="658"/>
      <c r="N950" s="658"/>
      <c r="O950" s="658"/>
      <c r="P950" s="658"/>
      <c r="Q950" s="658"/>
      <c r="R950" s="658"/>
      <c r="S950" s="658"/>
      <c r="T950" s="658"/>
      <c r="U950" s="658"/>
      <c r="V950" s="658"/>
      <c r="W950" s="658"/>
      <c r="X950" s="658"/>
      <c r="Y950" s="658"/>
      <c r="Z950" s="658"/>
    </row>
    <row r="951" ht="14.25" customHeight="1">
      <c r="A951" s="658"/>
      <c r="B951" s="658"/>
      <c r="C951" s="658"/>
      <c r="D951" s="658"/>
      <c r="E951" s="658"/>
      <c r="F951" s="658"/>
      <c r="G951" s="658"/>
      <c r="H951" s="658"/>
      <c r="I951" s="658"/>
      <c r="J951" s="658"/>
      <c r="K951" s="658"/>
      <c r="L951" s="658"/>
      <c r="M951" s="658"/>
      <c r="N951" s="658"/>
      <c r="O951" s="658"/>
      <c r="P951" s="658"/>
      <c r="Q951" s="658"/>
      <c r="R951" s="658"/>
      <c r="S951" s="658"/>
      <c r="T951" s="658"/>
      <c r="U951" s="658"/>
      <c r="V951" s="658"/>
      <c r="W951" s="658"/>
      <c r="X951" s="658"/>
      <c r="Y951" s="658"/>
      <c r="Z951" s="658"/>
    </row>
    <row r="952" ht="14.25" customHeight="1">
      <c r="A952" s="658"/>
      <c r="B952" s="658"/>
      <c r="C952" s="658"/>
      <c r="D952" s="658"/>
      <c r="E952" s="658"/>
      <c r="F952" s="658"/>
      <c r="G952" s="658"/>
      <c r="H952" s="658"/>
      <c r="I952" s="658"/>
      <c r="J952" s="658"/>
      <c r="K952" s="658"/>
      <c r="L952" s="658"/>
      <c r="M952" s="658"/>
      <c r="N952" s="658"/>
      <c r="O952" s="658"/>
      <c r="P952" s="658"/>
      <c r="Q952" s="658"/>
      <c r="R952" s="658"/>
      <c r="S952" s="658"/>
      <c r="T952" s="658"/>
      <c r="U952" s="658"/>
      <c r="V952" s="658"/>
      <c r="W952" s="658"/>
      <c r="X952" s="658"/>
      <c r="Y952" s="658"/>
      <c r="Z952" s="658"/>
    </row>
    <row r="953" ht="14.25" customHeight="1">
      <c r="A953" s="658"/>
      <c r="B953" s="658"/>
      <c r="C953" s="658"/>
      <c r="D953" s="658"/>
      <c r="E953" s="658"/>
      <c r="F953" s="658"/>
      <c r="G953" s="658"/>
      <c r="H953" s="658"/>
      <c r="I953" s="658"/>
      <c r="J953" s="658"/>
      <c r="K953" s="658"/>
      <c r="L953" s="658"/>
      <c r="M953" s="658"/>
      <c r="N953" s="658"/>
      <c r="O953" s="658"/>
      <c r="P953" s="658"/>
      <c r="Q953" s="658"/>
      <c r="R953" s="658"/>
      <c r="S953" s="658"/>
      <c r="T953" s="658"/>
      <c r="U953" s="658"/>
      <c r="V953" s="658"/>
      <c r="W953" s="658"/>
      <c r="X953" s="658"/>
      <c r="Y953" s="658"/>
      <c r="Z953" s="658"/>
    </row>
    <row r="954" ht="14.25" customHeight="1">
      <c r="A954" s="658"/>
      <c r="B954" s="658"/>
      <c r="C954" s="658"/>
      <c r="D954" s="658"/>
      <c r="E954" s="658"/>
      <c r="F954" s="658"/>
      <c r="G954" s="658"/>
      <c r="H954" s="658"/>
      <c r="I954" s="658"/>
      <c r="J954" s="658"/>
      <c r="K954" s="658"/>
      <c r="L954" s="658"/>
      <c r="M954" s="658"/>
      <c r="N954" s="658"/>
      <c r="O954" s="658"/>
      <c r="P954" s="658"/>
      <c r="Q954" s="658"/>
      <c r="R954" s="658"/>
      <c r="S954" s="658"/>
      <c r="T954" s="658"/>
      <c r="U954" s="658"/>
      <c r="V954" s="658"/>
      <c r="W954" s="658"/>
      <c r="X954" s="658"/>
      <c r="Y954" s="658"/>
      <c r="Z954" s="658"/>
    </row>
    <row r="955" ht="14.25" customHeight="1">
      <c r="A955" s="658"/>
      <c r="B955" s="658"/>
      <c r="C955" s="658"/>
      <c r="D955" s="658"/>
      <c r="E955" s="658"/>
      <c r="F955" s="658"/>
      <c r="G955" s="658"/>
      <c r="H955" s="658"/>
      <c r="I955" s="658"/>
      <c r="J955" s="658"/>
      <c r="K955" s="658"/>
      <c r="L955" s="658"/>
      <c r="M955" s="658"/>
      <c r="N955" s="658"/>
      <c r="O955" s="658"/>
      <c r="P955" s="658"/>
      <c r="Q955" s="658"/>
      <c r="R955" s="658"/>
      <c r="S955" s="658"/>
      <c r="T955" s="658"/>
      <c r="U955" s="658"/>
      <c r="V955" s="658"/>
      <c r="W955" s="658"/>
      <c r="X955" s="658"/>
      <c r="Y955" s="658"/>
      <c r="Z955" s="658"/>
    </row>
    <row r="956" ht="14.25" customHeight="1">
      <c r="A956" s="658"/>
      <c r="B956" s="658"/>
      <c r="C956" s="658"/>
      <c r="D956" s="658"/>
      <c r="E956" s="658"/>
      <c r="F956" s="658"/>
      <c r="G956" s="658"/>
      <c r="H956" s="658"/>
      <c r="I956" s="658"/>
      <c r="J956" s="658"/>
      <c r="K956" s="658"/>
      <c r="L956" s="658"/>
      <c r="M956" s="658"/>
      <c r="N956" s="658"/>
      <c r="O956" s="658"/>
      <c r="P956" s="658"/>
      <c r="Q956" s="658"/>
      <c r="R956" s="658"/>
      <c r="S956" s="658"/>
      <c r="T956" s="658"/>
      <c r="U956" s="658"/>
      <c r="V956" s="658"/>
      <c r="W956" s="658"/>
      <c r="X956" s="658"/>
      <c r="Y956" s="658"/>
      <c r="Z956" s="658"/>
    </row>
    <row r="957" ht="14.25" customHeight="1">
      <c r="A957" s="658"/>
      <c r="B957" s="658"/>
      <c r="C957" s="658"/>
      <c r="D957" s="658"/>
      <c r="E957" s="658"/>
      <c r="F957" s="658"/>
      <c r="G957" s="658"/>
      <c r="H957" s="658"/>
      <c r="I957" s="658"/>
      <c r="J957" s="658"/>
      <c r="K957" s="658"/>
      <c r="L957" s="658"/>
      <c r="M957" s="658"/>
      <c r="N957" s="658"/>
      <c r="O957" s="658"/>
      <c r="P957" s="658"/>
      <c r="Q957" s="658"/>
      <c r="R957" s="658"/>
      <c r="S957" s="658"/>
      <c r="T957" s="658"/>
      <c r="U957" s="658"/>
      <c r="V957" s="658"/>
      <c r="W957" s="658"/>
      <c r="X957" s="658"/>
      <c r="Y957" s="658"/>
      <c r="Z957" s="658"/>
    </row>
    <row r="958" ht="14.25" customHeight="1">
      <c r="A958" s="658"/>
      <c r="B958" s="658"/>
      <c r="C958" s="658"/>
      <c r="D958" s="658"/>
      <c r="E958" s="658"/>
      <c r="F958" s="658"/>
      <c r="G958" s="658"/>
      <c r="H958" s="658"/>
      <c r="I958" s="658"/>
      <c r="J958" s="658"/>
      <c r="K958" s="658"/>
      <c r="L958" s="658"/>
      <c r="M958" s="658"/>
      <c r="N958" s="658"/>
      <c r="O958" s="658"/>
      <c r="P958" s="658"/>
      <c r="Q958" s="658"/>
      <c r="R958" s="658"/>
      <c r="S958" s="658"/>
      <c r="T958" s="658"/>
      <c r="U958" s="658"/>
      <c r="V958" s="658"/>
      <c r="W958" s="658"/>
      <c r="X958" s="658"/>
      <c r="Y958" s="658"/>
      <c r="Z958" s="658"/>
    </row>
    <row r="959" ht="14.25" customHeight="1">
      <c r="A959" s="658"/>
      <c r="B959" s="658"/>
      <c r="C959" s="658"/>
      <c r="D959" s="658"/>
      <c r="E959" s="658"/>
      <c r="F959" s="658"/>
      <c r="G959" s="658"/>
      <c r="H959" s="658"/>
      <c r="I959" s="658"/>
      <c r="J959" s="658"/>
      <c r="K959" s="658"/>
      <c r="L959" s="658"/>
      <c r="M959" s="658"/>
      <c r="N959" s="658"/>
      <c r="O959" s="658"/>
      <c r="P959" s="658"/>
      <c r="Q959" s="658"/>
      <c r="R959" s="658"/>
      <c r="S959" s="658"/>
      <c r="T959" s="658"/>
      <c r="U959" s="658"/>
      <c r="V959" s="658"/>
      <c r="W959" s="658"/>
      <c r="X959" s="658"/>
      <c r="Y959" s="658"/>
      <c r="Z959" s="658"/>
    </row>
    <row r="960" ht="14.25" customHeight="1">
      <c r="A960" s="658"/>
      <c r="B960" s="658"/>
      <c r="C960" s="658"/>
      <c r="D960" s="658"/>
      <c r="E960" s="658"/>
      <c r="F960" s="658"/>
      <c r="G960" s="658"/>
      <c r="H960" s="658"/>
      <c r="I960" s="658"/>
      <c r="J960" s="658"/>
      <c r="K960" s="658"/>
      <c r="L960" s="658"/>
      <c r="M960" s="658"/>
      <c r="N960" s="658"/>
      <c r="O960" s="658"/>
      <c r="P960" s="658"/>
      <c r="Q960" s="658"/>
      <c r="R960" s="658"/>
      <c r="S960" s="658"/>
      <c r="T960" s="658"/>
      <c r="U960" s="658"/>
      <c r="V960" s="658"/>
      <c r="W960" s="658"/>
      <c r="X960" s="658"/>
      <c r="Y960" s="658"/>
      <c r="Z960" s="658"/>
    </row>
    <row r="961" ht="14.25" customHeight="1">
      <c r="A961" s="658"/>
      <c r="B961" s="658"/>
      <c r="C961" s="658"/>
      <c r="D961" s="658"/>
      <c r="E961" s="658"/>
      <c r="F961" s="658"/>
      <c r="G961" s="658"/>
      <c r="H961" s="658"/>
      <c r="I961" s="658"/>
      <c r="J961" s="658"/>
      <c r="K961" s="658"/>
      <c r="L961" s="658"/>
      <c r="M961" s="658"/>
      <c r="N961" s="658"/>
      <c r="O961" s="658"/>
      <c r="P961" s="658"/>
      <c r="Q961" s="658"/>
      <c r="R961" s="658"/>
      <c r="S961" s="658"/>
      <c r="T961" s="658"/>
      <c r="U961" s="658"/>
      <c r="V961" s="658"/>
      <c r="W961" s="658"/>
      <c r="X961" s="658"/>
      <c r="Y961" s="658"/>
      <c r="Z961" s="658"/>
    </row>
    <row r="962" ht="14.25" customHeight="1">
      <c r="A962" s="658"/>
      <c r="B962" s="658"/>
      <c r="C962" s="658"/>
      <c r="D962" s="658"/>
      <c r="E962" s="658"/>
      <c r="F962" s="658"/>
      <c r="G962" s="658"/>
      <c r="H962" s="658"/>
      <c r="I962" s="658"/>
      <c r="J962" s="658"/>
      <c r="K962" s="658"/>
      <c r="L962" s="658"/>
      <c r="M962" s="658"/>
      <c r="N962" s="658"/>
      <c r="O962" s="658"/>
      <c r="P962" s="658"/>
      <c r="Q962" s="658"/>
      <c r="R962" s="658"/>
      <c r="S962" s="658"/>
      <c r="T962" s="658"/>
      <c r="U962" s="658"/>
      <c r="V962" s="658"/>
      <c r="W962" s="658"/>
      <c r="X962" s="658"/>
      <c r="Y962" s="658"/>
      <c r="Z962" s="658"/>
    </row>
    <row r="963" ht="14.25" customHeight="1">
      <c r="A963" s="658"/>
      <c r="B963" s="658"/>
      <c r="C963" s="658"/>
      <c r="D963" s="658"/>
      <c r="E963" s="658"/>
      <c r="F963" s="658"/>
      <c r="G963" s="658"/>
      <c r="H963" s="658"/>
      <c r="I963" s="658"/>
      <c r="J963" s="658"/>
      <c r="K963" s="658"/>
      <c r="L963" s="658"/>
      <c r="M963" s="658"/>
      <c r="N963" s="658"/>
      <c r="O963" s="658"/>
      <c r="P963" s="658"/>
      <c r="Q963" s="658"/>
      <c r="R963" s="658"/>
      <c r="S963" s="658"/>
      <c r="T963" s="658"/>
      <c r="U963" s="658"/>
      <c r="V963" s="658"/>
      <c r="W963" s="658"/>
      <c r="X963" s="658"/>
      <c r="Y963" s="658"/>
      <c r="Z963" s="658"/>
    </row>
    <row r="964" ht="14.25" customHeight="1">
      <c r="A964" s="658"/>
      <c r="B964" s="658"/>
      <c r="C964" s="658"/>
      <c r="D964" s="658"/>
      <c r="E964" s="658"/>
      <c r="F964" s="658"/>
      <c r="G964" s="658"/>
      <c r="H964" s="658"/>
      <c r="I964" s="658"/>
      <c r="J964" s="658"/>
      <c r="K964" s="658"/>
      <c r="L964" s="658"/>
      <c r="M964" s="658"/>
      <c r="N964" s="658"/>
      <c r="O964" s="658"/>
      <c r="P964" s="658"/>
      <c r="Q964" s="658"/>
      <c r="R964" s="658"/>
      <c r="S964" s="658"/>
      <c r="T964" s="658"/>
      <c r="U964" s="658"/>
      <c r="V964" s="658"/>
      <c r="W964" s="658"/>
      <c r="X964" s="658"/>
      <c r="Y964" s="658"/>
      <c r="Z964" s="658"/>
    </row>
    <row r="965" ht="14.25" customHeight="1">
      <c r="A965" s="658"/>
      <c r="B965" s="658"/>
      <c r="C965" s="658"/>
      <c r="D965" s="658"/>
      <c r="E965" s="658"/>
      <c r="F965" s="658"/>
      <c r="G965" s="658"/>
      <c r="H965" s="658"/>
      <c r="I965" s="658"/>
      <c r="J965" s="658"/>
      <c r="K965" s="658"/>
      <c r="L965" s="658"/>
      <c r="M965" s="658"/>
      <c r="N965" s="658"/>
      <c r="O965" s="658"/>
      <c r="P965" s="658"/>
      <c r="Q965" s="658"/>
      <c r="R965" s="658"/>
      <c r="S965" s="658"/>
      <c r="T965" s="658"/>
      <c r="U965" s="658"/>
      <c r="V965" s="658"/>
      <c r="W965" s="658"/>
      <c r="X965" s="658"/>
      <c r="Y965" s="658"/>
      <c r="Z965" s="658"/>
    </row>
    <row r="966" ht="14.25" customHeight="1">
      <c r="A966" s="658"/>
      <c r="B966" s="658"/>
      <c r="C966" s="658"/>
      <c r="D966" s="658"/>
      <c r="E966" s="658"/>
      <c r="F966" s="658"/>
      <c r="G966" s="658"/>
      <c r="H966" s="658"/>
      <c r="I966" s="658"/>
      <c r="J966" s="658"/>
      <c r="K966" s="658"/>
      <c r="L966" s="658"/>
      <c r="M966" s="658"/>
      <c r="N966" s="658"/>
      <c r="O966" s="658"/>
      <c r="P966" s="658"/>
      <c r="Q966" s="658"/>
      <c r="R966" s="658"/>
      <c r="S966" s="658"/>
      <c r="T966" s="658"/>
      <c r="U966" s="658"/>
      <c r="V966" s="658"/>
      <c r="W966" s="658"/>
      <c r="X966" s="658"/>
      <c r="Y966" s="658"/>
      <c r="Z966" s="658"/>
    </row>
    <row r="967" ht="14.25" customHeight="1">
      <c r="A967" s="658"/>
      <c r="B967" s="658"/>
      <c r="C967" s="658"/>
      <c r="D967" s="658"/>
      <c r="E967" s="658"/>
      <c r="F967" s="658"/>
      <c r="G967" s="658"/>
      <c r="H967" s="658"/>
      <c r="I967" s="658"/>
      <c r="J967" s="658"/>
      <c r="K967" s="658"/>
      <c r="L967" s="658"/>
      <c r="M967" s="658"/>
      <c r="N967" s="658"/>
      <c r="O967" s="658"/>
      <c r="P967" s="658"/>
      <c r="Q967" s="658"/>
      <c r="R967" s="658"/>
      <c r="S967" s="658"/>
      <c r="T967" s="658"/>
      <c r="U967" s="658"/>
      <c r="V967" s="658"/>
      <c r="W967" s="658"/>
      <c r="X967" s="658"/>
      <c r="Y967" s="658"/>
      <c r="Z967" s="658"/>
    </row>
    <row r="968" ht="14.25" customHeight="1">
      <c r="A968" s="658"/>
      <c r="B968" s="658"/>
      <c r="C968" s="658"/>
      <c r="D968" s="658"/>
      <c r="E968" s="658"/>
      <c r="F968" s="658"/>
      <c r="G968" s="658"/>
      <c r="H968" s="658"/>
      <c r="I968" s="658"/>
      <c r="J968" s="658"/>
      <c r="K968" s="658"/>
      <c r="L968" s="658"/>
      <c r="M968" s="658"/>
      <c r="N968" s="658"/>
      <c r="O968" s="658"/>
      <c r="P968" s="658"/>
      <c r="Q968" s="658"/>
      <c r="R968" s="658"/>
      <c r="S968" s="658"/>
      <c r="T968" s="658"/>
      <c r="U968" s="658"/>
      <c r="V968" s="658"/>
      <c r="W968" s="658"/>
      <c r="X968" s="658"/>
      <c r="Y968" s="658"/>
      <c r="Z968" s="658"/>
    </row>
    <row r="969" ht="14.25" customHeight="1">
      <c r="A969" s="658"/>
      <c r="B969" s="658"/>
      <c r="C969" s="658"/>
      <c r="D969" s="658"/>
      <c r="E969" s="658"/>
      <c r="F969" s="658"/>
      <c r="G969" s="658"/>
      <c r="H969" s="658"/>
      <c r="I969" s="658"/>
      <c r="J969" s="658"/>
      <c r="K969" s="658"/>
      <c r="L969" s="658"/>
      <c r="M969" s="658"/>
      <c r="N969" s="658"/>
      <c r="O969" s="658"/>
      <c r="P969" s="658"/>
      <c r="Q969" s="658"/>
      <c r="R969" s="658"/>
      <c r="S969" s="658"/>
      <c r="T969" s="658"/>
      <c r="U969" s="658"/>
      <c r="V969" s="658"/>
      <c r="W969" s="658"/>
      <c r="X969" s="658"/>
      <c r="Y969" s="658"/>
      <c r="Z969" s="658"/>
    </row>
    <row r="970" ht="14.25" customHeight="1">
      <c r="A970" s="658"/>
      <c r="B970" s="658"/>
      <c r="C970" s="658"/>
      <c r="D970" s="658"/>
      <c r="E970" s="658"/>
      <c r="F970" s="658"/>
      <c r="G970" s="658"/>
      <c r="H970" s="658"/>
      <c r="I970" s="658"/>
      <c r="J970" s="658"/>
      <c r="K970" s="658"/>
      <c r="L970" s="658"/>
      <c r="M970" s="658"/>
      <c r="N970" s="658"/>
      <c r="O970" s="658"/>
      <c r="P970" s="658"/>
      <c r="Q970" s="658"/>
      <c r="R970" s="658"/>
      <c r="S970" s="658"/>
      <c r="T970" s="658"/>
      <c r="U970" s="658"/>
      <c r="V970" s="658"/>
      <c r="W970" s="658"/>
      <c r="X970" s="658"/>
      <c r="Y970" s="658"/>
      <c r="Z970" s="658"/>
    </row>
    <row r="971" ht="14.25" customHeight="1">
      <c r="A971" s="658"/>
      <c r="B971" s="658"/>
      <c r="C971" s="658"/>
      <c r="D971" s="658"/>
      <c r="E971" s="658"/>
      <c r="F971" s="658"/>
      <c r="G971" s="658"/>
      <c r="H971" s="658"/>
      <c r="I971" s="658"/>
      <c r="J971" s="658"/>
      <c r="K971" s="658"/>
      <c r="L971" s="658"/>
      <c r="M971" s="658"/>
      <c r="N971" s="658"/>
      <c r="O971" s="658"/>
      <c r="P971" s="658"/>
      <c r="Q971" s="658"/>
      <c r="R971" s="658"/>
      <c r="S971" s="658"/>
      <c r="T971" s="658"/>
      <c r="U971" s="658"/>
      <c r="V971" s="658"/>
      <c r="W971" s="658"/>
      <c r="X971" s="658"/>
      <c r="Y971" s="658"/>
      <c r="Z971" s="658"/>
    </row>
    <row r="972" ht="14.25" customHeight="1">
      <c r="A972" s="658"/>
      <c r="B972" s="658"/>
      <c r="C972" s="658"/>
      <c r="D972" s="658"/>
      <c r="E972" s="658"/>
      <c r="F972" s="658"/>
      <c r="G972" s="658"/>
      <c r="H972" s="658"/>
      <c r="I972" s="658"/>
      <c r="J972" s="658"/>
      <c r="K972" s="658"/>
      <c r="L972" s="658"/>
      <c r="M972" s="658"/>
      <c r="N972" s="658"/>
      <c r="O972" s="658"/>
      <c r="P972" s="658"/>
      <c r="Q972" s="658"/>
      <c r="R972" s="658"/>
      <c r="S972" s="658"/>
      <c r="T972" s="658"/>
      <c r="U972" s="658"/>
      <c r="V972" s="658"/>
      <c r="W972" s="658"/>
      <c r="X972" s="658"/>
      <c r="Y972" s="658"/>
      <c r="Z972" s="658"/>
    </row>
    <row r="973" ht="14.25" customHeight="1">
      <c r="A973" s="658"/>
      <c r="B973" s="658"/>
      <c r="C973" s="658"/>
      <c r="D973" s="658"/>
      <c r="E973" s="658"/>
      <c r="F973" s="658"/>
      <c r="G973" s="658"/>
      <c r="H973" s="658"/>
      <c r="I973" s="658"/>
      <c r="J973" s="658"/>
      <c r="K973" s="658"/>
      <c r="L973" s="658"/>
      <c r="M973" s="658"/>
      <c r="N973" s="658"/>
      <c r="O973" s="658"/>
      <c r="P973" s="658"/>
      <c r="Q973" s="658"/>
      <c r="R973" s="658"/>
      <c r="S973" s="658"/>
      <c r="T973" s="658"/>
      <c r="U973" s="658"/>
      <c r="V973" s="658"/>
      <c r="W973" s="658"/>
      <c r="X973" s="658"/>
      <c r="Y973" s="658"/>
      <c r="Z973" s="658"/>
    </row>
    <row r="974" ht="14.25" customHeight="1">
      <c r="A974" s="658"/>
      <c r="B974" s="658"/>
      <c r="C974" s="658"/>
      <c r="D974" s="658"/>
      <c r="E974" s="658"/>
      <c r="F974" s="658"/>
      <c r="G974" s="658"/>
      <c r="H974" s="658"/>
      <c r="I974" s="658"/>
      <c r="J974" s="658"/>
      <c r="K974" s="658"/>
      <c r="L974" s="658"/>
      <c r="M974" s="658"/>
      <c r="N974" s="658"/>
      <c r="O974" s="658"/>
      <c r="P974" s="658"/>
      <c r="Q974" s="658"/>
      <c r="R974" s="658"/>
      <c r="S974" s="658"/>
      <c r="T974" s="658"/>
      <c r="U974" s="658"/>
      <c r="V974" s="658"/>
      <c r="W974" s="658"/>
      <c r="X974" s="658"/>
      <c r="Y974" s="658"/>
      <c r="Z974" s="658"/>
    </row>
    <row r="975" ht="14.25" customHeight="1">
      <c r="A975" s="658"/>
      <c r="B975" s="658"/>
      <c r="C975" s="658"/>
      <c r="D975" s="658"/>
      <c r="E975" s="658"/>
      <c r="F975" s="658"/>
      <c r="G975" s="658"/>
      <c r="H975" s="658"/>
      <c r="I975" s="658"/>
      <c r="J975" s="658"/>
      <c r="K975" s="658"/>
      <c r="L975" s="658"/>
      <c r="M975" s="658"/>
      <c r="N975" s="658"/>
      <c r="O975" s="658"/>
      <c r="P975" s="658"/>
      <c r="Q975" s="658"/>
      <c r="R975" s="658"/>
      <c r="S975" s="658"/>
      <c r="T975" s="658"/>
      <c r="U975" s="658"/>
      <c r="V975" s="658"/>
      <c r="W975" s="658"/>
      <c r="X975" s="658"/>
      <c r="Y975" s="658"/>
      <c r="Z975" s="658"/>
    </row>
    <row r="976" ht="14.25" customHeight="1">
      <c r="A976" s="658"/>
      <c r="B976" s="658"/>
      <c r="C976" s="658"/>
      <c r="D976" s="658"/>
      <c r="E976" s="658"/>
      <c r="F976" s="658"/>
      <c r="G976" s="658"/>
      <c r="H976" s="658"/>
      <c r="I976" s="658"/>
      <c r="J976" s="658"/>
      <c r="K976" s="658"/>
      <c r="L976" s="658"/>
      <c r="M976" s="658"/>
      <c r="N976" s="658"/>
      <c r="O976" s="658"/>
      <c r="P976" s="658"/>
      <c r="Q976" s="658"/>
      <c r="R976" s="658"/>
      <c r="S976" s="658"/>
      <c r="T976" s="658"/>
      <c r="U976" s="658"/>
      <c r="V976" s="658"/>
      <c r="W976" s="658"/>
      <c r="X976" s="658"/>
      <c r="Y976" s="658"/>
      <c r="Z976" s="658"/>
    </row>
    <row r="977" ht="14.25" customHeight="1">
      <c r="A977" s="658"/>
      <c r="B977" s="658"/>
      <c r="C977" s="658"/>
      <c r="D977" s="658"/>
      <c r="E977" s="658"/>
      <c r="F977" s="658"/>
      <c r="G977" s="658"/>
      <c r="H977" s="658"/>
      <c r="I977" s="658"/>
      <c r="J977" s="658"/>
      <c r="K977" s="658"/>
      <c r="L977" s="658"/>
      <c r="M977" s="658"/>
      <c r="N977" s="658"/>
      <c r="O977" s="658"/>
      <c r="P977" s="658"/>
      <c r="Q977" s="658"/>
      <c r="R977" s="658"/>
      <c r="S977" s="658"/>
      <c r="T977" s="658"/>
      <c r="U977" s="658"/>
      <c r="V977" s="658"/>
      <c r="W977" s="658"/>
      <c r="X977" s="658"/>
      <c r="Y977" s="658"/>
      <c r="Z977" s="658"/>
    </row>
    <row r="978" ht="14.25" customHeight="1">
      <c r="A978" s="658"/>
      <c r="B978" s="658"/>
      <c r="C978" s="658"/>
      <c r="D978" s="658"/>
      <c r="E978" s="658"/>
      <c r="F978" s="658"/>
      <c r="G978" s="658"/>
      <c r="H978" s="658"/>
      <c r="I978" s="658"/>
      <c r="J978" s="658"/>
      <c r="K978" s="658"/>
      <c r="L978" s="658"/>
      <c r="M978" s="658"/>
      <c r="N978" s="658"/>
      <c r="O978" s="658"/>
      <c r="P978" s="658"/>
      <c r="Q978" s="658"/>
      <c r="R978" s="658"/>
      <c r="S978" s="658"/>
      <c r="T978" s="658"/>
      <c r="U978" s="658"/>
      <c r="V978" s="658"/>
      <c r="W978" s="658"/>
      <c r="X978" s="658"/>
      <c r="Y978" s="658"/>
      <c r="Z978" s="658"/>
    </row>
    <row r="979" ht="14.25" customHeight="1">
      <c r="A979" s="658"/>
      <c r="B979" s="658"/>
      <c r="C979" s="658"/>
      <c r="D979" s="658"/>
      <c r="E979" s="658"/>
      <c r="F979" s="658"/>
      <c r="G979" s="658"/>
      <c r="H979" s="658"/>
      <c r="I979" s="658"/>
      <c r="J979" s="658"/>
      <c r="K979" s="658"/>
      <c r="L979" s="658"/>
      <c r="M979" s="658"/>
      <c r="N979" s="658"/>
      <c r="O979" s="658"/>
      <c r="P979" s="658"/>
      <c r="Q979" s="658"/>
      <c r="R979" s="658"/>
      <c r="S979" s="658"/>
      <c r="T979" s="658"/>
      <c r="U979" s="658"/>
      <c r="V979" s="658"/>
      <c r="W979" s="658"/>
      <c r="X979" s="658"/>
      <c r="Y979" s="658"/>
      <c r="Z979" s="658"/>
    </row>
    <row r="980" ht="14.25" customHeight="1">
      <c r="A980" s="658"/>
      <c r="B980" s="658"/>
      <c r="C980" s="658"/>
      <c r="D980" s="658"/>
      <c r="E980" s="658"/>
      <c r="F980" s="658"/>
      <c r="G980" s="658"/>
      <c r="H980" s="658"/>
      <c r="I980" s="658"/>
      <c r="J980" s="658"/>
      <c r="K980" s="658"/>
      <c r="L980" s="658"/>
      <c r="M980" s="658"/>
      <c r="N980" s="658"/>
      <c r="O980" s="658"/>
      <c r="P980" s="658"/>
      <c r="Q980" s="658"/>
      <c r="R980" s="658"/>
      <c r="S980" s="658"/>
      <c r="T980" s="658"/>
      <c r="U980" s="658"/>
      <c r="V980" s="658"/>
      <c r="W980" s="658"/>
      <c r="X980" s="658"/>
      <c r="Y980" s="658"/>
      <c r="Z980" s="658"/>
    </row>
    <row r="981" ht="14.25" customHeight="1">
      <c r="A981" s="658"/>
      <c r="B981" s="658"/>
      <c r="C981" s="658"/>
      <c r="D981" s="658"/>
      <c r="E981" s="658"/>
      <c r="F981" s="658"/>
      <c r="G981" s="658"/>
      <c r="H981" s="658"/>
      <c r="I981" s="658"/>
      <c r="J981" s="658"/>
      <c r="K981" s="658"/>
      <c r="L981" s="658"/>
      <c r="M981" s="658"/>
      <c r="N981" s="658"/>
      <c r="O981" s="658"/>
      <c r="P981" s="658"/>
      <c r="Q981" s="658"/>
      <c r="R981" s="658"/>
      <c r="S981" s="658"/>
      <c r="T981" s="658"/>
      <c r="U981" s="658"/>
      <c r="V981" s="658"/>
      <c r="W981" s="658"/>
      <c r="X981" s="658"/>
      <c r="Y981" s="658"/>
      <c r="Z981" s="658"/>
    </row>
    <row r="982" ht="14.25" customHeight="1">
      <c r="A982" s="658"/>
      <c r="B982" s="658"/>
      <c r="C982" s="658"/>
      <c r="D982" s="658"/>
      <c r="E982" s="658"/>
      <c r="F982" s="658"/>
      <c r="G982" s="658"/>
      <c r="H982" s="658"/>
      <c r="I982" s="658"/>
      <c r="J982" s="658"/>
      <c r="K982" s="658"/>
      <c r="L982" s="658"/>
      <c r="M982" s="658"/>
      <c r="N982" s="658"/>
      <c r="O982" s="658"/>
      <c r="P982" s="658"/>
      <c r="Q982" s="658"/>
      <c r="R982" s="658"/>
      <c r="S982" s="658"/>
      <c r="T982" s="658"/>
      <c r="U982" s="658"/>
      <c r="V982" s="658"/>
      <c r="W982" s="658"/>
      <c r="X982" s="658"/>
      <c r="Y982" s="658"/>
      <c r="Z982" s="658"/>
    </row>
    <row r="983" ht="14.25" customHeight="1">
      <c r="A983" s="658"/>
      <c r="B983" s="658"/>
      <c r="C983" s="658"/>
      <c r="D983" s="658"/>
      <c r="E983" s="658"/>
      <c r="F983" s="658"/>
      <c r="G983" s="658"/>
      <c r="H983" s="658"/>
      <c r="I983" s="658"/>
      <c r="J983" s="658"/>
      <c r="K983" s="658"/>
      <c r="L983" s="658"/>
      <c r="M983" s="658"/>
      <c r="N983" s="658"/>
      <c r="O983" s="658"/>
      <c r="P983" s="658"/>
      <c r="Q983" s="658"/>
      <c r="R983" s="658"/>
      <c r="S983" s="658"/>
      <c r="T983" s="658"/>
      <c r="U983" s="658"/>
      <c r="V983" s="658"/>
      <c r="W983" s="658"/>
      <c r="X983" s="658"/>
      <c r="Y983" s="658"/>
      <c r="Z983" s="658"/>
    </row>
    <row r="984" ht="14.25" customHeight="1">
      <c r="A984" s="658"/>
      <c r="B984" s="658"/>
      <c r="C984" s="658"/>
      <c r="D984" s="658"/>
      <c r="E984" s="658"/>
      <c r="F984" s="658"/>
      <c r="G984" s="658"/>
      <c r="H984" s="658"/>
      <c r="I984" s="658"/>
      <c r="J984" s="658"/>
      <c r="K984" s="658"/>
      <c r="L984" s="658"/>
      <c r="M984" s="658"/>
      <c r="N984" s="658"/>
      <c r="O984" s="658"/>
      <c r="P984" s="658"/>
      <c r="Q984" s="658"/>
      <c r="R984" s="658"/>
      <c r="S984" s="658"/>
      <c r="T984" s="658"/>
      <c r="U984" s="658"/>
      <c r="V984" s="658"/>
      <c r="W984" s="658"/>
      <c r="X984" s="658"/>
      <c r="Y984" s="658"/>
      <c r="Z984" s="658"/>
    </row>
    <row r="985" ht="14.25" customHeight="1">
      <c r="A985" s="658"/>
      <c r="B985" s="658"/>
      <c r="C985" s="658"/>
      <c r="D985" s="658"/>
      <c r="E985" s="658"/>
      <c r="F985" s="658"/>
      <c r="G985" s="658"/>
      <c r="H985" s="658"/>
      <c r="I985" s="658"/>
      <c r="J985" s="658"/>
      <c r="K985" s="658"/>
      <c r="L985" s="658"/>
      <c r="M985" s="658"/>
      <c r="N985" s="658"/>
      <c r="O985" s="658"/>
      <c r="P985" s="658"/>
      <c r="Q985" s="658"/>
      <c r="R985" s="658"/>
      <c r="S985" s="658"/>
      <c r="T985" s="658"/>
      <c r="U985" s="658"/>
      <c r="V985" s="658"/>
      <c r="W985" s="658"/>
      <c r="X985" s="658"/>
      <c r="Y985" s="658"/>
      <c r="Z985" s="658"/>
    </row>
    <row r="986" ht="14.25" customHeight="1">
      <c r="A986" s="658"/>
      <c r="B986" s="658"/>
      <c r="C986" s="658"/>
      <c r="D986" s="658"/>
      <c r="E986" s="658"/>
      <c r="F986" s="658"/>
      <c r="G986" s="658"/>
      <c r="H986" s="658"/>
      <c r="I986" s="658"/>
      <c r="J986" s="658"/>
      <c r="K986" s="658"/>
      <c r="L986" s="658"/>
      <c r="M986" s="658"/>
      <c r="N986" s="658"/>
      <c r="O986" s="658"/>
      <c r="P986" s="658"/>
      <c r="Q986" s="658"/>
      <c r="R986" s="658"/>
      <c r="S986" s="658"/>
      <c r="T986" s="658"/>
      <c r="U986" s="658"/>
      <c r="V986" s="658"/>
      <c r="W986" s="658"/>
      <c r="X986" s="658"/>
      <c r="Y986" s="658"/>
      <c r="Z986" s="658"/>
    </row>
    <row r="987" ht="14.25" customHeight="1">
      <c r="A987" s="658"/>
      <c r="B987" s="658"/>
      <c r="C987" s="658"/>
      <c r="D987" s="658"/>
      <c r="E987" s="658"/>
      <c r="F987" s="658"/>
      <c r="G987" s="658"/>
      <c r="H987" s="658"/>
      <c r="I987" s="658"/>
      <c r="J987" s="658"/>
      <c r="K987" s="658"/>
      <c r="L987" s="658"/>
      <c r="M987" s="658"/>
      <c r="N987" s="658"/>
      <c r="O987" s="658"/>
      <c r="P987" s="658"/>
      <c r="Q987" s="658"/>
      <c r="R987" s="658"/>
      <c r="S987" s="658"/>
      <c r="T987" s="658"/>
      <c r="U987" s="658"/>
      <c r="V987" s="658"/>
      <c r="W987" s="658"/>
      <c r="X987" s="658"/>
      <c r="Y987" s="658"/>
      <c r="Z987" s="658"/>
    </row>
    <row r="988" ht="14.25" customHeight="1">
      <c r="A988" s="658"/>
      <c r="B988" s="658"/>
      <c r="C988" s="658"/>
      <c r="D988" s="658"/>
      <c r="E988" s="658"/>
      <c r="F988" s="658"/>
      <c r="G988" s="658"/>
      <c r="H988" s="658"/>
      <c r="I988" s="658"/>
      <c r="J988" s="658"/>
      <c r="K988" s="658"/>
      <c r="L988" s="658"/>
      <c r="M988" s="658"/>
      <c r="N988" s="658"/>
      <c r="O988" s="658"/>
      <c r="P988" s="658"/>
      <c r="Q988" s="658"/>
      <c r="R988" s="658"/>
      <c r="S988" s="658"/>
      <c r="T988" s="658"/>
      <c r="U988" s="658"/>
      <c r="V988" s="658"/>
      <c r="W988" s="658"/>
      <c r="X988" s="658"/>
      <c r="Y988" s="658"/>
      <c r="Z988" s="658"/>
    </row>
    <row r="989" ht="14.25" customHeight="1">
      <c r="A989" s="658"/>
      <c r="B989" s="658"/>
      <c r="C989" s="658"/>
      <c r="D989" s="658"/>
      <c r="E989" s="658"/>
      <c r="F989" s="658"/>
      <c r="G989" s="658"/>
      <c r="H989" s="658"/>
      <c r="I989" s="658"/>
      <c r="J989" s="658"/>
      <c r="K989" s="658"/>
      <c r="L989" s="658"/>
      <c r="M989" s="658"/>
      <c r="N989" s="658"/>
      <c r="O989" s="658"/>
      <c r="P989" s="658"/>
      <c r="Q989" s="658"/>
      <c r="R989" s="658"/>
      <c r="S989" s="658"/>
      <c r="T989" s="658"/>
      <c r="U989" s="658"/>
      <c r="V989" s="658"/>
      <c r="W989" s="658"/>
      <c r="X989" s="658"/>
      <c r="Y989" s="658"/>
      <c r="Z989" s="658"/>
    </row>
    <row r="990" ht="14.25" customHeight="1">
      <c r="A990" s="658"/>
      <c r="B990" s="658"/>
      <c r="C990" s="658"/>
      <c r="D990" s="658"/>
      <c r="E990" s="658"/>
      <c r="F990" s="658"/>
      <c r="G990" s="658"/>
      <c r="H990" s="658"/>
      <c r="I990" s="658"/>
      <c r="J990" s="658"/>
      <c r="K990" s="658"/>
      <c r="L990" s="658"/>
      <c r="M990" s="658"/>
      <c r="N990" s="658"/>
      <c r="O990" s="658"/>
      <c r="P990" s="658"/>
      <c r="Q990" s="658"/>
      <c r="R990" s="658"/>
      <c r="S990" s="658"/>
      <c r="T990" s="658"/>
      <c r="U990" s="658"/>
      <c r="V990" s="658"/>
      <c r="W990" s="658"/>
      <c r="X990" s="658"/>
      <c r="Y990" s="658"/>
      <c r="Z990" s="658"/>
    </row>
    <row r="991" ht="14.25" customHeight="1">
      <c r="A991" s="658"/>
      <c r="B991" s="658"/>
      <c r="C991" s="658"/>
      <c r="D991" s="658"/>
      <c r="E991" s="658"/>
      <c r="F991" s="658"/>
      <c r="G991" s="658"/>
      <c r="H991" s="658"/>
      <c r="I991" s="658"/>
      <c r="J991" s="658"/>
      <c r="K991" s="658"/>
      <c r="L991" s="658"/>
      <c r="M991" s="658"/>
      <c r="N991" s="658"/>
      <c r="O991" s="658"/>
      <c r="P991" s="658"/>
      <c r="Q991" s="658"/>
      <c r="R991" s="658"/>
      <c r="S991" s="658"/>
      <c r="T991" s="658"/>
      <c r="U991" s="658"/>
      <c r="V991" s="658"/>
      <c r="W991" s="658"/>
      <c r="X991" s="658"/>
      <c r="Y991" s="658"/>
      <c r="Z991" s="658"/>
    </row>
    <row r="992" ht="14.25" customHeight="1">
      <c r="A992" s="658"/>
      <c r="B992" s="658"/>
      <c r="C992" s="658"/>
      <c r="D992" s="658"/>
      <c r="E992" s="658"/>
      <c r="F992" s="658"/>
      <c r="G992" s="658"/>
      <c r="H992" s="658"/>
      <c r="I992" s="658"/>
      <c r="J992" s="658"/>
      <c r="K992" s="658"/>
      <c r="L992" s="658"/>
      <c r="M992" s="658"/>
      <c r="N992" s="658"/>
      <c r="O992" s="658"/>
      <c r="P992" s="658"/>
      <c r="Q992" s="658"/>
      <c r="R992" s="658"/>
      <c r="S992" s="658"/>
      <c r="T992" s="658"/>
      <c r="U992" s="658"/>
      <c r="V992" s="658"/>
      <c r="W992" s="658"/>
      <c r="X992" s="658"/>
      <c r="Y992" s="658"/>
      <c r="Z992" s="658"/>
    </row>
    <row r="993" ht="14.25" customHeight="1">
      <c r="A993" s="658"/>
      <c r="B993" s="658"/>
      <c r="C993" s="658"/>
      <c r="D993" s="658"/>
      <c r="E993" s="658"/>
      <c r="F993" s="658"/>
      <c r="G993" s="658"/>
      <c r="H993" s="658"/>
      <c r="I993" s="658"/>
      <c r="J993" s="658"/>
      <c r="K993" s="658"/>
      <c r="L993" s="658"/>
      <c r="M993" s="658"/>
      <c r="N993" s="658"/>
      <c r="O993" s="658"/>
      <c r="P993" s="658"/>
      <c r="Q993" s="658"/>
      <c r="R993" s="658"/>
      <c r="S993" s="658"/>
      <c r="T993" s="658"/>
      <c r="U993" s="658"/>
      <c r="V993" s="658"/>
      <c r="W993" s="658"/>
      <c r="X993" s="658"/>
      <c r="Y993" s="658"/>
      <c r="Z993" s="658"/>
    </row>
    <row r="994" ht="14.25" customHeight="1">
      <c r="A994" s="658"/>
      <c r="B994" s="658"/>
      <c r="C994" s="658"/>
      <c r="D994" s="658"/>
      <c r="E994" s="658"/>
      <c r="F994" s="658"/>
      <c r="G994" s="658"/>
      <c r="H994" s="658"/>
      <c r="I994" s="658"/>
      <c r="J994" s="658"/>
      <c r="K994" s="658"/>
      <c r="L994" s="658"/>
      <c r="M994" s="658"/>
      <c r="N994" s="658"/>
      <c r="O994" s="658"/>
      <c r="P994" s="658"/>
      <c r="Q994" s="658"/>
      <c r="R994" s="658"/>
      <c r="S994" s="658"/>
      <c r="T994" s="658"/>
      <c r="U994" s="658"/>
      <c r="V994" s="658"/>
      <c r="W994" s="658"/>
      <c r="X994" s="658"/>
      <c r="Y994" s="658"/>
      <c r="Z994" s="658"/>
    </row>
    <row r="995" ht="14.25" customHeight="1">
      <c r="A995" s="658"/>
      <c r="B995" s="658"/>
      <c r="C995" s="658"/>
      <c r="D995" s="658"/>
      <c r="E995" s="658"/>
      <c r="F995" s="658"/>
      <c r="G995" s="658"/>
      <c r="H995" s="658"/>
      <c r="I995" s="658"/>
      <c r="J995" s="658"/>
      <c r="K995" s="658"/>
      <c r="L995" s="658"/>
      <c r="M995" s="658"/>
      <c r="N995" s="658"/>
      <c r="O995" s="658"/>
      <c r="P995" s="658"/>
      <c r="Q995" s="658"/>
      <c r="R995" s="658"/>
      <c r="S995" s="658"/>
      <c r="T995" s="658"/>
      <c r="U995" s="658"/>
      <c r="V995" s="658"/>
      <c r="W995" s="658"/>
      <c r="X995" s="658"/>
      <c r="Y995" s="658"/>
      <c r="Z995" s="658"/>
    </row>
    <row r="996" ht="14.25" customHeight="1">
      <c r="A996" s="658"/>
      <c r="B996" s="658"/>
      <c r="C996" s="658"/>
      <c r="D996" s="658"/>
      <c r="E996" s="658"/>
      <c r="F996" s="658"/>
      <c r="G996" s="658"/>
      <c r="H996" s="658"/>
      <c r="I996" s="658"/>
      <c r="J996" s="658"/>
      <c r="K996" s="658"/>
      <c r="L996" s="658"/>
      <c r="M996" s="658"/>
      <c r="N996" s="658"/>
      <c r="O996" s="658"/>
      <c r="P996" s="658"/>
      <c r="Q996" s="658"/>
      <c r="R996" s="658"/>
      <c r="S996" s="658"/>
      <c r="T996" s="658"/>
      <c r="U996" s="658"/>
      <c r="V996" s="658"/>
      <c r="W996" s="658"/>
      <c r="X996" s="658"/>
      <c r="Y996" s="658"/>
      <c r="Z996" s="658"/>
    </row>
    <row r="997" ht="14.25" customHeight="1">
      <c r="A997" s="658"/>
      <c r="B997" s="658"/>
      <c r="C997" s="658"/>
      <c r="D997" s="658"/>
      <c r="E997" s="658"/>
      <c r="F997" s="658"/>
      <c r="G997" s="658"/>
      <c r="H997" s="658"/>
      <c r="I997" s="658"/>
      <c r="J997" s="658"/>
      <c r="K997" s="658"/>
      <c r="L997" s="658"/>
      <c r="M997" s="658"/>
      <c r="N997" s="658"/>
      <c r="O997" s="658"/>
      <c r="P997" s="658"/>
      <c r="Q997" s="658"/>
      <c r="R997" s="658"/>
      <c r="S997" s="658"/>
      <c r="T997" s="658"/>
      <c r="U997" s="658"/>
      <c r="V997" s="658"/>
      <c r="W997" s="658"/>
      <c r="X997" s="658"/>
      <c r="Y997" s="658"/>
      <c r="Z997" s="658"/>
    </row>
    <row r="998" ht="14.25" customHeight="1">
      <c r="A998" s="658"/>
      <c r="B998" s="658"/>
      <c r="C998" s="658"/>
      <c r="D998" s="658"/>
      <c r="E998" s="658"/>
      <c r="F998" s="658"/>
      <c r="G998" s="658"/>
      <c r="H998" s="658"/>
      <c r="I998" s="658"/>
      <c r="J998" s="658"/>
      <c r="K998" s="658"/>
      <c r="L998" s="658"/>
      <c r="M998" s="658"/>
      <c r="N998" s="658"/>
      <c r="O998" s="658"/>
      <c r="P998" s="658"/>
      <c r="Q998" s="658"/>
      <c r="R998" s="658"/>
      <c r="S998" s="658"/>
      <c r="T998" s="658"/>
      <c r="U998" s="658"/>
      <c r="V998" s="658"/>
      <c r="W998" s="658"/>
      <c r="X998" s="658"/>
      <c r="Y998" s="658"/>
      <c r="Z998" s="658"/>
    </row>
    <row r="999" ht="14.25" customHeight="1">
      <c r="A999" s="658"/>
      <c r="B999" s="658"/>
      <c r="C999" s="658"/>
      <c r="D999" s="658"/>
      <c r="E999" s="658"/>
      <c r="F999" s="658"/>
      <c r="G999" s="658"/>
      <c r="H999" s="658"/>
      <c r="I999" s="658"/>
      <c r="J999" s="658"/>
      <c r="K999" s="658"/>
      <c r="L999" s="658"/>
      <c r="M999" s="658"/>
      <c r="N999" s="658"/>
      <c r="O999" s="658"/>
      <c r="P999" s="658"/>
      <c r="Q999" s="658"/>
      <c r="R999" s="658"/>
      <c r="S999" s="658"/>
      <c r="T999" s="658"/>
      <c r="U999" s="658"/>
      <c r="V999" s="658"/>
      <c r="W999" s="658"/>
      <c r="X999" s="658"/>
      <c r="Y999" s="658"/>
      <c r="Z999" s="658"/>
    </row>
    <row r="1000" ht="14.25" customHeight="1">
      <c r="A1000" s="658"/>
      <c r="B1000" s="658"/>
      <c r="C1000" s="658"/>
      <c r="D1000" s="658"/>
      <c r="E1000" s="658"/>
      <c r="F1000" s="658"/>
      <c r="G1000" s="658"/>
      <c r="H1000" s="658"/>
      <c r="I1000" s="658"/>
      <c r="J1000" s="658"/>
      <c r="K1000" s="658"/>
      <c r="L1000" s="658"/>
      <c r="M1000" s="658"/>
      <c r="N1000" s="658"/>
      <c r="O1000" s="658"/>
      <c r="P1000" s="658"/>
      <c r="Q1000" s="658"/>
      <c r="R1000" s="658"/>
      <c r="S1000" s="658"/>
      <c r="T1000" s="658"/>
      <c r="U1000" s="658"/>
      <c r="V1000" s="658"/>
      <c r="W1000" s="658"/>
      <c r="X1000" s="658"/>
      <c r="Y1000" s="658"/>
      <c r="Z1000" s="658"/>
    </row>
  </sheetData>
  <printOptions/>
  <pageMargins bottom="0.75" footer="0.0" header="0.0" left="0.7" right="0.7" top="0.75"/>
  <pageSetup paperSize="8"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26" width="26.0"/>
  </cols>
  <sheetData>
    <row r="1">
      <c r="A1" s="666"/>
      <c r="B1" s="636"/>
      <c r="C1" s="636"/>
      <c r="D1" s="636"/>
      <c r="E1" s="636"/>
    </row>
    <row r="2">
      <c r="A2" s="637"/>
      <c r="B2" s="637"/>
      <c r="C2" s="667"/>
      <c r="D2" s="637"/>
      <c r="E2" s="637"/>
    </row>
    <row r="3">
      <c r="A3" s="637"/>
      <c r="B3" s="637"/>
      <c r="C3" s="668"/>
      <c r="D3" s="637"/>
      <c r="E3" s="637"/>
    </row>
    <row r="4">
      <c r="A4" s="637"/>
      <c r="B4" s="637"/>
      <c r="C4" s="637"/>
      <c r="D4" s="637"/>
      <c r="E4" s="638"/>
    </row>
    <row r="5">
      <c r="A5" s="668"/>
      <c r="B5" s="637"/>
      <c r="C5" s="637"/>
      <c r="D5" s="637"/>
      <c r="E5" s="668"/>
    </row>
    <row r="6">
      <c r="A6" s="637"/>
      <c r="B6" s="637"/>
      <c r="C6" s="637"/>
      <c r="D6" s="637"/>
      <c r="E6" s="637"/>
    </row>
    <row r="7">
      <c r="A7" s="637"/>
      <c r="B7" s="637"/>
      <c r="C7" s="637"/>
      <c r="D7" s="637"/>
      <c r="E7" s="637"/>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0.75" footer="0.0" header="0.0" left="0.7" right="0.7" top="0.75"/>
  <pageSetup paperSize="8"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26" width="26.0"/>
  </cols>
  <sheetData>
    <row r="1">
      <c r="A1" s="636"/>
      <c r="B1" s="636"/>
      <c r="C1" s="636"/>
      <c r="D1" s="636"/>
      <c r="E1" s="636"/>
    </row>
    <row r="2">
      <c r="A2" s="637"/>
      <c r="B2" s="637"/>
      <c r="C2" s="637"/>
      <c r="D2" s="637"/>
      <c r="E2" s="637"/>
    </row>
    <row r="3">
      <c r="A3" s="637"/>
      <c r="B3" s="637"/>
      <c r="C3" s="637"/>
      <c r="D3" s="637"/>
      <c r="E3" s="637"/>
    </row>
    <row r="4">
      <c r="A4" s="637"/>
      <c r="B4" s="637"/>
      <c r="C4" s="637"/>
      <c r="D4" s="637"/>
      <c r="E4" s="637"/>
    </row>
    <row r="5">
      <c r="A5" s="637"/>
      <c r="B5" s="637"/>
      <c r="C5" s="637"/>
      <c r="D5" s="637"/>
      <c r="E5" s="637"/>
    </row>
    <row r="6">
      <c r="A6" s="637"/>
      <c r="B6" s="637"/>
      <c r="C6" s="637"/>
      <c r="D6" s="637"/>
      <c r="E6" s="637"/>
    </row>
    <row r="7">
      <c r="A7" s="637"/>
      <c r="B7" s="637"/>
      <c r="C7" s="637"/>
      <c r="D7" s="637"/>
      <c r="E7" s="637"/>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0.75" footer="0.0" header="0.0" left="0.7" right="0.7" top="0.75"/>
  <pageSetup paperSize="8"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26" width="26.0"/>
  </cols>
  <sheetData>
    <row r="1" ht="14.25" customHeight="1">
      <c r="A1" s="677"/>
      <c r="B1" s="636"/>
      <c r="C1" s="636"/>
      <c r="D1" s="636"/>
      <c r="E1" s="636"/>
    </row>
    <row r="2" ht="14.25" customHeight="1">
      <c r="A2" s="637"/>
      <c r="B2" s="668"/>
      <c r="C2" s="668"/>
      <c r="D2" s="637"/>
      <c r="E2" s="637"/>
    </row>
    <row r="3" ht="14.25" customHeight="1">
      <c r="A3" s="637"/>
      <c r="B3" s="668"/>
      <c r="C3" s="668" t="s">
        <v>203</v>
      </c>
      <c r="D3" s="637"/>
      <c r="E3" s="637"/>
    </row>
    <row r="4" ht="14.25" customHeight="1">
      <c r="A4" s="637"/>
      <c r="B4" s="638" t="s">
        <v>1678</v>
      </c>
      <c r="C4" s="668" t="s">
        <v>238</v>
      </c>
      <c r="D4" s="637"/>
      <c r="E4" s="637"/>
    </row>
    <row r="5" ht="14.25" customHeight="1">
      <c r="A5" s="637"/>
      <c r="B5" s="668"/>
      <c r="C5" s="668"/>
      <c r="D5" s="637"/>
      <c r="E5" s="637"/>
    </row>
    <row r="6" ht="14.25" customHeight="1">
      <c r="A6" s="637"/>
      <c r="B6" s="637"/>
      <c r="C6" s="637"/>
      <c r="D6" s="637"/>
      <c r="E6" s="637"/>
    </row>
    <row r="7" ht="14.25" customHeight="1">
      <c r="B7" s="680"/>
      <c r="C7" s="680"/>
    </row>
    <row r="8" ht="14.25" customHeight="1">
      <c r="B8" s="680"/>
      <c r="C8" s="680"/>
    </row>
    <row r="9" ht="14.25" customHeight="1">
      <c r="B9" s="681" t="s">
        <v>1678</v>
      </c>
      <c r="C9" s="680"/>
    </row>
    <row r="10" ht="14.25" customHeight="1">
      <c r="B10" s="680"/>
      <c r="C10" s="680"/>
    </row>
    <row r="11" ht="14.25" customHeight="1">
      <c r="B11" s="680"/>
      <c r="C11" s="680"/>
    </row>
    <row r="12" ht="14.25" customHeight="1">
      <c r="B12" s="680"/>
      <c r="C12" s="680"/>
    </row>
    <row r="13" ht="14.25" customHeight="1">
      <c r="B13" s="680"/>
      <c r="C13" s="680"/>
    </row>
    <row r="14" ht="14.25" customHeight="1">
      <c r="B14" s="680"/>
      <c r="C14" s="680"/>
    </row>
    <row r="15" ht="14.25" customHeight="1">
      <c r="B15" s="680"/>
      <c r="C15" s="680"/>
    </row>
    <row r="16" ht="14.25" customHeight="1">
      <c r="B16" s="680"/>
      <c r="C16" s="680"/>
    </row>
    <row r="17" ht="14.25" customHeight="1">
      <c r="B17" s="680"/>
      <c r="C17" s="680"/>
    </row>
    <row r="18" ht="14.25" customHeight="1">
      <c r="B18" s="680"/>
      <c r="C18" s="680"/>
    </row>
    <row r="19" ht="14.25" customHeight="1">
      <c r="B19" s="680"/>
      <c r="C19" s="680"/>
    </row>
    <row r="20" ht="14.25" customHeight="1">
      <c r="B20" s="680"/>
      <c r="C20" s="680"/>
    </row>
    <row r="21">
      <c r="B21" s="680"/>
      <c r="C21" s="680"/>
    </row>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ht="14.25" customHeight="1">
      <c r="A1001" s="636"/>
      <c r="B1001" s="636"/>
      <c r="C1001" s="636"/>
      <c r="D1001" s="636"/>
      <c r="E1001" s="636"/>
    </row>
    <row r="1002" ht="14.25" customHeight="1">
      <c r="A1002" s="637"/>
      <c r="B1002" s="637"/>
      <c r="C1002" s="637"/>
      <c r="D1002" s="637"/>
      <c r="E1002" s="637"/>
    </row>
    <row r="1003" ht="14.25" customHeight="1">
      <c r="A1003" s="637"/>
      <c r="B1003" s="637"/>
      <c r="C1003" s="637"/>
      <c r="D1003" s="637"/>
      <c r="E1003" s="637"/>
    </row>
    <row r="1004" ht="14.25" customHeight="1">
      <c r="A1004" s="637"/>
      <c r="B1004" s="637"/>
      <c r="C1004" s="637"/>
      <c r="D1004" s="637"/>
      <c r="E1004" s="637"/>
    </row>
    <row r="1005" ht="14.25" customHeight="1">
      <c r="A1005" s="637"/>
      <c r="B1005" s="637"/>
      <c r="C1005" s="637"/>
      <c r="D1005" s="637"/>
      <c r="E1005" s="637"/>
    </row>
    <row r="1006" ht="14.25" customHeight="1">
      <c r="A1006" s="637"/>
      <c r="B1006" s="637"/>
      <c r="C1006" s="637"/>
      <c r="D1006" s="637"/>
      <c r="E1006" s="637"/>
    </row>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sheetData>
  <autoFilter ref="$C$1:$C$2000"/>
  <dataValidations>
    <dataValidation type="list" allowBlank="1" showErrorMessage="1" sqref="C2:C21">
      <formula1>"3 sockets,4 sockets,2 sockets"</formula1>
    </dataValidation>
    <dataValidation type="list" allowBlank="1" showErrorMessage="1" sqref="B2:B21">
      <formula1>"Body armor,Body armor, shields"</formula1>
    </dataValidation>
  </dataValidations>
  <printOptions/>
  <pageMargins bottom="0.75" footer="0.0" header="0.0" left="0.7" right="0.7" top="0.75"/>
  <pageSetup paperSize="8"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26" width="26.0"/>
  </cols>
  <sheetData>
    <row r="1">
      <c r="A1" s="636"/>
      <c r="B1" s="636"/>
      <c r="C1" s="636"/>
      <c r="D1" s="636"/>
      <c r="E1" s="636"/>
    </row>
    <row r="2">
      <c r="A2" s="637"/>
      <c r="B2" s="637"/>
      <c r="C2" s="637"/>
      <c r="D2" s="637"/>
      <c r="E2" s="637"/>
    </row>
    <row r="3">
      <c r="A3" s="637"/>
      <c r="B3" s="637"/>
      <c r="C3" s="637"/>
      <c r="D3" s="637"/>
      <c r="E3" s="637"/>
    </row>
    <row r="4">
      <c r="A4" s="637"/>
      <c r="B4" s="637"/>
      <c r="C4" s="637"/>
      <c r="D4" s="637"/>
      <c r="E4" s="637"/>
    </row>
    <row r="5">
      <c r="A5" s="637"/>
      <c r="B5" s="637"/>
      <c r="C5" s="637"/>
      <c r="D5" s="637"/>
      <c r="E5" s="637"/>
    </row>
    <row r="6">
      <c r="A6" s="637"/>
      <c r="B6" s="637"/>
      <c r="C6" s="637"/>
      <c r="D6" s="637"/>
      <c r="E6" s="637"/>
    </row>
    <row r="7">
      <c r="A7" s="637"/>
      <c r="B7" s="637"/>
      <c r="C7" s="637"/>
      <c r="D7" s="637"/>
      <c r="E7" s="637"/>
    </row>
    <row r="8">
      <c r="A8" s="637"/>
      <c r="B8" s="637"/>
      <c r="C8" s="637"/>
      <c r="D8" s="637"/>
      <c r="E8" s="637"/>
    </row>
    <row r="9">
      <c r="A9" s="637"/>
      <c r="B9" s="637"/>
      <c r="C9" s="637"/>
      <c r="D9" s="637"/>
      <c r="E9" s="637"/>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0.75" footer="0.0" header="0.0" left="0.7" right="0.7" top="0.75"/>
  <pageSetup paperSize="8"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26" width="26.0"/>
  </cols>
  <sheetData>
    <row r="1">
      <c r="A1" s="636"/>
      <c r="B1" s="636"/>
      <c r="C1" s="636"/>
      <c r="D1" s="636"/>
      <c r="E1" s="636"/>
    </row>
    <row r="2">
      <c r="A2" s="637"/>
      <c r="B2" s="637"/>
      <c r="C2" s="637"/>
      <c r="D2" s="637"/>
      <c r="E2" s="637"/>
    </row>
    <row r="3">
      <c r="A3" s="637"/>
      <c r="B3" s="637"/>
      <c r="C3" s="637"/>
      <c r="D3" s="637"/>
      <c r="E3" s="637"/>
    </row>
    <row r="4">
      <c r="A4" s="637"/>
      <c r="B4" s="637"/>
      <c r="C4" s="637"/>
      <c r="D4" s="637"/>
      <c r="E4" s="637"/>
    </row>
    <row r="5">
      <c r="A5" s="637"/>
      <c r="B5" s="637"/>
      <c r="C5" s="637"/>
      <c r="D5" s="637"/>
      <c r="E5" s="637"/>
    </row>
    <row r="6">
      <c r="A6" s="637"/>
      <c r="B6" s="637"/>
      <c r="C6" s="637"/>
      <c r="D6" s="637"/>
      <c r="E6" s="637"/>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0.75" footer="0.0" header="0.0" left="0.7" right="0.7" top="0.75"/>
  <pageSetup paperSize="8"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26" width="26.0"/>
  </cols>
  <sheetData>
    <row r="1">
      <c r="A1" s="636"/>
      <c r="B1" s="636"/>
      <c r="C1" s="636"/>
      <c r="D1" s="636"/>
      <c r="E1" s="636"/>
    </row>
    <row r="2">
      <c r="A2" s="637"/>
      <c r="B2" s="637"/>
      <c r="C2" s="637"/>
      <c r="D2" s="637"/>
      <c r="E2" s="637"/>
    </row>
    <row r="3">
      <c r="A3" s="637"/>
      <c r="B3" s="637"/>
      <c r="C3" s="637"/>
      <c r="D3" s="637"/>
      <c r="E3" s="637"/>
    </row>
    <row r="4">
      <c r="A4" s="637"/>
      <c r="B4" s="637"/>
      <c r="C4" s="637"/>
      <c r="D4" s="637"/>
      <c r="E4" s="637"/>
    </row>
    <row r="5">
      <c r="A5" s="637"/>
      <c r="B5" s="637"/>
      <c r="C5" s="637"/>
      <c r="D5" s="637"/>
      <c r="E5" s="637"/>
    </row>
    <row r="6">
      <c r="A6" s="637"/>
      <c r="B6" s="637"/>
      <c r="C6" s="637"/>
      <c r="D6" s="637"/>
      <c r="E6" s="637"/>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26" width="26.0"/>
  </cols>
  <sheetData>
    <row r="1">
      <c r="A1" s="636"/>
      <c r="B1" s="636"/>
      <c r="C1" s="636"/>
      <c r="D1" s="636"/>
      <c r="E1" s="636"/>
    </row>
    <row r="2">
      <c r="A2" s="637"/>
      <c r="B2" s="637"/>
      <c r="C2" s="637"/>
      <c r="D2" s="637"/>
      <c r="E2" s="637"/>
    </row>
    <row r="3">
      <c r="A3" s="637"/>
      <c r="B3" s="637"/>
      <c r="C3" s="637"/>
      <c r="D3" s="637"/>
      <c r="E3" s="637"/>
    </row>
    <row r="4">
      <c r="A4" s="637"/>
      <c r="B4" s="637"/>
      <c r="C4" s="637"/>
      <c r="D4" s="637"/>
      <c r="E4" s="637"/>
    </row>
    <row r="5">
      <c r="A5" s="637"/>
      <c r="B5" s="637"/>
      <c r="C5" s="637"/>
      <c r="D5" s="637"/>
      <c r="E5" s="637"/>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0.75" footer="0.0" header="0.0" left="0.7" right="0.7" top="0.75"/>
  <pageSetup paperSize="8"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26" width="26.0"/>
  </cols>
  <sheetData>
    <row r="1">
      <c r="A1" s="636"/>
      <c r="B1" s="636"/>
      <c r="C1" s="636"/>
      <c r="D1" s="636"/>
      <c r="E1" s="636"/>
    </row>
    <row r="2">
      <c r="A2" s="637"/>
      <c r="B2" s="637"/>
      <c r="C2" s="637"/>
      <c r="D2" s="637"/>
      <c r="E2" s="637"/>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26" width="26.0"/>
  </cols>
  <sheetData>
    <row r="1">
      <c r="A1" s="707"/>
      <c r="B1" s="636"/>
      <c r="C1" s="636"/>
      <c r="D1" s="636"/>
      <c r="E1" s="636"/>
    </row>
    <row r="2">
      <c r="A2" s="708"/>
      <c r="B2" s="708"/>
      <c r="C2" s="708"/>
      <c r="D2" s="708"/>
      <c r="E2" s="637"/>
    </row>
    <row r="3">
      <c r="A3" s="637"/>
      <c r="B3" s="637"/>
      <c r="C3" s="637"/>
      <c r="D3" s="637"/>
      <c r="E3" s="637"/>
    </row>
    <row r="4">
      <c r="A4" s="637"/>
      <c r="B4" s="709"/>
      <c r="C4" s="709"/>
      <c r="D4" s="709"/>
      <c r="E4" s="709"/>
      <c r="F4" s="710"/>
    </row>
    <row r="5">
      <c r="A5" s="637"/>
      <c r="B5" s="637"/>
      <c r="C5" s="637"/>
      <c r="D5" s="637"/>
      <c r="E5" s="637"/>
    </row>
    <row r="6">
      <c r="A6" s="637"/>
      <c r="B6" s="637"/>
      <c r="C6" s="637"/>
      <c r="D6" s="637"/>
      <c r="E6" s="637"/>
    </row>
    <row r="7">
      <c r="A7" s="637"/>
      <c r="B7" s="637"/>
      <c r="C7" s="637"/>
      <c r="D7" s="637"/>
      <c r="E7" s="637"/>
    </row>
    <row r="8">
      <c r="A8" s="637"/>
      <c r="B8" s="637"/>
      <c r="C8" s="637"/>
      <c r="D8" s="637"/>
      <c r="E8" s="637"/>
    </row>
    <row r="9">
      <c r="A9" s="637"/>
      <c r="B9" s="637"/>
      <c r="C9" s="637"/>
      <c r="D9" s="637"/>
      <c r="E9" s="637"/>
    </row>
    <row r="10">
      <c r="A10" s="637"/>
      <c r="B10" s="637"/>
      <c r="C10" s="637"/>
      <c r="D10" s="637"/>
      <c r="E10" s="637"/>
    </row>
    <row r="11">
      <c r="A11" s="637"/>
      <c r="B11" s="637"/>
      <c r="C11" s="637"/>
      <c r="D11" s="637"/>
      <c r="E11" s="637"/>
    </row>
    <row r="12">
      <c r="A12" s="637"/>
      <c r="B12" s="637"/>
      <c r="C12" s="637"/>
      <c r="D12" s="637"/>
      <c r="E12" s="637"/>
    </row>
    <row r="13">
      <c r="A13" s="637"/>
      <c r="B13" s="637"/>
      <c r="C13" s="637"/>
      <c r="D13" s="637"/>
      <c r="E13" s="637"/>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0.75" footer="0.0" header="0.0" left="0.7" right="0.7" top="0.75"/>
  <pageSetup paperSize="8"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26" width="26.0"/>
  </cols>
  <sheetData>
    <row r="1">
      <c r="A1" s="636"/>
      <c r="B1" s="636"/>
      <c r="C1" s="636"/>
      <c r="D1" s="636"/>
      <c r="E1" s="636"/>
    </row>
    <row r="2">
      <c r="A2" s="636"/>
      <c r="B2" s="637"/>
      <c r="C2" s="637"/>
      <c r="D2" s="637"/>
      <c r="E2" s="637"/>
    </row>
    <row r="3">
      <c r="A3" s="637"/>
      <c r="B3" s="637"/>
      <c r="C3" s="637"/>
      <c r="D3" s="637"/>
      <c r="E3" s="637"/>
    </row>
    <row r="4">
      <c r="A4" s="637"/>
      <c r="B4" s="637"/>
      <c r="C4" s="637"/>
      <c r="D4" s="637"/>
      <c r="E4" s="668"/>
    </row>
    <row r="5">
      <c r="A5" s="637"/>
      <c r="B5" s="637"/>
      <c r="C5" s="637"/>
      <c r="D5" s="637"/>
      <c r="E5" s="637"/>
    </row>
    <row r="6">
      <c r="A6" s="637"/>
      <c r="B6" s="637"/>
      <c r="C6" s="637"/>
      <c r="D6" s="637"/>
      <c r="E6" s="637"/>
    </row>
    <row r="7">
      <c r="A7" s="637"/>
      <c r="B7" s="637"/>
      <c r="C7" s="637"/>
      <c r="D7" s="637"/>
      <c r="E7" s="637"/>
    </row>
    <row r="8">
      <c r="A8" s="637"/>
      <c r="B8" s="637"/>
      <c r="C8" s="637"/>
      <c r="D8" s="637"/>
      <c r="E8" s="637"/>
    </row>
    <row r="9">
      <c r="A9" s="637"/>
      <c r="B9" s="637"/>
      <c r="C9" s="637"/>
      <c r="D9" s="637"/>
      <c r="E9" s="637"/>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0.75" footer="0.0" header="0.0" left="0.7" right="0.7" top="0.75"/>
  <pageSetup paperSize="8"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26" width="26.0"/>
  </cols>
  <sheetData>
    <row r="1">
      <c r="A1" s="661"/>
      <c r="B1" s="637"/>
      <c r="C1" s="637"/>
      <c r="D1" s="637"/>
      <c r="E1" s="637"/>
    </row>
    <row r="2">
      <c r="A2" s="637"/>
      <c r="B2" s="637"/>
      <c r="C2" s="637"/>
      <c r="D2" s="637"/>
      <c r="E2" s="637"/>
    </row>
    <row r="3">
      <c r="A3" s="637"/>
      <c r="B3" s="637"/>
      <c r="C3" s="637"/>
      <c r="D3" s="637"/>
      <c r="E3" s="637"/>
    </row>
    <row r="4">
      <c r="A4" s="660"/>
      <c r="B4" s="637"/>
      <c r="C4" s="637"/>
      <c r="D4" s="637"/>
      <c r="E4" s="637"/>
    </row>
    <row r="5">
      <c r="A5" s="637"/>
      <c r="B5" s="637"/>
      <c r="C5" s="637"/>
      <c r="D5" s="637"/>
      <c r="E5" s="637"/>
    </row>
    <row r="6">
      <c r="A6" s="637"/>
      <c r="B6" s="637"/>
      <c r="C6" s="637"/>
      <c r="D6" s="637"/>
      <c r="E6" s="637"/>
    </row>
    <row r="7">
      <c r="A7" s="636"/>
      <c r="B7" s="636"/>
      <c r="C7" s="636"/>
      <c r="D7" s="636"/>
      <c r="E7" s="636"/>
    </row>
    <row r="8">
      <c r="A8" s="637"/>
      <c r="B8" s="637"/>
      <c r="C8" s="637"/>
      <c r="D8" s="637"/>
      <c r="E8" s="637"/>
    </row>
    <row r="9">
      <c r="A9" s="637"/>
      <c r="B9" s="637"/>
      <c r="C9" s="637"/>
      <c r="D9" s="637"/>
      <c r="E9" s="637"/>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26" width="26.0"/>
  </cols>
  <sheetData>
    <row r="1">
      <c r="A1" s="636"/>
      <c r="B1" s="636"/>
      <c r="C1" s="636"/>
      <c r="D1" s="711" t="s">
        <v>1690</v>
      </c>
      <c r="E1" s="636"/>
    </row>
    <row r="2">
      <c r="A2" s="637"/>
      <c r="B2" s="637"/>
      <c r="C2" s="637"/>
      <c r="D2" s="637"/>
      <c r="E2" s="637"/>
    </row>
    <row r="3">
      <c r="A3" s="637"/>
      <c r="B3" s="637"/>
      <c r="C3" s="637"/>
      <c r="D3" s="637"/>
      <c r="E3" s="637"/>
    </row>
    <row r="4">
      <c r="A4" s="637"/>
      <c r="B4" s="637"/>
      <c r="C4" s="637"/>
      <c r="D4" s="637"/>
      <c r="E4" s="637"/>
    </row>
    <row r="5">
      <c r="A5" s="637"/>
      <c r="B5" s="637"/>
      <c r="C5" s="637"/>
      <c r="D5" s="637"/>
      <c r="E5" s="637"/>
    </row>
    <row r="6">
      <c r="A6" s="637"/>
      <c r="B6" s="637"/>
      <c r="C6" s="637"/>
      <c r="D6" s="637"/>
      <c r="E6" s="637"/>
    </row>
    <row r="7">
      <c r="A7" s="637"/>
      <c r="B7" s="637"/>
      <c r="C7" s="637"/>
      <c r="D7" s="637"/>
      <c r="E7" s="637"/>
    </row>
    <row r="8">
      <c r="A8" s="637"/>
      <c r="B8" s="637"/>
      <c r="C8" s="637"/>
      <c r="D8" s="637"/>
      <c r="E8" s="637"/>
    </row>
    <row r="9">
      <c r="A9" s="637"/>
      <c r="B9" s="637"/>
      <c r="C9" s="637"/>
      <c r="D9" s="637"/>
      <c r="E9" s="637"/>
    </row>
    <row r="10">
      <c r="D10" s="680"/>
    </row>
    <row r="11">
      <c r="D11" s="680"/>
    </row>
    <row r="12">
      <c r="D12" s="680"/>
    </row>
    <row r="13">
      <c r="D13" s="680"/>
    </row>
    <row r="14">
      <c r="D14" s="680"/>
    </row>
    <row r="15">
      <c r="D15" s="680"/>
    </row>
    <row r="16">
      <c r="D16" s="680"/>
    </row>
    <row r="17">
      <c r="D17" s="680"/>
    </row>
    <row r="18">
      <c r="D18" s="680"/>
    </row>
    <row r="19">
      <c r="D19" s="680"/>
    </row>
    <row r="20">
      <c r="D20" s="680"/>
    </row>
    <row r="21">
      <c r="D21" s="680"/>
    </row>
    <row r="22">
      <c r="D22" s="680"/>
    </row>
    <row r="23">
      <c r="D23" s="680"/>
    </row>
    <row r="24">
      <c r="D24" s="680"/>
    </row>
    <row r="25">
      <c r="D25" s="680"/>
    </row>
    <row r="26">
      <c r="D26" s="680"/>
    </row>
    <row r="27">
      <c r="D27" s="680"/>
    </row>
    <row r="28">
      <c r="D28" s="680"/>
    </row>
    <row r="29">
      <c r="D29" s="680"/>
    </row>
    <row r="30">
      <c r="D30" s="680"/>
    </row>
    <row r="31">
      <c r="D31" s="680"/>
    </row>
    <row r="32">
      <c r="D32" s="680"/>
    </row>
    <row r="33">
      <c r="D33" s="680"/>
    </row>
    <row r="34">
      <c r="D34" s="680"/>
    </row>
    <row r="35">
      <c r="D35" s="680"/>
    </row>
    <row r="36">
      <c r="D36" s="680"/>
    </row>
    <row r="37">
      <c r="D37" s="680"/>
    </row>
    <row r="38">
      <c r="D38" s="680"/>
    </row>
    <row r="39">
      <c r="D39" s="680"/>
    </row>
    <row r="40">
      <c r="D40" s="680"/>
    </row>
    <row r="41">
      <c r="D41" s="680"/>
    </row>
    <row r="42">
      <c r="D42" s="680"/>
    </row>
    <row r="43">
      <c r="D43" s="680"/>
    </row>
    <row r="44">
      <c r="D44" s="680"/>
    </row>
    <row r="45">
      <c r="D45" s="680"/>
    </row>
    <row r="46">
      <c r="D46" s="680"/>
    </row>
    <row r="47">
      <c r="D47" s="680"/>
    </row>
    <row r="48">
      <c r="D48" s="680"/>
    </row>
    <row r="49">
      <c r="D49" s="680"/>
    </row>
    <row r="50">
      <c r="D50" s="680"/>
    </row>
    <row r="51">
      <c r="D51" s="680"/>
    </row>
    <row r="52">
      <c r="D52" s="680"/>
    </row>
    <row r="53">
      <c r="D53" s="680"/>
    </row>
    <row r="54">
      <c r="D54" s="680"/>
    </row>
    <row r="55">
      <c r="D55" s="680"/>
    </row>
    <row r="56">
      <c r="D56" s="680"/>
    </row>
    <row r="57">
      <c r="D57" s="680"/>
    </row>
    <row r="58">
      <c r="D58" s="680"/>
    </row>
    <row r="59">
      <c r="D59" s="680"/>
    </row>
    <row r="60">
      <c r="D60" s="680"/>
    </row>
    <row r="61">
      <c r="D61" s="680"/>
    </row>
    <row r="62">
      <c r="D62" s="680"/>
    </row>
    <row r="63">
      <c r="D63" s="680"/>
    </row>
    <row r="64">
      <c r="D64" s="680"/>
    </row>
    <row r="65">
      <c r="D65" s="680"/>
    </row>
    <row r="66">
      <c r="D66" s="680"/>
    </row>
    <row r="67">
      <c r="D67" s="680"/>
    </row>
    <row r="68">
      <c r="D68" s="680"/>
    </row>
    <row r="69">
      <c r="D69" s="680"/>
    </row>
    <row r="70">
      <c r="D70" s="680"/>
    </row>
    <row r="71">
      <c r="D71" s="680"/>
    </row>
    <row r="72">
      <c r="D72" s="680"/>
    </row>
    <row r="73">
      <c r="D73" s="680"/>
    </row>
    <row r="74">
      <c r="D74" s="680"/>
    </row>
    <row r="75">
      <c r="D75" s="680"/>
    </row>
    <row r="76">
      <c r="D76" s="680"/>
    </row>
    <row r="77">
      <c r="D77" s="680"/>
    </row>
    <row r="78">
      <c r="D78" s="680"/>
    </row>
    <row r="79">
      <c r="D79" s="680"/>
    </row>
    <row r="80">
      <c r="D80" s="680"/>
    </row>
    <row r="81">
      <c r="D81" s="680"/>
    </row>
    <row r="82">
      <c r="D82" s="680"/>
    </row>
    <row r="83">
      <c r="D83" s="680"/>
    </row>
    <row r="84">
      <c r="D84" s="680"/>
    </row>
    <row r="85">
      <c r="D85" s="680"/>
    </row>
    <row r="86">
      <c r="D86" s="680"/>
    </row>
    <row r="87">
      <c r="D87" s="680"/>
    </row>
    <row r="88">
      <c r="D88" s="680"/>
    </row>
    <row r="89">
      <c r="D89" s="680"/>
    </row>
    <row r="90">
      <c r="D90" s="680"/>
    </row>
    <row r="91">
      <c r="D91" s="680"/>
    </row>
    <row r="92">
      <c r="D92" s="680"/>
    </row>
    <row r="93">
      <c r="D93" s="680"/>
    </row>
    <row r="94">
      <c r="D94" s="680"/>
    </row>
    <row r="95">
      <c r="D95" s="680"/>
    </row>
    <row r="96">
      <c r="D96" s="680"/>
    </row>
    <row r="97">
      <c r="D97" s="680"/>
    </row>
    <row r="98">
      <c r="D98" s="680"/>
    </row>
    <row r="99">
      <c r="D99" s="680"/>
    </row>
    <row r="100">
      <c r="D100" s="680"/>
    </row>
    <row r="101">
      <c r="D101" s="680"/>
    </row>
    <row r="102">
      <c r="D102" s="680"/>
    </row>
    <row r="103">
      <c r="D103" s="680"/>
    </row>
    <row r="104">
      <c r="D104" s="680"/>
    </row>
    <row r="105">
      <c r="D105" s="680"/>
    </row>
    <row r="106">
      <c r="D106" s="680"/>
    </row>
    <row r="107">
      <c r="D107" s="680"/>
    </row>
    <row r="108">
      <c r="D108" s="680"/>
    </row>
    <row r="109">
      <c r="D109" s="680"/>
    </row>
    <row r="110">
      <c r="D110" s="680"/>
    </row>
    <row r="111">
      <c r="D111" s="680"/>
    </row>
    <row r="112">
      <c r="D112" s="680"/>
    </row>
    <row r="113">
      <c r="D113" s="680"/>
    </row>
    <row r="114">
      <c r="D114" s="680"/>
    </row>
    <row r="115">
      <c r="D115" s="680"/>
    </row>
    <row r="116">
      <c r="D116" s="680"/>
    </row>
    <row r="117">
      <c r="D117" s="680"/>
    </row>
    <row r="118">
      <c r="D118" s="680"/>
    </row>
    <row r="119">
      <c r="D119" s="680"/>
    </row>
    <row r="120">
      <c r="D120" s="680"/>
    </row>
    <row r="121">
      <c r="D121" s="680"/>
    </row>
    <row r="122">
      <c r="D122" s="680"/>
    </row>
    <row r="123">
      <c r="D123" s="680"/>
    </row>
    <row r="124">
      <c r="D124" s="680"/>
    </row>
    <row r="125">
      <c r="D125" s="680"/>
    </row>
    <row r="126">
      <c r="D126" s="680"/>
    </row>
    <row r="127">
      <c r="D127" s="680"/>
    </row>
    <row r="128">
      <c r="D128" s="680"/>
    </row>
    <row r="129">
      <c r="D129" s="680"/>
    </row>
    <row r="130">
      <c r="D130" s="680"/>
    </row>
    <row r="131">
      <c r="D131" s="680"/>
    </row>
    <row r="132">
      <c r="D132" s="680"/>
    </row>
    <row r="133">
      <c r="D133" s="680"/>
    </row>
    <row r="134">
      <c r="D134" s="680"/>
    </row>
    <row r="135">
      <c r="D135" s="680"/>
    </row>
    <row r="136">
      <c r="D136" s="680"/>
    </row>
    <row r="137">
      <c r="D137" s="680"/>
    </row>
    <row r="138">
      <c r="D138" s="680"/>
    </row>
    <row r="139">
      <c r="D139" s="680"/>
    </row>
    <row r="140">
      <c r="D140" s="680"/>
    </row>
    <row r="141">
      <c r="D141" s="680"/>
    </row>
    <row r="142">
      <c r="D142" s="680"/>
    </row>
    <row r="143">
      <c r="D143" s="680"/>
    </row>
    <row r="144">
      <c r="D144" s="680"/>
    </row>
    <row r="145">
      <c r="D145" s="680"/>
    </row>
    <row r="146">
      <c r="D146" s="680"/>
    </row>
    <row r="147">
      <c r="D147" s="680"/>
    </row>
    <row r="148">
      <c r="D148" s="680"/>
    </row>
    <row r="149">
      <c r="D149" s="680"/>
    </row>
    <row r="150">
      <c r="D150" s="680"/>
    </row>
    <row r="151">
      <c r="D151" s="680"/>
    </row>
    <row r="152">
      <c r="D152" s="680"/>
    </row>
    <row r="153">
      <c r="D153" s="680"/>
    </row>
    <row r="154">
      <c r="D154" s="680"/>
    </row>
    <row r="155">
      <c r="D155" s="680"/>
    </row>
    <row r="156">
      <c r="D156" s="680"/>
    </row>
    <row r="157">
      <c r="D157" s="680"/>
    </row>
    <row r="158">
      <c r="D158" s="680"/>
    </row>
    <row r="159">
      <c r="D159" s="680"/>
    </row>
    <row r="160">
      <c r="D160" s="680"/>
    </row>
    <row r="161">
      <c r="D161" s="680"/>
    </row>
    <row r="162">
      <c r="D162" s="680"/>
    </row>
    <row r="163">
      <c r="D163" s="680"/>
    </row>
    <row r="164">
      <c r="D164" s="680"/>
    </row>
    <row r="165">
      <c r="D165" s="680"/>
    </row>
    <row r="166">
      <c r="D166" s="680"/>
    </row>
    <row r="167">
      <c r="D167" s="680"/>
    </row>
    <row r="168">
      <c r="D168" s="680"/>
    </row>
    <row r="169">
      <c r="D169" s="680"/>
    </row>
    <row r="170">
      <c r="D170" s="680"/>
    </row>
    <row r="171">
      <c r="D171" s="680"/>
    </row>
    <row r="172">
      <c r="D172" s="680"/>
    </row>
    <row r="173">
      <c r="D173" s="680"/>
    </row>
    <row r="174">
      <c r="D174" s="680"/>
    </row>
    <row r="175">
      <c r="D175" s="680"/>
    </row>
    <row r="176">
      <c r="D176" s="680"/>
    </row>
    <row r="177">
      <c r="D177" s="680"/>
    </row>
    <row r="178">
      <c r="D178" s="680"/>
    </row>
    <row r="179">
      <c r="D179" s="680"/>
    </row>
    <row r="180">
      <c r="D180" s="680"/>
    </row>
    <row r="181">
      <c r="D181" s="680"/>
    </row>
    <row r="182">
      <c r="D182" s="680"/>
    </row>
    <row r="183">
      <c r="D183" s="680"/>
    </row>
    <row r="184">
      <c r="D184" s="680"/>
    </row>
    <row r="185">
      <c r="D185" s="680"/>
    </row>
    <row r="186">
      <c r="D186" s="680"/>
    </row>
    <row r="187">
      <c r="D187" s="680"/>
    </row>
    <row r="188">
      <c r="D188" s="680"/>
    </row>
    <row r="189">
      <c r="D189" s="680"/>
    </row>
    <row r="190">
      <c r="D190" s="680"/>
    </row>
    <row r="191">
      <c r="D191" s="680"/>
    </row>
    <row r="192">
      <c r="D192" s="680"/>
    </row>
    <row r="193">
      <c r="D193" s="680"/>
    </row>
    <row r="194">
      <c r="D194" s="680"/>
    </row>
    <row r="195">
      <c r="D195" s="680"/>
    </row>
    <row r="196">
      <c r="D196" s="680"/>
    </row>
    <row r="197">
      <c r="D197" s="680"/>
    </row>
    <row r="198">
      <c r="D198" s="680"/>
    </row>
    <row r="199">
      <c r="D199" s="680"/>
    </row>
    <row r="200">
      <c r="D200" s="680"/>
    </row>
    <row r="201">
      <c r="D201" s="680"/>
    </row>
    <row r="202">
      <c r="D202" s="680"/>
    </row>
    <row r="203">
      <c r="D203" s="680"/>
    </row>
    <row r="204">
      <c r="D204" s="680"/>
    </row>
    <row r="205">
      <c r="D205" s="680"/>
    </row>
    <row r="206">
      <c r="D206" s="680"/>
    </row>
    <row r="207">
      <c r="D207" s="680"/>
    </row>
    <row r="208">
      <c r="D208" s="680"/>
    </row>
    <row r="209">
      <c r="D209" s="680"/>
    </row>
    <row r="210">
      <c r="D210" s="680"/>
    </row>
    <row r="211">
      <c r="D211" s="680"/>
    </row>
    <row r="212">
      <c r="D212" s="680"/>
    </row>
    <row r="213">
      <c r="D213" s="680"/>
    </row>
    <row r="214">
      <c r="D214" s="680"/>
    </row>
    <row r="215">
      <c r="D215" s="680"/>
    </row>
    <row r="216">
      <c r="D216" s="680"/>
    </row>
    <row r="217">
      <c r="D217" s="680"/>
    </row>
    <row r="218">
      <c r="D218" s="680"/>
    </row>
    <row r="219">
      <c r="D219" s="680"/>
    </row>
    <row r="220">
      <c r="D220" s="680"/>
    </row>
    <row r="221">
      <c r="D221" s="680"/>
    </row>
    <row r="222">
      <c r="D222" s="680"/>
    </row>
    <row r="223">
      <c r="D223" s="680"/>
    </row>
    <row r="224">
      <c r="D224" s="680"/>
    </row>
    <row r="225">
      <c r="D225" s="680"/>
    </row>
    <row r="226">
      <c r="D226" s="680"/>
    </row>
    <row r="227">
      <c r="D227" s="680"/>
    </row>
    <row r="228">
      <c r="D228" s="680"/>
    </row>
    <row r="229">
      <c r="D229" s="680"/>
    </row>
    <row r="230">
      <c r="D230" s="680"/>
    </row>
    <row r="231">
      <c r="D231" s="680"/>
    </row>
    <row r="232">
      <c r="D232" s="680"/>
    </row>
    <row r="233">
      <c r="D233" s="680"/>
    </row>
    <row r="234">
      <c r="D234" s="680"/>
    </row>
    <row r="235">
      <c r="D235" s="680"/>
    </row>
    <row r="236">
      <c r="D236" s="680"/>
    </row>
    <row r="237">
      <c r="D237" s="680"/>
    </row>
    <row r="238">
      <c r="D238" s="680"/>
    </row>
    <row r="239">
      <c r="D239" s="680"/>
    </row>
    <row r="240">
      <c r="D240" s="680"/>
    </row>
    <row r="241">
      <c r="D241" s="680"/>
    </row>
    <row r="242">
      <c r="D242" s="680"/>
    </row>
    <row r="243">
      <c r="D243" s="680"/>
    </row>
    <row r="244">
      <c r="D244" s="680"/>
    </row>
    <row r="245">
      <c r="D245" s="680"/>
    </row>
    <row r="246">
      <c r="D246" s="680"/>
    </row>
    <row r="247">
      <c r="D247" s="680"/>
    </row>
    <row r="248">
      <c r="D248" s="680"/>
    </row>
    <row r="249">
      <c r="D249" s="680"/>
    </row>
    <row r="250">
      <c r="D250" s="680"/>
    </row>
    <row r="251">
      <c r="D251" s="680"/>
    </row>
    <row r="252">
      <c r="D252" s="680"/>
    </row>
    <row r="253">
      <c r="D253" s="680"/>
    </row>
    <row r="254">
      <c r="D254" s="680"/>
    </row>
    <row r="255">
      <c r="D255" s="680"/>
    </row>
    <row r="256">
      <c r="D256" s="680"/>
    </row>
    <row r="257">
      <c r="D257" s="680"/>
    </row>
    <row r="258">
      <c r="D258" s="680"/>
    </row>
    <row r="259">
      <c r="D259" s="680"/>
    </row>
    <row r="260">
      <c r="D260" s="680"/>
    </row>
    <row r="261">
      <c r="D261" s="680"/>
    </row>
    <row r="262">
      <c r="D262" s="680"/>
    </row>
    <row r="263">
      <c r="D263" s="680"/>
    </row>
    <row r="264">
      <c r="D264" s="680"/>
    </row>
    <row r="265">
      <c r="D265" s="680"/>
    </row>
    <row r="266">
      <c r="D266" s="680"/>
    </row>
    <row r="267">
      <c r="D267" s="680"/>
    </row>
    <row r="268">
      <c r="D268" s="680"/>
    </row>
    <row r="269">
      <c r="D269" s="680"/>
    </row>
    <row r="270">
      <c r="D270" s="680"/>
    </row>
    <row r="271">
      <c r="D271" s="680"/>
    </row>
    <row r="272">
      <c r="D272" s="680"/>
    </row>
    <row r="273">
      <c r="D273" s="680"/>
    </row>
    <row r="274">
      <c r="D274" s="680"/>
    </row>
    <row r="275">
      <c r="D275" s="680"/>
    </row>
    <row r="276">
      <c r="D276" s="680"/>
    </row>
    <row r="277">
      <c r="D277" s="680"/>
    </row>
    <row r="278">
      <c r="D278" s="680"/>
    </row>
    <row r="279">
      <c r="D279" s="680"/>
    </row>
    <row r="280">
      <c r="D280" s="680"/>
    </row>
    <row r="281">
      <c r="D281" s="680"/>
    </row>
    <row r="282">
      <c r="D282" s="680"/>
    </row>
    <row r="283">
      <c r="D283" s="680"/>
    </row>
    <row r="284">
      <c r="D284" s="680"/>
    </row>
    <row r="285">
      <c r="D285" s="680"/>
    </row>
    <row r="286">
      <c r="D286" s="680"/>
    </row>
    <row r="287">
      <c r="D287" s="680"/>
    </row>
    <row r="288">
      <c r="D288" s="680"/>
    </row>
    <row r="289">
      <c r="D289" s="680"/>
    </row>
    <row r="290">
      <c r="D290" s="680"/>
    </row>
    <row r="291">
      <c r="D291" s="680"/>
    </row>
    <row r="292">
      <c r="D292" s="680"/>
    </row>
    <row r="293">
      <c r="D293" s="680"/>
    </row>
    <row r="294">
      <c r="D294" s="680"/>
    </row>
    <row r="295">
      <c r="D295" s="680"/>
    </row>
    <row r="296">
      <c r="D296" s="680"/>
    </row>
    <row r="297">
      <c r="D297" s="680"/>
    </row>
    <row r="298">
      <c r="D298" s="680"/>
    </row>
    <row r="299">
      <c r="D299" s="680"/>
    </row>
    <row r="300">
      <c r="D300" s="680"/>
    </row>
    <row r="301">
      <c r="D301" s="680"/>
    </row>
    <row r="302">
      <c r="D302" s="680"/>
    </row>
    <row r="303">
      <c r="D303" s="680"/>
    </row>
    <row r="304">
      <c r="D304" s="680"/>
    </row>
    <row r="305">
      <c r="D305" s="680"/>
    </row>
    <row r="306">
      <c r="D306" s="680"/>
    </row>
    <row r="307">
      <c r="D307" s="680"/>
    </row>
    <row r="308">
      <c r="D308" s="680"/>
    </row>
    <row r="309">
      <c r="D309" s="680"/>
    </row>
    <row r="310">
      <c r="D310" s="680"/>
    </row>
    <row r="311">
      <c r="D311" s="680"/>
    </row>
    <row r="312">
      <c r="D312" s="680"/>
    </row>
    <row r="313">
      <c r="D313" s="680"/>
    </row>
    <row r="314">
      <c r="D314" s="680"/>
    </row>
    <row r="315">
      <c r="D315" s="680"/>
    </row>
    <row r="316">
      <c r="D316" s="680"/>
    </row>
    <row r="317">
      <c r="D317" s="680"/>
    </row>
    <row r="318">
      <c r="D318" s="680"/>
    </row>
    <row r="319">
      <c r="D319" s="680"/>
    </row>
    <row r="320">
      <c r="D320" s="680"/>
    </row>
    <row r="321">
      <c r="D321" s="680"/>
    </row>
    <row r="322">
      <c r="D322" s="680"/>
    </row>
    <row r="323">
      <c r="D323" s="680"/>
    </row>
    <row r="324">
      <c r="D324" s="680"/>
    </row>
    <row r="325">
      <c r="D325" s="680"/>
    </row>
    <row r="326">
      <c r="D326" s="680"/>
    </row>
    <row r="327">
      <c r="D327" s="680"/>
    </row>
    <row r="328">
      <c r="D328" s="680"/>
    </row>
    <row r="329">
      <c r="D329" s="680"/>
    </row>
    <row r="330">
      <c r="D330" s="680"/>
    </row>
    <row r="331">
      <c r="D331" s="680"/>
    </row>
    <row r="332">
      <c r="D332" s="680"/>
    </row>
    <row r="333">
      <c r="D333" s="680"/>
    </row>
    <row r="334">
      <c r="D334" s="680"/>
    </row>
    <row r="335">
      <c r="D335" s="680"/>
    </row>
    <row r="336">
      <c r="D336" s="680"/>
    </row>
    <row r="337">
      <c r="D337" s="680"/>
    </row>
    <row r="338">
      <c r="D338" s="680"/>
    </row>
    <row r="339">
      <c r="D339" s="680"/>
    </row>
    <row r="340">
      <c r="D340" s="680"/>
    </row>
    <row r="341">
      <c r="D341" s="680"/>
    </row>
    <row r="342">
      <c r="D342" s="680"/>
    </row>
    <row r="343">
      <c r="D343" s="680"/>
    </row>
    <row r="344">
      <c r="D344" s="680"/>
    </row>
    <row r="345">
      <c r="D345" s="680"/>
    </row>
    <row r="346">
      <c r="D346" s="680"/>
    </row>
    <row r="347">
      <c r="D347" s="680"/>
    </row>
    <row r="348">
      <c r="D348" s="680"/>
    </row>
    <row r="349">
      <c r="D349" s="680"/>
    </row>
    <row r="350">
      <c r="D350" s="680"/>
    </row>
    <row r="351">
      <c r="D351" s="680"/>
    </row>
    <row r="352">
      <c r="D352" s="680"/>
    </row>
    <row r="353">
      <c r="D353" s="680"/>
    </row>
    <row r="354">
      <c r="D354" s="680"/>
    </row>
    <row r="355">
      <c r="D355" s="680"/>
    </row>
    <row r="356">
      <c r="D356" s="680"/>
    </row>
    <row r="357">
      <c r="D357" s="680"/>
    </row>
    <row r="358">
      <c r="D358" s="680"/>
    </row>
    <row r="359">
      <c r="D359" s="680"/>
    </row>
    <row r="360">
      <c r="D360" s="680"/>
    </row>
    <row r="361">
      <c r="D361" s="680"/>
    </row>
    <row r="362">
      <c r="D362" s="680"/>
    </row>
    <row r="363">
      <c r="D363" s="680"/>
    </row>
    <row r="364">
      <c r="D364" s="680"/>
    </row>
    <row r="365">
      <c r="D365" s="680"/>
    </row>
    <row r="366">
      <c r="D366" s="680"/>
    </row>
    <row r="367">
      <c r="D367" s="680"/>
    </row>
    <row r="368">
      <c r="D368" s="680"/>
    </row>
    <row r="369">
      <c r="D369" s="680"/>
    </row>
    <row r="370">
      <c r="D370" s="680"/>
    </row>
    <row r="371">
      <c r="D371" s="680"/>
    </row>
    <row r="372">
      <c r="D372" s="680"/>
    </row>
    <row r="373">
      <c r="D373" s="680"/>
    </row>
    <row r="374">
      <c r="D374" s="680"/>
    </row>
    <row r="375">
      <c r="D375" s="680"/>
    </row>
    <row r="376">
      <c r="D376" s="680"/>
    </row>
    <row r="377">
      <c r="D377" s="680"/>
    </row>
    <row r="378">
      <c r="D378" s="680"/>
    </row>
    <row r="379">
      <c r="D379" s="680"/>
    </row>
    <row r="380">
      <c r="D380" s="680"/>
    </row>
    <row r="381">
      <c r="D381" s="680"/>
    </row>
    <row r="382">
      <c r="D382" s="680"/>
    </row>
    <row r="383">
      <c r="D383" s="680"/>
    </row>
    <row r="384">
      <c r="D384" s="680"/>
    </row>
    <row r="385">
      <c r="D385" s="680"/>
    </row>
    <row r="386">
      <c r="D386" s="680"/>
    </row>
    <row r="387">
      <c r="D387" s="680"/>
    </row>
    <row r="388">
      <c r="D388" s="680"/>
    </row>
    <row r="389">
      <c r="D389" s="680"/>
    </row>
    <row r="390">
      <c r="D390" s="680"/>
    </row>
    <row r="391">
      <c r="D391" s="680"/>
    </row>
    <row r="392">
      <c r="D392" s="680"/>
    </row>
    <row r="393">
      <c r="D393" s="680"/>
    </row>
    <row r="394">
      <c r="D394" s="680"/>
    </row>
    <row r="395">
      <c r="D395" s="680"/>
    </row>
    <row r="396">
      <c r="D396" s="680"/>
    </row>
    <row r="397">
      <c r="D397" s="680"/>
    </row>
    <row r="398">
      <c r="D398" s="680"/>
    </row>
    <row r="399">
      <c r="D399" s="680"/>
    </row>
    <row r="400">
      <c r="D400" s="680"/>
    </row>
    <row r="401">
      <c r="D401" s="680"/>
    </row>
    <row r="402">
      <c r="D402" s="680"/>
    </row>
    <row r="403">
      <c r="D403" s="680"/>
    </row>
    <row r="404">
      <c r="D404" s="680"/>
    </row>
    <row r="405">
      <c r="D405" s="680"/>
    </row>
    <row r="406">
      <c r="D406" s="680"/>
    </row>
    <row r="407">
      <c r="D407" s="680"/>
    </row>
    <row r="408">
      <c r="D408" s="680"/>
    </row>
    <row r="409">
      <c r="D409" s="680"/>
    </row>
    <row r="410">
      <c r="D410" s="680"/>
    </row>
    <row r="411">
      <c r="D411" s="680"/>
    </row>
    <row r="412">
      <c r="D412" s="680"/>
    </row>
    <row r="413">
      <c r="D413" s="680"/>
    </row>
    <row r="414">
      <c r="D414" s="680"/>
    </row>
    <row r="415">
      <c r="D415" s="680"/>
    </row>
    <row r="416">
      <c r="D416" s="680"/>
    </row>
    <row r="417">
      <c r="D417" s="680"/>
    </row>
    <row r="418">
      <c r="D418" s="680"/>
    </row>
    <row r="419">
      <c r="D419" s="680"/>
    </row>
    <row r="420">
      <c r="D420" s="680"/>
    </row>
    <row r="421">
      <c r="D421" s="680"/>
    </row>
    <row r="422">
      <c r="D422" s="680"/>
    </row>
    <row r="423">
      <c r="D423" s="680"/>
    </row>
    <row r="424">
      <c r="D424" s="680"/>
    </row>
    <row r="425">
      <c r="D425" s="680"/>
    </row>
    <row r="426">
      <c r="D426" s="680"/>
    </row>
    <row r="427">
      <c r="D427" s="680"/>
    </row>
    <row r="428">
      <c r="D428" s="680"/>
    </row>
    <row r="429">
      <c r="D429" s="680"/>
    </row>
    <row r="430">
      <c r="D430" s="680"/>
    </row>
    <row r="431">
      <c r="D431" s="680"/>
    </row>
    <row r="432">
      <c r="D432" s="680"/>
    </row>
    <row r="433">
      <c r="D433" s="680"/>
    </row>
    <row r="434">
      <c r="D434" s="680"/>
    </row>
    <row r="435">
      <c r="D435" s="680"/>
    </row>
    <row r="436">
      <c r="D436" s="680"/>
    </row>
    <row r="437">
      <c r="D437" s="680"/>
    </row>
    <row r="438">
      <c r="D438" s="680"/>
    </row>
    <row r="439">
      <c r="D439" s="680"/>
    </row>
    <row r="440">
      <c r="D440" s="680"/>
    </row>
    <row r="441">
      <c r="D441" s="680"/>
    </row>
    <row r="442">
      <c r="D442" s="680"/>
    </row>
    <row r="443">
      <c r="D443" s="680"/>
    </row>
    <row r="444">
      <c r="D444" s="680"/>
    </row>
    <row r="445">
      <c r="D445" s="680"/>
    </row>
    <row r="446">
      <c r="D446" s="680"/>
    </row>
    <row r="447">
      <c r="D447" s="680"/>
    </row>
    <row r="448">
      <c r="D448" s="680"/>
    </row>
    <row r="449">
      <c r="D449" s="680"/>
    </row>
    <row r="450">
      <c r="D450" s="680"/>
    </row>
    <row r="451">
      <c r="D451" s="680"/>
    </row>
    <row r="452">
      <c r="D452" s="680"/>
    </row>
    <row r="453">
      <c r="D453" s="680"/>
    </row>
    <row r="454">
      <c r="D454" s="680"/>
    </row>
    <row r="455">
      <c r="D455" s="680"/>
    </row>
    <row r="456">
      <c r="D456" s="680"/>
    </row>
    <row r="457">
      <c r="D457" s="680"/>
    </row>
    <row r="458">
      <c r="D458" s="680"/>
    </row>
    <row r="459">
      <c r="D459" s="680"/>
    </row>
    <row r="460">
      <c r="D460" s="680"/>
    </row>
    <row r="461">
      <c r="D461" s="680"/>
    </row>
    <row r="462">
      <c r="D462" s="680"/>
    </row>
    <row r="463">
      <c r="D463" s="680"/>
    </row>
    <row r="464">
      <c r="D464" s="680"/>
    </row>
    <row r="465">
      <c r="D465" s="680"/>
    </row>
    <row r="466">
      <c r="D466" s="680"/>
    </row>
    <row r="467">
      <c r="D467" s="680"/>
    </row>
    <row r="468">
      <c r="D468" s="680"/>
    </row>
    <row r="469">
      <c r="D469" s="680"/>
    </row>
    <row r="470">
      <c r="D470" s="680"/>
    </row>
    <row r="471">
      <c r="D471" s="680"/>
    </row>
    <row r="472">
      <c r="D472" s="680"/>
    </row>
    <row r="473">
      <c r="D473" s="680"/>
    </row>
    <row r="474">
      <c r="D474" s="680"/>
    </row>
    <row r="475">
      <c r="D475" s="680"/>
    </row>
    <row r="476">
      <c r="D476" s="680"/>
    </row>
    <row r="477">
      <c r="D477" s="680"/>
    </row>
    <row r="478">
      <c r="D478" s="680"/>
    </row>
    <row r="479">
      <c r="D479" s="680"/>
    </row>
    <row r="480">
      <c r="D480" s="680"/>
    </row>
    <row r="481">
      <c r="D481" s="680"/>
    </row>
    <row r="482">
      <c r="D482" s="680"/>
    </row>
    <row r="483">
      <c r="D483" s="680"/>
    </row>
    <row r="484">
      <c r="D484" s="680"/>
    </row>
    <row r="485">
      <c r="D485" s="680"/>
    </row>
    <row r="486">
      <c r="D486" s="680"/>
    </row>
    <row r="487">
      <c r="D487" s="680"/>
    </row>
    <row r="488">
      <c r="D488" s="680"/>
    </row>
    <row r="489">
      <c r="D489" s="680"/>
    </row>
    <row r="490">
      <c r="D490" s="680"/>
    </row>
    <row r="491">
      <c r="D491" s="680"/>
    </row>
    <row r="492">
      <c r="D492" s="680"/>
    </row>
    <row r="493">
      <c r="D493" s="680"/>
    </row>
    <row r="494">
      <c r="D494" s="680"/>
    </row>
    <row r="495">
      <c r="D495" s="680"/>
    </row>
    <row r="496">
      <c r="D496" s="680"/>
    </row>
    <row r="497">
      <c r="D497" s="680"/>
    </row>
    <row r="498">
      <c r="D498" s="680"/>
    </row>
    <row r="499">
      <c r="D499" s="680"/>
    </row>
    <row r="500">
      <c r="D500" s="680"/>
    </row>
    <row r="501">
      <c r="D501" s="680"/>
    </row>
    <row r="502">
      <c r="D502" s="680"/>
    </row>
    <row r="503">
      <c r="D503" s="680"/>
    </row>
    <row r="504">
      <c r="D504" s="680"/>
    </row>
    <row r="505">
      <c r="D505" s="680"/>
    </row>
    <row r="506">
      <c r="D506" s="680"/>
    </row>
    <row r="507">
      <c r="D507" s="680"/>
    </row>
    <row r="508">
      <c r="D508" s="680"/>
    </row>
    <row r="509">
      <c r="D509" s="680"/>
    </row>
    <row r="510">
      <c r="D510" s="680"/>
    </row>
    <row r="511">
      <c r="D511" s="680"/>
    </row>
    <row r="512">
      <c r="D512" s="680"/>
    </row>
    <row r="513">
      <c r="D513" s="680"/>
    </row>
    <row r="514">
      <c r="D514" s="680"/>
    </row>
    <row r="515">
      <c r="D515" s="680"/>
    </row>
    <row r="516">
      <c r="D516" s="680"/>
    </row>
    <row r="517">
      <c r="D517" s="680"/>
    </row>
    <row r="518">
      <c r="D518" s="680"/>
    </row>
    <row r="519">
      <c r="D519" s="680"/>
    </row>
    <row r="520">
      <c r="D520" s="680"/>
    </row>
    <row r="521">
      <c r="D521" s="680"/>
    </row>
    <row r="522">
      <c r="D522" s="680"/>
    </row>
    <row r="523">
      <c r="D523" s="680"/>
    </row>
    <row r="524">
      <c r="D524" s="680"/>
    </row>
    <row r="525">
      <c r="D525" s="680"/>
    </row>
    <row r="526">
      <c r="D526" s="680"/>
    </row>
    <row r="527">
      <c r="D527" s="680"/>
    </row>
    <row r="528">
      <c r="D528" s="680"/>
    </row>
    <row r="529">
      <c r="D529" s="680"/>
    </row>
    <row r="530">
      <c r="D530" s="680"/>
    </row>
    <row r="531">
      <c r="D531" s="680"/>
    </row>
    <row r="532">
      <c r="D532" s="680"/>
    </row>
    <row r="533">
      <c r="D533" s="680"/>
    </row>
    <row r="534">
      <c r="D534" s="680"/>
    </row>
    <row r="535">
      <c r="D535" s="680"/>
    </row>
    <row r="536">
      <c r="D536" s="680"/>
    </row>
    <row r="537">
      <c r="D537" s="680"/>
    </row>
    <row r="538">
      <c r="D538" s="680"/>
    </row>
    <row r="539">
      <c r="D539" s="680"/>
    </row>
    <row r="540">
      <c r="D540" s="680"/>
    </row>
    <row r="541">
      <c r="D541" s="680"/>
    </row>
    <row r="542">
      <c r="D542" s="680"/>
    </row>
    <row r="543">
      <c r="D543" s="680"/>
    </row>
    <row r="544">
      <c r="D544" s="680"/>
    </row>
    <row r="545">
      <c r="D545" s="680"/>
    </row>
    <row r="546">
      <c r="D546" s="680"/>
    </row>
    <row r="547">
      <c r="D547" s="680"/>
    </row>
    <row r="548">
      <c r="D548" s="680"/>
    </row>
    <row r="549">
      <c r="D549" s="680"/>
    </row>
    <row r="550">
      <c r="D550" s="680"/>
    </row>
    <row r="551">
      <c r="D551" s="680"/>
    </row>
    <row r="552">
      <c r="D552" s="680"/>
    </row>
    <row r="553">
      <c r="D553" s="680"/>
    </row>
    <row r="554">
      <c r="D554" s="680"/>
    </row>
    <row r="555">
      <c r="D555" s="680"/>
    </row>
    <row r="556">
      <c r="D556" s="680"/>
    </row>
    <row r="557">
      <c r="D557" s="680"/>
    </row>
    <row r="558">
      <c r="D558" s="680"/>
    </row>
    <row r="559">
      <c r="D559" s="680"/>
    </row>
    <row r="560">
      <c r="D560" s="680"/>
    </row>
    <row r="561">
      <c r="D561" s="680"/>
    </row>
    <row r="562">
      <c r="D562" s="680"/>
    </row>
    <row r="563">
      <c r="D563" s="680"/>
    </row>
    <row r="564">
      <c r="D564" s="680"/>
    </row>
    <row r="565">
      <c r="D565" s="680"/>
    </row>
    <row r="566">
      <c r="D566" s="680"/>
    </row>
    <row r="567">
      <c r="D567" s="680"/>
    </row>
    <row r="568">
      <c r="D568" s="680"/>
    </row>
    <row r="569">
      <c r="D569" s="680"/>
    </row>
    <row r="570">
      <c r="D570" s="680"/>
    </row>
    <row r="571">
      <c r="D571" s="680"/>
    </row>
    <row r="572">
      <c r="D572" s="680"/>
    </row>
    <row r="573">
      <c r="D573" s="680"/>
    </row>
    <row r="574">
      <c r="D574" s="680"/>
    </row>
    <row r="575">
      <c r="D575" s="680"/>
    </row>
    <row r="576">
      <c r="D576" s="680"/>
    </row>
    <row r="577">
      <c r="D577" s="680"/>
    </row>
    <row r="578">
      <c r="D578" s="680"/>
    </row>
    <row r="579">
      <c r="D579" s="680"/>
    </row>
    <row r="580">
      <c r="D580" s="680"/>
    </row>
    <row r="581">
      <c r="D581" s="680"/>
    </row>
    <row r="582">
      <c r="D582" s="680"/>
    </row>
    <row r="583">
      <c r="D583" s="680"/>
    </row>
    <row r="584">
      <c r="D584" s="680"/>
    </row>
    <row r="585">
      <c r="D585" s="680"/>
    </row>
    <row r="586">
      <c r="D586" s="680"/>
    </row>
    <row r="587">
      <c r="D587" s="680"/>
    </row>
    <row r="588">
      <c r="D588" s="680"/>
    </row>
    <row r="589">
      <c r="D589" s="680"/>
    </row>
    <row r="590">
      <c r="D590" s="680"/>
    </row>
    <row r="591">
      <c r="D591" s="680"/>
    </row>
    <row r="592">
      <c r="D592" s="680"/>
    </row>
    <row r="593">
      <c r="D593" s="680"/>
    </row>
    <row r="594">
      <c r="D594" s="680"/>
    </row>
    <row r="595">
      <c r="D595" s="680"/>
    </row>
    <row r="596">
      <c r="D596" s="680"/>
    </row>
    <row r="597">
      <c r="D597" s="680"/>
    </row>
    <row r="598">
      <c r="D598" s="680"/>
    </row>
    <row r="599">
      <c r="D599" s="680"/>
    </row>
    <row r="600">
      <c r="D600" s="680"/>
    </row>
    <row r="601">
      <c r="D601" s="680"/>
    </row>
    <row r="602">
      <c r="D602" s="680"/>
    </row>
    <row r="603">
      <c r="D603" s="680"/>
    </row>
    <row r="604">
      <c r="D604" s="680"/>
    </row>
    <row r="605">
      <c r="D605" s="680"/>
    </row>
    <row r="606">
      <c r="D606" s="680"/>
    </row>
    <row r="607">
      <c r="D607" s="680"/>
    </row>
    <row r="608">
      <c r="D608" s="680"/>
    </row>
    <row r="609">
      <c r="D609" s="680"/>
    </row>
    <row r="610">
      <c r="D610" s="680"/>
    </row>
    <row r="611">
      <c r="D611" s="680"/>
    </row>
    <row r="612">
      <c r="D612" s="680"/>
    </row>
    <row r="613">
      <c r="D613" s="680"/>
    </row>
    <row r="614">
      <c r="D614" s="680"/>
    </row>
    <row r="615">
      <c r="D615" s="680"/>
    </row>
    <row r="616">
      <c r="D616" s="680"/>
    </row>
    <row r="617">
      <c r="D617" s="680"/>
    </row>
    <row r="618">
      <c r="D618" s="680"/>
    </row>
    <row r="619">
      <c r="D619" s="680"/>
    </row>
    <row r="620">
      <c r="D620" s="680"/>
    </row>
    <row r="621">
      <c r="D621" s="680"/>
    </row>
    <row r="622">
      <c r="D622" s="680"/>
    </row>
    <row r="623">
      <c r="D623" s="680"/>
    </row>
    <row r="624">
      <c r="D624" s="680"/>
    </row>
    <row r="625">
      <c r="D625" s="680"/>
    </row>
    <row r="626">
      <c r="D626" s="680"/>
    </row>
    <row r="627">
      <c r="D627" s="680"/>
    </row>
    <row r="628">
      <c r="D628" s="680"/>
    </row>
    <row r="629">
      <c r="D629" s="680"/>
    </row>
    <row r="630">
      <c r="D630" s="680"/>
    </row>
    <row r="631">
      <c r="D631" s="680"/>
    </row>
    <row r="632">
      <c r="D632" s="680"/>
    </row>
    <row r="633">
      <c r="D633" s="680"/>
    </row>
    <row r="634">
      <c r="D634" s="680"/>
    </row>
    <row r="635">
      <c r="D635" s="680"/>
    </row>
    <row r="636">
      <c r="D636" s="680"/>
    </row>
    <row r="637">
      <c r="D637" s="680"/>
    </row>
    <row r="638">
      <c r="D638" s="680"/>
    </row>
    <row r="639">
      <c r="D639" s="680"/>
    </row>
    <row r="640">
      <c r="D640" s="680"/>
    </row>
    <row r="641">
      <c r="D641" s="680"/>
    </row>
    <row r="642">
      <c r="D642" s="680"/>
    </row>
    <row r="643">
      <c r="D643" s="680"/>
    </row>
    <row r="644">
      <c r="D644" s="680"/>
    </row>
    <row r="645">
      <c r="D645" s="680"/>
    </row>
    <row r="646">
      <c r="D646" s="680"/>
    </row>
    <row r="647">
      <c r="D647" s="680"/>
    </row>
    <row r="648">
      <c r="D648" s="680"/>
    </row>
    <row r="649">
      <c r="D649" s="680"/>
    </row>
    <row r="650">
      <c r="D650" s="680"/>
    </row>
    <row r="651">
      <c r="D651" s="680"/>
    </row>
    <row r="652">
      <c r="D652" s="680"/>
    </row>
    <row r="653">
      <c r="D653" s="680"/>
    </row>
    <row r="654">
      <c r="D654" s="680"/>
    </row>
    <row r="655">
      <c r="D655" s="680"/>
    </row>
    <row r="656">
      <c r="D656" s="680"/>
    </row>
    <row r="657">
      <c r="D657" s="680"/>
    </row>
    <row r="658">
      <c r="D658" s="680"/>
    </row>
    <row r="659">
      <c r="D659" s="680"/>
    </row>
    <row r="660">
      <c r="D660" s="680"/>
    </row>
    <row r="661">
      <c r="D661" s="680"/>
    </row>
    <row r="662">
      <c r="D662" s="680"/>
    </row>
    <row r="663">
      <c r="D663" s="680"/>
    </row>
    <row r="664">
      <c r="D664" s="680"/>
    </row>
    <row r="665">
      <c r="D665" s="680"/>
    </row>
    <row r="666">
      <c r="D666" s="680"/>
    </row>
    <row r="667">
      <c r="D667" s="680"/>
    </row>
    <row r="668">
      <c r="D668" s="680"/>
    </row>
    <row r="669">
      <c r="D669" s="680"/>
    </row>
    <row r="670">
      <c r="D670" s="680"/>
    </row>
    <row r="671">
      <c r="D671" s="680"/>
    </row>
    <row r="672">
      <c r="D672" s="680"/>
    </row>
    <row r="673">
      <c r="D673" s="680"/>
    </row>
    <row r="674">
      <c r="D674" s="680"/>
    </row>
    <row r="675">
      <c r="D675" s="680"/>
    </row>
    <row r="676">
      <c r="D676" s="680"/>
    </row>
    <row r="677">
      <c r="D677" s="680"/>
    </row>
    <row r="678">
      <c r="D678" s="680"/>
    </row>
    <row r="679">
      <c r="D679" s="680"/>
    </row>
    <row r="680">
      <c r="D680" s="680"/>
    </row>
    <row r="681">
      <c r="D681" s="680"/>
    </row>
    <row r="682">
      <c r="D682" s="680"/>
    </row>
    <row r="683">
      <c r="D683" s="680"/>
    </row>
    <row r="684">
      <c r="D684" s="680"/>
    </row>
    <row r="685">
      <c r="D685" s="680"/>
    </row>
    <row r="686">
      <c r="D686" s="680"/>
    </row>
    <row r="687">
      <c r="D687" s="680"/>
    </row>
    <row r="688">
      <c r="D688" s="680"/>
    </row>
    <row r="689">
      <c r="D689" s="680"/>
    </row>
    <row r="690">
      <c r="D690" s="680"/>
    </row>
    <row r="691">
      <c r="D691" s="680"/>
    </row>
    <row r="692">
      <c r="D692" s="680"/>
    </row>
    <row r="693">
      <c r="D693" s="680"/>
    </row>
    <row r="694">
      <c r="D694" s="680"/>
    </row>
    <row r="695">
      <c r="D695" s="680"/>
    </row>
    <row r="696">
      <c r="D696" s="680"/>
    </row>
    <row r="697">
      <c r="D697" s="680"/>
    </row>
    <row r="698">
      <c r="D698" s="680"/>
    </row>
    <row r="699">
      <c r="D699" s="680"/>
    </row>
    <row r="700">
      <c r="D700" s="680"/>
    </row>
    <row r="701">
      <c r="D701" s="680"/>
    </row>
    <row r="702">
      <c r="D702" s="680"/>
    </row>
    <row r="703">
      <c r="D703" s="680"/>
    </row>
    <row r="704">
      <c r="D704" s="680"/>
    </row>
    <row r="705">
      <c r="D705" s="680"/>
    </row>
    <row r="706">
      <c r="D706" s="680"/>
    </row>
    <row r="707">
      <c r="D707" s="680"/>
    </row>
    <row r="708">
      <c r="D708" s="680"/>
    </row>
    <row r="709">
      <c r="D709" s="680"/>
    </row>
    <row r="710">
      <c r="D710" s="680"/>
    </row>
    <row r="711">
      <c r="D711" s="680"/>
    </row>
    <row r="712">
      <c r="D712" s="680"/>
    </row>
    <row r="713">
      <c r="D713" s="680"/>
    </row>
    <row r="714">
      <c r="D714" s="680"/>
    </row>
    <row r="715">
      <c r="D715" s="680"/>
    </row>
    <row r="716">
      <c r="D716" s="680"/>
    </row>
    <row r="717">
      <c r="D717" s="680"/>
    </row>
    <row r="718">
      <c r="D718" s="680"/>
    </row>
    <row r="719">
      <c r="D719" s="680"/>
    </row>
    <row r="720">
      <c r="D720" s="680"/>
    </row>
    <row r="721">
      <c r="D721" s="680"/>
    </row>
    <row r="722">
      <c r="D722" s="680"/>
    </row>
    <row r="723">
      <c r="D723" s="680"/>
    </row>
    <row r="724">
      <c r="D724" s="680"/>
    </row>
    <row r="725">
      <c r="D725" s="680"/>
    </row>
    <row r="726">
      <c r="D726" s="680"/>
    </row>
    <row r="727">
      <c r="D727" s="680"/>
    </row>
    <row r="728">
      <c r="D728" s="680"/>
    </row>
    <row r="729">
      <c r="D729" s="680"/>
    </row>
    <row r="730">
      <c r="D730" s="680"/>
    </row>
    <row r="731">
      <c r="D731" s="680"/>
    </row>
    <row r="732">
      <c r="D732" s="680"/>
    </row>
    <row r="733">
      <c r="D733" s="680"/>
    </row>
    <row r="734">
      <c r="D734" s="680"/>
    </row>
    <row r="735">
      <c r="D735" s="680"/>
    </row>
    <row r="736">
      <c r="D736" s="680"/>
    </row>
    <row r="737">
      <c r="D737" s="680"/>
    </row>
    <row r="738">
      <c r="D738" s="680"/>
    </row>
    <row r="739">
      <c r="D739" s="680"/>
    </row>
    <row r="740">
      <c r="D740" s="680"/>
    </row>
    <row r="741">
      <c r="D741" s="680"/>
    </row>
    <row r="742">
      <c r="D742" s="680"/>
    </row>
    <row r="743">
      <c r="D743" s="680"/>
    </row>
    <row r="744">
      <c r="D744" s="680"/>
    </row>
    <row r="745">
      <c r="D745" s="680"/>
    </row>
    <row r="746">
      <c r="D746" s="680"/>
    </row>
    <row r="747">
      <c r="D747" s="680"/>
    </row>
    <row r="748">
      <c r="D748" s="680"/>
    </row>
    <row r="749">
      <c r="D749" s="680"/>
    </row>
    <row r="750">
      <c r="D750" s="680"/>
    </row>
    <row r="751">
      <c r="D751" s="680"/>
    </row>
    <row r="752">
      <c r="D752" s="680"/>
    </row>
    <row r="753">
      <c r="D753" s="680"/>
    </row>
    <row r="754">
      <c r="D754" s="680"/>
    </row>
    <row r="755">
      <c r="D755" s="680"/>
    </row>
    <row r="756">
      <c r="D756" s="680"/>
    </row>
    <row r="757">
      <c r="D757" s="680"/>
    </row>
    <row r="758">
      <c r="D758" s="680"/>
    </row>
    <row r="759">
      <c r="D759" s="680"/>
    </row>
    <row r="760">
      <c r="D760" s="680"/>
    </row>
    <row r="761">
      <c r="D761" s="680"/>
    </row>
    <row r="762">
      <c r="D762" s="680"/>
    </row>
    <row r="763">
      <c r="D763" s="680"/>
    </row>
    <row r="764">
      <c r="D764" s="680"/>
    </row>
    <row r="765">
      <c r="D765" s="680"/>
    </row>
    <row r="766">
      <c r="D766" s="680"/>
    </row>
    <row r="767">
      <c r="D767" s="680"/>
    </row>
    <row r="768">
      <c r="D768" s="680"/>
    </row>
    <row r="769">
      <c r="D769" s="680"/>
    </row>
    <row r="770">
      <c r="D770" s="680"/>
    </row>
    <row r="771">
      <c r="D771" s="680"/>
    </row>
    <row r="772">
      <c r="D772" s="680"/>
    </row>
    <row r="773">
      <c r="D773" s="680"/>
    </row>
    <row r="774">
      <c r="D774" s="680"/>
    </row>
    <row r="775">
      <c r="D775" s="680"/>
    </row>
    <row r="776">
      <c r="D776" s="680"/>
    </row>
    <row r="777">
      <c r="D777" s="680"/>
    </row>
    <row r="778">
      <c r="D778" s="680"/>
    </row>
    <row r="779">
      <c r="D779" s="680"/>
    </row>
    <row r="780">
      <c r="D780" s="680"/>
    </row>
    <row r="781">
      <c r="D781" s="680"/>
    </row>
    <row r="782">
      <c r="D782" s="680"/>
    </row>
    <row r="783">
      <c r="D783" s="680"/>
    </row>
    <row r="784">
      <c r="D784" s="680"/>
    </row>
    <row r="785">
      <c r="D785" s="680"/>
    </row>
    <row r="786">
      <c r="D786" s="680"/>
    </row>
    <row r="787">
      <c r="D787" s="680"/>
    </row>
    <row r="788">
      <c r="D788" s="680"/>
    </row>
    <row r="789">
      <c r="D789" s="680"/>
    </row>
    <row r="790">
      <c r="D790" s="680"/>
    </row>
    <row r="791">
      <c r="D791" s="680"/>
    </row>
    <row r="792">
      <c r="D792" s="680"/>
    </row>
    <row r="793">
      <c r="D793" s="680"/>
    </row>
    <row r="794">
      <c r="D794" s="680"/>
    </row>
    <row r="795">
      <c r="D795" s="680"/>
    </row>
    <row r="796">
      <c r="D796" s="680"/>
    </row>
    <row r="797">
      <c r="D797" s="680"/>
    </row>
    <row r="798">
      <c r="D798" s="680"/>
    </row>
    <row r="799">
      <c r="D799" s="680"/>
    </row>
    <row r="800">
      <c r="D800" s="680"/>
    </row>
    <row r="801">
      <c r="D801" s="680"/>
    </row>
    <row r="802">
      <c r="D802" s="680"/>
    </row>
    <row r="803">
      <c r="D803" s="680"/>
    </row>
    <row r="804">
      <c r="D804" s="680"/>
    </row>
    <row r="805">
      <c r="D805" s="680"/>
    </row>
    <row r="806">
      <c r="D806" s="680"/>
    </row>
    <row r="807">
      <c r="D807" s="680"/>
    </row>
    <row r="808">
      <c r="D808" s="680"/>
    </row>
    <row r="809">
      <c r="D809" s="680"/>
    </row>
    <row r="810">
      <c r="D810" s="680"/>
    </row>
    <row r="811">
      <c r="D811" s="680"/>
    </row>
    <row r="812">
      <c r="D812" s="680"/>
    </row>
    <row r="813">
      <c r="D813" s="680"/>
    </row>
    <row r="814">
      <c r="D814" s="680"/>
    </row>
    <row r="815">
      <c r="D815" s="680"/>
    </row>
    <row r="816">
      <c r="D816" s="680"/>
    </row>
    <row r="817">
      <c r="D817" s="680"/>
    </row>
    <row r="818">
      <c r="D818" s="680"/>
    </row>
    <row r="819">
      <c r="D819" s="680"/>
    </row>
    <row r="820">
      <c r="D820" s="680"/>
    </row>
    <row r="821">
      <c r="D821" s="680"/>
    </row>
    <row r="822">
      <c r="D822" s="680"/>
    </row>
    <row r="823">
      <c r="D823" s="680"/>
    </row>
    <row r="824">
      <c r="D824" s="680"/>
    </row>
    <row r="825">
      <c r="D825" s="680"/>
    </row>
    <row r="826">
      <c r="D826" s="680"/>
    </row>
    <row r="827">
      <c r="D827" s="680"/>
    </row>
    <row r="828">
      <c r="D828" s="680"/>
    </row>
    <row r="829">
      <c r="D829" s="680"/>
    </row>
    <row r="830">
      <c r="D830" s="680"/>
    </row>
    <row r="831">
      <c r="D831" s="680"/>
    </row>
    <row r="832">
      <c r="D832" s="680"/>
    </row>
    <row r="833">
      <c r="D833" s="680"/>
    </row>
    <row r="834">
      <c r="D834" s="680"/>
    </row>
    <row r="835">
      <c r="D835" s="680"/>
    </row>
    <row r="836">
      <c r="D836" s="680"/>
    </row>
    <row r="837">
      <c r="D837" s="680"/>
    </row>
    <row r="838">
      <c r="D838" s="680"/>
    </row>
    <row r="839">
      <c r="D839" s="680"/>
    </row>
    <row r="840">
      <c r="D840" s="680"/>
    </row>
    <row r="841">
      <c r="D841" s="680"/>
    </row>
    <row r="842">
      <c r="D842" s="680"/>
    </row>
    <row r="843">
      <c r="D843" s="680"/>
    </row>
    <row r="844">
      <c r="D844" s="680"/>
    </row>
    <row r="845">
      <c r="D845" s="680"/>
    </row>
    <row r="846">
      <c r="D846" s="680"/>
    </row>
    <row r="847">
      <c r="D847" s="680"/>
    </row>
    <row r="848">
      <c r="D848" s="680"/>
    </row>
    <row r="849">
      <c r="D849" s="680"/>
    </row>
    <row r="850">
      <c r="D850" s="680"/>
    </row>
    <row r="851">
      <c r="D851" s="680"/>
    </row>
    <row r="852">
      <c r="D852" s="680"/>
    </row>
    <row r="853">
      <c r="D853" s="680"/>
    </row>
    <row r="854">
      <c r="D854" s="680"/>
    </row>
    <row r="855">
      <c r="D855" s="680"/>
    </row>
    <row r="856">
      <c r="D856" s="680"/>
    </row>
    <row r="857">
      <c r="D857" s="680"/>
    </row>
    <row r="858">
      <c r="D858" s="680"/>
    </row>
    <row r="859">
      <c r="D859" s="680"/>
    </row>
    <row r="860">
      <c r="D860" s="680"/>
    </row>
    <row r="861">
      <c r="D861" s="680"/>
    </row>
    <row r="862">
      <c r="D862" s="680"/>
    </row>
    <row r="863">
      <c r="D863" s="680"/>
    </row>
    <row r="864">
      <c r="D864" s="680"/>
    </row>
    <row r="865">
      <c r="D865" s="680"/>
    </row>
    <row r="866">
      <c r="D866" s="680"/>
    </row>
    <row r="867">
      <c r="D867" s="680"/>
    </row>
    <row r="868">
      <c r="D868" s="680"/>
    </row>
    <row r="869">
      <c r="D869" s="680"/>
    </row>
    <row r="870">
      <c r="D870" s="680"/>
    </row>
    <row r="871">
      <c r="D871" s="680"/>
    </row>
    <row r="872">
      <c r="D872" s="680"/>
    </row>
    <row r="873">
      <c r="D873" s="680"/>
    </row>
    <row r="874">
      <c r="D874" s="680"/>
    </row>
    <row r="875">
      <c r="D875" s="680"/>
    </row>
    <row r="876">
      <c r="D876" s="680"/>
    </row>
    <row r="877">
      <c r="D877" s="680"/>
    </row>
    <row r="878">
      <c r="D878" s="680"/>
    </row>
    <row r="879">
      <c r="D879" s="680"/>
    </row>
    <row r="880">
      <c r="D880" s="680"/>
    </row>
    <row r="881">
      <c r="D881" s="680"/>
    </row>
    <row r="882">
      <c r="D882" s="680"/>
    </row>
    <row r="883">
      <c r="D883" s="680"/>
    </row>
    <row r="884">
      <c r="D884" s="680"/>
    </row>
    <row r="885">
      <c r="D885" s="680"/>
    </row>
    <row r="886">
      <c r="D886" s="680"/>
    </row>
    <row r="887">
      <c r="D887" s="680"/>
    </row>
    <row r="888">
      <c r="D888" s="680"/>
    </row>
    <row r="889">
      <c r="D889" s="680"/>
    </row>
    <row r="890">
      <c r="D890" s="680"/>
    </row>
    <row r="891">
      <c r="D891" s="680"/>
    </row>
    <row r="892">
      <c r="D892" s="680"/>
    </row>
    <row r="893">
      <c r="D893" s="680"/>
    </row>
    <row r="894">
      <c r="D894" s="680"/>
    </row>
    <row r="895">
      <c r="D895" s="680"/>
    </row>
    <row r="896">
      <c r="D896" s="680"/>
    </row>
    <row r="897">
      <c r="D897" s="680"/>
    </row>
    <row r="898">
      <c r="D898" s="680"/>
    </row>
    <row r="899">
      <c r="D899" s="680"/>
    </row>
    <row r="900">
      <c r="D900" s="680"/>
    </row>
    <row r="901">
      <c r="D901" s="680"/>
    </row>
    <row r="902">
      <c r="D902" s="680"/>
    </row>
    <row r="903">
      <c r="D903" s="680"/>
    </row>
    <row r="904">
      <c r="D904" s="680"/>
    </row>
    <row r="905">
      <c r="D905" s="680"/>
    </row>
    <row r="906">
      <c r="D906" s="680"/>
    </row>
    <row r="907">
      <c r="D907" s="680"/>
    </row>
    <row r="908">
      <c r="D908" s="680"/>
    </row>
    <row r="909">
      <c r="D909" s="680"/>
    </row>
    <row r="910">
      <c r="D910" s="680"/>
    </row>
    <row r="911">
      <c r="D911" s="680"/>
    </row>
    <row r="912">
      <c r="D912" s="680"/>
    </row>
    <row r="913">
      <c r="D913" s="680"/>
    </row>
    <row r="914">
      <c r="D914" s="680"/>
    </row>
    <row r="915">
      <c r="D915" s="680"/>
    </row>
    <row r="916">
      <c r="D916" s="680"/>
    </row>
    <row r="917">
      <c r="D917" s="680"/>
    </row>
    <row r="918">
      <c r="D918" s="680"/>
    </row>
    <row r="919">
      <c r="D919" s="680"/>
    </row>
    <row r="920">
      <c r="D920" s="680"/>
    </row>
    <row r="921">
      <c r="D921" s="680"/>
    </row>
    <row r="922">
      <c r="D922" s="680"/>
    </row>
    <row r="923">
      <c r="D923" s="680"/>
    </row>
    <row r="924">
      <c r="D924" s="680"/>
    </row>
    <row r="925">
      <c r="D925" s="680"/>
    </row>
    <row r="926">
      <c r="D926" s="680"/>
    </row>
    <row r="927">
      <c r="D927" s="680"/>
    </row>
    <row r="928">
      <c r="D928" s="680"/>
    </row>
    <row r="929">
      <c r="D929" s="680"/>
    </row>
    <row r="930">
      <c r="D930" s="680"/>
    </row>
    <row r="931">
      <c r="D931" s="680"/>
    </row>
    <row r="932">
      <c r="D932" s="680"/>
    </row>
    <row r="933">
      <c r="D933" s="680"/>
    </row>
    <row r="934">
      <c r="D934" s="680"/>
    </row>
    <row r="935">
      <c r="D935" s="680"/>
    </row>
    <row r="936">
      <c r="D936" s="680"/>
    </row>
    <row r="937">
      <c r="D937" s="680"/>
    </row>
    <row r="938">
      <c r="D938" s="680"/>
    </row>
    <row r="939">
      <c r="D939" s="680"/>
    </row>
    <row r="940">
      <c r="D940" s="680"/>
    </row>
    <row r="941">
      <c r="D941" s="680"/>
    </row>
    <row r="942">
      <c r="D942" s="680"/>
    </row>
    <row r="943">
      <c r="D943" s="680"/>
    </row>
    <row r="944">
      <c r="D944" s="680"/>
    </row>
    <row r="945">
      <c r="D945" s="680"/>
    </row>
    <row r="946">
      <c r="D946" s="680"/>
    </row>
    <row r="947">
      <c r="D947" s="680"/>
    </row>
    <row r="948">
      <c r="D948" s="680"/>
    </row>
    <row r="949">
      <c r="D949" s="680"/>
    </row>
    <row r="950">
      <c r="D950" s="680"/>
    </row>
    <row r="951">
      <c r="D951" s="680"/>
    </row>
    <row r="952">
      <c r="D952" s="680"/>
    </row>
    <row r="953">
      <c r="D953" s="680"/>
    </row>
    <row r="954">
      <c r="D954" s="680"/>
    </row>
    <row r="955">
      <c r="D955" s="680"/>
    </row>
    <row r="956">
      <c r="D956" s="680"/>
    </row>
    <row r="957">
      <c r="D957" s="680"/>
    </row>
    <row r="958">
      <c r="D958" s="680"/>
    </row>
    <row r="959">
      <c r="D959" s="680"/>
    </row>
    <row r="960">
      <c r="D960" s="680"/>
    </row>
    <row r="961">
      <c r="D961" s="680"/>
    </row>
    <row r="962">
      <c r="D962" s="680"/>
    </row>
    <row r="963">
      <c r="D963" s="680"/>
    </row>
    <row r="964">
      <c r="D964" s="680"/>
    </row>
    <row r="965">
      <c r="D965" s="680"/>
    </row>
    <row r="966">
      <c r="D966" s="680"/>
    </row>
    <row r="967">
      <c r="D967" s="680"/>
    </row>
    <row r="968">
      <c r="D968" s="680"/>
    </row>
    <row r="969">
      <c r="D969" s="680"/>
    </row>
    <row r="970">
      <c r="D970" s="680"/>
    </row>
    <row r="971">
      <c r="D971" s="680"/>
    </row>
    <row r="972">
      <c r="D972" s="680"/>
    </row>
    <row r="973">
      <c r="D973" s="680"/>
    </row>
    <row r="974">
      <c r="D974" s="680"/>
    </row>
    <row r="975">
      <c r="D975" s="680"/>
    </row>
    <row r="976">
      <c r="D976" s="680"/>
    </row>
    <row r="977">
      <c r="D977" s="680"/>
    </row>
    <row r="978">
      <c r="D978" s="680"/>
    </row>
    <row r="979">
      <c r="D979" s="680"/>
    </row>
    <row r="980">
      <c r="D980" s="680"/>
    </row>
    <row r="981">
      <c r="D981" s="680"/>
    </row>
    <row r="982">
      <c r="D982" s="680"/>
    </row>
    <row r="983">
      <c r="D983" s="680"/>
    </row>
    <row r="984">
      <c r="D984" s="680"/>
    </row>
    <row r="985">
      <c r="D985" s="680"/>
    </row>
    <row r="986">
      <c r="D986" s="680"/>
    </row>
    <row r="987">
      <c r="D987" s="680"/>
    </row>
    <row r="988">
      <c r="D988" s="680"/>
    </row>
    <row r="989">
      <c r="D989" s="680"/>
    </row>
    <row r="990">
      <c r="D990" s="680"/>
    </row>
    <row r="991">
      <c r="D991" s="680"/>
    </row>
    <row r="992">
      <c r="D992" s="680"/>
    </row>
    <row r="993">
      <c r="D993" s="680"/>
    </row>
    <row r="994">
      <c r="D994" s="680"/>
    </row>
    <row r="995">
      <c r="D995" s="680"/>
    </row>
    <row r="996">
      <c r="D996" s="680"/>
    </row>
    <row r="997">
      <c r="D997" s="680"/>
    </row>
    <row r="998">
      <c r="D998" s="680"/>
    </row>
    <row r="999">
      <c r="D999" s="680"/>
    </row>
    <row r="1000">
      <c r="D1000" s="680"/>
    </row>
  </sheetData>
  <autoFilter ref="$C$1:$C$1000">
    <sortState ref="C1:C1000">
      <sortCondition ref="C1:C1000"/>
    </sortState>
  </autoFilter>
  <dataValidations>
    <dataValidation type="list" allowBlank="1" showErrorMessage="1" sqref="D1:D1000">
      <formula1>"Ber + Mal + Ber + Ist,Cham + Sur + Io + Lo,Hel + Ko + Lem + Gul,Hel + Ko + Thul + Eth + Fal,Hel + Ohm + Um + Lo + Cham,Ral + Tir + Tal + Sol,Runes,Shael + Um + Tir,Vex + Lo + Ber + Jah + Ko"</formula1>
    </dataValidation>
  </dataValidations>
  <printOptions/>
  <pageMargins bottom="0.75" footer="0.0" header="0.0" left="0.7" right="0.7" top="0.75"/>
  <pageSetup paperSize="8"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
    <col customWidth="1" min="2" max="2" width="5.0"/>
    <col customWidth="1" min="3" max="3" width="15.0"/>
    <col customWidth="1" min="4" max="4" width="31.25"/>
    <col customWidth="1" hidden="1" min="5" max="6" width="6.38"/>
    <col customWidth="1" min="7" max="8" width="6.38"/>
    <col customWidth="1" hidden="1" min="9" max="14" width="6.38"/>
    <col customWidth="1" min="15" max="16" width="6.38"/>
    <col customWidth="1" min="17" max="17" width="2.0"/>
    <col customWidth="1" min="18" max="18" width="26.38"/>
    <col customWidth="1" min="19" max="19" width="3.88"/>
  </cols>
  <sheetData>
    <row r="1">
      <c r="A1" s="713" t="s">
        <v>1693</v>
      </c>
      <c r="D1" s="714"/>
      <c r="E1" s="715"/>
      <c r="F1" s="715"/>
      <c r="G1" s="715"/>
      <c r="H1" s="715"/>
      <c r="I1" s="715"/>
      <c r="J1" s="715"/>
      <c r="K1" s="715"/>
      <c r="L1" s="715"/>
      <c r="M1" s="715"/>
      <c r="N1" s="715"/>
      <c r="O1" s="715"/>
      <c r="P1" s="716"/>
      <c r="Q1" s="2"/>
      <c r="R1" s="2"/>
      <c r="S1" s="2"/>
    </row>
    <row r="2">
      <c r="A2" s="717" t="s">
        <v>1694</v>
      </c>
      <c r="B2" s="2"/>
      <c r="C2" s="718"/>
      <c r="D2" s="719"/>
      <c r="E2" s="720"/>
      <c r="F2" s="720"/>
      <c r="G2" s="720"/>
      <c r="H2" s="720"/>
      <c r="I2" s="720"/>
      <c r="J2" s="720"/>
      <c r="K2" s="720"/>
      <c r="L2" s="720"/>
      <c r="M2" s="720"/>
      <c r="N2" s="720"/>
      <c r="O2" s="720"/>
      <c r="P2" s="721"/>
      <c r="Q2" s="2"/>
      <c r="R2" s="2"/>
      <c r="S2" s="2"/>
    </row>
    <row r="3">
      <c r="A3" s="2"/>
      <c r="B3" s="2"/>
      <c r="C3" s="2"/>
      <c r="D3" s="2"/>
      <c r="E3" s="722"/>
      <c r="F3" s="722"/>
      <c r="G3" s="722"/>
      <c r="H3" s="722"/>
      <c r="I3" s="722"/>
      <c r="J3" s="722"/>
      <c r="K3" s="722"/>
      <c r="L3" s="722"/>
      <c r="M3" s="722"/>
      <c r="N3" s="722"/>
      <c r="O3" s="722"/>
      <c r="P3" s="722"/>
      <c r="Q3" s="2"/>
      <c r="R3" s="2"/>
      <c r="S3" s="2"/>
    </row>
    <row r="4">
      <c r="A4" s="2"/>
      <c r="B4" s="723" t="s">
        <v>1695</v>
      </c>
      <c r="C4" s="724"/>
      <c r="D4" s="725"/>
      <c r="E4" s="726"/>
      <c r="F4" s="727"/>
      <c r="G4" s="723" t="s">
        <v>1696</v>
      </c>
      <c r="H4" s="724"/>
      <c r="I4" s="724"/>
      <c r="J4" s="724"/>
      <c r="K4" s="724"/>
      <c r="L4" s="724"/>
      <c r="M4" s="724"/>
      <c r="N4" s="724"/>
      <c r="O4" s="724"/>
      <c r="P4" s="724"/>
      <c r="Q4" s="724"/>
      <c r="R4" s="725"/>
      <c r="S4" s="2"/>
    </row>
    <row r="5" hidden="1">
      <c r="A5" s="2"/>
      <c r="B5" s="728" t="str">
        <f>E12</f>
        <v>Feather PoD</v>
      </c>
      <c r="E5" s="729"/>
      <c r="F5" s="730"/>
      <c r="G5" s="729" t="s">
        <v>1697</v>
      </c>
      <c r="R5" s="731"/>
      <c r="S5" s="2"/>
    </row>
    <row r="6">
      <c r="A6" s="2"/>
      <c r="B6" s="728" t="str">
        <f>G12</f>
        <v>Feather PD2</v>
      </c>
      <c r="E6" s="729"/>
      <c r="F6" s="730"/>
      <c r="G6" s="729" t="s">
        <v>1698</v>
      </c>
      <c r="R6" s="731"/>
      <c r="S6" s="2"/>
    </row>
    <row r="7" hidden="1">
      <c r="A7" s="2"/>
      <c r="B7" s="728" t="str">
        <f>I12</f>
        <v>?</v>
      </c>
      <c r="E7" s="729"/>
      <c r="F7" s="730"/>
      <c r="G7" s="729" t="s">
        <v>1699</v>
      </c>
      <c r="R7" s="731"/>
      <c r="S7" s="2"/>
    </row>
    <row r="8" hidden="1">
      <c r="A8" s="2"/>
      <c r="B8" s="728" t="str">
        <f>K12</f>
        <v>?</v>
      </c>
      <c r="E8" s="729"/>
      <c r="F8" s="730"/>
      <c r="G8" s="729" t="s">
        <v>1699</v>
      </c>
      <c r="R8" s="731"/>
      <c r="S8" s="2"/>
    </row>
    <row r="9" hidden="1">
      <c r="A9" s="2"/>
      <c r="B9" s="728" t="str">
        <f>M12</f>
        <v>?</v>
      </c>
      <c r="E9" s="729"/>
      <c r="F9" s="730"/>
      <c r="G9" s="729" t="s">
        <v>1699</v>
      </c>
      <c r="R9" s="731"/>
      <c r="S9" s="2"/>
    </row>
    <row r="10">
      <c r="A10" s="2"/>
      <c r="B10" s="732" t="str">
        <f>O12</f>
        <v>add your own</v>
      </c>
      <c r="C10" s="733"/>
      <c r="D10" s="733"/>
      <c r="E10" s="734"/>
      <c r="F10" s="735"/>
      <c r="G10" s="734" t="s">
        <v>1699</v>
      </c>
      <c r="H10" s="733"/>
      <c r="I10" s="733"/>
      <c r="J10" s="733"/>
      <c r="K10" s="733"/>
      <c r="L10" s="733"/>
      <c r="M10" s="733"/>
      <c r="N10" s="733"/>
      <c r="O10" s="733"/>
      <c r="P10" s="733"/>
      <c r="Q10" s="733"/>
      <c r="R10" s="736"/>
      <c r="S10" s="2"/>
    </row>
    <row r="11">
      <c r="A11" s="2"/>
      <c r="B11" s="2"/>
      <c r="C11" s="2"/>
      <c r="D11" s="2"/>
      <c r="E11" s="722"/>
      <c r="F11" s="722"/>
      <c r="G11" s="722"/>
      <c r="H11" s="722"/>
      <c r="I11" s="722"/>
      <c r="J11" s="722"/>
      <c r="K11" s="722"/>
      <c r="L11" s="722"/>
      <c r="M11" s="722"/>
      <c r="N11" s="722"/>
      <c r="O11" s="722"/>
      <c r="P11" s="722"/>
      <c r="Q11" s="2"/>
      <c r="R11" s="2"/>
      <c r="S11" s="2"/>
    </row>
    <row r="12">
      <c r="A12" s="2"/>
      <c r="B12" s="737" t="s">
        <v>1700</v>
      </c>
      <c r="C12" s="737" t="s">
        <v>1701</v>
      </c>
      <c r="D12" s="737" t="s">
        <v>1703</v>
      </c>
      <c r="E12" s="723" t="s">
        <v>1704</v>
      </c>
      <c r="F12" s="725"/>
      <c r="G12" s="723" t="s">
        <v>1705</v>
      </c>
      <c r="H12" s="725"/>
      <c r="I12" s="723" t="s">
        <v>1699</v>
      </c>
      <c r="J12" s="725"/>
      <c r="K12" s="723" t="s">
        <v>1699</v>
      </c>
      <c r="L12" s="725"/>
      <c r="M12" s="723" t="s">
        <v>1699</v>
      </c>
      <c r="N12" s="725"/>
      <c r="O12" s="723" t="s">
        <v>1706</v>
      </c>
      <c r="P12" s="725"/>
      <c r="Q12" s="2"/>
      <c r="R12" s="2"/>
      <c r="S12" s="2"/>
    </row>
    <row r="13">
      <c r="A13" s="2"/>
      <c r="B13" s="738"/>
      <c r="C13" s="738"/>
      <c r="D13" s="738"/>
      <c r="E13" s="739" t="s">
        <v>1707</v>
      </c>
      <c r="F13" s="739" t="s">
        <v>991</v>
      </c>
      <c r="G13" s="739" t="s">
        <v>1707</v>
      </c>
      <c r="H13" s="739" t="s">
        <v>991</v>
      </c>
      <c r="I13" s="739" t="s">
        <v>1707</v>
      </c>
      <c r="J13" s="739" t="s">
        <v>991</v>
      </c>
      <c r="K13" s="739" t="s">
        <v>1707</v>
      </c>
      <c r="L13" s="739" t="s">
        <v>991</v>
      </c>
      <c r="M13" s="739" t="s">
        <v>1707</v>
      </c>
      <c r="N13" s="739" t="s">
        <v>991</v>
      </c>
      <c r="O13" s="739" t="s">
        <v>1707</v>
      </c>
      <c r="P13" s="739" t="s">
        <v>991</v>
      </c>
      <c r="Q13" s="2"/>
      <c r="R13" s="2"/>
      <c r="S13" s="2"/>
    </row>
    <row r="14">
      <c r="A14" s="2"/>
      <c r="B14" s="740"/>
      <c r="C14" s="740"/>
      <c r="D14" s="740" t="s">
        <v>1708</v>
      </c>
      <c r="E14" s="741"/>
      <c r="F14" s="721"/>
      <c r="G14" s="741"/>
      <c r="H14" s="721"/>
      <c r="I14" s="741"/>
      <c r="J14" s="721"/>
      <c r="K14" s="741"/>
      <c r="L14" s="721"/>
      <c r="M14" s="741"/>
      <c r="N14" s="721"/>
      <c r="O14" s="741"/>
      <c r="P14" s="721"/>
      <c r="Q14" s="742"/>
      <c r="R14" s="2"/>
      <c r="S14" s="2"/>
    </row>
    <row r="15">
      <c r="A15" s="2"/>
      <c r="B15" s="740"/>
      <c r="C15" s="740"/>
      <c r="D15" s="740" t="s">
        <v>1709</v>
      </c>
      <c r="E15" s="741"/>
      <c r="F15" s="721"/>
      <c r="G15" s="741"/>
      <c r="H15" s="721"/>
      <c r="I15" s="741"/>
      <c r="J15" s="721"/>
      <c r="K15" s="741"/>
      <c r="L15" s="721"/>
      <c r="M15" s="741"/>
      <c r="N15" s="721"/>
      <c r="O15" s="743"/>
      <c r="P15" s="721"/>
      <c r="Q15" s="742"/>
      <c r="R15" s="2"/>
      <c r="S15" s="2"/>
    </row>
    <row r="16">
      <c r="A16" s="2"/>
      <c r="B16" s="744" t="s">
        <v>1710</v>
      </c>
      <c r="C16" s="745" t="s">
        <v>1711</v>
      </c>
      <c r="D16" s="746" t="s">
        <v>1712</v>
      </c>
      <c r="E16" s="747">
        <v>7.0</v>
      </c>
      <c r="F16" s="748"/>
      <c r="G16" s="747">
        <v>7.0</v>
      </c>
      <c r="H16" s="748"/>
      <c r="I16" s="747"/>
      <c r="J16" s="748"/>
      <c r="K16" s="747"/>
      <c r="L16" s="748"/>
      <c r="M16" s="747"/>
      <c r="N16" s="748"/>
      <c r="O16" s="747"/>
      <c r="P16" s="748"/>
      <c r="Q16" s="742"/>
      <c r="R16" s="2"/>
      <c r="S16" s="2"/>
    </row>
    <row r="17">
      <c r="A17" s="2"/>
      <c r="B17" s="728" t="s">
        <v>1710</v>
      </c>
      <c r="C17" s="749" t="s">
        <v>1711</v>
      </c>
      <c r="D17" s="3" t="s">
        <v>1713</v>
      </c>
      <c r="E17" s="747"/>
      <c r="F17" s="748"/>
      <c r="G17" s="747">
        <v>5.0</v>
      </c>
      <c r="H17" s="748"/>
      <c r="I17" s="747"/>
      <c r="J17" s="748"/>
      <c r="K17" s="747"/>
      <c r="L17" s="748"/>
      <c r="M17" s="747"/>
      <c r="N17" s="748"/>
      <c r="O17" s="747"/>
      <c r="P17" s="748"/>
      <c r="Q17" s="742"/>
      <c r="R17" s="2"/>
      <c r="S17" s="2"/>
    </row>
    <row r="18">
      <c r="A18" s="2"/>
      <c r="B18" s="728" t="s">
        <v>1710</v>
      </c>
      <c r="C18" s="749" t="s">
        <v>1711</v>
      </c>
      <c r="D18" s="3" t="s">
        <v>1714</v>
      </c>
      <c r="E18" s="747">
        <v>5.0</v>
      </c>
      <c r="F18" s="748"/>
      <c r="G18" s="747">
        <v>4.0</v>
      </c>
      <c r="H18" s="748"/>
      <c r="I18" s="747"/>
      <c r="J18" s="748"/>
      <c r="K18" s="747"/>
      <c r="L18" s="748"/>
      <c r="M18" s="747"/>
      <c r="N18" s="748"/>
      <c r="O18" s="747"/>
      <c r="P18" s="748"/>
      <c r="Q18" s="742"/>
      <c r="R18" s="2"/>
      <c r="S18" s="2"/>
    </row>
    <row r="19">
      <c r="A19" s="2"/>
      <c r="B19" s="728" t="s">
        <v>1710</v>
      </c>
      <c r="C19" s="749" t="s">
        <v>1711</v>
      </c>
      <c r="D19" s="3" t="s">
        <v>1715</v>
      </c>
      <c r="E19" s="747"/>
      <c r="F19" s="748"/>
      <c r="G19" s="747"/>
      <c r="H19" s="748"/>
      <c r="I19" s="747"/>
      <c r="J19" s="748"/>
      <c r="K19" s="747"/>
      <c r="L19" s="748"/>
      <c r="M19" s="747"/>
      <c r="N19" s="748"/>
      <c r="O19" s="747"/>
      <c r="P19" s="748"/>
      <c r="Q19" s="742"/>
      <c r="R19" s="2"/>
      <c r="S19" s="2"/>
    </row>
    <row r="20">
      <c r="A20" s="2"/>
      <c r="B20" s="728" t="s">
        <v>1710</v>
      </c>
      <c r="C20" s="749" t="s">
        <v>1711</v>
      </c>
      <c r="D20" s="3" t="s">
        <v>1716</v>
      </c>
      <c r="E20" s="747">
        <v>3.0</v>
      </c>
      <c r="F20" s="748"/>
      <c r="G20" s="747"/>
      <c r="H20" s="748"/>
      <c r="I20" s="747"/>
      <c r="J20" s="748"/>
      <c r="K20" s="747"/>
      <c r="L20" s="748"/>
      <c r="M20" s="747"/>
      <c r="N20" s="748"/>
      <c r="O20" s="747"/>
      <c r="P20" s="748"/>
      <c r="Q20" s="742"/>
      <c r="R20" s="2"/>
      <c r="S20" s="2"/>
    </row>
    <row r="21">
      <c r="A21" s="2"/>
      <c r="B21" s="728" t="s">
        <v>1710</v>
      </c>
      <c r="C21" s="749" t="s">
        <v>1711</v>
      </c>
      <c r="D21" s="3" t="s">
        <v>1717</v>
      </c>
      <c r="E21" s="747"/>
      <c r="F21" s="748"/>
      <c r="G21" s="747">
        <v>3.0</v>
      </c>
      <c r="H21" s="748"/>
      <c r="I21" s="747"/>
      <c r="J21" s="748"/>
      <c r="K21" s="747"/>
      <c r="L21" s="748"/>
      <c r="M21" s="747"/>
      <c r="N21" s="748"/>
      <c r="O21" s="747"/>
      <c r="P21" s="748"/>
      <c r="Q21" s="742"/>
      <c r="R21" s="2"/>
      <c r="S21" s="2"/>
    </row>
    <row r="22">
      <c r="A22" s="2"/>
      <c r="B22" s="728" t="s">
        <v>1710</v>
      </c>
      <c r="C22" s="749" t="s">
        <v>1711</v>
      </c>
      <c r="D22" s="3" t="s">
        <v>1718</v>
      </c>
      <c r="E22" s="747"/>
      <c r="F22" s="748"/>
      <c r="G22" s="747"/>
      <c r="H22" s="748"/>
      <c r="I22" s="747"/>
      <c r="J22" s="748"/>
      <c r="K22" s="747"/>
      <c r="L22" s="748"/>
      <c r="M22" s="747"/>
      <c r="N22" s="748"/>
      <c r="O22" s="747"/>
      <c r="P22" s="748"/>
      <c r="Q22" s="742"/>
      <c r="R22" s="2"/>
      <c r="S22" s="2"/>
    </row>
    <row r="23">
      <c r="A23" s="2"/>
      <c r="B23" s="728" t="s">
        <v>1710</v>
      </c>
      <c r="C23" s="749" t="s">
        <v>1711</v>
      </c>
      <c r="D23" s="3" t="s">
        <v>1719</v>
      </c>
      <c r="E23" s="747"/>
      <c r="F23" s="748"/>
      <c r="G23" s="747"/>
      <c r="H23" s="748"/>
      <c r="I23" s="747"/>
      <c r="J23" s="748"/>
      <c r="K23" s="747"/>
      <c r="L23" s="748"/>
      <c r="M23" s="747"/>
      <c r="N23" s="748"/>
      <c r="O23" s="747"/>
      <c r="P23" s="748"/>
      <c r="Q23" s="742"/>
      <c r="R23" s="2"/>
      <c r="S23" s="2"/>
    </row>
    <row r="24">
      <c r="A24" s="2"/>
      <c r="B24" s="728" t="s">
        <v>1710</v>
      </c>
      <c r="C24" s="749" t="s">
        <v>1711</v>
      </c>
      <c r="D24" s="3" t="s">
        <v>1711</v>
      </c>
      <c r="E24" s="747">
        <v>1.0</v>
      </c>
      <c r="F24" s="748"/>
      <c r="G24" s="747">
        <v>1.0</v>
      </c>
      <c r="H24" s="748"/>
      <c r="I24" s="747"/>
      <c r="J24" s="748"/>
      <c r="K24" s="747"/>
      <c r="L24" s="748"/>
      <c r="M24" s="747"/>
      <c r="N24" s="748"/>
      <c r="O24" s="747"/>
      <c r="P24" s="748"/>
      <c r="Q24" s="742"/>
      <c r="R24" s="2"/>
      <c r="S24" s="2"/>
    </row>
    <row r="25">
      <c r="A25" s="2"/>
      <c r="B25" s="732" t="s">
        <v>1710</v>
      </c>
      <c r="C25" s="749" t="s">
        <v>1711</v>
      </c>
      <c r="D25" s="750" t="s">
        <v>1720</v>
      </c>
      <c r="E25" s="751"/>
      <c r="F25" s="748"/>
      <c r="G25" s="751"/>
      <c r="H25" s="748"/>
      <c r="I25" s="751"/>
      <c r="J25" s="748"/>
      <c r="K25" s="751"/>
      <c r="L25" s="748"/>
      <c r="M25" s="751"/>
      <c r="N25" s="748"/>
      <c r="O25" s="751"/>
      <c r="P25" s="748"/>
      <c r="Q25" s="742"/>
      <c r="R25" s="2"/>
      <c r="S25" s="2"/>
    </row>
    <row r="26">
      <c r="A26" s="2"/>
      <c r="B26" s="744" t="s">
        <v>1721</v>
      </c>
      <c r="C26" s="745" t="s">
        <v>1722</v>
      </c>
      <c r="D26" s="746" t="s">
        <v>1723</v>
      </c>
      <c r="E26" s="747">
        <v>7.0</v>
      </c>
      <c r="F26" s="748"/>
      <c r="G26" s="747">
        <v>7.0</v>
      </c>
      <c r="H26" s="748"/>
      <c r="I26" s="747"/>
      <c r="J26" s="748"/>
      <c r="K26" s="747"/>
      <c r="L26" s="748"/>
      <c r="M26" s="747"/>
      <c r="N26" s="748"/>
      <c r="O26" s="747"/>
      <c r="P26" s="748"/>
      <c r="Q26" s="742"/>
      <c r="R26" s="2"/>
      <c r="S26" s="2"/>
    </row>
    <row r="27">
      <c r="A27" s="2"/>
      <c r="B27" s="728" t="s">
        <v>1721</v>
      </c>
      <c r="C27" s="752" t="s">
        <v>1722</v>
      </c>
      <c r="D27" s="3" t="s">
        <v>1724</v>
      </c>
      <c r="E27" s="747"/>
      <c r="F27" s="748"/>
      <c r="G27" s="747"/>
      <c r="H27" s="748"/>
      <c r="I27" s="747"/>
      <c r="J27" s="748"/>
      <c r="K27" s="747"/>
      <c r="L27" s="748"/>
      <c r="M27" s="747"/>
      <c r="N27" s="748"/>
      <c r="O27" s="747"/>
      <c r="P27" s="748"/>
      <c r="Q27" s="742"/>
      <c r="R27" s="2"/>
      <c r="S27" s="2"/>
    </row>
    <row r="28">
      <c r="A28" s="2"/>
      <c r="B28" s="728" t="s">
        <v>1721</v>
      </c>
      <c r="C28" s="752" t="s">
        <v>1722</v>
      </c>
      <c r="D28" s="3" t="s">
        <v>1725</v>
      </c>
      <c r="E28" s="747"/>
      <c r="F28" s="748"/>
      <c r="G28" s="747"/>
      <c r="H28" s="748"/>
      <c r="I28" s="747"/>
      <c r="J28" s="748"/>
      <c r="K28" s="747"/>
      <c r="L28" s="748"/>
      <c r="M28" s="747"/>
      <c r="N28" s="748"/>
      <c r="O28" s="747"/>
      <c r="P28" s="748"/>
      <c r="Q28" s="742"/>
      <c r="R28" s="2"/>
      <c r="S28" s="2"/>
    </row>
    <row r="29">
      <c r="A29" s="2"/>
      <c r="B29" s="728" t="s">
        <v>1721</v>
      </c>
      <c r="C29" s="752" t="s">
        <v>1722</v>
      </c>
      <c r="D29" s="3" t="s">
        <v>1726</v>
      </c>
      <c r="E29" s="747">
        <v>5.0</v>
      </c>
      <c r="F29" s="748"/>
      <c r="G29" s="747">
        <v>5.0</v>
      </c>
      <c r="H29" s="748"/>
      <c r="I29" s="747"/>
      <c r="J29" s="748"/>
      <c r="K29" s="747"/>
      <c r="L29" s="748"/>
      <c r="M29" s="747"/>
      <c r="N29" s="748"/>
      <c r="O29" s="747"/>
      <c r="P29" s="748"/>
      <c r="Q29" s="742"/>
      <c r="R29" s="2"/>
      <c r="S29" s="2"/>
    </row>
    <row r="30">
      <c r="A30" s="2"/>
      <c r="B30" s="728" t="s">
        <v>1721</v>
      </c>
      <c r="C30" s="752" t="s">
        <v>1722</v>
      </c>
      <c r="D30" s="3" t="s">
        <v>1727</v>
      </c>
      <c r="E30" s="747"/>
      <c r="F30" s="748"/>
      <c r="G30" s="747"/>
      <c r="H30" s="748"/>
      <c r="I30" s="747"/>
      <c r="J30" s="748"/>
      <c r="K30" s="747"/>
      <c r="L30" s="748"/>
      <c r="M30" s="747"/>
      <c r="N30" s="748"/>
      <c r="O30" s="747"/>
      <c r="P30" s="753"/>
      <c r="Q30" s="742"/>
      <c r="R30" s="2"/>
      <c r="S30" s="2"/>
    </row>
    <row r="31">
      <c r="A31" s="2"/>
      <c r="B31" s="728" t="s">
        <v>1721</v>
      </c>
      <c r="C31" s="752" t="s">
        <v>1722</v>
      </c>
      <c r="D31" s="3" t="s">
        <v>1728</v>
      </c>
      <c r="E31" s="747">
        <v>4.0</v>
      </c>
      <c r="F31" s="748"/>
      <c r="G31" s="747">
        <v>4.0</v>
      </c>
      <c r="H31" s="748"/>
      <c r="I31" s="747"/>
      <c r="J31" s="748"/>
      <c r="K31" s="747"/>
      <c r="L31" s="748"/>
      <c r="M31" s="747"/>
      <c r="N31" s="748"/>
      <c r="O31" s="747"/>
      <c r="P31" s="748"/>
      <c r="Q31" s="742"/>
      <c r="R31" s="2"/>
      <c r="S31" s="2"/>
    </row>
    <row r="32">
      <c r="A32" s="2"/>
      <c r="B32" s="728" t="s">
        <v>1721</v>
      </c>
      <c r="C32" s="752" t="s">
        <v>1722</v>
      </c>
      <c r="D32" s="3" t="s">
        <v>1729</v>
      </c>
      <c r="E32" s="747"/>
      <c r="F32" s="748"/>
      <c r="G32" s="747"/>
      <c r="H32" s="748"/>
      <c r="I32" s="747"/>
      <c r="J32" s="748"/>
      <c r="K32" s="747"/>
      <c r="L32" s="748"/>
      <c r="M32" s="747"/>
      <c r="N32" s="748"/>
      <c r="O32" s="747"/>
      <c r="P32" s="748"/>
      <c r="Q32" s="742"/>
      <c r="R32" s="2"/>
      <c r="S32" s="2"/>
    </row>
    <row r="33">
      <c r="A33" s="2"/>
      <c r="B33" s="728" t="s">
        <v>1721</v>
      </c>
      <c r="C33" s="752" t="s">
        <v>1722</v>
      </c>
      <c r="D33" s="3" t="s">
        <v>1722</v>
      </c>
      <c r="E33" s="747">
        <v>1.0</v>
      </c>
      <c r="F33" s="748"/>
      <c r="G33" s="747">
        <v>1.0</v>
      </c>
      <c r="H33" s="748"/>
      <c r="I33" s="747"/>
      <c r="J33" s="748"/>
      <c r="K33" s="747"/>
      <c r="L33" s="748"/>
      <c r="M33" s="747"/>
      <c r="N33" s="748"/>
      <c r="O33" s="747"/>
      <c r="P33" s="748"/>
      <c r="Q33" s="742"/>
      <c r="R33" s="2"/>
      <c r="S33" s="2"/>
    </row>
    <row r="34">
      <c r="A34" s="2"/>
      <c r="B34" s="732" t="s">
        <v>1721</v>
      </c>
      <c r="C34" s="740" t="s">
        <v>1722</v>
      </c>
      <c r="D34" s="750" t="s">
        <v>1730</v>
      </c>
      <c r="E34" s="751"/>
      <c r="F34" s="748"/>
      <c r="G34" s="751"/>
      <c r="H34" s="748"/>
      <c r="I34" s="751"/>
      <c r="J34" s="748"/>
      <c r="K34" s="751"/>
      <c r="L34" s="748"/>
      <c r="M34" s="751"/>
      <c r="N34" s="748"/>
      <c r="O34" s="751"/>
      <c r="P34" s="748"/>
      <c r="Q34" s="742"/>
      <c r="R34" s="2"/>
      <c r="S34" s="2"/>
    </row>
    <row r="35">
      <c r="A35" s="2"/>
      <c r="B35" s="3" t="s">
        <v>1731</v>
      </c>
      <c r="C35" s="745" t="s">
        <v>1732</v>
      </c>
      <c r="D35" s="3" t="s">
        <v>1733</v>
      </c>
      <c r="E35" s="747">
        <v>9.0</v>
      </c>
      <c r="F35" s="748"/>
      <c r="G35" s="747">
        <v>9.0</v>
      </c>
      <c r="H35" s="748"/>
      <c r="I35" s="747"/>
      <c r="J35" s="748"/>
      <c r="K35" s="747"/>
      <c r="L35" s="748"/>
      <c r="M35" s="747"/>
      <c r="N35" s="748"/>
      <c r="O35" s="747"/>
      <c r="P35" s="748"/>
      <c r="Q35" s="742"/>
      <c r="R35" s="2"/>
      <c r="S35" s="2"/>
    </row>
    <row r="36">
      <c r="A36" s="2"/>
      <c r="B36" s="3" t="s">
        <v>1734</v>
      </c>
      <c r="C36" s="740" t="s">
        <v>1735</v>
      </c>
      <c r="D36" s="3" t="s">
        <v>1736</v>
      </c>
      <c r="E36" s="747">
        <v>9.0</v>
      </c>
      <c r="F36" s="748"/>
      <c r="G36" s="747">
        <v>9.0</v>
      </c>
      <c r="H36" s="748"/>
      <c r="I36" s="747"/>
      <c r="J36" s="748"/>
      <c r="K36" s="747"/>
      <c r="L36" s="748"/>
      <c r="M36" s="747"/>
      <c r="N36" s="748"/>
      <c r="O36" s="747"/>
      <c r="P36" s="748"/>
      <c r="Q36" s="742"/>
      <c r="R36" s="2"/>
      <c r="S36" s="2"/>
    </row>
    <row r="37">
      <c r="A37" s="2"/>
      <c r="B37" s="3" t="s">
        <v>1737</v>
      </c>
      <c r="C37" s="740" t="s">
        <v>1738</v>
      </c>
      <c r="D37" s="3" t="s">
        <v>1739</v>
      </c>
      <c r="E37" s="747">
        <v>5.0</v>
      </c>
      <c r="F37" s="748"/>
      <c r="G37" s="747">
        <v>5.0</v>
      </c>
      <c r="H37" s="748"/>
      <c r="I37" s="747"/>
      <c r="J37" s="748"/>
      <c r="K37" s="747"/>
      <c r="L37" s="748"/>
      <c r="M37" s="747"/>
      <c r="N37" s="748"/>
      <c r="O37" s="747"/>
      <c r="P37" s="748"/>
      <c r="Q37" s="742"/>
      <c r="R37" s="2"/>
      <c r="S37" s="2"/>
    </row>
    <row r="38">
      <c r="A38" s="2"/>
      <c r="B38" s="3" t="s">
        <v>1740</v>
      </c>
      <c r="C38" s="740" t="s">
        <v>1741</v>
      </c>
      <c r="D38" s="3" t="s">
        <v>1742</v>
      </c>
      <c r="E38" s="747">
        <v>9.0</v>
      </c>
      <c r="F38" s="748"/>
      <c r="G38" s="747">
        <v>9.0</v>
      </c>
      <c r="H38" s="748"/>
      <c r="I38" s="747"/>
      <c r="J38" s="748"/>
      <c r="K38" s="747"/>
      <c r="L38" s="748"/>
      <c r="M38" s="747"/>
      <c r="N38" s="748"/>
      <c r="O38" s="747"/>
      <c r="P38" s="748"/>
      <c r="Q38" s="742"/>
      <c r="R38" s="2"/>
      <c r="S38" s="2"/>
    </row>
    <row r="39" hidden="1">
      <c r="A39" s="2"/>
      <c r="B39" s="754" t="s">
        <v>1743</v>
      </c>
      <c r="C39" s="755" t="s">
        <v>1744</v>
      </c>
      <c r="D39" s="756" t="s">
        <v>1744</v>
      </c>
      <c r="E39" s="751"/>
      <c r="F39" s="748"/>
      <c r="G39" s="757"/>
      <c r="H39" s="748"/>
      <c r="I39" s="757"/>
      <c r="J39" s="748"/>
      <c r="K39" s="757"/>
      <c r="L39" s="748"/>
      <c r="M39" s="757"/>
      <c r="N39" s="748"/>
      <c r="O39" s="757"/>
      <c r="P39" s="748"/>
      <c r="Q39" s="742"/>
      <c r="R39" s="2"/>
      <c r="S39" s="2"/>
    </row>
    <row r="40" hidden="1">
      <c r="A40" s="2"/>
      <c r="B40" s="754" t="s">
        <v>1745</v>
      </c>
      <c r="C40" s="755" t="s">
        <v>1746</v>
      </c>
      <c r="D40" s="756" t="s">
        <v>1746</v>
      </c>
      <c r="E40" s="751"/>
      <c r="F40" s="748"/>
      <c r="G40" s="757"/>
      <c r="H40" s="748"/>
      <c r="I40" s="757"/>
      <c r="J40" s="748"/>
      <c r="K40" s="757"/>
      <c r="L40" s="748"/>
      <c r="M40" s="757"/>
      <c r="N40" s="748"/>
      <c r="O40" s="757"/>
      <c r="P40" s="748"/>
      <c r="Q40" s="742"/>
      <c r="R40" s="2"/>
      <c r="S40" s="2"/>
    </row>
    <row r="41">
      <c r="A41" s="2"/>
      <c r="B41" s="740"/>
      <c r="C41" s="740"/>
      <c r="D41" s="740" t="s">
        <v>1747</v>
      </c>
      <c r="E41" s="751"/>
      <c r="F41" s="721"/>
      <c r="G41" s="751"/>
      <c r="H41" s="721"/>
      <c r="I41" s="751"/>
      <c r="J41" s="721"/>
      <c r="K41" s="751"/>
      <c r="L41" s="721"/>
      <c r="M41" s="751"/>
      <c r="N41" s="721"/>
      <c r="O41" s="751"/>
      <c r="P41" s="721"/>
      <c r="Q41" s="742"/>
      <c r="R41" s="2"/>
      <c r="S41" s="2"/>
    </row>
    <row r="42">
      <c r="A42" s="2"/>
      <c r="B42" s="740"/>
      <c r="C42" s="740"/>
      <c r="D42" s="740" t="s">
        <v>568</v>
      </c>
      <c r="E42" s="751"/>
      <c r="F42" s="721"/>
      <c r="G42" s="751"/>
      <c r="H42" s="721"/>
      <c r="I42" s="751"/>
      <c r="J42" s="721"/>
      <c r="K42" s="751"/>
      <c r="L42" s="721"/>
      <c r="M42" s="751"/>
      <c r="N42" s="721"/>
      <c r="O42" s="751"/>
      <c r="P42" s="721"/>
      <c r="Q42" s="742"/>
      <c r="R42" s="2"/>
      <c r="S42" s="2"/>
    </row>
    <row r="43">
      <c r="A43" s="2"/>
      <c r="B43" s="3" t="s">
        <v>551</v>
      </c>
      <c r="C43" s="740" t="s">
        <v>550</v>
      </c>
      <c r="D43" s="3" t="s">
        <v>1748</v>
      </c>
      <c r="E43" s="747">
        <v>1.0</v>
      </c>
      <c r="F43" s="758"/>
      <c r="G43" s="747">
        <v>1.0</v>
      </c>
      <c r="H43" s="758"/>
      <c r="I43" s="747"/>
      <c r="J43" s="758"/>
      <c r="K43" s="747"/>
      <c r="L43" s="758"/>
      <c r="M43" s="747"/>
      <c r="N43" s="758"/>
      <c r="O43" s="747"/>
      <c r="P43" s="758"/>
      <c r="Q43" s="742"/>
      <c r="R43" s="2"/>
      <c r="S43" s="2"/>
    </row>
    <row r="44">
      <c r="A44" s="2"/>
      <c r="B44" s="3" t="s">
        <v>561</v>
      </c>
      <c r="C44" s="740" t="s">
        <v>560</v>
      </c>
      <c r="D44" s="3" t="s">
        <v>1749</v>
      </c>
      <c r="E44" s="747">
        <v>1.0</v>
      </c>
      <c r="F44" s="758"/>
      <c r="G44" s="747">
        <v>1.0</v>
      </c>
      <c r="H44" s="758"/>
      <c r="I44" s="747"/>
      <c r="J44" s="758"/>
      <c r="K44" s="747"/>
      <c r="L44" s="758"/>
      <c r="M44" s="747"/>
      <c r="N44" s="758"/>
      <c r="O44" s="747"/>
      <c r="P44" s="758"/>
      <c r="Q44" s="742"/>
      <c r="R44" s="2"/>
      <c r="S44" s="2"/>
    </row>
    <row r="45">
      <c r="A45" s="2"/>
      <c r="B45" s="3" t="s">
        <v>569</v>
      </c>
      <c r="C45" s="740" t="s">
        <v>568</v>
      </c>
      <c r="D45" s="3" t="s">
        <v>1750</v>
      </c>
      <c r="E45" s="751"/>
      <c r="F45" s="758"/>
      <c r="G45" s="751"/>
      <c r="H45" s="758"/>
      <c r="I45" s="751"/>
      <c r="J45" s="758"/>
      <c r="K45" s="751"/>
      <c r="L45" s="758"/>
      <c r="M45" s="751"/>
      <c r="N45" s="758"/>
      <c r="O45" s="747"/>
      <c r="P45" s="758"/>
      <c r="Q45" s="742"/>
      <c r="R45" s="2"/>
      <c r="S45" s="2"/>
    </row>
    <row r="46">
      <c r="A46" s="2"/>
      <c r="B46" s="3" t="s">
        <v>579</v>
      </c>
      <c r="C46" s="740" t="s">
        <v>578</v>
      </c>
      <c r="D46" s="3" t="s">
        <v>1752</v>
      </c>
      <c r="E46" s="751"/>
      <c r="F46" s="758"/>
      <c r="G46" s="751"/>
      <c r="H46" s="758"/>
      <c r="I46" s="751"/>
      <c r="J46" s="758"/>
      <c r="K46" s="751"/>
      <c r="L46" s="758"/>
      <c r="M46" s="751"/>
      <c r="N46" s="758"/>
      <c r="O46" s="751"/>
      <c r="P46" s="758"/>
      <c r="Q46" s="742"/>
      <c r="R46" s="2"/>
      <c r="S46" s="2"/>
    </row>
    <row r="47">
      <c r="A47" s="2"/>
      <c r="B47" s="3" t="s">
        <v>593</v>
      </c>
      <c r="C47" s="740" t="s">
        <v>591</v>
      </c>
      <c r="D47" s="3" t="s">
        <v>1753</v>
      </c>
      <c r="E47" s="751"/>
      <c r="F47" s="758"/>
      <c r="G47" s="751"/>
      <c r="H47" s="758"/>
      <c r="I47" s="751"/>
      <c r="J47" s="758"/>
      <c r="K47" s="751"/>
      <c r="L47" s="758"/>
      <c r="M47" s="751"/>
      <c r="N47" s="758"/>
      <c r="O47" s="751"/>
      <c r="P47" s="758"/>
      <c r="Q47" s="742"/>
      <c r="R47" s="2"/>
      <c r="S47" s="2"/>
    </row>
    <row r="48">
      <c r="A48" s="2"/>
      <c r="B48" s="3" t="s">
        <v>604</v>
      </c>
      <c r="C48" s="740" t="s">
        <v>603</v>
      </c>
      <c r="D48" s="3" t="s">
        <v>1754</v>
      </c>
      <c r="E48" s="751"/>
      <c r="F48" s="758"/>
      <c r="G48" s="747">
        <v>1.0</v>
      </c>
      <c r="H48" s="758"/>
      <c r="I48" s="747"/>
      <c r="J48" s="758"/>
      <c r="K48" s="747"/>
      <c r="L48" s="758"/>
      <c r="M48" s="747"/>
      <c r="N48" s="758"/>
      <c r="O48" s="747"/>
      <c r="P48" s="758"/>
      <c r="Q48" s="742"/>
      <c r="R48" s="2"/>
      <c r="S48" s="2"/>
    </row>
    <row r="49">
      <c r="A49" s="2"/>
      <c r="B49" s="3" t="s">
        <v>614</v>
      </c>
      <c r="C49" s="740" t="s">
        <v>613</v>
      </c>
      <c r="D49" s="3" t="s">
        <v>1755</v>
      </c>
      <c r="E49" s="751"/>
      <c r="F49" s="758"/>
      <c r="G49" s="751"/>
      <c r="H49" s="758"/>
      <c r="I49" s="751"/>
      <c r="J49" s="758"/>
      <c r="K49" s="751"/>
      <c r="L49" s="758"/>
      <c r="M49" s="751"/>
      <c r="N49" s="758"/>
      <c r="O49" s="751"/>
      <c r="P49" s="758"/>
      <c r="Q49" s="742"/>
      <c r="R49" s="2"/>
      <c r="S49" s="2"/>
    </row>
    <row r="50">
      <c r="A50" s="2"/>
      <c r="B50" s="3" t="s">
        <v>621</v>
      </c>
      <c r="C50" s="740" t="s">
        <v>620</v>
      </c>
      <c r="D50" s="3" t="s">
        <v>1756</v>
      </c>
      <c r="E50" s="751"/>
      <c r="F50" s="758"/>
      <c r="G50" s="747">
        <v>1.0</v>
      </c>
      <c r="H50" s="758"/>
      <c r="I50" s="747"/>
      <c r="J50" s="758"/>
      <c r="K50" s="747"/>
      <c r="L50" s="758"/>
      <c r="M50" s="747"/>
      <c r="N50" s="758"/>
      <c r="O50" s="747"/>
      <c r="P50" s="758"/>
      <c r="Q50" s="742"/>
      <c r="R50" s="2"/>
      <c r="S50" s="2"/>
    </row>
    <row r="51">
      <c r="A51" s="2"/>
      <c r="B51" s="3" t="s">
        <v>555</v>
      </c>
      <c r="C51" s="740" t="s">
        <v>1757</v>
      </c>
      <c r="D51" s="3" t="s">
        <v>1758</v>
      </c>
      <c r="E51" s="747">
        <v>1.0</v>
      </c>
      <c r="F51" s="758"/>
      <c r="G51" s="747">
        <v>1.0</v>
      </c>
      <c r="H51" s="758"/>
      <c r="I51" s="747"/>
      <c r="J51" s="758"/>
      <c r="K51" s="747"/>
      <c r="L51" s="758"/>
      <c r="M51" s="747"/>
      <c r="N51" s="758"/>
      <c r="O51" s="747"/>
      <c r="P51" s="758"/>
      <c r="Q51" s="742"/>
      <c r="R51" s="2"/>
      <c r="S51" s="2"/>
    </row>
    <row r="52">
      <c r="A52" s="2"/>
      <c r="B52" s="3" t="s">
        <v>565</v>
      </c>
      <c r="C52" s="740" t="s">
        <v>564</v>
      </c>
      <c r="D52" s="3" t="s">
        <v>1759</v>
      </c>
      <c r="E52" s="747">
        <v>1.0</v>
      </c>
      <c r="F52" s="759">
        <v>1.0</v>
      </c>
      <c r="G52" s="747">
        <v>1.0</v>
      </c>
      <c r="H52" s="759">
        <v>1.0</v>
      </c>
      <c r="I52" s="747"/>
      <c r="J52" s="759"/>
      <c r="K52" s="747"/>
      <c r="L52" s="759"/>
      <c r="M52" s="747"/>
      <c r="N52" s="759"/>
      <c r="O52" s="747"/>
      <c r="P52" s="759"/>
      <c r="Q52" s="742"/>
      <c r="R52" s="2"/>
      <c r="S52" s="2"/>
    </row>
    <row r="53">
      <c r="A53" s="2"/>
      <c r="B53" s="3" t="s">
        <v>573</v>
      </c>
      <c r="C53" s="740" t="s">
        <v>572</v>
      </c>
      <c r="D53" s="3" t="s">
        <v>1760</v>
      </c>
      <c r="E53" s="747">
        <v>1.0</v>
      </c>
      <c r="F53" s="759">
        <v>1.0</v>
      </c>
      <c r="G53" s="747">
        <v>1.0</v>
      </c>
      <c r="H53" s="759">
        <v>1.0</v>
      </c>
      <c r="I53" s="747"/>
      <c r="J53" s="759"/>
      <c r="K53" s="747"/>
      <c r="L53" s="759"/>
      <c r="M53" s="747"/>
      <c r="N53" s="759"/>
      <c r="O53" s="747"/>
      <c r="P53" s="759"/>
      <c r="Q53" s="742"/>
      <c r="R53" s="2"/>
      <c r="S53" s="2"/>
    </row>
    <row r="54">
      <c r="A54" s="2"/>
      <c r="B54" s="3" t="s">
        <v>583</v>
      </c>
      <c r="C54" s="740" t="s">
        <v>582</v>
      </c>
      <c r="D54" s="3" t="s">
        <v>1761</v>
      </c>
      <c r="E54" s="751"/>
      <c r="F54" s="758"/>
      <c r="G54" s="747">
        <v>1.0</v>
      </c>
      <c r="H54" s="758"/>
      <c r="I54" s="747"/>
      <c r="J54" s="758"/>
      <c r="K54" s="747"/>
      <c r="L54" s="758"/>
      <c r="M54" s="747"/>
      <c r="N54" s="758"/>
      <c r="O54" s="747"/>
      <c r="P54" s="758"/>
      <c r="Q54" s="742"/>
      <c r="R54" s="2"/>
      <c r="S54" s="2"/>
    </row>
    <row r="55">
      <c r="A55" s="2"/>
      <c r="B55" s="3" t="s">
        <v>595</v>
      </c>
      <c r="C55" s="740" t="s">
        <v>594</v>
      </c>
      <c r="D55" s="3" t="s">
        <v>1762</v>
      </c>
      <c r="E55" s="747">
        <v>1.0</v>
      </c>
      <c r="F55" s="758"/>
      <c r="G55" s="747">
        <v>1.0</v>
      </c>
      <c r="H55" s="758"/>
      <c r="I55" s="747"/>
      <c r="J55" s="758"/>
      <c r="K55" s="747"/>
      <c r="L55" s="758"/>
      <c r="M55" s="747"/>
      <c r="N55" s="758"/>
      <c r="O55" s="747"/>
      <c r="P55" s="758"/>
      <c r="Q55" s="742"/>
      <c r="R55" s="2"/>
      <c r="S55" s="2"/>
    </row>
    <row r="56">
      <c r="A56" s="2"/>
      <c r="B56" s="3" t="s">
        <v>608</v>
      </c>
      <c r="C56" s="740" t="s">
        <v>607</v>
      </c>
      <c r="D56" s="3" t="s">
        <v>1763</v>
      </c>
      <c r="E56" s="747">
        <v>9.0</v>
      </c>
      <c r="F56" s="759">
        <v>9.0</v>
      </c>
      <c r="G56" s="747">
        <v>9.0</v>
      </c>
      <c r="H56" s="759">
        <v>9.0</v>
      </c>
      <c r="I56" s="747"/>
      <c r="J56" s="759"/>
      <c r="K56" s="747"/>
      <c r="L56" s="759"/>
      <c r="M56" s="747"/>
      <c r="N56" s="759"/>
      <c r="O56" s="747"/>
      <c r="P56" s="759"/>
      <c r="Q56" s="742"/>
      <c r="R56" s="2"/>
      <c r="S56" s="2"/>
    </row>
    <row r="57">
      <c r="A57" s="2"/>
      <c r="B57" s="3" t="s">
        <v>616</v>
      </c>
      <c r="C57" s="740" t="s">
        <v>615</v>
      </c>
      <c r="D57" s="3" t="s">
        <v>1764</v>
      </c>
      <c r="E57" s="747">
        <v>3.0</v>
      </c>
      <c r="F57" s="759">
        <v>1.0</v>
      </c>
      <c r="G57" s="747">
        <v>3.0</v>
      </c>
      <c r="H57" s="759">
        <v>1.0</v>
      </c>
      <c r="I57" s="747"/>
      <c r="J57" s="759"/>
      <c r="K57" s="747"/>
      <c r="L57" s="759"/>
      <c r="M57" s="747"/>
      <c r="N57" s="759"/>
      <c r="O57" s="747"/>
      <c r="P57" s="759"/>
      <c r="Q57" s="742"/>
      <c r="R57" s="2"/>
      <c r="S57" s="2"/>
    </row>
    <row r="58">
      <c r="A58" s="2"/>
      <c r="B58" s="3" t="s">
        <v>627</v>
      </c>
      <c r="C58" s="740" t="s">
        <v>625</v>
      </c>
      <c r="D58" s="3" t="s">
        <v>1765</v>
      </c>
      <c r="E58" s="747">
        <v>1.0</v>
      </c>
      <c r="F58" s="759">
        <v>1.0</v>
      </c>
      <c r="G58" s="747">
        <v>2.0</v>
      </c>
      <c r="H58" s="759">
        <v>2.0</v>
      </c>
      <c r="I58" s="747"/>
      <c r="J58" s="759"/>
      <c r="K58" s="747"/>
      <c r="L58" s="759"/>
      <c r="M58" s="747"/>
      <c r="N58" s="759"/>
      <c r="O58" s="747"/>
      <c r="P58" s="759"/>
      <c r="Q58" s="742"/>
      <c r="R58" s="2"/>
      <c r="S58" s="2"/>
    </row>
    <row r="59">
      <c r="A59" s="2"/>
      <c r="B59" s="3" t="s">
        <v>558</v>
      </c>
      <c r="C59" s="740" t="s">
        <v>557</v>
      </c>
      <c r="D59" s="3" t="s">
        <v>1766</v>
      </c>
      <c r="E59" s="747">
        <v>9.0</v>
      </c>
      <c r="F59" s="759">
        <v>2.0</v>
      </c>
      <c r="G59" s="747">
        <v>9.0</v>
      </c>
      <c r="H59" s="759">
        <v>2.0</v>
      </c>
      <c r="I59" s="747"/>
      <c r="J59" s="759"/>
      <c r="K59" s="747"/>
      <c r="L59" s="759"/>
      <c r="M59" s="747"/>
      <c r="N59" s="759"/>
      <c r="O59" s="747"/>
      <c r="P59" s="759"/>
      <c r="Q59" s="742"/>
      <c r="R59" s="2"/>
      <c r="S59" s="2"/>
    </row>
    <row r="60">
      <c r="A60" s="2"/>
      <c r="B60" s="3" t="s">
        <v>575</v>
      </c>
      <c r="C60" s="740" t="s">
        <v>574</v>
      </c>
      <c r="D60" s="3" t="s">
        <v>1767</v>
      </c>
      <c r="E60" s="747">
        <v>9.0</v>
      </c>
      <c r="F60" s="759">
        <v>9.0</v>
      </c>
      <c r="G60" s="747">
        <v>7.0</v>
      </c>
      <c r="H60" s="759">
        <v>2.0</v>
      </c>
      <c r="I60" s="747"/>
      <c r="J60" s="759"/>
      <c r="K60" s="747"/>
      <c r="L60" s="759"/>
      <c r="M60" s="747"/>
      <c r="N60" s="759"/>
      <c r="O60" s="747"/>
      <c r="P60" s="759"/>
      <c r="Q60" s="742"/>
      <c r="R60" s="2"/>
      <c r="S60" s="2"/>
    </row>
    <row r="61">
      <c r="A61" s="2"/>
      <c r="B61" s="3" t="s">
        <v>601</v>
      </c>
      <c r="C61" s="740" t="s">
        <v>600</v>
      </c>
      <c r="D61" s="3" t="s">
        <v>1768</v>
      </c>
      <c r="E61" s="747">
        <v>9.0</v>
      </c>
      <c r="F61" s="759">
        <v>9.0</v>
      </c>
      <c r="G61" s="747">
        <v>9.0</v>
      </c>
      <c r="H61" s="759">
        <v>9.0</v>
      </c>
      <c r="I61" s="747"/>
      <c r="J61" s="759"/>
      <c r="K61" s="747"/>
      <c r="L61" s="759"/>
      <c r="M61" s="747"/>
      <c r="N61" s="759"/>
      <c r="O61" s="747"/>
      <c r="P61" s="759"/>
      <c r="Q61" s="742"/>
      <c r="R61" s="2"/>
      <c r="S61" s="2"/>
    </row>
    <row r="62">
      <c r="A62" s="2"/>
      <c r="B62" s="3" t="s">
        <v>610</v>
      </c>
      <c r="C62" s="740" t="s">
        <v>609</v>
      </c>
      <c r="D62" s="3" t="s">
        <v>1769</v>
      </c>
      <c r="E62" s="747">
        <v>1.0</v>
      </c>
      <c r="F62" s="759"/>
      <c r="G62" s="747">
        <v>2.0</v>
      </c>
      <c r="H62" s="759">
        <v>1.0</v>
      </c>
      <c r="I62" s="747"/>
      <c r="J62" s="759"/>
      <c r="K62" s="747"/>
      <c r="L62" s="759"/>
      <c r="M62" s="747"/>
      <c r="N62" s="759"/>
      <c r="O62" s="747"/>
      <c r="P62" s="759"/>
      <c r="Q62" s="742"/>
      <c r="R62" s="2"/>
      <c r="S62" s="2"/>
    </row>
    <row r="63">
      <c r="A63" s="2"/>
      <c r="B63" s="744" t="s">
        <v>619</v>
      </c>
      <c r="C63" s="745" t="s">
        <v>618</v>
      </c>
      <c r="D63" s="746" t="s">
        <v>1770</v>
      </c>
      <c r="E63" s="747">
        <v>9.0</v>
      </c>
      <c r="F63" s="759">
        <v>2.0</v>
      </c>
      <c r="G63" s="747">
        <v>9.0</v>
      </c>
      <c r="H63" s="759">
        <v>4.0</v>
      </c>
      <c r="I63" s="747"/>
      <c r="J63" s="759"/>
      <c r="K63" s="747"/>
      <c r="L63" s="759"/>
      <c r="M63" s="747"/>
      <c r="N63" s="759"/>
      <c r="O63" s="747"/>
      <c r="P63" s="759"/>
      <c r="Q63" s="742"/>
      <c r="R63" s="2"/>
      <c r="S63" s="2"/>
    </row>
    <row r="64">
      <c r="A64" s="2"/>
      <c r="B64" s="732" t="s">
        <v>619</v>
      </c>
      <c r="C64" s="760" t="s">
        <v>618</v>
      </c>
      <c r="D64" s="750" t="s">
        <v>1771</v>
      </c>
      <c r="E64" s="747">
        <v>9.0</v>
      </c>
      <c r="F64" s="759">
        <v>2.0</v>
      </c>
      <c r="G64" s="747">
        <v>9.0</v>
      </c>
      <c r="H64" s="759">
        <v>2.0</v>
      </c>
      <c r="I64" s="747"/>
      <c r="J64" s="759"/>
      <c r="K64" s="747"/>
      <c r="L64" s="759"/>
      <c r="M64" s="747"/>
      <c r="N64" s="759"/>
      <c r="O64" s="747"/>
      <c r="P64" s="759"/>
      <c r="Q64" s="742"/>
      <c r="R64" s="2"/>
      <c r="S64" s="2"/>
    </row>
    <row r="65">
      <c r="A65" s="2"/>
      <c r="B65" s="3" t="s">
        <v>629</v>
      </c>
      <c r="C65" s="740" t="s">
        <v>628</v>
      </c>
      <c r="D65" s="3" t="s">
        <v>1772</v>
      </c>
      <c r="E65" s="747">
        <v>4.0</v>
      </c>
      <c r="F65" s="748"/>
      <c r="G65" s="747">
        <v>9.0</v>
      </c>
      <c r="H65" s="748"/>
      <c r="I65" s="747"/>
      <c r="J65" s="753"/>
      <c r="K65" s="747"/>
      <c r="L65" s="748"/>
      <c r="M65" s="747"/>
      <c r="N65" s="748"/>
      <c r="O65" s="747"/>
      <c r="P65" s="748"/>
      <c r="Q65" s="742"/>
      <c r="R65" s="2"/>
      <c r="S65" s="2"/>
    </row>
    <row r="66">
      <c r="A66" s="2"/>
      <c r="B66" s="2"/>
      <c r="C66" s="740"/>
      <c r="D66" s="740" t="s">
        <v>632</v>
      </c>
      <c r="E66" s="751"/>
      <c r="F66" s="721"/>
      <c r="G66" s="751"/>
      <c r="H66" s="721"/>
      <c r="I66" s="751"/>
      <c r="J66" s="721"/>
      <c r="K66" s="751"/>
      <c r="L66" s="721"/>
      <c r="M66" s="751"/>
      <c r="N66" s="721"/>
      <c r="O66" s="751"/>
      <c r="P66" s="721"/>
      <c r="Q66" s="742"/>
      <c r="R66" s="2"/>
      <c r="S66" s="2"/>
    </row>
    <row r="67">
      <c r="A67" s="2"/>
      <c r="B67" s="3" t="s">
        <v>636</v>
      </c>
      <c r="C67" s="740" t="s">
        <v>635</v>
      </c>
      <c r="D67" s="3" t="s">
        <v>1773</v>
      </c>
      <c r="E67" s="747">
        <v>4.0</v>
      </c>
      <c r="F67" s="758"/>
      <c r="G67" s="747">
        <v>3.0</v>
      </c>
      <c r="H67" s="758"/>
      <c r="I67" s="747"/>
      <c r="J67" s="758"/>
      <c r="K67" s="747"/>
      <c r="L67" s="758"/>
      <c r="M67" s="747"/>
      <c r="N67" s="758"/>
      <c r="O67" s="747"/>
      <c r="P67" s="758"/>
      <c r="Q67" s="742"/>
      <c r="R67" s="2"/>
      <c r="S67" s="2"/>
    </row>
    <row r="68">
      <c r="A68" s="2"/>
      <c r="B68" s="3" t="s">
        <v>641</v>
      </c>
      <c r="C68" s="740" t="s">
        <v>640</v>
      </c>
      <c r="D68" s="3" t="s">
        <v>1774</v>
      </c>
      <c r="E68" s="747">
        <v>9.0</v>
      </c>
      <c r="F68" s="759">
        <v>2.0</v>
      </c>
      <c r="G68" s="747">
        <v>9.0</v>
      </c>
      <c r="H68" s="759">
        <v>3.0</v>
      </c>
      <c r="I68" s="747"/>
      <c r="J68" s="759"/>
      <c r="K68" s="747"/>
      <c r="L68" s="759"/>
      <c r="M68" s="747"/>
      <c r="N68" s="759"/>
      <c r="O68" s="747"/>
      <c r="P68" s="759"/>
      <c r="Q68" s="742"/>
      <c r="R68" s="2"/>
      <c r="S68" s="2"/>
    </row>
    <row r="69">
      <c r="A69" s="2"/>
      <c r="B69" s="2"/>
      <c r="C69" s="740"/>
      <c r="D69" s="740" t="s">
        <v>1775</v>
      </c>
      <c r="E69" s="751"/>
      <c r="F69" s="721"/>
      <c r="G69" s="751"/>
      <c r="H69" s="721"/>
      <c r="I69" s="751"/>
      <c r="J69" s="721"/>
      <c r="K69" s="751"/>
      <c r="L69" s="721"/>
      <c r="M69" s="751"/>
      <c r="N69" s="721"/>
      <c r="O69" s="751"/>
      <c r="P69" s="721"/>
      <c r="Q69" s="742"/>
      <c r="R69" s="2"/>
      <c r="S69" s="2"/>
    </row>
    <row r="70">
      <c r="A70" s="2"/>
      <c r="B70" s="3" t="s">
        <v>758</v>
      </c>
      <c r="C70" s="740" t="s">
        <v>757</v>
      </c>
      <c r="D70" s="3" t="s">
        <v>1776</v>
      </c>
      <c r="E70" s="747">
        <v>9.0</v>
      </c>
      <c r="F70" s="759">
        <v>2.0</v>
      </c>
      <c r="G70" s="747">
        <v>9.0</v>
      </c>
      <c r="H70" s="759">
        <v>2.0</v>
      </c>
      <c r="I70" s="747"/>
      <c r="J70" s="759"/>
      <c r="K70" s="747"/>
      <c r="L70" s="759"/>
      <c r="M70" s="747"/>
      <c r="N70" s="759"/>
      <c r="O70" s="747"/>
      <c r="P70" s="759"/>
      <c r="Q70" s="742"/>
      <c r="R70" s="2"/>
      <c r="S70" s="2"/>
    </row>
    <row r="71">
      <c r="A71" s="2"/>
      <c r="B71" s="3" t="s">
        <v>729</v>
      </c>
      <c r="C71" s="740" t="s">
        <v>728</v>
      </c>
      <c r="D71" s="3" t="s">
        <v>1777</v>
      </c>
      <c r="E71" s="747">
        <v>4.0</v>
      </c>
      <c r="F71" s="759">
        <v>1.0</v>
      </c>
      <c r="G71" s="747">
        <v>5.0</v>
      </c>
      <c r="H71" s="759">
        <v>1.0</v>
      </c>
      <c r="I71" s="747"/>
      <c r="J71" s="759"/>
      <c r="K71" s="747"/>
      <c r="L71" s="759"/>
      <c r="M71" s="747"/>
      <c r="N71" s="759"/>
      <c r="O71" s="747"/>
      <c r="P71" s="759"/>
      <c r="Q71" s="742"/>
      <c r="R71" s="2"/>
      <c r="S71" s="2"/>
    </row>
    <row r="72">
      <c r="A72" s="2"/>
      <c r="B72" s="3" t="s">
        <v>742</v>
      </c>
      <c r="C72" s="740" t="s">
        <v>741</v>
      </c>
      <c r="D72" s="3" t="s">
        <v>1778</v>
      </c>
      <c r="E72" s="747">
        <v>1.0</v>
      </c>
      <c r="F72" s="758"/>
      <c r="G72" s="747">
        <v>2.0</v>
      </c>
      <c r="H72" s="758"/>
      <c r="I72" s="747"/>
      <c r="J72" s="758"/>
      <c r="K72" s="747"/>
      <c r="L72" s="758"/>
      <c r="M72" s="747"/>
      <c r="N72" s="758"/>
      <c r="O72" s="747"/>
      <c r="P72" s="758"/>
      <c r="Q72" s="742"/>
      <c r="R72" s="2"/>
      <c r="S72" s="2"/>
    </row>
    <row r="73">
      <c r="A73" s="2"/>
      <c r="B73" s="3" t="s">
        <v>752</v>
      </c>
      <c r="C73" s="740" t="s">
        <v>1779</v>
      </c>
      <c r="D73" s="3" t="s">
        <v>1780</v>
      </c>
      <c r="E73" s="747">
        <v>1.0</v>
      </c>
      <c r="F73" s="758"/>
      <c r="G73" s="747">
        <v>7.0</v>
      </c>
      <c r="H73" s="759">
        <v>3.0</v>
      </c>
      <c r="I73" s="747"/>
      <c r="J73" s="759"/>
      <c r="K73" s="747"/>
      <c r="L73" s="759"/>
      <c r="M73" s="747"/>
      <c r="N73" s="759"/>
      <c r="O73" s="747"/>
      <c r="P73" s="759"/>
      <c r="Q73" s="742"/>
      <c r="R73" s="2"/>
      <c r="S73" s="2"/>
    </row>
    <row r="74">
      <c r="A74" s="2"/>
      <c r="B74" s="3" t="s">
        <v>714</v>
      </c>
      <c r="C74" s="740" t="s">
        <v>713</v>
      </c>
      <c r="D74" s="761" t="s">
        <v>1781</v>
      </c>
      <c r="E74" s="762"/>
      <c r="F74" s="748"/>
      <c r="G74" s="747">
        <v>3.0</v>
      </c>
      <c r="H74" s="759">
        <v>2.0</v>
      </c>
      <c r="I74" s="747"/>
      <c r="J74" s="759"/>
      <c r="K74" s="747"/>
      <c r="L74" s="758"/>
      <c r="M74" s="747"/>
      <c r="N74" s="758"/>
      <c r="O74" s="747"/>
      <c r="P74" s="758"/>
      <c r="Q74" s="747"/>
      <c r="R74" s="2"/>
      <c r="S74" s="2"/>
    </row>
    <row r="75">
      <c r="A75" s="2"/>
      <c r="B75" s="3" t="s">
        <v>765</v>
      </c>
      <c r="C75" s="740" t="s">
        <v>764</v>
      </c>
      <c r="D75" s="761" t="s">
        <v>1782</v>
      </c>
      <c r="E75" s="762"/>
      <c r="F75" s="748"/>
      <c r="G75" s="747">
        <v>3.0</v>
      </c>
      <c r="H75" s="759">
        <v>2.0</v>
      </c>
      <c r="I75" s="747"/>
      <c r="J75" s="759"/>
      <c r="K75" s="747"/>
      <c r="L75" s="758"/>
      <c r="M75" s="747"/>
      <c r="N75" s="758"/>
      <c r="O75" s="747"/>
      <c r="P75" s="758"/>
      <c r="Q75" s="747"/>
      <c r="R75" s="2"/>
      <c r="S75" s="2"/>
    </row>
    <row r="76">
      <c r="A76" s="2"/>
      <c r="B76" s="2"/>
      <c r="C76" s="740"/>
      <c r="D76" s="740" t="s">
        <v>1783</v>
      </c>
      <c r="E76" s="751"/>
      <c r="F76" s="721"/>
      <c r="G76" s="751"/>
      <c r="H76" s="721"/>
      <c r="I76" s="751"/>
      <c r="J76" s="721"/>
      <c r="K76" s="751"/>
      <c r="L76" s="721"/>
      <c r="M76" s="751"/>
      <c r="N76" s="721"/>
      <c r="O76" s="751"/>
      <c r="P76" s="721"/>
      <c r="Q76" s="742"/>
      <c r="R76" s="2"/>
      <c r="S76" s="2"/>
    </row>
    <row r="77">
      <c r="A77" s="2"/>
      <c r="B77" s="3" t="s">
        <v>705</v>
      </c>
      <c r="C77" s="740" t="s">
        <v>703</v>
      </c>
      <c r="D77" s="3" t="s">
        <v>1784</v>
      </c>
      <c r="E77" s="747">
        <v>9.0</v>
      </c>
      <c r="F77" s="759">
        <v>2.0</v>
      </c>
      <c r="G77" s="747">
        <v>9.0</v>
      </c>
      <c r="H77" s="759">
        <v>2.0</v>
      </c>
      <c r="I77" s="747"/>
      <c r="J77" s="759"/>
      <c r="K77" s="747"/>
      <c r="L77" s="759"/>
      <c r="M77" s="747"/>
      <c r="N77" s="759"/>
      <c r="O77" s="747"/>
      <c r="P77" s="759"/>
      <c r="Q77" s="742"/>
      <c r="R77" s="2"/>
      <c r="S77" s="2"/>
    </row>
    <row r="78">
      <c r="A78" s="2"/>
      <c r="B78" s="3" t="s">
        <v>659</v>
      </c>
      <c r="C78" s="740" t="s">
        <v>1785</v>
      </c>
      <c r="D78" s="3" t="s">
        <v>1786</v>
      </c>
      <c r="E78" s="747">
        <v>2.0</v>
      </c>
      <c r="F78" s="758"/>
      <c r="G78" s="747">
        <v>3.0</v>
      </c>
      <c r="H78" s="758"/>
      <c r="I78" s="747"/>
      <c r="J78" s="759"/>
      <c r="K78" s="747"/>
      <c r="L78" s="758"/>
      <c r="M78" s="747"/>
      <c r="N78" s="758"/>
      <c r="O78" s="747"/>
      <c r="P78" s="758"/>
      <c r="Q78" s="742"/>
      <c r="R78" s="2"/>
      <c r="S78" s="2"/>
    </row>
    <row r="79">
      <c r="A79" s="2"/>
      <c r="B79" s="3" t="s">
        <v>684</v>
      </c>
      <c r="C79" s="740" t="s">
        <v>683</v>
      </c>
      <c r="D79" s="3" t="s">
        <v>1787</v>
      </c>
      <c r="E79" s="747">
        <v>1.0</v>
      </c>
      <c r="F79" s="758"/>
      <c r="G79" s="747">
        <v>3.0</v>
      </c>
      <c r="H79" s="759">
        <v>2.0</v>
      </c>
      <c r="I79" s="747"/>
      <c r="J79" s="759"/>
      <c r="K79" s="747"/>
      <c r="L79" s="758"/>
      <c r="M79" s="747"/>
      <c r="N79" s="758"/>
      <c r="O79" s="747"/>
      <c r="P79" s="758"/>
      <c r="Q79" s="742"/>
      <c r="R79" s="2"/>
      <c r="S79" s="2"/>
    </row>
    <row r="80">
      <c r="A80" s="2"/>
      <c r="B80" s="3" t="s">
        <v>697</v>
      </c>
      <c r="C80" s="740" t="s">
        <v>695</v>
      </c>
      <c r="D80" s="3" t="s">
        <v>1788</v>
      </c>
      <c r="E80" s="747">
        <v>5.0</v>
      </c>
      <c r="F80" s="759">
        <v>1.0</v>
      </c>
      <c r="G80" s="747">
        <v>5.0</v>
      </c>
      <c r="H80" s="759">
        <v>2.0</v>
      </c>
      <c r="I80" s="747"/>
      <c r="J80" s="759"/>
      <c r="K80" s="747"/>
      <c r="L80" s="759"/>
      <c r="M80" s="747"/>
      <c r="N80" s="759"/>
      <c r="O80" s="747"/>
      <c r="P80" s="759"/>
      <c r="Q80" s="742"/>
      <c r="R80" s="2"/>
      <c r="S80" s="2"/>
    </row>
    <row r="81">
      <c r="A81" s="2"/>
      <c r="B81" s="3" t="s">
        <v>663</v>
      </c>
      <c r="C81" s="740" t="s">
        <v>662</v>
      </c>
      <c r="D81" s="761" t="s">
        <v>1789</v>
      </c>
      <c r="E81" s="762"/>
      <c r="F81" s="748"/>
      <c r="G81" s="747">
        <v>3.0</v>
      </c>
      <c r="H81" s="759">
        <v>2.0</v>
      </c>
      <c r="I81" s="747"/>
      <c r="J81" s="759"/>
      <c r="K81" s="747"/>
      <c r="L81" s="758"/>
      <c r="M81" s="747"/>
      <c r="N81" s="758"/>
      <c r="O81" s="747"/>
      <c r="P81" s="758"/>
      <c r="Q81" s="747"/>
      <c r="R81" s="2"/>
      <c r="S81" s="2"/>
    </row>
    <row r="82">
      <c r="A82" s="2"/>
      <c r="B82" s="3" t="s">
        <v>708</v>
      </c>
      <c r="C82" s="740" t="s">
        <v>706</v>
      </c>
      <c r="D82" s="761" t="s">
        <v>1790</v>
      </c>
      <c r="E82" s="762"/>
      <c r="F82" s="748"/>
      <c r="G82" s="747">
        <v>3.0</v>
      </c>
      <c r="H82" s="759">
        <v>2.0</v>
      </c>
      <c r="I82" s="747"/>
      <c r="J82" s="759"/>
      <c r="K82" s="747"/>
      <c r="L82" s="758"/>
      <c r="M82" s="747"/>
      <c r="N82" s="758"/>
      <c r="O82" s="747"/>
      <c r="P82" s="758"/>
      <c r="Q82" s="747"/>
      <c r="R82" s="2"/>
      <c r="S82" s="2"/>
    </row>
    <row r="83">
      <c r="A83" s="2"/>
      <c r="B83" s="2"/>
      <c r="C83" s="740"/>
      <c r="D83" s="740" t="s">
        <v>1791</v>
      </c>
      <c r="E83" s="751"/>
      <c r="F83" s="721"/>
      <c r="G83" s="751"/>
      <c r="H83" s="721"/>
      <c r="I83" s="751"/>
      <c r="J83" s="721"/>
      <c r="K83" s="751"/>
      <c r="L83" s="721"/>
      <c r="M83" s="751"/>
      <c r="N83" s="721"/>
      <c r="O83" s="751"/>
      <c r="P83" s="721"/>
      <c r="Q83" s="742"/>
      <c r="R83" s="2"/>
      <c r="S83" s="2"/>
    </row>
    <row r="84">
      <c r="A84" s="2"/>
      <c r="B84" s="3" t="s">
        <v>66</v>
      </c>
      <c r="C84" s="740" t="s">
        <v>64</v>
      </c>
      <c r="D84" s="3" t="s">
        <v>1793</v>
      </c>
      <c r="E84" s="751"/>
      <c r="F84" s="758"/>
      <c r="G84" s="751"/>
      <c r="H84" s="758"/>
      <c r="I84" s="751"/>
      <c r="J84" s="758"/>
      <c r="K84" s="751"/>
      <c r="L84" s="758"/>
      <c r="M84" s="751"/>
      <c r="N84" s="758"/>
      <c r="O84" s="751"/>
      <c r="P84" s="758"/>
      <c r="Q84" s="742"/>
      <c r="R84" s="2"/>
      <c r="S84" s="2"/>
    </row>
    <row r="85">
      <c r="A85" s="2"/>
      <c r="B85" s="3" t="s">
        <v>90</v>
      </c>
      <c r="C85" s="740" t="s">
        <v>89</v>
      </c>
      <c r="D85" s="3" t="s">
        <v>1794</v>
      </c>
      <c r="E85" s="751"/>
      <c r="F85" s="758"/>
      <c r="G85" s="751"/>
      <c r="H85" s="758"/>
      <c r="I85" s="751"/>
      <c r="J85" s="758"/>
      <c r="K85" s="751"/>
      <c r="L85" s="758"/>
      <c r="M85" s="751"/>
      <c r="N85" s="758"/>
      <c r="O85" s="751"/>
      <c r="P85" s="758"/>
      <c r="Q85" s="742"/>
      <c r="R85" s="2"/>
      <c r="S85" s="2"/>
    </row>
    <row r="86">
      <c r="A86" s="2"/>
      <c r="B86" s="3" t="s">
        <v>103</v>
      </c>
      <c r="C86" s="740" t="s">
        <v>102</v>
      </c>
      <c r="D86" s="3" t="s">
        <v>1795</v>
      </c>
      <c r="E86" s="751"/>
      <c r="F86" s="758"/>
      <c r="G86" s="751"/>
      <c r="H86" s="758"/>
      <c r="I86" s="751"/>
      <c r="J86" s="758"/>
      <c r="K86" s="751"/>
      <c r="L86" s="758"/>
      <c r="M86" s="751"/>
      <c r="N86" s="758"/>
      <c r="O86" s="751"/>
      <c r="P86" s="758"/>
      <c r="Q86" s="742"/>
      <c r="R86" s="2"/>
      <c r="S86" s="2"/>
    </row>
    <row r="87">
      <c r="A87" s="2"/>
      <c r="B87" s="3" t="s">
        <v>117</v>
      </c>
      <c r="C87" s="740" t="s">
        <v>115</v>
      </c>
      <c r="D87" s="3" t="s">
        <v>1796</v>
      </c>
      <c r="E87" s="747">
        <v>1.0</v>
      </c>
      <c r="F87" s="758"/>
      <c r="G87" s="747">
        <v>1.0</v>
      </c>
      <c r="H87" s="759">
        <v>2.0</v>
      </c>
      <c r="I87" s="747"/>
      <c r="J87" s="759"/>
      <c r="K87" s="747"/>
      <c r="L87" s="758"/>
      <c r="M87" s="747"/>
      <c r="N87" s="758"/>
      <c r="O87" s="747"/>
      <c r="P87" s="758"/>
      <c r="Q87" s="742"/>
      <c r="R87" s="2"/>
      <c r="S87" s="2"/>
    </row>
    <row r="88">
      <c r="A88" s="2"/>
      <c r="B88" s="3" t="s">
        <v>128</v>
      </c>
      <c r="C88" s="740" t="s">
        <v>127</v>
      </c>
      <c r="D88" s="3" t="s">
        <v>1797</v>
      </c>
      <c r="E88" s="751"/>
      <c r="F88" s="758"/>
      <c r="G88" s="747">
        <v>2.0</v>
      </c>
      <c r="H88" s="759">
        <v>2.0</v>
      </c>
      <c r="I88" s="747"/>
      <c r="J88" s="759"/>
      <c r="K88" s="751"/>
      <c r="L88" s="758"/>
      <c r="M88" s="751"/>
      <c r="N88" s="758"/>
      <c r="O88" s="751"/>
      <c r="P88" s="758"/>
      <c r="Q88" s="742"/>
      <c r="R88" s="2"/>
      <c r="S88" s="2"/>
    </row>
    <row r="89">
      <c r="A89" s="2"/>
      <c r="B89" s="3" t="s">
        <v>137</v>
      </c>
      <c r="C89" s="740" t="s">
        <v>135</v>
      </c>
      <c r="D89" s="3" t="s">
        <v>1798</v>
      </c>
      <c r="E89" s="751"/>
      <c r="F89" s="758"/>
      <c r="G89" s="747">
        <v>1.0</v>
      </c>
      <c r="H89" s="759">
        <v>2.0</v>
      </c>
      <c r="I89" s="747"/>
      <c r="J89" s="759"/>
      <c r="K89" s="747"/>
      <c r="L89" s="758"/>
      <c r="M89" s="747"/>
      <c r="N89" s="758"/>
      <c r="O89" s="747"/>
      <c r="P89" s="758"/>
      <c r="Q89" s="742"/>
      <c r="R89" s="2"/>
      <c r="S89" s="2"/>
    </row>
    <row r="90">
      <c r="A90" s="2"/>
      <c r="B90" s="3" t="s">
        <v>146</v>
      </c>
      <c r="C90" s="740" t="s">
        <v>145</v>
      </c>
      <c r="D90" s="3" t="s">
        <v>1799</v>
      </c>
      <c r="E90" s="751"/>
      <c r="F90" s="758"/>
      <c r="G90" s="751"/>
      <c r="H90" s="758"/>
      <c r="I90" s="751"/>
      <c r="J90" s="758"/>
      <c r="K90" s="751"/>
      <c r="L90" s="758"/>
      <c r="M90" s="751"/>
      <c r="N90" s="758"/>
      <c r="O90" s="751"/>
      <c r="P90" s="758"/>
      <c r="Q90" s="742"/>
      <c r="R90" s="2"/>
      <c r="S90" s="2"/>
    </row>
    <row r="91">
      <c r="A91" s="2"/>
      <c r="B91" s="3" t="s">
        <v>154</v>
      </c>
      <c r="C91" s="740" t="s">
        <v>153</v>
      </c>
      <c r="D91" s="3" t="s">
        <v>1800</v>
      </c>
      <c r="E91" s="751"/>
      <c r="F91" s="758"/>
      <c r="G91" s="751"/>
      <c r="H91" s="759">
        <v>1.0</v>
      </c>
      <c r="I91" s="751"/>
      <c r="J91" s="759"/>
      <c r="K91" s="751"/>
      <c r="L91" s="758"/>
      <c r="M91" s="751"/>
      <c r="N91" s="758"/>
      <c r="O91" s="751"/>
      <c r="P91" s="758"/>
      <c r="Q91" s="742"/>
      <c r="R91" s="2"/>
      <c r="S91" s="2"/>
    </row>
    <row r="92">
      <c r="A92" s="2"/>
      <c r="B92" s="3" t="s">
        <v>162</v>
      </c>
      <c r="C92" s="740" t="s">
        <v>161</v>
      </c>
      <c r="D92" s="3" t="s">
        <v>1801</v>
      </c>
      <c r="E92" s="751"/>
      <c r="F92" s="758"/>
      <c r="G92" s="747">
        <v>1.0</v>
      </c>
      <c r="H92" s="758"/>
      <c r="I92" s="747"/>
      <c r="J92" s="758"/>
      <c r="K92" s="747"/>
      <c r="L92" s="758"/>
      <c r="M92" s="747"/>
      <c r="N92" s="758"/>
      <c r="O92" s="747"/>
      <c r="P92" s="758"/>
      <c r="Q92" s="742"/>
      <c r="R92" s="2"/>
      <c r="S92" s="2"/>
    </row>
    <row r="93">
      <c r="A93" s="2"/>
      <c r="B93" s="3" t="s">
        <v>170</v>
      </c>
      <c r="C93" s="740" t="s">
        <v>169</v>
      </c>
      <c r="D93" s="3" t="s">
        <v>1802</v>
      </c>
      <c r="E93" s="747">
        <v>1.0</v>
      </c>
      <c r="F93" s="758"/>
      <c r="G93" s="747">
        <v>2.0</v>
      </c>
      <c r="H93" s="759">
        <v>1.0</v>
      </c>
      <c r="I93" s="747"/>
      <c r="J93" s="759"/>
      <c r="K93" s="747"/>
      <c r="L93" s="758"/>
      <c r="M93" s="747"/>
      <c r="N93" s="758"/>
      <c r="O93" s="747"/>
      <c r="P93" s="758"/>
      <c r="Q93" s="742"/>
      <c r="R93" s="2"/>
      <c r="S93" s="2"/>
    </row>
    <row r="94">
      <c r="A94" s="2"/>
      <c r="B94" s="3" t="s">
        <v>180</v>
      </c>
      <c r="C94" s="740" t="s">
        <v>178</v>
      </c>
      <c r="D94" s="3" t="s">
        <v>1803</v>
      </c>
      <c r="E94" s="751"/>
      <c r="F94" s="758"/>
      <c r="G94" s="751"/>
      <c r="H94" s="759">
        <v>1.0</v>
      </c>
      <c r="I94" s="751"/>
      <c r="J94" s="759"/>
      <c r="K94" s="751"/>
      <c r="L94" s="758"/>
      <c r="M94" s="751"/>
      <c r="N94" s="758"/>
      <c r="O94" s="751"/>
      <c r="P94" s="758"/>
      <c r="Q94" s="742"/>
      <c r="R94" s="2"/>
      <c r="S94" s="2"/>
    </row>
    <row r="95">
      <c r="A95" s="2"/>
      <c r="B95" s="3" t="s">
        <v>187</v>
      </c>
      <c r="C95" s="740" t="s">
        <v>186</v>
      </c>
      <c r="D95" s="3" t="s">
        <v>1804</v>
      </c>
      <c r="E95" s="751"/>
      <c r="F95" s="758"/>
      <c r="G95" s="747">
        <v>1.0</v>
      </c>
      <c r="H95" s="759">
        <v>2.0</v>
      </c>
      <c r="I95" s="747"/>
      <c r="J95" s="759"/>
      <c r="K95" s="747"/>
      <c r="L95" s="758"/>
      <c r="M95" s="747"/>
      <c r="N95" s="758"/>
      <c r="O95" s="747"/>
      <c r="P95" s="758"/>
      <c r="Q95" s="742"/>
      <c r="R95" s="2"/>
      <c r="S95" s="2"/>
    </row>
    <row r="96">
      <c r="A96" s="2"/>
      <c r="B96" s="3" t="s">
        <v>210</v>
      </c>
      <c r="C96" s="740" t="s">
        <v>209</v>
      </c>
      <c r="D96" s="3" t="s">
        <v>1805</v>
      </c>
      <c r="E96" s="751"/>
      <c r="F96" s="758"/>
      <c r="G96" s="751"/>
      <c r="H96" s="758"/>
      <c r="I96" s="751"/>
      <c r="J96" s="758"/>
      <c r="K96" s="751"/>
      <c r="L96" s="758"/>
      <c r="M96" s="751"/>
      <c r="N96" s="758"/>
      <c r="O96" s="751"/>
      <c r="P96" s="758"/>
      <c r="Q96" s="742"/>
      <c r="R96" s="2"/>
      <c r="S96" s="2"/>
    </row>
    <row r="97">
      <c r="A97" s="2"/>
      <c r="B97" s="3" t="s">
        <v>217</v>
      </c>
      <c r="C97" s="740" t="s">
        <v>216</v>
      </c>
      <c r="D97" s="3" t="s">
        <v>1806</v>
      </c>
      <c r="E97" s="747">
        <v>1.0</v>
      </c>
      <c r="F97" s="758"/>
      <c r="G97" s="747">
        <v>2.0</v>
      </c>
      <c r="H97" s="759">
        <v>1.0</v>
      </c>
      <c r="I97" s="747"/>
      <c r="J97" s="759"/>
      <c r="K97" s="747"/>
      <c r="L97" s="758"/>
      <c r="M97" s="747"/>
      <c r="N97" s="758"/>
      <c r="O97" s="747"/>
      <c r="P97" s="758"/>
      <c r="Q97" s="742"/>
      <c r="R97" s="2"/>
      <c r="S97" s="2"/>
    </row>
    <row r="98">
      <c r="A98" s="2"/>
      <c r="B98" s="3" t="s">
        <v>198</v>
      </c>
      <c r="C98" s="740" t="s">
        <v>197</v>
      </c>
      <c r="D98" s="3" t="s">
        <v>1807</v>
      </c>
      <c r="E98" s="751"/>
      <c r="F98" s="758"/>
      <c r="G98" s="747">
        <v>2.0</v>
      </c>
      <c r="H98" s="759">
        <v>2.0</v>
      </c>
      <c r="I98" s="747"/>
      <c r="J98" s="759"/>
      <c r="K98" s="747"/>
      <c r="L98" s="758"/>
      <c r="M98" s="747"/>
      <c r="N98" s="758"/>
      <c r="O98" s="747"/>
      <c r="P98" s="758"/>
      <c r="Q98" s="742"/>
      <c r="R98" s="2"/>
      <c r="S98" s="2"/>
    </row>
    <row r="99">
      <c r="A99" s="2"/>
      <c r="B99" s="3" t="s">
        <v>78</v>
      </c>
      <c r="C99" s="740" t="s">
        <v>77</v>
      </c>
      <c r="D99" s="3" t="s">
        <v>1808</v>
      </c>
      <c r="E99" s="747">
        <v>1.0</v>
      </c>
      <c r="F99" s="758"/>
      <c r="G99" s="747">
        <v>2.0</v>
      </c>
      <c r="H99" s="759">
        <v>2.0</v>
      </c>
      <c r="I99" s="747"/>
      <c r="J99" s="759"/>
      <c r="K99" s="747"/>
      <c r="L99" s="758"/>
      <c r="M99" s="747"/>
      <c r="N99" s="758"/>
      <c r="O99" s="747"/>
      <c r="P99" s="758"/>
      <c r="Q99" s="742"/>
      <c r="R99" s="2"/>
      <c r="S99" s="2"/>
    </row>
    <row r="100">
      <c r="A100" s="2"/>
      <c r="B100" s="3" t="s">
        <v>94</v>
      </c>
      <c r="C100" s="740" t="s">
        <v>1809</v>
      </c>
      <c r="D100" s="3" t="s">
        <v>1810</v>
      </c>
      <c r="E100" s="747">
        <v>9.0</v>
      </c>
      <c r="F100" s="759">
        <v>1.0</v>
      </c>
      <c r="G100" s="747">
        <v>9.0</v>
      </c>
      <c r="H100" s="759">
        <v>2.0</v>
      </c>
      <c r="I100" s="747"/>
      <c r="J100" s="759"/>
      <c r="K100" s="747"/>
      <c r="L100" s="759"/>
      <c r="M100" s="747"/>
      <c r="N100" s="759"/>
      <c r="O100" s="747"/>
      <c r="P100" s="759"/>
      <c r="Q100" s="742"/>
      <c r="R100" s="2"/>
      <c r="S100" s="2"/>
    </row>
    <row r="101">
      <c r="A101" s="2"/>
      <c r="B101" s="3" t="s">
        <v>109</v>
      </c>
      <c r="C101" s="740" t="s">
        <v>108</v>
      </c>
      <c r="D101" s="3" t="s">
        <v>1811</v>
      </c>
      <c r="E101" s="751"/>
      <c r="F101" s="758"/>
      <c r="G101" s="751"/>
      <c r="H101" s="759">
        <v>1.0</v>
      </c>
      <c r="I101" s="751"/>
      <c r="J101" s="759"/>
      <c r="K101" s="751"/>
      <c r="L101" s="758"/>
      <c r="M101" s="751"/>
      <c r="N101" s="758"/>
      <c r="O101" s="751"/>
      <c r="P101" s="758"/>
      <c r="Q101" s="742"/>
      <c r="R101" s="2"/>
      <c r="S101" s="2"/>
    </row>
    <row r="102">
      <c r="A102" s="2"/>
      <c r="B102" s="3" t="s">
        <v>121</v>
      </c>
      <c r="C102" s="740" t="s">
        <v>120</v>
      </c>
      <c r="D102" s="3" t="s">
        <v>1812</v>
      </c>
      <c r="E102" s="751"/>
      <c r="F102" s="758"/>
      <c r="G102" s="747">
        <v>1.0</v>
      </c>
      <c r="H102" s="758"/>
      <c r="I102" s="751"/>
      <c r="J102" s="758"/>
      <c r="K102" s="751"/>
      <c r="L102" s="758"/>
      <c r="M102" s="751"/>
      <c r="N102" s="758"/>
      <c r="O102" s="751"/>
      <c r="P102" s="758"/>
      <c r="Q102" s="742"/>
      <c r="R102" s="2"/>
      <c r="S102" s="2"/>
    </row>
    <row r="103">
      <c r="A103" s="2"/>
      <c r="B103" s="3" t="s">
        <v>132</v>
      </c>
      <c r="C103" s="740" t="s">
        <v>131</v>
      </c>
      <c r="D103" s="3" t="s">
        <v>1813</v>
      </c>
      <c r="E103" s="751"/>
      <c r="F103" s="758"/>
      <c r="G103" s="747">
        <v>1.0</v>
      </c>
      <c r="H103" s="758"/>
      <c r="I103" s="747"/>
      <c r="J103" s="758"/>
      <c r="K103" s="747"/>
      <c r="L103" s="758"/>
      <c r="M103" s="747"/>
      <c r="N103" s="758"/>
      <c r="O103" s="747"/>
      <c r="P103" s="758"/>
      <c r="Q103" s="742"/>
      <c r="R103" s="2"/>
      <c r="S103" s="2"/>
    </row>
    <row r="104">
      <c r="A104" s="2"/>
      <c r="B104" s="3" t="s">
        <v>140</v>
      </c>
      <c r="C104" s="740" t="s">
        <v>139</v>
      </c>
      <c r="D104" s="3" t="s">
        <v>1814</v>
      </c>
      <c r="E104" s="751"/>
      <c r="F104" s="758"/>
      <c r="G104" s="747">
        <v>2.0</v>
      </c>
      <c r="H104" s="759">
        <v>1.0</v>
      </c>
      <c r="I104" s="751"/>
      <c r="J104" s="759"/>
      <c r="K104" s="751"/>
      <c r="L104" s="758"/>
      <c r="M104" s="751"/>
      <c r="N104" s="758"/>
      <c r="O104" s="751"/>
      <c r="P104" s="758"/>
      <c r="Q104" s="742"/>
      <c r="R104" s="2"/>
      <c r="S104" s="2"/>
    </row>
    <row r="105">
      <c r="A105" s="2"/>
      <c r="B105" s="3" t="s">
        <v>150</v>
      </c>
      <c r="C105" s="740" t="s">
        <v>149</v>
      </c>
      <c r="D105" s="3" t="s">
        <v>1815</v>
      </c>
      <c r="E105" s="747">
        <v>9.0</v>
      </c>
      <c r="F105" s="759">
        <v>4.0</v>
      </c>
      <c r="G105" s="747">
        <v>5.0</v>
      </c>
      <c r="H105" s="759">
        <v>7.0</v>
      </c>
      <c r="I105" s="747"/>
      <c r="J105" s="759"/>
      <c r="K105" s="747"/>
      <c r="L105" s="759"/>
      <c r="M105" s="747"/>
      <c r="N105" s="759"/>
      <c r="O105" s="747"/>
      <c r="P105" s="759"/>
      <c r="Q105" s="742"/>
      <c r="R105" s="2"/>
      <c r="S105" s="2"/>
    </row>
    <row r="106">
      <c r="A106" s="2"/>
      <c r="B106" s="3" t="s">
        <v>158</v>
      </c>
      <c r="C106" s="740" t="s">
        <v>157</v>
      </c>
      <c r="D106" s="3" t="s">
        <v>1816</v>
      </c>
      <c r="E106" s="747">
        <v>4.0</v>
      </c>
      <c r="F106" s="759">
        <v>3.0</v>
      </c>
      <c r="G106" s="747">
        <v>4.0</v>
      </c>
      <c r="H106" s="759">
        <v>5.0</v>
      </c>
      <c r="I106" s="747"/>
      <c r="J106" s="759"/>
      <c r="K106" s="747"/>
      <c r="L106" s="759"/>
      <c r="M106" s="747"/>
      <c r="N106" s="759"/>
      <c r="O106" s="747"/>
      <c r="P106" s="759"/>
      <c r="Q106" s="742"/>
      <c r="R106" s="2"/>
      <c r="S106" s="2"/>
    </row>
    <row r="107">
      <c r="A107" s="2"/>
      <c r="B107" s="3" t="s">
        <v>164</v>
      </c>
      <c r="C107" s="740" t="s">
        <v>163</v>
      </c>
      <c r="D107" s="3" t="s">
        <v>1817</v>
      </c>
      <c r="E107" s="747">
        <v>3.0</v>
      </c>
      <c r="F107" s="759">
        <v>2.0</v>
      </c>
      <c r="G107" s="747">
        <v>3.0</v>
      </c>
      <c r="H107" s="759">
        <v>3.0</v>
      </c>
      <c r="I107" s="747"/>
      <c r="J107" s="759"/>
      <c r="K107" s="747"/>
      <c r="L107" s="759"/>
      <c r="M107" s="747"/>
      <c r="N107" s="759"/>
      <c r="O107" s="747"/>
      <c r="P107" s="759"/>
      <c r="Q107" s="742"/>
      <c r="R107" s="2"/>
      <c r="S107" s="2"/>
    </row>
    <row r="108">
      <c r="A108" s="2"/>
      <c r="B108" s="3" t="s">
        <v>172</v>
      </c>
      <c r="C108" s="740" t="s">
        <v>171</v>
      </c>
      <c r="D108" s="3" t="s">
        <v>1818</v>
      </c>
      <c r="E108" s="747">
        <v>5.0</v>
      </c>
      <c r="F108" s="759">
        <v>4.0</v>
      </c>
      <c r="G108" s="747">
        <v>2.0</v>
      </c>
      <c r="H108" s="759">
        <v>2.0</v>
      </c>
      <c r="I108" s="747"/>
      <c r="J108" s="759"/>
      <c r="K108" s="747"/>
      <c r="L108" s="759"/>
      <c r="M108" s="747"/>
      <c r="N108" s="759"/>
      <c r="O108" s="747"/>
      <c r="P108" s="759"/>
      <c r="Q108" s="742"/>
      <c r="R108" s="2"/>
      <c r="S108" s="2"/>
    </row>
    <row r="109">
      <c r="A109" s="2"/>
      <c r="B109" s="3" t="s">
        <v>183</v>
      </c>
      <c r="C109" s="740" t="s">
        <v>182</v>
      </c>
      <c r="D109" s="3" t="s">
        <v>1819</v>
      </c>
      <c r="E109" s="751"/>
      <c r="F109" s="758"/>
      <c r="G109" s="747">
        <v>2.0</v>
      </c>
      <c r="H109" s="759">
        <v>3.0</v>
      </c>
      <c r="I109" s="747"/>
      <c r="J109" s="759"/>
      <c r="K109" s="747"/>
      <c r="L109" s="758"/>
      <c r="M109" s="747"/>
      <c r="N109" s="758"/>
      <c r="O109" s="747"/>
      <c r="P109" s="758"/>
      <c r="Q109" s="742"/>
      <c r="R109" s="2"/>
      <c r="S109" s="2"/>
    </row>
    <row r="110">
      <c r="A110" s="2"/>
      <c r="B110" s="3" t="s">
        <v>192</v>
      </c>
      <c r="C110" s="740" t="s">
        <v>191</v>
      </c>
      <c r="D110" s="3" t="s">
        <v>1820</v>
      </c>
      <c r="E110" s="751"/>
      <c r="F110" s="758"/>
      <c r="G110" s="747">
        <v>3.0</v>
      </c>
      <c r="H110" s="759">
        <v>1.0</v>
      </c>
      <c r="I110" s="747"/>
      <c r="J110" s="759"/>
      <c r="K110" s="747"/>
      <c r="L110" s="758"/>
      <c r="M110" s="747"/>
      <c r="N110" s="758"/>
      <c r="O110" s="747"/>
      <c r="P110" s="758"/>
      <c r="Q110" s="742"/>
      <c r="R110" s="2"/>
      <c r="S110" s="2"/>
    </row>
    <row r="111">
      <c r="A111" s="2"/>
      <c r="B111" s="3" t="s">
        <v>212</v>
      </c>
      <c r="C111" s="740" t="s">
        <v>211</v>
      </c>
      <c r="D111" s="3" t="s">
        <v>1821</v>
      </c>
      <c r="E111" s="751"/>
      <c r="F111" s="758"/>
      <c r="G111" s="747">
        <v>2.0</v>
      </c>
      <c r="H111" s="759">
        <v>2.0</v>
      </c>
      <c r="I111" s="747"/>
      <c r="J111" s="759"/>
      <c r="K111" s="751"/>
      <c r="L111" s="758"/>
      <c r="M111" s="751"/>
      <c r="N111" s="758"/>
      <c r="O111" s="751"/>
      <c r="P111" s="758"/>
      <c r="Q111" s="742"/>
      <c r="R111" s="2"/>
      <c r="S111" s="2"/>
    </row>
    <row r="112">
      <c r="A112" s="2"/>
      <c r="B112" s="3" t="s">
        <v>220</v>
      </c>
      <c r="C112" s="740" t="s">
        <v>219</v>
      </c>
      <c r="D112" s="3" t="s">
        <v>1822</v>
      </c>
      <c r="E112" s="747">
        <v>1.0</v>
      </c>
      <c r="F112" s="758"/>
      <c r="G112" s="747">
        <v>3.0</v>
      </c>
      <c r="H112" s="759">
        <v>1.0</v>
      </c>
      <c r="I112" s="747"/>
      <c r="J112" s="759"/>
      <c r="K112" s="747"/>
      <c r="L112" s="758"/>
      <c r="M112" s="747"/>
      <c r="N112" s="758"/>
      <c r="O112" s="747"/>
      <c r="P112" s="758"/>
      <c r="Q112" s="742"/>
      <c r="R112" s="2"/>
      <c r="S112" s="2"/>
    </row>
    <row r="113">
      <c r="A113" s="2"/>
      <c r="B113" s="3" t="s">
        <v>201</v>
      </c>
      <c r="C113" s="740" t="s">
        <v>199</v>
      </c>
      <c r="D113" s="3" t="s">
        <v>1823</v>
      </c>
      <c r="E113" s="747">
        <v>3.0</v>
      </c>
      <c r="F113" s="758"/>
      <c r="G113" s="747">
        <v>4.0</v>
      </c>
      <c r="H113" s="759">
        <v>2.0</v>
      </c>
      <c r="I113" s="747"/>
      <c r="J113" s="759"/>
      <c r="K113" s="747"/>
      <c r="L113" s="758"/>
      <c r="M113" s="747"/>
      <c r="N113" s="758"/>
      <c r="O113" s="747"/>
      <c r="P113" s="758"/>
      <c r="Q113" s="742"/>
      <c r="R113" s="2"/>
      <c r="S113" s="2"/>
    </row>
    <row r="114">
      <c r="A114" s="2"/>
      <c r="B114" s="3" t="s">
        <v>82</v>
      </c>
      <c r="C114" s="740" t="s">
        <v>81</v>
      </c>
      <c r="D114" s="3" t="s">
        <v>1824</v>
      </c>
      <c r="E114" s="747">
        <v>9.0</v>
      </c>
      <c r="F114" s="759">
        <v>2.0</v>
      </c>
      <c r="G114" s="747">
        <v>7.0</v>
      </c>
      <c r="H114" s="759">
        <v>2.0</v>
      </c>
      <c r="I114" s="747"/>
      <c r="J114" s="759"/>
      <c r="K114" s="747"/>
      <c r="L114" s="759"/>
      <c r="M114" s="747"/>
      <c r="N114" s="759"/>
      <c r="O114" s="747"/>
      <c r="P114" s="759"/>
      <c r="Q114" s="742"/>
      <c r="R114" s="2"/>
      <c r="S114" s="2"/>
    </row>
    <row r="115">
      <c r="A115" s="2"/>
      <c r="B115" s="3" t="s">
        <v>124</v>
      </c>
      <c r="C115" s="740" t="s">
        <v>123</v>
      </c>
      <c r="D115" s="3" t="s">
        <v>1825</v>
      </c>
      <c r="E115" s="747">
        <v>3.0</v>
      </c>
      <c r="F115" s="759">
        <v>2.0</v>
      </c>
      <c r="G115" s="747">
        <v>3.0</v>
      </c>
      <c r="H115" s="759">
        <v>3.0</v>
      </c>
      <c r="I115" s="747"/>
      <c r="J115" s="759"/>
      <c r="K115" s="747"/>
      <c r="L115" s="759"/>
      <c r="M115" s="747"/>
      <c r="N115" s="759"/>
      <c r="O115" s="747"/>
      <c r="P115" s="759"/>
      <c r="Q115" s="742"/>
      <c r="R115" s="2"/>
      <c r="S115" s="2"/>
    </row>
    <row r="116">
      <c r="A116" s="2"/>
      <c r="B116" s="3" t="s">
        <v>166</v>
      </c>
      <c r="C116" s="740" t="s">
        <v>165</v>
      </c>
      <c r="D116" s="3" t="s">
        <v>1826</v>
      </c>
      <c r="E116" s="747">
        <v>4.0</v>
      </c>
      <c r="F116" s="759">
        <v>1.0</v>
      </c>
      <c r="G116" s="747">
        <v>4.0</v>
      </c>
      <c r="H116" s="759">
        <v>2.0</v>
      </c>
      <c r="I116" s="747"/>
      <c r="J116" s="759"/>
      <c r="K116" s="747"/>
      <c r="L116" s="759"/>
      <c r="M116" s="747"/>
      <c r="N116" s="759"/>
      <c r="O116" s="747"/>
      <c r="P116" s="759"/>
      <c r="Q116" s="742"/>
      <c r="R116" s="2"/>
      <c r="S116" s="2"/>
    </row>
    <row r="117">
      <c r="A117" s="2"/>
      <c r="B117" s="3" t="s">
        <v>185</v>
      </c>
      <c r="C117" s="740" t="s">
        <v>184</v>
      </c>
      <c r="D117" s="3" t="s">
        <v>1827</v>
      </c>
      <c r="E117" s="747">
        <v>5.0</v>
      </c>
      <c r="F117" s="748"/>
      <c r="G117" s="747">
        <v>5.0</v>
      </c>
      <c r="H117" s="748"/>
      <c r="I117" s="747"/>
      <c r="J117" s="753"/>
      <c r="K117" s="747"/>
      <c r="L117" s="748"/>
      <c r="M117" s="747"/>
      <c r="N117" s="748"/>
      <c r="O117" s="747"/>
      <c r="P117" s="748"/>
      <c r="Q117" s="742"/>
      <c r="R117" s="2"/>
      <c r="S117" s="2"/>
    </row>
    <row r="118">
      <c r="A118" s="2"/>
      <c r="B118" s="3" t="s">
        <v>214</v>
      </c>
      <c r="C118" s="740" t="s">
        <v>213</v>
      </c>
      <c r="D118" s="3" t="s">
        <v>1828</v>
      </c>
      <c r="E118" s="751"/>
      <c r="F118" s="758"/>
      <c r="G118" s="747">
        <v>2.0</v>
      </c>
      <c r="H118" s="759">
        <v>3.0</v>
      </c>
      <c r="I118" s="747"/>
      <c r="J118" s="759"/>
      <c r="K118" s="747"/>
      <c r="L118" s="759"/>
      <c r="M118" s="747"/>
      <c r="N118" s="759"/>
      <c r="O118" s="747"/>
      <c r="P118" s="759"/>
      <c r="Q118" s="742"/>
      <c r="R118" s="2"/>
      <c r="S118" s="2"/>
    </row>
    <row r="119">
      <c r="A119" s="2"/>
      <c r="B119" s="744" t="s">
        <v>222</v>
      </c>
      <c r="C119" s="745" t="s">
        <v>221</v>
      </c>
      <c r="D119" s="746" t="s">
        <v>1829</v>
      </c>
      <c r="E119" s="747">
        <v>3.0</v>
      </c>
      <c r="F119" s="759">
        <v>2.0</v>
      </c>
      <c r="G119" s="747">
        <v>5.0</v>
      </c>
      <c r="H119" s="759">
        <v>7.0</v>
      </c>
      <c r="I119" s="747"/>
      <c r="J119" s="759"/>
      <c r="K119" s="747"/>
      <c r="L119" s="759"/>
      <c r="M119" s="747"/>
      <c r="N119" s="759"/>
      <c r="O119" s="747"/>
      <c r="P119" s="759"/>
      <c r="Q119" s="742"/>
      <c r="R119" s="2"/>
      <c r="S119" s="2"/>
    </row>
    <row r="120">
      <c r="A120" s="2"/>
      <c r="B120" s="732" t="s">
        <v>222</v>
      </c>
      <c r="C120" s="760" t="s">
        <v>221</v>
      </c>
      <c r="D120" s="750" t="s">
        <v>1830</v>
      </c>
      <c r="E120" s="747">
        <v>9.0</v>
      </c>
      <c r="F120" s="748"/>
      <c r="G120" s="747">
        <v>9.0</v>
      </c>
      <c r="H120" s="748"/>
      <c r="I120" s="747"/>
      <c r="J120" s="753"/>
      <c r="K120" s="747"/>
      <c r="L120" s="748"/>
      <c r="M120" s="747"/>
      <c r="N120" s="748"/>
      <c r="O120" s="747"/>
      <c r="P120" s="748"/>
      <c r="Q120" s="742"/>
      <c r="R120" s="2"/>
      <c r="S120" s="2"/>
    </row>
    <row r="121">
      <c r="A121" s="2"/>
      <c r="B121" s="3" t="s">
        <v>205</v>
      </c>
      <c r="C121" s="740" t="s">
        <v>204</v>
      </c>
      <c r="D121" s="761" t="s">
        <v>1831</v>
      </c>
      <c r="E121" s="762"/>
      <c r="F121" s="748"/>
      <c r="G121" s="747">
        <v>3.0</v>
      </c>
      <c r="H121" s="759">
        <v>4.0</v>
      </c>
      <c r="I121" s="747"/>
      <c r="J121" s="759"/>
      <c r="K121" s="747"/>
      <c r="L121" s="758"/>
      <c r="M121" s="747"/>
      <c r="N121" s="758"/>
      <c r="O121" s="747"/>
      <c r="P121" s="758"/>
      <c r="Q121" s="747"/>
      <c r="R121" s="2"/>
      <c r="S121" s="2"/>
    </row>
    <row r="122">
      <c r="A122" s="2"/>
      <c r="B122" s="2"/>
      <c r="C122" s="740"/>
      <c r="D122" s="740" t="s">
        <v>1832</v>
      </c>
      <c r="E122" s="751"/>
      <c r="F122" s="721"/>
      <c r="G122" s="751"/>
      <c r="H122" s="721"/>
      <c r="I122" s="751"/>
      <c r="J122" s="721"/>
      <c r="K122" s="751"/>
      <c r="L122" s="721"/>
      <c r="M122" s="751"/>
      <c r="N122" s="721"/>
      <c r="O122" s="751"/>
      <c r="P122" s="721"/>
      <c r="Q122" s="742"/>
      <c r="R122" s="2"/>
      <c r="S122" s="2"/>
    </row>
    <row r="123">
      <c r="A123" s="2"/>
      <c r="B123" s="3" t="s">
        <v>229</v>
      </c>
      <c r="C123" s="740" t="s">
        <v>228</v>
      </c>
      <c r="D123" s="3" t="s">
        <v>1833</v>
      </c>
      <c r="E123" s="751"/>
      <c r="F123" s="758"/>
      <c r="G123" s="751"/>
      <c r="H123" s="758"/>
      <c r="I123" s="751"/>
      <c r="J123" s="758"/>
      <c r="K123" s="751"/>
      <c r="L123" s="758"/>
      <c r="M123" s="751"/>
      <c r="N123" s="758"/>
      <c r="O123" s="751"/>
      <c r="P123" s="758"/>
      <c r="Q123" s="742"/>
      <c r="R123" s="2"/>
      <c r="S123" s="2"/>
    </row>
    <row r="124">
      <c r="A124" s="2"/>
      <c r="B124" s="3" t="s">
        <v>274</v>
      </c>
      <c r="C124" s="740" t="s">
        <v>273</v>
      </c>
      <c r="D124" s="3" t="s">
        <v>1834</v>
      </c>
      <c r="E124" s="751"/>
      <c r="F124" s="758"/>
      <c r="G124" s="751"/>
      <c r="H124" s="758"/>
      <c r="I124" s="751"/>
      <c r="J124" s="758"/>
      <c r="K124" s="751"/>
      <c r="L124" s="758"/>
      <c r="M124" s="751"/>
      <c r="N124" s="758"/>
      <c r="O124" s="751"/>
      <c r="P124" s="758"/>
      <c r="Q124" s="742"/>
      <c r="R124" s="2"/>
      <c r="S124" s="2"/>
    </row>
    <row r="125">
      <c r="A125" s="2"/>
      <c r="B125" s="3" t="s">
        <v>299</v>
      </c>
      <c r="C125" s="740" t="s">
        <v>298</v>
      </c>
      <c r="D125" s="3" t="s">
        <v>1835</v>
      </c>
      <c r="E125" s="751"/>
      <c r="F125" s="758"/>
      <c r="G125" s="751"/>
      <c r="H125" s="758"/>
      <c r="I125" s="751"/>
      <c r="J125" s="758"/>
      <c r="K125" s="751"/>
      <c r="L125" s="758"/>
      <c r="M125" s="751"/>
      <c r="N125" s="758"/>
      <c r="O125" s="751"/>
      <c r="P125" s="758"/>
      <c r="Q125" s="742"/>
      <c r="R125" s="2"/>
      <c r="S125" s="2"/>
    </row>
    <row r="126">
      <c r="A126" s="2"/>
      <c r="B126" s="3" t="s">
        <v>326</v>
      </c>
      <c r="C126" s="740" t="s">
        <v>324</v>
      </c>
      <c r="D126" s="3" t="s">
        <v>1836</v>
      </c>
      <c r="E126" s="751"/>
      <c r="F126" s="758"/>
      <c r="G126" s="751"/>
      <c r="H126" s="758"/>
      <c r="I126" s="751"/>
      <c r="J126" s="758"/>
      <c r="K126" s="751"/>
      <c r="L126" s="758"/>
      <c r="M126" s="751"/>
      <c r="N126" s="758"/>
      <c r="O126" s="751"/>
      <c r="P126" s="758"/>
      <c r="Q126" s="742"/>
      <c r="R126" s="2"/>
      <c r="S126" s="2"/>
    </row>
    <row r="127">
      <c r="A127" s="2"/>
      <c r="B127" s="3" t="s">
        <v>382</v>
      </c>
      <c r="C127" s="740" t="s">
        <v>381</v>
      </c>
      <c r="D127" s="3" t="s">
        <v>1837</v>
      </c>
      <c r="E127" s="751"/>
      <c r="F127" s="758"/>
      <c r="G127" s="747">
        <v>1.0</v>
      </c>
      <c r="H127" s="758"/>
      <c r="I127" s="747"/>
      <c r="J127" s="758"/>
      <c r="K127" s="747"/>
      <c r="L127" s="758"/>
      <c r="M127" s="747"/>
      <c r="N127" s="758"/>
      <c r="O127" s="747"/>
      <c r="P127" s="758"/>
      <c r="Q127" s="742"/>
      <c r="R127" s="2"/>
      <c r="S127" s="2"/>
    </row>
    <row r="128">
      <c r="A128" s="2"/>
      <c r="B128" s="3" t="s">
        <v>390</v>
      </c>
      <c r="C128" s="740" t="s">
        <v>389</v>
      </c>
      <c r="D128" s="3" t="s">
        <v>1838</v>
      </c>
      <c r="E128" s="751"/>
      <c r="F128" s="758"/>
      <c r="G128" s="751"/>
      <c r="H128" s="758"/>
      <c r="I128" s="751"/>
      <c r="J128" s="758"/>
      <c r="K128" s="751"/>
      <c r="L128" s="758"/>
      <c r="M128" s="751"/>
      <c r="N128" s="758"/>
      <c r="O128" s="751"/>
      <c r="P128" s="758"/>
      <c r="Q128" s="742"/>
      <c r="R128" s="2"/>
      <c r="S128" s="2"/>
    </row>
    <row r="129">
      <c r="A129" s="2"/>
      <c r="B129" s="3" t="s">
        <v>401</v>
      </c>
      <c r="C129" s="740" t="s">
        <v>399</v>
      </c>
      <c r="D129" s="3" t="s">
        <v>1839</v>
      </c>
      <c r="E129" s="751"/>
      <c r="F129" s="758"/>
      <c r="G129" s="747">
        <v>1.0</v>
      </c>
      <c r="H129" s="758"/>
      <c r="I129" s="747"/>
      <c r="J129" s="758"/>
      <c r="K129" s="747"/>
      <c r="L129" s="758"/>
      <c r="M129" s="747"/>
      <c r="N129" s="758"/>
      <c r="O129" s="747"/>
      <c r="P129" s="758"/>
      <c r="Q129" s="742"/>
      <c r="R129" s="2"/>
      <c r="S129" s="2"/>
    </row>
    <row r="130">
      <c r="A130" s="2"/>
      <c r="B130" s="3" t="s">
        <v>410</v>
      </c>
      <c r="C130" s="740" t="s">
        <v>409</v>
      </c>
      <c r="D130" s="3" t="s">
        <v>1840</v>
      </c>
      <c r="E130" s="751"/>
      <c r="F130" s="758"/>
      <c r="G130" s="751"/>
      <c r="H130" s="758"/>
      <c r="I130" s="751"/>
      <c r="J130" s="758"/>
      <c r="K130" s="751"/>
      <c r="L130" s="758"/>
      <c r="M130" s="751"/>
      <c r="N130" s="758"/>
      <c r="O130" s="751"/>
      <c r="P130" s="758"/>
      <c r="Q130" s="742"/>
      <c r="R130" s="2"/>
      <c r="S130" s="2"/>
    </row>
    <row r="131">
      <c r="A131" s="2"/>
      <c r="B131" s="3" t="s">
        <v>245</v>
      </c>
      <c r="C131" s="740" t="s">
        <v>244</v>
      </c>
      <c r="D131" s="3" t="s">
        <v>1841</v>
      </c>
      <c r="E131" s="751"/>
      <c r="F131" s="758"/>
      <c r="G131" s="747">
        <v>1.0</v>
      </c>
      <c r="H131" s="758"/>
      <c r="I131" s="747"/>
      <c r="J131" s="758"/>
      <c r="K131" s="747"/>
      <c r="L131" s="758"/>
      <c r="M131" s="747"/>
      <c r="N131" s="758"/>
      <c r="O131" s="747"/>
      <c r="P131" s="758"/>
      <c r="Q131" s="742"/>
      <c r="R131" s="2"/>
      <c r="S131" s="2"/>
    </row>
    <row r="132">
      <c r="A132" s="2"/>
      <c r="B132" s="3" t="s">
        <v>284</v>
      </c>
      <c r="C132" s="740" t="s">
        <v>282</v>
      </c>
      <c r="D132" s="3" t="s">
        <v>1842</v>
      </c>
      <c r="E132" s="751"/>
      <c r="F132" s="758"/>
      <c r="G132" s="751"/>
      <c r="H132" s="758"/>
      <c r="I132" s="751"/>
      <c r="J132" s="758"/>
      <c r="K132" s="751"/>
      <c r="L132" s="758"/>
      <c r="M132" s="751"/>
      <c r="N132" s="758"/>
      <c r="O132" s="751"/>
      <c r="P132" s="758"/>
      <c r="Q132" s="742"/>
      <c r="R132" s="2"/>
      <c r="S132" s="2"/>
    </row>
    <row r="133">
      <c r="A133" s="2"/>
      <c r="B133" s="3" t="s">
        <v>304</v>
      </c>
      <c r="C133" s="740" t="s">
        <v>303</v>
      </c>
      <c r="D133" s="3" t="s">
        <v>1843</v>
      </c>
      <c r="E133" s="751"/>
      <c r="F133" s="758"/>
      <c r="G133" s="747">
        <v>1.0</v>
      </c>
      <c r="H133" s="758"/>
      <c r="I133" s="747"/>
      <c r="J133" s="758"/>
      <c r="K133" s="747"/>
      <c r="L133" s="758"/>
      <c r="M133" s="747"/>
      <c r="N133" s="758"/>
      <c r="O133" s="747"/>
      <c r="P133" s="758"/>
      <c r="Q133" s="742"/>
      <c r="R133" s="2"/>
      <c r="S133" s="2"/>
    </row>
    <row r="134">
      <c r="A134" s="2"/>
      <c r="B134" s="3" t="s">
        <v>339</v>
      </c>
      <c r="C134" s="740" t="s">
        <v>337</v>
      </c>
      <c r="D134" s="3" t="s">
        <v>1844</v>
      </c>
      <c r="E134" s="751"/>
      <c r="F134" s="758"/>
      <c r="G134" s="751"/>
      <c r="H134" s="758"/>
      <c r="I134" s="751"/>
      <c r="J134" s="758"/>
      <c r="K134" s="751"/>
      <c r="L134" s="758"/>
      <c r="M134" s="751"/>
      <c r="N134" s="758"/>
      <c r="O134" s="751"/>
      <c r="P134" s="758"/>
      <c r="Q134" s="742"/>
      <c r="R134" s="2"/>
      <c r="S134" s="2"/>
    </row>
    <row r="135">
      <c r="A135" s="2"/>
      <c r="B135" s="3" t="s">
        <v>386</v>
      </c>
      <c r="C135" s="740" t="s">
        <v>384</v>
      </c>
      <c r="D135" s="3" t="s">
        <v>1845</v>
      </c>
      <c r="E135" s="751"/>
      <c r="F135" s="758"/>
      <c r="G135" s="751"/>
      <c r="H135" s="758"/>
      <c r="I135" s="751"/>
      <c r="J135" s="758"/>
      <c r="K135" s="751"/>
      <c r="L135" s="758"/>
      <c r="M135" s="751"/>
      <c r="N135" s="758"/>
      <c r="O135" s="751"/>
      <c r="P135" s="758"/>
      <c r="Q135" s="742"/>
      <c r="R135" s="2"/>
      <c r="S135" s="2"/>
    </row>
    <row r="136">
      <c r="A136" s="2"/>
      <c r="B136" s="3" t="s">
        <v>392</v>
      </c>
      <c r="C136" s="740" t="s">
        <v>391</v>
      </c>
      <c r="D136" s="3" t="s">
        <v>1846</v>
      </c>
      <c r="E136" s="747">
        <v>2.0</v>
      </c>
      <c r="F136" s="758"/>
      <c r="G136" s="747">
        <v>4.0</v>
      </c>
      <c r="H136" s="759">
        <v>2.0</v>
      </c>
      <c r="I136" s="747"/>
      <c r="J136" s="759"/>
      <c r="K136" s="747"/>
      <c r="L136" s="758"/>
      <c r="M136" s="747"/>
      <c r="N136" s="758"/>
      <c r="O136" s="747"/>
      <c r="P136" s="758"/>
      <c r="Q136" s="742"/>
      <c r="R136" s="2"/>
      <c r="S136" s="2"/>
    </row>
    <row r="137">
      <c r="A137" s="2"/>
      <c r="B137" s="3" t="s">
        <v>403</v>
      </c>
      <c r="C137" s="740" t="s">
        <v>402</v>
      </c>
      <c r="D137" s="3" t="s">
        <v>1847</v>
      </c>
      <c r="E137" s="747">
        <v>1.0</v>
      </c>
      <c r="F137" s="758"/>
      <c r="G137" s="747">
        <v>2.0</v>
      </c>
      <c r="H137" s="758"/>
      <c r="I137" s="747"/>
      <c r="J137" s="759"/>
      <c r="K137" s="747"/>
      <c r="L137" s="758"/>
      <c r="M137" s="747"/>
      <c r="N137" s="758"/>
      <c r="O137" s="747"/>
      <c r="P137" s="758"/>
      <c r="Q137" s="742"/>
      <c r="R137" s="2"/>
      <c r="S137" s="2"/>
    </row>
    <row r="138">
      <c r="A138" s="2"/>
      <c r="B138" s="3" t="s">
        <v>413</v>
      </c>
      <c r="C138" s="740" t="s">
        <v>412</v>
      </c>
      <c r="D138" s="3" t="s">
        <v>1848</v>
      </c>
      <c r="E138" s="747">
        <v>1.0</v>
      </c>
      <c r="F138" s="759">
        <v>1.0</v>
      </c>
      <c r="G138" s="747">
        <v>2.0</v>
      </c>
      <c r="H138" s="759"/>
      <c r="I138" s="747"/>
      <c r="J138" s="759"/>
      <c r="K138" s="747"/>
      <c r="L138" s="759"/>
      <c r="M138" s="747"/>
      <c r="N138" s="759"/>
      <c r="O138" s="747"/>
      <c r="P138" s="759"/>
      <c r="Q138" s="742"/>
      <c r="R138" s="2"/>
      <c r="S138" s="2"/>
    </row>
    <row r="139">
      <c r="A139" s="2"/>
      <c r="B139" s="3" t="s">
        <v>293</v>
      </c>
      <c r="C139" s="740" t="s">
        <v>291</v>
      </c>
      <c r="D139" s="3" t="s">
        <v>1849</v>
      </c>
      <c r="E139" s="747">
        <v>1.0</v>
      </c>
      <c r="F139" s="758"/>
      <c r="G139" s="747">
        <v>1.0</v>
      </c>
      <c r="H139" s="758"/>
      <c r="I139" s="747"/>
      <c r="J139" s="758"/>
      <c r="K139" s="747"/>
      <c r="L139" s="758"/>
      <c r="M139" s="747"/>
      <c r="N139" s="758"/>
      <c r="O139" s="747"/>
      <c r="P139" s="758"/>
      <c r="Q139" s="742"/>
      <c r="R139" s="2"/>
      <c r="S139" s="2"/>
    </row>
    <row r="140">
      <c r="A140" s="2"/>
      <c r="B140" s="3" t="s">
        <v>374</v>
      </c>
      <c r="C140" s="740" t="s">
        <v>367</v>
      </c>
      <c r="D140" s="3" t="s">
        <v>1850</v>
      </c>
      <c r="E140" s="747">
        <v>1.0</v>
      </c>
      <c r="F140" s="759">
        <v>1.0</v>
      </c>
      <c r="G140" s="747">
        <v>2.0</v>
      </c>
      <c r="H140" s="759">
        <v>1.0</v>
      </c>
      <c r="I140" s="747"/>
      <c r="J140" s="759"/>
      <c r="K140" s="747"/>
      <c r="L140" s="759"/>
      <c r="M140" s="747"/>
      <c r="N140" s="759"/>
      <c r="O140" s="747"/>
      <c r="P140" s="759"/>
      <c r="Q140" s="742"/>
      <c r="R140" s="2"/>
      <c r="S140" s="2"/>
    </row>
    <row r="141">
      <c r="A141" s="2"/>
      <c r="B141" s="3" t="s">
        <v>388</v>
      </c>
      <c r="C141" s="740" t="s">
        <v>387</v>
      </c>
      <c r="D141" s="3" t="s">
        <v>1851</v>
      </c>
      <c r="E141" s="747">
        <v>9.0</v>
      </c>
      <c r="F141" s="748"/>
      <c r="G141" s="747">
        <v>7.0</v>
      </c>
      <c r="H141" s="748"/>
      <c r="I141" s="747"/>
      <c r="J141" s="753"/>
      <c r="K141" s="747"/>
      <c r="L141" s="748"/>
      <c r="M141" s="747"/>
      <c r="N141" s="748"/>
      <c r="O141" s="747"/>
      <c r="P141" s="748"/>
      <c r="Q141" s="742"/>
      <c r="R141" s="2"/>
      <c r="S141" s="2"/>
    </row>
    <row r="142">
      <c r="A142" s="2"/>
      <c r="B142" s="3" t="s">
        <v>395</v>
      </c>
      <c r="C142" s="740" t="s">
        <v>394</v>
      </c>
      <c r="D142" s="3" t="s">
        <v>1852</v>
      </c>
      <c r="E142" s="751"/>
      <c r="F142" s="758"/>
      <c r="G142" s="747">
        <v>1.0</v>
      </c>
      <c r="H142" s="758"/>
      <c r="I142" s="747"/>
      <c r="J142" s="759"/>
      <c r="K142" s="747"/>
      <c r="L142" s="758"/>
      <c r="M142" s="747"/>
      <c r="N142" s="758"/>
      <c r="O142" s="747"/>
      <c r="P142" s="758"/>
      <c r="Q142" s="742"/>
      <c r="R142" s="2"/>
      <c r="S142" s="2"/>
    </row>
    <row r="143">
      <c r="A143" s="2"/>
      <c r="B143" s="3" t="s">
        <v>405</v>
      </c>
      <c r="C143" s="740" t="s">
        <v>404</v>
      </c>
      <c r="D143" s="3" t="s">
        <v>1853</v>
      </c>
      <c r="E143" s="747">
        <v>3.0</v>
      </c>
      <c r="F143" s="759">
        <v>1.0</v>
      </c>
      <c r="G143" s="747">
        <v>2.0</v>
      </c>
      <c r="H143" s="759">
        <v>1.0</v>
      </c>
      <c r="I143" s="747"/>
      <c r="J143" s="759"/>
      <c r="K143" s="747"/>
      <c r="L143" s="759"/>
      <c r="M143" s="747"/>
      <c r="N143" s="759"/>
      <c r="O143" s="747"/>
      <c r="P143" s="759"/>
      <c r="Q143" s="742"/>
      <c r="R143" s="2"/>
      <c r="S143" s="2"/>
    </row>
    <row r="144">
      <c r="A144" s="2"/>
      <c r="B144" s="3" t="s">
        <v>417</v>
      </c>
      <c r="C144" s="740" t="s">
        <v>416</v>
      </c>
      <c r="D144" s="3" t="s">
        <v>1854</v>
      </c>
      <c r="E144" s="747">
        <v>1.0</v>
      </c>
      <c r="F144" s="758"/>
      <c r="G144" s="747">
        <v>3.0</v>
      </c>
      <c r="H144" s="759">
        <v>1.0</v>
      </c>
      <c r="I144" s="747"/>
      <c r="J144" s="759"/>
      <c r="K144" s="747"/>
      <c r="L144" s="758"/>
      <c r="M144" s="747"/>
      <c r="N144" s="758"/>
      <c r="O144" s="747"/>
      <c r="P144" s="758"/>
      <c r="Q144" s="742"/>
      <c r="R144" s="2"/>
      <c r="S144" s="2"/>
    </row>
    <row r="145">
      <c r="A145" s="2"/>
      <c r="B145" s="2"/>
      <c r="C145" s="740"/>
      <c r="D145" s="740" t="s">
        <v>1855</v>
      </c>
      <c r="E145" s="751"/>
      <c r="F145" s="721"/>
      <c r="G145" s="751"/>
      <c r="H145" s="721"/>
      <c r="I145" s="751"/>
      <c r="J145" s="721"/>
      <c r="K145" s="751"/>
      <c r="L145" s="721"/>
      <c r="M145" s="751"/>
      <c r="N145" s="721"/>
      <c r="O145" s="751"/>
      <c r="P145" s="721"/>
      <c r="Q145" s="742"/>
      <c r="R145" s="2"/>
      <c r="S145" s="2"/>
    </row>
    <row r="146">
      <c r="A146" s="2"/>
      <c r="B146" s="3" t="s">
        <v>460</v>
      </c>
      <c r="C146" s="740" t="s">
        <v>459</v>
      </c>
      <c r="D146" s="3" t="s">
        <v>1856</v>
      </c>
      <c r="E146" s="747">
        <v>7.0</v>
      </c>
      <c r="F146" s="759">
        <v>1.0</v>
      </c>
      <c r="G146" s="747">
        <v>7.0</v>
      </c>
      <c r="H146" s="759">
        <v>2.0</v>
      </c>
      <c r="I146" s="747"/>
      <c r="J146" s="759"/>
      <c r="K146" s="747"/>
      <c r="L146" s="759"/>
      <c r="M146" s="747"/>
      <c r="N146" s="759"/>
      <c r="O146" s="747"/>
      <c r="P146" s="759"/>
      <c r="Q146" s="742"/>
      <c r="R146" s="2"/>
      <c r="S146" s="2"/>
    </row>
    <row r="147">
      <c r="A147" s="2"/>
      <c r="B147" s="3" t="s">
        <v>445</v>
      </c>
      <c r="C147" s="740" t="s">
        <v>444</v>
      </c>
      <c r="D147" s="3" t="s">
        <v>1857</v>
      </c>
      <c r="E147" s="747">
        <v>4.0</v>
      </c>
      <c r="F147" s="758"/>
      <c r="G147" s="747">
        <v>3.0</v>
      </c>
      <c r="H147" s="759">
        <v>2.0</v>
      </c>
      <c r="I147" s="747"/>
      <c r="J147" s="758"/>
      <c r="K147" s="747"/>
      <c r="L147" s="758"/>
      <c r="M147" s="747"/>
      <c r="N147" s="758"/>
      <c r="O147" s="747"/>
      <c r="P147" s="758"/>
      <c r="Q147" s="742"/>
      <c r="R147" s="2"/>
      <c r="S147" s="2"/>
    </row>
    <row r="148">
      <c r="A148" s="2"/>
      <c r="B148" s="3" t="s">
        <v>464</v>
      </c>
      <c r="C148" s="740" t="s">
        <v>463</v>
      </c>
      <c r="D148" s="3" t="s">
        <v>1858</v>
      </c>
      <c r="E148" s="747">
        <v>2.0</v>
      </c>
      <c r="F148" s="758"/>
      <c r="G148" s="747">
        <v>2.0</v>
      </c>
      <c r="H148" s="758"/>
      <c r="I148" s="747"/>
      <c r="J148" s="758"/>
      <c r="K148" s="747"/>
      <c r="L148" s="758"/>
      <c r="M148" s="747"/>
      <c r="N148" s="758"/>
      <c r="O148" s="747"/>
      <c r="P148" s="758"/>
      <c r="Q148" s="742"/>
      <c r="R148" s="2"/>
      <c r="S148" s="2"/>
    </row>
    <row r="149">
      <c r="A149" s="2"/>
      <c r="B149" s="3" t="s">
        <v>447</v>
      </c>
      <c r="C149" s="740" t="s">
        <v>446</v>
      </c>
      <c r="D149" s="761" t="s">
        <v>1859</v>
      </c>
      <c r="E149" s="762"/>
      <c r="F149" s="748"/>
      <c r="G149" s="747">
        <v>3.0</v>
      </c>
      <c r="H149" s="759">
        <v>2.0</v>
      </c>
      <c r="I149" s="747"/>
      <c r="J149" s="758"/>
      <c r="K149" s="747"/>
      <c r="L149" s="758"/>
      <c r="M149" s="747"/>
      <c r="N149" s="758"/>
      <c r="O149" s="747"/>
      <c r="P149" s="758"/>
      <c r="Q149" s="747"/>
      <c r="R149" s="2"/>
      <c r="S149" s="2"/>
    </row>
    <row r="150">
      <c r="A150" s="2"/>
      <c r="B150" s="2"/>
      <c r="C150" s="740"/>
      <c r="D150" s="740" t="s">
        <v>1860</v>
      </c>
      <c r="E150" s="751"/>
      <c r="F150" s="721"/>
      <c r="G150" s="751"/>
      <c r="H150" s="721"/>
      <c r="I150" s="751"/>
      <c r="J150" s="721"/>
      <c r="K150" s="751"/>
      <c r="L150" s="721"/>
      <c r="M150" s="751"/>
      <c r="N150" s="721"/>
      <c r="O150" s="751"/>
      <c r="P150" s="721"/>
      <c r="Q150" s="742"/>
      <c r="R150" s="2"/>
      <c r="S150" s="2"/>
    </row>
    <row r="151">
      <c r="A151" s="2"/>
      <c r="B151" s="3" t="s">
        <v>545</v>
      </c>
      <c r="C151" s="740" t="s">
        <v>544</v>
      </c>
      <c r="D151" s="3" t="s">
        <v>1861</v>
      </c>
      <c r="E151" s="747">
        <v>7.0</v>
      </c>
      <c r="F151" s="759">
        <v>1.0</v>
      </c>
      <c r="G151" s="747">
        <v>7.0</v>
      </c>
      <c r="H151" s="759">
        <v>2.0</v>
      </c>
      <c r="I151" s="747"/>
      <c r="J151" s="759"/>
      <c r="K151" s="747"/>
      <c r="L151" s="759"/>
      <c r="M151" s="747"/>
      <c r="N151" s="759"/>
      <c r="O151" s="747"/>
      <c r="P151" s="759"/>
      <c r="Q151" s="742"/>
      <c r="R151" s="2"/>
      <c r="S151" s="2"/>
    </row>
    <row r="152">
      <c r="A152" s="2"/>
      <c r="B152" s="3" t="s">
        <v>537</v>
      </c>
      <c r="C152" s="740" t="s">
        <v>1862</v>
      </c>
      <c r="D152" s="3" t="s">
        <v>1863</v>
      </c>
      <c r="E152" s="747">
        <v>2.0</v>
      </c>
      <c r="F152" s="758"/>
      <c r="G152" s="747">
        <v>4.0</v>
      </c>
      <c r="H152" s="759">
        <v>1.0</v>
      </c>
      <c r="I152" s="747"/>
      <c r="J152" s="759"/>
      <c r="K152" s="747"/>
      <c r="L152" s="758"/>
      <c r="M152" s="747"/>
      <c r="N152" s="758"/>
      <c r="O152" s="747"/>
      <c r="P152" s="758"/>
      <c r="Q152" s="742"/>
      <c r="R152" s="2"/>
      <c r="S152" s="2"/>
    </row>
    <row r="153">
      <c r="A153" s="2"/>
      <c r="B153" s="3" t="s">
        <v>549</v>
      </c>
      <c r="C153" s="740" t="s">
        <v>548</v>
      </c>
      <c r="D153" s="3" t="s">
        <v>1864</v>
      </c>
      <c r="E153" s="747">
        <v>3.0</v>
      </c>
      <c r="F153" s="759">
        <v>1.0</v>
      </c>
      <c r="G153" s="747">
        <v>3.0</v>
      </c>
      <c r="H153" s="759">
        <v>2.0</v>
      </c>
      <c r="I153" s="747"/>
      <c r="J153" s="759"/>
      <c r="K153" s="747"/>
      <c r="L153" s="759"/>
      <c r="M153" s="747"/>
      <c r="N153" s="759"/>
      <c r="O153" s="747"/>
      <c r="P153" s="759"/>
      <c r="Q153" s="742"/>
      <c r="R153" s="2"/>
      <c r="S153" s="2"/>
    </row>
    <row r="154">
      <c r="A154" s="2"/>
      <c r="B154" s="3" t="s">
        <v>491</v>
      </c>
      <c r="C154" s="740" t="s">
        <v>490</v>
      </c>
      <c r="D154" s="761" t="s">
        <v>1865</v>
      </c>
      <c r="E154" s="762"/>
      <c r="F154" s="748"/>
      <c r="G154" s="747">
        <v>3.0</v>
      </c>
      <c r="H154" s="759">
        <v>2.0</v>
      </c>
      <c r="I154" s="747"/>
      <c r="J154" s="759"/>
      <c r="K154" s="747"/>
      <c r="L154" s="758"/>
      <c r="M154" s="747"/>
      <c r="N154" s="758"/>
      <c r="O154" s="747"/>
      <c r="P154" s="758"/>
      <c r="Q154" s="747"/>
      <c r="R154" s="2"/>
      <c r="S154" s="2"/>
    </row>
    <row r="155">
      <c r="A155" s="2"/>
      <c r="B155" s="3" t="s">
        <v>525</v>
      </c>
      <c r="C155" s="740" t="s">
        <v>524</v>
      </c>
      <c r="D155" s="761" t="s">
        <v>1866</v>
      </c>
      <c r="E155" s="762"/>
      <c r="F155" s="748"/>
      <c r="G155" s="747">
        <v>3.0</v>
      </c>
      <c r="H155" s="759">
        <v>2.0</v>
      </c>
      <c r="I155" s="747"/>
      <c r="J155" s="759"/>
      <c r="K155" s="747"/>
      <c r="L155" s="758"/>
      <c r="M155" s="747"/>
      <c r="N155" s="758"/>
      <c r="O155" s="747"/>
      <c r="P155" s="758"/>
      <c r="Q155" s="747"/>
      <c r="R155" s="2"/>
      <c r="S155" s="2"/>
    </row>
    <row r="156">
      <c r="A156" s="2"/>
      <c r="B156" s="2"/>
      <c r="C156" s="740"/>
      <c r="D156" s="740" t="s">
        <v>809</v>
      </c>
      <c r="E156" s="751"/>
      <c r="F156" s="721"/>
      <c r="G156" s="751"/>
      <c r="H156" s="721"/>
      <c r="I156" s="751"/>
      <c r="J156" s="721"/>
      <c r="K156" s="751"/>
      <c r="L156" s="721"/>
      <c r="M156" s="751"/>
      <c r="N156" s="721"/>
      <c r="O156" s="751"/>
      <c r="P156" s="721"/>
      <c r="Q156" s="742"/>
      <c r="R156" s="2"/>
      <c r="S156" s="2"/>
    </row>
    <row r="157">
      <c r="A157" s="2"/>
      <c r="B157" s="3" t="s">
        <v>810</v>
      </c>
      <c r="C157" s="740" t="s">
        <v>1867</v>
      </c>
      <c r="D157" s="3" t="s">
        <v>1868</v>
      </c>
      <c r="E157" s="751"/>
      <c r="F157" s="758"/>
      <c r="G157" s="747">
        <v>1.0</v>
      </c>
      <c r="H157" s="758"/>
      <c r="I157" s="747"/>
      <c r="J157" s="758"/>
      <c r="K157" s="747"/>
      <c r="L157" s="758"/>
      <c r="M157" s="747"/>
      <c r="N157" s="758"/>
      <c r="O157" s="747"/>
      <c r="P157" s="758"/>
      <c r="Q157" s="742"/>
      <c r="R157" s="2"/>
      <c r="S157" s="2"/>
    </row>
    <row r="158">
      <c r="A158" s="2"/>
      <c r="B158" s="3" t="s">
        <v>819</v>
      </c>
      <c r="C158" s="740" t="s">
        <v>818</v>
      </c>
      <c r="D158" s="3" t="s">
        <v>1869</v>
      </c>
      <c r="E158" s="747">
        <v>1.0</v>
      </c>
      <c r="F158" s="758"/>
      <c r="G158" s="747">
        <v>1.0</v>
      </c>
      <c r="H158" s="758"/>
      <c r="I158" s="747"/>
      <c r="J158" s="758"/>
      <c r="K158" s="747"/>
      <c r="L158" s="758"/>
      <c r="M158" s="747"/>
      <c r="N158" s="758"/>
      <c r="O158" s="747"/>
      <c r="P158" s="758"/>
      <c r="Q158" s="742"/>
      <c r="R158" s="2"/>
      <c r="S158" s="2"/>
    </row>
    <row r="159">
      <c r="A159" s="2"/>
      <c r="B159" s="3" t="s">
        <v>828</v>
      </c>
      <c r="C159" s="740" t="s">
        <v>827</v>
      </c>
      <c r="D159" s="3" t="s">
        <v>1870</v>
      </c>
      <c r="E159" s="747">
        <v>2.0</v>
      </c>
      <c r="F159" s="758"/>
      <c r="G159" s="747">
        <v>2.0</v>
      </c>
      <c r="H159" s="758"/>
      <c r="I159" s="747"/>
      <c r="J159" s="758"/>
      <c r="K159" s="747"/>
      <c r="L159" s="758"/>
      <c r="M159" s="747"/>
      <c r="N159" s="758"/>
      <c r="O159" s="747"/>
      <c r="P159" s="758"/>
      <c r="Q159" s="742"/>
      <c r="R159" s="2"/>
      <c r="S159" s="2"/>
    </row>
    <row r="160">
      <c r="A160" s="2"/>
      <c r="B160" s="3" t="s">
        <v>837</v>
      </c>
      <c r="C160" s="740" t="s">
        <v>835</v>
      </c>
      <c r="D160" s="3" t="s">
        <v>1871</v>
      </c>
      <c r="E160" s="747">
        <v>4.0</v>
      </c>
      <c r="F160" s="758"/>
      <c r="G160" s="747">
        <v>4.0</v>
      </c>
      <c r="H160" s="759">
        <v>1.0</v>
      </c>
      <c r="I160" s="747"/>
      <c r="J160" s="758"/>
      <c r="K160" s="747"/>
      <c r="L160" s="758"/>
      <c r="M160" s="747"/>
      <c r="N160" s="758"/>
      <c r="O160" s="747"/>
      <c r="P160" s="758"/>
      <c r="Q160" s="742"/>
      <c r="R160" s="2"/>
      <c r="S160" s="2"/>
    </row>
    <row r="161">
      <c r="A161" s="2"/>
      <c r="B161" s="3" t="s">
        <v>846</v>
      </c>
      <c r="C161" s="740" t="s">
        <v>1872</v>
      </c>
      <c r="D161" s="3" t="s">
        <v>1873</v>
      </c>
      <c r="E161" s="747">
        <v>4.0</v>
      </c>
      <c r="F161" s="758"/>
      <c r="G161" s="747">
        <v>3.0</v>
      </c>
      <c r="H161" s="758"/>
      <c r="I161" s="747"/>
      <c r="J161" s="758"/>
      <c r="K161" s="747"/>
      <c r="L161" s="758"/>
      <c r="M161" s="747"/>
      <c r="N161" s="758"/>
      <c r="O161" s="747"/>
      <c r="P161" s="758"/>
      <c r="Q161" s="742"/>
      <c r="R161" s="2"/>
      <c r="S161" s="2"/>
    </row>
    <row r="162">
      <c r="A162" s="2"/>
      <c r="B162" s="3" t="s">
        <v>813</v>
      </c>
      <c r="C162" s="740" t="s">
        <v>812</v>
      </c>
      <c r="D162" s="3" t="s">
        <v>1874</v>
      </c>
      <c r="E162" s="747">
        <v>1.0</v>
      </c>
      <c r="F162" s="758"/>
      <c r="G162" s="747">
        <v>3.0</v>
      </c>
      <c r="H162" s="759">
        <v>1.0</v>
      </c>
      <c r="I162" s="747"/>
      <c r="J162" s="759"/>
      <c r="K162" s="747"/>
      <c r="L162" s="758"/>
      <c r="M162" s="747"/>
      <c r="N162" s="758"/>
      <c r="O162" s="747"/>
      <c r="P162" s="758"/>
      <c r="Q162" s="742"/>
      <c r="R162" s="2"/>
      <c r="S162" s="2"/>
    </row>
    <row r="163">
      <c r="A163" s="2"/>
      <c r="B163" s="3" t="s">
        <v>822</v>
      </c>
      <c r="C163" s="740" t="s">
        <v>820</v>
      </c>
      <c r="D163" s="3" t="s">
        <v>1875</v>
      </c>
      <c r="E163" s="751"/>
      <c r="F163" s="758"/>
      <c r="G163" s="747">
        <v>2.0</v>
      </c>
      <c r="H163" s="759">
        <v>1.0</v>
      </c>
      <c r="I163" s="747"/>
      <c r="J163" s="759"/>
      <c r="K163" s="747"/>
      <c r="L163" s="758"/>
      <c r="M163" s="747"/>
      <c r="N163" s="758"/>
      <c r="O163" s="747"/>
      <c r="P163" s="758"/>
      <c r="Q163" s="742"/>
      <c r="R163" s="2"/>
      <c r="S163" s="2"/>
    </row>
    <row r="164">
      <c r="A164" s="2"/>
      <c r="B164" s="3" t="s">
        <v>830</v>
      </c>
      <c r="C164" s="740" t="s">
        <v>829</v>
      </c>
      <c r="D164" s="3" t="s">
        <v>1876</v>
      </c>
      <c r="E164" s="747">
        <v>1.0</v>
      </c>
      <c r="F164" s="758"/>
      <c r="G164" s="747">
        <v>2.0</v>
      </c>
      <c r="H164" s="759">
        <v>2.0</v>
      </c>
      <c r="I164" s="747"/>
      <c r="J164" s="759"/>
      <c r="K164" s="747"/>
      <c r="L164" s="758"/>
      <c r="M164" s="747"/>
      <c r="N164" s="758"/>
      <c r="O164" s="747"/>
      <c r="P164" s="758"/>
      <c r="Q164" s="742"/>
      <c r="R164" s="2"/>
      <c r="S164" s="2"/>
    </row>
    <row r="165">
      <c r="A165" s="2"/>
      <c r="B165" s="3" t="s">
        <v>840</v>
      </c>
      <c r="C165" s="740" t="s">
        <v>839</v>
      </c>
      <c r="D165" s="3" t="s">
        <v>1877</v>
      </c>
      <c r="E165" s="747">
        <v>1.0</v>
      </c>
      <c r="F165" s="758"/>
      <c r="G165" s="747">
        <v>2.0</v>
      </c>
      <c r="H165" s="759">
        <v>3.0</v>
      </c>
      <c r="I165" s="747"/>
      <c r="J165" s="759"/>
      <c r="K165" s="747"/>
      <c r="L165" s="758"/>
      <c r="M165" s="747"/>
      <c r="N165" s="758"/>
      <c r="O165" s="747"/>
      <c r="P165" s="758"/>
      <c r="Q165" s="742"/>
      <c r="R165" s="2"/>
      <c r="S165" s="2"/>
    </row>
    <row r="166">
      <c r="A166" s="2"/>
      <c r="B166" s="3" t="s">
        <v>849</v>
      </c>
      <c r="C166" s="740" t="s">
        <v>848</v>
      </c>
      <c r="D166" s="3" t="s">
        <v>1878</v>
      </c>
      <c r="E166" s="751"/>
      <c r="F166" s="758"/>
      <c r="G166" s="747">
        <v>2.0</v>
      </c>
      <c r="H166" s="759">
        <v>1.0</v>
      </c>
      <c r="I166" s="747"/>
      <c r="J166" s="759"/>
      <c r="K166" s="747"/>
      <c r="L166" s="758"/>
      <c r="M166" s="747"/>
      <c r="N166" s="758"/>
      <c r="O166" s="747"/>
      <c r="P166" s="758"/>
      <c r="Q166" s="742"/>
      <c r="R166" s="2"/>
      <c r="S166" s="2"/>
    </row>
    <row r="167">
      <c r="A167" s="2"/>
      <c r="B167" s="3" t="s">
        <v>826</v>
      </c>
      <c r="C167" s="740" t="s">
        <v>825</v>
      </c>
      <c r="D167" s="3" t="s">
        <v>1879</v>
      </c>
      <c r="E167" s="747">
        <v>7.0</v>
      </c>
      <c r="F167" s="759">
        <v>1.0</v>
      </c>
      <c r="G167" s="747">
        <v>3.0</v>
      </c>
      <c r="H167" s="759">
        <v>3.0</v>
      </c>
      <c r="I167" s="747"/>
      <c r="J167" s="759"/>
      <c r="K167" s="747"/>
      <c r="L167" s="759"/>
      <c r="M167" s="747"/>
      <c r="N167" s="759"/>
      <c r="O167" s="747"/>
      <c r="P167" s="759"/>
      <c r="Q167" s="742"/>
      <c r="R167" s="2"/>
      <c r="S167" s="2"/>
    </row>
    <row r="168">
      <c r="A168" s="2"/>
      <c r="B168" s="3" t="s">
        <v>833</v>
      </c>
      <c r="C168" s="740" t="s">
        <v>832</v>
      </c>
      <c r="D168" s="3" t="s">
        <v>1880</v>
      </c>
      <c r="E168" s="747">
        <v>2.0</v>
      </c>
      <c r="F168" s="758"/>
      <c r="G168" s="747">
        <v>2.0</v>
      </c>
      <c r="H168" s="758"/>
      <c r="I168" s="747"/>
      <c r="J168" s="759"/>
      <c r="K168" s="747"/>
      <c r="L168" s="758"/>
      <c r="M168" s="747"/>
      <c r="N168" s="758"/>
      <c r="O168" s="747"/>
      <c r="P168" s="758"/>
      <c r="Q168" s="742"/>
      <c r="R168" s="2"/>
      <c r="S168" s="2"/>
    </row>
    <row r="169">
      <c r="A169" s="2"/>
      <c r="B169" s="3" t="s">
        <v>852</v>
      </c>
      <c r="C169" s="740" t="s">
        <v>851</v>
      </c>
      <c r="D169" s="3" t="s">
        <v>1881</v>
      </c>
      <c r="E169" s="747">
        <v>1.0</v>
      </c>
      <c r="F169" s="758"/>
      <c r="G169" s="747">
        <v>2.0</v>
      </c>
      <c r="H169" s="759">
        <v>1.0</v>
      </c>
      <c r="I169" s="747"/>
      <c r="J169" s="759"/>
      <c r="K169" s="747"/>
      <c r="L169" s="758"/>
      <c r="M169" s="747"/>
      <c r="N169" s="758"/>
      <c r="O169" s="747"/>
      <c r="P169" s="758"/>
      <c r="Q169" s="742"/>
      <c r="R169" s="2"/>
      <c r="S169" s="2"/>
    </row>
    <row r="170">
      <c r="A170" s="2"/>
      <c r="B170" s="3" t="s">
        <v>842</v>
      </c>
      <c r="C170" s="740" t="s">
        <v>841</v>
      </c>
      <c r="D170" s="761" t="s">
        <v>1882</v>
      </c>
      <c r="E170" s="762"/>
      <c r="F170" s="748"/>
      <c r="G170" s="747">
        <v>3.0</v>
      </c>
      <c r="H170" s="759">
        <v>2.0</v>
      </c>
      <c r="I170" s="747"/>
      <c r="J170" s="759"/>
      <c r="K170" s="747"/>
      <c r="L170" s="758"/>
      <c r="M170" s="747"/>
      <c r="N170" s="758"/>
      <c r="O170" s="747"/>
      <c r="P170" s="758"/>
      <c r="Q170" s="747"/>
      <c r="R170" s="2"/>
      <c r="S170" s="2"/>
    </row>
    <row r="171">
      <c r="A171" s="2"/>
      <c r="B171" s="2"/>
      <c r="C171" s="740"/>
      <c r="D171" s="740" t="s">
        <v>853</v>
      </c>
      <c r="E171" s="751"/>
      <c r="F171" s="721"/>
      <c r="G171" s="751"/>
      <c r="H171" s="721"/>
      <c r="I171" s="751"/>
      <c r="J171" s="721"/>
      <c r="K171" s="751"/>
      <c r="L171" s="721"/>
      <c r="M171" s="751"/>
      <c r="N171" s="721"/>
      <c r="O171" s="751"/>
      <c r="P171" s="721"/>
      <c r="Q171" s="742"/>
      <c r="R171" s="2"/>
      <c r="S171" s="2"/>
    </row>
    <row r="172">
      <c r="A172" s="2"/>
      <c r="B172" s="3" t="s">
        <v>854</v>
      </c>
      <c r="C172" s="740" t="s">
        <v>853</v>
      </c>
      <c r="D172" s="3" t="s">
        <v>1884</v>
      </c>
      <c r="E172" s="747">
        <v>1.0</v>
      </c>
      <c r="F172" s="758"/>
      <c r="G172" s="747">
        <v>2.0</v>
      </c>
      <c r="H172" s="759">
        <v>2.0</v>
      </c>
      <c r="I172" s="747"/>
      <c r="J172" s="759"/>
      <c r="K172" s="747"/>
      <c r="L172" s="758"/>
      <c r="M172" s="747"/>
      <c r="N172" s="758"/>
      <c r="O172" s="747"/>
      <c r="P172" s="758"/>
      <c r="Q172" s="742"/>
      <c r="R172" s="2"/>
      <c r="S172" s="2"/>
    </row>
    <row r="173">
      <c r="A173" s="2"/>
      <c r="B173" s="3" t="s">
        <v>876</v>
      </c>
      <c r="C173" s="740" t="s">
        <v>875</v>
      </c>
      <c r="D173" s="3" t="s">
        <v>1885</v>
      </c>
      <c r="E173" s="751"/>
      <c r="F173" s="758"/>
      <c r="G173" s="747">
        <v>1.0</v>
      </c>
      <c r="H173" s="758"/>
      <c r="I173" s="747"/>
      <c r="J173" s="758"/>
      <c r="K173" s="747"/>
      <c r="L173" s="758"/>
      <c r="M173" s="747"/>
      <c r="N173" s="758"/>
      <c r="O173" s="747"/>
      <c r="P173" s="758"/>
      <c r="Q173" s="742"/>
      <c r="R173" s="2"/>
      <c r="S173" s="2"/>
    </row>
    <row r="174">
      <c r="A174" s="2"/>
      <c r="B174" s="3" t="s">
        <v>888</v>
      </c>
      <c r="C174" s="740" t="s">
        <v>887</v>
      </c>
      <c r="D174" s="3" t="s">
        <v>1886</v>
      </c>
      <c r="E174" s="751"/>
      <c r="F174" s="758"/>
      <c r="G174" s="751"/>
      <c r="H174" s="758"/>
      <c r="I174" s="751"/>
      <c r="J174" s="758"/>
      <c r="K174" s="751"/>
      <c r="L174" s="758"/>
      <c r="M174" s="751"/>
      <c r="N174" s="758"/>
      <c r="O174" s="751"/>
      <c r="P174" s="758"/>
      <c r="Q174" s="742"/>
      <c r="R174" s="2"/>
      <c r="S174" s="2"/>
    </row>
    <row r="175">
      <c r="A175" s="2"/>
      <c r="B175" s="3" t="s">
        <v>896</v>
      </c>
      <c r="C175" s="740" t="s">
        <v>895</v>
      </c>
      <c r="D175" s="3" t="s">
        <v>1887</v>
      </c>
      <c r="E175" s="751"/>
      <c r="F175" s="758"/>
      <c r="G175" s="747">
        <v>2.0</v>
      </c>
      <c r="H175" s="759">
        <v>2.0</v>
      </c>
      <c r="I175" s="747"/>
      <c r="J175" s="759"/>
      <c r="K175" s="747"/>
      <c r="L175" s="758"/>
      <c r="M175" s="747"/>
      <c r="N175" s="758"/>
      <c r="O175" s="747"/>
      <c r="P175" s="758"/>
      <c r="Q175" s="742"/>
      <c r="R175" s="2"/>
      <c r="S175" s="2"/>
    </row>
    <row r="176">
      <c r="A176" s="2"/>
      <c r="B176" s="3" t="s">
        <v>908</v>
      </c>
      <c r="C176" s="740" t="s">
        <v>907</v>
      </c>
      <c r="D176" s="3" t="s">
        <v>1888</v>
      </c>
      <c r="E176" s="751"/>
      <c r="F176" s="758"/>
      <c r="G176" s="747">
        <v>1.0</v>
      </c>
      <c r="H176" s="758"/>
      <c r="I176" s="747"/>
      <c r="J176" s="758"/>
      <c r="K176" s="747"/>
      <c r="L176" s="758"/>
      <c r="M176" s="747"/>
      <c r="N176" s="758"/>
      <c r="O176" s="747"/>
      <c r="P176" s="758"/>
      <c r="Q176" s="742"/>
      <c r="R176" s="2"/>
      <c r="S176" s="2"/>
    </row>
    <row r="177">
      <c r="A177" s="2"/>
      <c r="B177" s="3" t="s">
        <v>862</v>
      </c>
      <c r="C177" s="740" t="s">
        <v>860</v>
      </c>
      <c r="D177" s="3" t="s">
        <v>1889</v>
      </c>
      <c r="E177" s="747">
        <v>1.0</v>
      </c>
      <c r="F177" s="758"/>
      <c r="G177" s="747">
        <v>2.0</v>
      </c>
      <c r="H177" s="759">
        <v>2.0</v>
      </c>
      <c r="I177" s="747"/>
      <c r="J177" s="759"/>
      <c r="K177" s="747"/>
      <c r="L177" s="758"/>
      <c r="M177" s="747"/>
      <c r="N177" s="758"/>
      <c r="O177" s="747"/>
      <c r="P177" s="758"/>
      <c r="Q177" s="742"/>
      <c r="R177" s="2"/>
      <c r="S177" s="2"/>
    </row>
    <row r="178">
      <c r="A178" s="2"/>
      <c r="B178" s="3" t="s">
        <v>881</v>
      </c>
      <c r="C178" s="740" t="s">
        <v>880</v>
      </c>
      <c r="D178" s="3" t="s">
        <v>1890</v>
      </c>
      <c r="E178" s="747">
        <v>4.0</v>
      </c>
      <c r="F178" s="758"/>
      <c r="G178" s="747">
        <v>5.0</v>
      </c>
      <c r="H178" s="759">
        <v>1.0</v>
      </c>
      <c r="I178" s="747"/>
      <c r="J178" s="759"/>
      <c r="K178" s="747"/>
      <c r="L178" s="759"/>
      <c r="M178" s="747"/>
      <c r="N178" s="759"/>
      <c r="O178" s="747"/>
      <c r="P178" s="759"/>
      <c r="Q178" s="742"/>
      <c r="R178" s="2"/>
      <c r="S178" s="2"/>
    </row>
    <row r="179">
      <c r="A179" s="2"/>
      <c r="B179" s="3" t="s">
        <v>890</v>
      </c>
      <c r="C179" s="740" t="s">
        <v>889</v>
      </c>
      <c r="D179" s="3" t="s">
        <v>1891</v>
      </c>
      <c r="E179" s="747">
        <v>4.0</v>
      </c>
      <c r="F179" s="759">
        <v>1.0</v>
      </c>
      <c r="G179" s="747">
        <v>4.0</v>
      </c>
      <c r="H179" s="759">
        <v>1.0</v>
      </c>
      <c r="I179" s="747"/>
      <c r="J179" s="759"/>
      <c r="K179" s="747"/>
      <c r="L179" s="759"/>
      <c r="M179" s="747"/>
      <c r="N179" s="759"/>
      <c r="O179" s="747"/>
      <c r="P179" s="759"/>
      <c r="Q179" s="742"/>
      <c r="R179" s="2"/>
      <c r="S179" s="2"/>
    </row>
    <row r="180">
      <c r="A180" s="2"/>
      <c r="B180" s="3" t="s">
        <v>899</v>
      </c>
      <c r="C180" s="740" t="s">
        <v>897</v>
      </c>
      <c r="D180" s="3" t="s">
        <v>1892</v>
      </c>
      <c r="E180" s="747">
        <v>7.0</v>
      </c>
      <c r="F180" s="759">
        <v>1.0</v>
      </c>
      <c r="G180" s="747">
        <v>7.0</v>
      </c>
      <c r="H180" s="759">
        <v>2.0</v>
      </c>
      <c r="I180" s="747"/>
      <c r="J180" s="759"/>
      <c r="K180" s="747"/>
      <c r="L180" s="759"/>
      <c r="M180" s="747"/>
      <c r="N180" s="759"/>
      <c r="O180" s="747"/>
      <c r="P180" s="759"/>
      <c r="Q180" s="742"/>
      <c r="R180" s="2"/>
      <c r="S180" s="2"/>
    </row>
    <row r="181">
      <c r="A181" s="2"/>
      <c r="B181" s="3" t="s">
        <v>911</v>
      </c>
      <c r="C181" s="740" t="s">
        <v>910</v>
      </c>
      <c r="D181" s="3" t="s">
        <v>1893</v>
      </c>
      <c r="E181" s="747">
        <v>7.0</v>
      </c>
      <c r="F181" s="759">
        <v>1.0</v>
      </c>
      <c r="G181" s="747">
        <v>5.0</v>
      </c>
      <c r="H181" s="759">
        <v>2.0</v>
      </c>
      <c r="I181" s="747"/>
      <c r="J181" s="759"/>
      <c r="K181" s="747"/>
      <c r="L181" s="759"/>
      <c r="M181" s="747"/>
      <c r="N181" s="759"/>
      <c r="O181" s="747"/>
      <c r="P181" s="759"/>
      <c r="Q181" s="742"/>
      <c r="R181" s="2"/>
      <c r="S181" s="2"/>
    </row>
    <row r="182">
      <c r="A182" s="2"/>
      <c r="B182" s="3" t="s">
        <v>884</v>
      </c>
      <c r="C182" s="740" t="s">
        <v>883</v>
      </c>
      <c r="D182" s="3" t="s">
        <v>1894</v>
      </c>
      <c r="E182" s="747">
        <v>3.0</v>
      </c>
      <c r="F182" s="759">
        <v>3.0</v>
      </c>
      <c r="G182" s="747">
        <v>4.0</v>
      </c>
      <c r="H182" s="759">
        <v>4.0</v>
      </c>
      <c r="I182" s="747"/>
      <c r="J182" s="759"/>
      <c r="K182" s="747"/>
      <c r="L182" s="759"/>
      <c r="M182" s="747"/>
      <c r="N182" s="759"/>
      <c r="O182" s="747"/>
      <c r="P182" s="759"/>
      <c r="Q182" s="742"/>
      <c r="R182" s="2"/>
      <c r="S182" s="2"/>
    </row>
    <row r="183">
      <c r="A183" s="2"/>
      <c r="B183" s="3" t="s">
        <v>892</v>
      </c>
      <c r="C183" s="740" t="s">
        <v>891</v>
      </c>
      <c r="D183" s="3" t="s">
        <v>1895</v>
      </c>
      <c r="E183" s="747">
        <v>2.0</v>
      </c>
      <c r="F183" s="759">
        <v>1.0</v>
      </c>
      <c r="G183" s="747">
        <v>3.0</v>
      </c>
      <c r="H183" s="759">
        <v>2.0</v>
      </c>
      <c r="I183" s="747"/>
      <c r="J183" s="759"/>
      <c r="K183" s="747"/>
      <c r="L183" s="759"/>
      <c r="M183" s="747"/>
      <c r="N183" s="759"/>
      <c r="O183" s="747"/>
      <c r="P183" s="759"/>
      <c r="Q183" s="742"/>
      <c r="R183" s="2"/>
      <c r="S183" s="2"/>
    </row>
    <row r="184">
      <c r="A184" s="2"/>
      <c r="B184" s="3" t="s">
        <v>913</v>
      </c>
      <c r="C184" s="740" t="s">
        <v>912</v>
      </c>
      <c r="D184" s="3" t="s">
        <v>1896</v>
      </c>
      <c r="E184" s="747">
        <v>3.0</v>
      </c>
      <c r="F184" s="759">
        <v>1.0</v>
      </c>
      <c r="G184" s="747">
        <v>3.0</v>
      </c>
      <c r="H184" s="759">
        <v>1.0</v>
      </c>
      <c r="I184" s="747"/>
      <c r="J184" s="759"/>
      <c r="K184" s="747"/>
      <c r="L184" s="759"/>
      <c r="M184" s="747"/>
      <c r="N184" s="759"/>
      <c r="O184" s="747"/>
      <c r="P184" s="759"/>
      <c r="Q184" s="742"/>
      <c r="R184" s="2"/>
      <c r="S184" s="2"/>
    </row>
    <row r="185">
      <c r="A185" s="2"/>
      <c r="B185" s="3" t="s">
        <v>867</v>
      </c>
      <c r="C185" s="740" t="s">
        <v>866</v>
      </c>
      <c r="D185" s="761" t="s">
        <v>1897</v>
      </c>
      <c r="E185" s="762"/>
      <c r="F185" s="748"/>
      <c r="G185" s="747">
        <v>2.0</v>
      </c>
      <c r="H185" s="759">
        <v>2.0</v>
      </c>
      <c r="I185" s="747"/>
      <c r="J185" s="759"/>
      <c r="K185" s="747"/>
      <c r="L185" s="758"/>
      <c r="M185" s="747"/>
      <c r="N185" s="758"/>
      <c r="O185" s="747"/>
      <c r="P185" s="758"/>
      <c r="Q185" s="747"/>
      <c r="R185" s="2"/>
      <c r="S185" s="2"/>
    </row>
    <row r="186">
      <c r="A186" s="2"/>
      <c r="B186" s="2"/>
      <c r="C186" s="740"/>
      <c r="D186" s="740" t="s">
        <v>1898</v>
      </c>
      <c r="E186" s="751"/>
      <c r="F186" s="721"/>
      <c r="G186" s="751"/>
      <c r="H186" s="721"/>
      <c r="I186" s="751"/>
      <c r="J186" s="721"/>
      <c r="K186" s="751"/>
      <c r="L186" s="721"/>
      <c r="M186" s="751"/>
      <c r="N186" s="721"/>
      <c r="O186" s="751"/>
      <c r="P186" s="721"/>
      <c r="Q186" s="742"/>
      <c r="R186" s="2"/>
      <c r="S186" s="2"/>
    </row>
    <row r="187">
      <c r="A187" s="2"/>
      <c r="B187" s="3" t="s">
        <v>767</v>
      </c>
      <c r="C187" s="740" t="s">
        <v>766</v>
      </c>
      <c r="D187" s="3" t="s">
        <v>1899</v>
      </c>
      <c r="E187" s="747">
        <v>1.0</v>
      </c>
      <c r="F187" s="758"/>
      <c r="G187" s="747">
        <v>2.0</v>
      </c>
      <c r="H187" s="758"/>
      <c r="I187" s="747"/>
      <c r="J187" s="758"/>
      <c r="K187" s="747"/>
      <c r="L187" s="758"/>
      <c r="M187" s="747"/>
      <c r="N187" s="758"/>
      <c r="O187" s="747"/>
      <c r="P187" s="758"/>
      <c r="Q187" s="742"/>
      <c r="R187" s="2"/>
      <c r="S187" s="2"/>
    </row>
    <row r="188">
      <c r="A188" s="2"/>
      <c r="B188" s="3" t="s">
        <v>779</v>
      </c>
      <c r="C188" s="740" t="s">
        <v>778</v>
      </c>
      <c r="D188" s="3" t="s">
        <v>1900</v>
      </c>
      <c r="E188" s="751"/>
      <c r="F188" s="758"/>
      <c r="G188" s="747">
        <v>1.0</v>
      </c>
      <c r="H188" s="758"/>
      <c r="I188" s="747"/>
      <c r="J188" s="758"/>
      <c r="K188" s="747"/>
      <c r="L188" s="758"/>
      <c r="M188" s="747"/>
      <c r="N188" s="758"/>
      <c r="O188" s="747"/>
      <c r="P188" s="758"/>
      <c r="Q188" s="742"/>
      <c r="R188" s="2"/>
      <c r="S188" s="2"/>
    </row>
    <row r="189">
      <c r="A189" s="2"/>
      <c r="B189" s="3" t="s">
        <v>787</v>
      </c>
      <c r="C189" s="740" t="s">
        <v>786</v>
      </c>
      <c r="D189" s="3" t="s">
        <v>1901</v>
      </c>
      <c r="E189" s="751"/>
      <c r="F189" s="758"/>
      <c r="G189" s="751"/>
      <c r="H189" s="758"/>
      <c r="I189" s="751"/>
      <c r="J189" s="758"/>
      <c r="K189" s="751"/>
      <c r="L189" s="758"/>
      <c r="M189" s="751"/>
      <c r="N189" s="758"/>
      <c r="O189" s="751"/>
      <c r="P189" s="758"/>
      <c r="Q189" s="742"/>
      <c r="R189" s="2"/>
      <c r="S189" s="2"/>
    </row>
    <row r="190">
      <c r="A190" s="2"/>
      <c r="B190" s="3" t="s">
        <v>795</v>
      </c>
      <c r="C190" s="740" t="s">
        <v>794</v>
      </c>
      <c r="D190" s="3" t="s">
        <v>1902</v>
      </c>
      <c r="E190" s="747">
        <v>2.0</v>
      </c>
      <c r="F190" s="758"/>
      <c r="G190" s="747">
        <v>2.0</v>
      </c>
      <c r="H190" s="758"/>
      <c r="I190" s="747"/>
      <c r="J190" s="758"/>
      <c r="K190" s="747"/>
      <c r="L190" s="758"/>
      <c r="M190" s="747"/>
      <c r="N190" s="758"/>
      <c r="O190" s="747"/>
      <c r="P190" s="758"/>
      <c r="Q190" s="742"/>
      <c r="R190" s="2"/>
      <c r="S190" s="2"/>
    </row>
    <row r="191">
      <c r="A191" s="2"/>
      <c r="B191" s="3" t="s">
        <v>801</v>
      </c>
      <c r="C191" s="740" t="s">
        <v>800</v>
      </c>
      <c r="D191" s="3" t="s">
        <v>1903</v>
      </c>
      <c r="E191" s="751"/>
      <c r="F191" s="758"/>
      <c r="G191" s="747"/>
      <c r="H191" s="758"/>
      <c r="I191" s="747"/>
      <c r="J191" s="759"/>
      <c r="K191" s="747"/>
      <c r="L191" s="758"/>
      <c r="M191" s="747"/>
      <c r="N191" s="758"/>
      <c r="O191" s="747"/>
      <c r="P191" s="758"/>
      <c r="Q191" s="742"/>
      <c r="R191" s="2"/>
      <c r="S191" s="2"/>
    </row>
    <row r="192">
      <c r="A192" s="2"/>
      <c r="B192" s="3" t="s">
        <v>770</v>
      </c>
      <c r="C192" s="740" t="s">
        <v>768</v>
      </c>
      <c r="D192" s="3" t="s">
        <v>1904</v>
      </c>
      <c r="E192" s="747">
        <v>4.0</v>
      </c>
      <c r="F192" s="758"/>
      <c r="G192" s="747">
        <v>4.0</v>
      </c>
      <c r="H192" s="759">
        <v>2.0</v>
      </c>
      <c r="I192" s="747"/>
      <c r="J192" s="759"/>
      <c r="K192" s="747"/>
      <c r="L192" s="759"/>
      <c r="M192" s="747"/>
      <c r="N192" s="759"/>
      <c r="O192" s="747"/>
      <c r="P192" s="759"/>
      <c r="Q192" s="742"/>
      <c r="R192" s="2"/>
      <c r="S192" s="2"/>
    </row>
    <row r="193">
      <c r="A193" s="2"/>
      <c r="B193" s="3" t="s">
        <v>782</v>
      </c>
      <c r="C193" s="740" t="s">
        <v>781</v>
      </c>
      <c r="D193" s="3" t="s">
        <v>1905</v>
      </c>
      <c r="E193" s="747">
        <v>4.0</v>
      </c>
      <c r="F193" s="759">
        <v>1.0</v>
      </c>
      <c r="G193" s="747">
        <v>4.0</v>
      </c>
      <c r="H193" s="759">
        <v>1.0</v>
      </c>
      <c r="I193" s="747"/>
      <c r="J193" s="759"/>
      <c r="K193" s="747"/>
      <c r="L193" s="759"/>
      <c r="M193" s="747"/>
      <c r="N193" s="759"/>
      <c r="O193" s="747"/>
      <c r="P193" s="759"/>
      <c r="Q193" s="742"/>
      <c r="R193" s="2"/>
      <c r="S193" s="2"/>
    </row>
    <row r="194">
      <c r="A194" s="2"/>
      <c r="B194" s="3" t="s">
        <v>790</v>
      </c>
      <c r="C194" s="740" t="s">
        <v>789</v>
      </c>
      <c r="D194" s="3" t="s">
        <v>1906</v>
      </c>
      <c r="E194" s="751"/>
      <c r="F194" s="758"/>
      <c r="G194" s="747">
        <v>1.0</v>
      </c>
      <c r="H194" s="758"/>
      <c r="I194" s="747"/>
      <c r="J194" s="758"/>
      <c r="K194" s="747"/>
      <c r="L194" s="758"/>
      <c r="M194" s="747"/>
      <c r="N194" s="758"/>
      <c r="O194" s="747"/>
      <c r="P194" s="758"/>
      <c r="Q194" s="742"/>
      <c r="R194" s="2"/>
      <c r="S194" s="2"/>
    </row>
    <row r="195">
      <c r="A195" s="2"/>
      <c r="B195" s="3" t="s">
        <v>797</v>
      </c>
      <c r="C195" s="740" t="s">
        <v>796</v>
      </c>
      <c r="D195" s="3" t="s">
        <v>1907</v>
      </c>
      <c r="E195" s="747">
        <v>3.0</v>
      </c>
      <c r="F195" s="759">
        <v>1.0</v>
      </c>
      <c r="G195" s="747">
        <v>5.0</v>
      </c>
      <c r="H195" s="759">
        <v>3.0</v>
      </c>
      <c r="I195" s="747"/>
      <c r="J195" s="759"/>
      <c r="K195" s="747"/>
      <c r="L195" s="759"/>
      <c r="M195" s="747"/>
      <c r="N195" s="759"/>
      <c r="O195" s="747"/>
      <c r="P195" s="759"/>
      <c r="Q195" s="742"/>
      <c r="R195" s="2"/>
      <c r="S195" s="2"/>
    </row>
    <row r="196">
      <c r="A196" s="2"/>
      <c r="B196" s="3" t="s">
        <v>805</v>
      </c>
      <c r="C196" s="740" t="s">
        <v>804</v>
      </c>
      <c r="D196" s="3" t="s">
        <v>1908</v>
      </c>
      <c r="E196" s="747">
        <v>7.0</v>
      </c>
      <c r="F196" s="759">
        <v>1.0</v>
      </c>
      <c r="G196" s="747">
        <v>7.0</v>
      </c>
      <c r="H196" s="759">
        <v>2.0</v>
      </c>
      <c r="I196" s="747"/>
      <c r="J196" s="759"/>
      <c r="K196" s="747"/>
      <c r="L196" s="759"/>
      <c r="M196" s="747"/>
      <c r="N196" s="759"/>
      <c r="O196" s="747"/>
      <c r="P196" s="759"/>
      <c r="Q196" s="742"/>
      <c r="R196" s="2"/>
      <c r="S196" s="2"/>
    </row>
    <row r="197">
      <c r="A197" s="2"/>
      <c r="B197" s="3" t="s">
        <v>776</v>
      </c>
      <c r="C197" s="740" t="s">
        <v>773</v>
      </c>
      <c r="D197" s="3" t="s">
        <v>1909</v>
      </c>
      <c r="E197" s="747">
        <v>9.0</v>
      </c>
      <c r="F197" s="759">
        <v>3.0</v>
      </c>
      <c r="G197" s="747">
        <v>9.0</v>
      </c>
      <c r="H197" s="759">
        <v>3.0</v>
      </c>
      <c r="I197" s="747"/>
      <c r="J197" s="759"/>
      <c r="K197" s="747"/>
      <c r="L197" s="759"/>
      <c r="M197" s="747"/>
      <c r="N197" s="759"/>
      <c r="O197" s="747"/>
      <c r="P197" s="759"/>
      <c r="Q197" s="742"/>
      <c r="R197" s="2"/>
      <c r="S197" s="2"/>
    </row>
    <row r="198">
      <c r="A198" s="2"/>
      <c r="B198" s="3" t="s">
        <v>784</v>
      </c>
      <c r="C198" s="740" t="s">
        <v>783</v>
      </c>
      <c r="D198" s="3" t="s">
        <v>1910</v>
      </c>
      <c r="E198" s="747">
        <v>2.0</v>
      </c>
      <c r="F198" s="758"/>
      <c r="G198" s="747">
        <v>2.0</v>
      </c>
      <c r="H198" s="759">
        <v>3.0</v>
      </c>
      <c r="I198" s="747"/>
      <c r="J198" s="759"/>
      <c r="K198" s="747"/>
      <c r="L198" s="758"/>
      <c r="M198" s="747"/>
      <c r="N198" s="758"/>
      <c r="O198" s="747"/>
      <c r="P198" s="758"/>
      <c r="Q198" s="742"/>
      <c r="R198" s="2"/>
      <c r="S198" s="2"/>
    </row>
    <row r="199">
      <c r="A199" s="2"/>
      <c r="B199" s="3" t="s">
        <v>793</v>
      </c>
      <c r="C199" s="740" t="s">
        <v>792</v>
      </c>
      <c r="D199" s="3" t="s">
        <v>1911</v>
      </c>
      <c r="E199" s="747">
        <v>4.0</v>
      </c>
      <c r="F199" s="758"/>
      <c r="G199" s="747">
        <v>4.0</v>
      </c>
      <c r="H199" s="759">
        <v>2.0</v>
      </c>
      <c r="I199" s="747"/>
      <c r="J199" s="759"/>
      <c r="K199" s="747"/>
      <c r="L199" s="759"/>
      <c r="M199" s="747"/>
      <c r="N199" s="759"/>
      <c r="O199" s="747"/>
      <c r="P199" s="759"/>
      <c r="Q199" s="742"/>
      <c r="R199" s="2"/>
      <c r="S199" s="2"/>
    </row>
    <row r="200">
      <c r="A200" s="2"/>
      <c r="B200" s="2"/>
      <c r="C200" s="740"/>
      <c r="D200" s="740" t="s">
        <v>1912</v>
      </c>
      <c r="E200" s="751"/>
      <c r="F200" s="721"/>
      <c r="G200" s="751"/>
      <c r="H200" s="721"/>
      <c r="I200" s="751"/>
      <c r="J200" s="721"/>
      <c r="K200" s="751"/>
      <c r="L200" s="721"/>
      <c r="M200" s="751"/>
      <c r="N200" s="721"/>
      <c r="O200" s="751"/>
      <c r="P200" s="721"/>
      <c r="Q200" s="742"/>
      <c r="R200" s="2"/>
      <c r="S200" s="2"/>
    </row>
    <row r="201">
      <c r="A201" s="2"/>
      <c r="B201" s="2"/>
      <c r="C201" s="740"/>
      <c r="D201" s="740" t="s">
        <v>181</v>
      </c>
      <c r="E201" s="751"/>
      <c r="F201" s="721"/>
      <c r="G201" s="751"/>
      <c r="H201" s="721"/>
      <c r="I201" s="751"/>
      <c r="J201" s="721"/>
      <c r="K201" s="751"/>
      <c r="L201" s="721"/>
      <c r="M201" s="751"/>
      <c r="N201" s="721"/>
      <c r="O201" s="751"/>
      <c r="P201" s="721"/>
      <c r="Q201" s="742"/>
      <c r="R201" s="2"/>
      <c r="S201" s="2"/>
    </row>
    <row r="202">
      <c r="A202" s="2"/>
      <c r="B202" s="3" t="s">
        <v>88</v>
      </c>
      <c r="C202" s="740" t="s">
        <v>87</v>
      </c>
      <c r="D202" s="3" t="s">
        <v>1310</v>
      </c>
      <c r="E202" s="751"/>
      <c r="F202" s="758"/>
      <c r="G202" s="751"/>
      <c r="H202" s="758"/>
      <c r="I202" s="751"/>
      <c r="J202" s="758"/>
      <c r="K202" s="751"/>
      <c r="L202" s="758"/>
      <c r="M202" s="751"/>
      <c r="N202" s="758"/>
      <c r="O202" s="751"/>
      <c r="P202" s="758"/>
      <c r="Q202" s="742"/>
      <c r="R202" s="2"/>
      <c r="S202" s="2"/>
    </row>
    <row r="203">
      <c r="A203" s="2"/>
      <c r="B203" s="3" t="s">
        <v>175</v>
      </c>
      <c r="C203" s="740" t="s">
        <v>181</v>
      </c>
      <c r="D203" s="3" t="s">
        <v>1658</v>
      </c>
      <c r="E203" s="751"/>
      <c r="F203" s="758"/>
      <c r="G203" s="751"/>
      <c r="H203" s="758"/>
      <c r="I203" s="751"/>
      <c r="J203" s="758"/>
      <c r="K203" s="751"/>
      <c r="L203" s="758"/>
      <c r="M203" s="751"/>
      <c r="N203" s="758"/>
      <c r="O203" s="751"/>
      <c r="P203" s="758"/>
      <c r="Q203" s="742"/>
      <c r="R203" s="2"/>
      <c r="S203" s="2"/>
    </row>
    <row r="204">
      <c r="A204" s="2"/>
      <c r="B204" s="3" t="s">
        <v>218</v>
      </c>
      <c r="C204" s="740" t="s">
        <v>215</v>
      </c>
      <c r="D204" s="3" t="s">
        <v>1662</v>
      </c>
      <c r="E204" s="751"/>
      <c r="F204" s="758"/>
      <c r="G204" s="751"/>
      <c r="H204" s="758"/>
      <c r="I204" s="751"/>
      <c r="J204" s="758"/>
      <c r="K204" s="751"/>
      <c r="L204" s="758"/>
      <c r="M204" s="751"/>
      <c r="N204" s="758"/>
      <c r="O204" s="751"/>
      <c r="P204" s="758"/>
      <c r="Q204" s="742"/>
      <c r="R204" s="2"/>
      <c r="S204" s="2"/>
    </row>
    <row r="205">
      <c r="A205" s="2"/>
      <c r="B205" s="3" t="s">
        <v>233</v>
      </c>
      <c r="C205" s="740" t="s">
        <v>232</v>
      </c>
      <c r="D205" s="3" t="s">
        <v>1665</v>
      </c>
      <c r="E205" s="751"/>
      <c r="F205" s="758"/>
      <c r="G205" s="751"/>
      <c r="H205" s="758"/>
      <c r="I205" s="751"/>
      <c r="J205" s="758"/>
      <c r="K205" s="751"/>
      <c r="L205" s="758"/>
      <c r="M205" s="751"/>
      <c r="N205" s="758"/>
      <c r="O205" s="751"/>
      <c r="P205" s="758"/>
      <c r="Q205" s="742"/>
      <c r="R205" s="2"/>
      <c r="S205" s="2"/>
    </row>
    <row r="206">
      <c r="A206" s="2"/>
      <c r="B206" s="3" t="s">
        <v>240</v>
      </c>
      <c r="C206" s="740" t="s">
        <v>239</v>
      </c>
      <c r="D206" s="3" t="s">
        <v>1667</v>
      </c>
      <c r="E206" s="751"/>
      <c r="F206" s="758"/>
      <c r="G206" s="751"/>
      <c r="H206" s="758"/>
      <c r="I206" s="751"/>
      <c r="J206" s="758"/>
      <c r="K206" s="751"/>
      <c r="L206" s="758"/>
      <c r="M206" s="751"/>
      <c r="N206" s="758"/>
      <c r="O206" s="751"/>
      <c r="P206" s="758"/>
      <c r="Q206" s="742"/>
      <c r="R206" s="2"/>
      <c r="S206" s="2"/>
    </row>
    <row r="207">
      <c r="A207" s="2"/>
      <c r="B207" s="3" t="s">
        <v>270</v>
      </c>
      <c r="C207" s="740" t="s">
        <v>268</v>
      </c>
      <c r="D207" s="3" t="s">
        <v>1684</v>
      </c>
      <c r="E207" s="751"/>
      <c r="F207" s="758"/>
      <c r="G207" s="751"/>
      <c r="H207" s="758"/>
      <c r="I207" s="751"/>
      <c r="J207" s="758"/>
      <c r="K207" s="751"/>
      <c r="L207" s="758"/>
      <c r="M207" s="751"/>
      <c r="N207" s="758"/>
      <c r="O207" s="751"/>
      <c r="P207" s="758"/>
      <c r="Q207" s="742"/>
      <c r="R207" s="2"/>
      <c r="S207" s="2"/>
    </row>
    <row r="208">
      <c r="A208" s="2"/>
      <c r="B208" s="3" t="s">
        <v>297</v>
      </c>
      <c r="C208" s="740" t="s">
        <v>296</v>
      </c>
      <c r="D208" s="3" t="s">
        <v>1686</v>
      </c>
      <c r="E208" s="751"/>
      <c r="F208" s="758"/>
      <c r="G208" s="751"/>
      <c r="H208" s="758"/>
      <c r="I208" s="751"/>
      <c r="J208" s="758"/>
      <c r="K208" s="751"/>
      <c r="L208" s="758"/>
      <c r="M208" s="751"/>
      <c r="N208" s="758"/>
      <c r="O208" s="751"/>
      <c r="P208" s="758"/>
      <c r="Q208" s="742"/>
      <c r="R208" s="2"/>
      <c r="S208" s="2"/>
    </row>
    <row r="209">
      <c r="A209" s="2"/>
      <c r="B209" s="3" t="s">
        <v>325</v>
      </c>
      <c r="C209" s="740" t="s">
        <v>323</v>
      </c>
      <c r="D209" s="3" t="s">
        <v>1687</v>
      </c>
      <c r="E209" s="751"/>
      <c r="F209" s="758"/>
      <c r="G209" s="751"/>
      <c r="H209" s="758"/>
      <c r="I209" s="751"/>
      <c r="J209" s="758"/>
      <c r="K209" s="751"/>
      <c r="L209" s="758"/>
      <c r="M209" s="751"/>
      <c r="N209" s="758"/>
      <c r="O209" s="751"/>
      <c r="P209" s="758"/>
      <c r="Q209" s="742"/>
      <c r="R209" s="2"/>
      <c r="S209" s="2"/>
    </row>
    <row r="210">
      <c r="A210" s="2"/>
      <c r="B210" s="3" t="s">
        <v>1914</v>
      </c>
      <c r="C210" s="740" t="s">
        <v>360</v>
      </c>
      <c r="D210" s="3" t="s">
        <v>1688</v>
      </c>
      <c r="E210" s="751"/>
      <c r="F210" s="758"/>
      <c r="G210" s="751"/>
      <c r="H210" s="758"/>
      <c r="I210" s="751"/>
      <c r="J210" s="758"/>
      <c r="K210" s="751"/>
      <c r="L210" s="758"/>
      <c r="M210" s="751"/>
      <c r="N210" s="758"/>
      <c r="O210" s="751"/>
      <c r="P210" s="758"/>
      <c r="Q210" s="742"/>
      <c r="R210" s="2"/>
      <c r="S210" s="2"/>
    </row>
    <row r="211">
      <c r="A211" s="2"/>
      <c r="B211" s="3" t="s">
        <v>383</v>
      </c>
      <c r="C211" s="740" t="s">
        <v>380</v>
      </c>
      <c r="D211" s="3" t="s">
        <v>1689</v>
      </c>
      <c r="E211" s="751"/>
      <c r="F211" s="758"/>
      <c r="G211" s="751"/>
      <c r="H211" s="758"/>
      <c r="I211" s="751"/>
      <c r="J211" s="758"/>
      <c r="K211" s="751"/>
      <c r="L211" s="758"/>
      <c r="M211" s="751"/>
      <c r="N211" s="758"/>
      <c r="O211" s="751"/>
      <c r="P211" s="758"/>
      <c r="Q211" s="742"/>
      <c r="R211" s="2"/>
      <c r="S211" s="2"/>
    </row>
    <row r="212">
      <c r="A212" s="2"/>
      <c r="B212" s="3" t="s">
        <v>119</v>
      </c>
      <c r="C212" s="740" t="s">
        <v>118</v>
      </c>
      <c r="D212" s="3" t="s">
        <v>1669</v>
      </c>
      <c r="E212" s="751"/>
      <c r="F212" s="758"/>
      <c r="G212" s="751"/>
      <c r="H212" s="758"/>
      <c r="I212" s="751"/>
      <c r="J212" s="758"/>
      <c r="K212" s="751"/>
      <c r="L212" s="758"/>
      <c r="M212" s="751"/>
      <c r="N212" s="758"/>
      <c r="O212" s="751"/>
      <c r="P212" s="758"/>
      <c r="Q212" s="742"/>
      <c r="R212" s="2"/>
      <c r="S212" s="2"/>
    </row>
    <row r="213">
      <c r="A213" s="2"/>
      <c r="B213" s="3" t="s">
        <v>193</v>
      </c>
      <c r="C213" s="740" t="s">
        <v>190</v>
      </c>
      <c r="D213" s="3" t="s">
        <v>1671</v>
      </c>
      <c r="E213" s="751"/>
      <c r="F213" s="748"/>
      <c r="G213" s="747">
        <v>2.0</v>
      </c>
      <c r="H213" s="748"/>
      <c r="I213" s="751"/>
      <c r="J213" s="748"/>
      <c r="K213" s="751"/>
      <c r="L213" s="748"/>
      <c r="M213" s="751"/>
      <c r="N213" s="748"/>
      <c r="O213" s="751"/>
      <c r="P213" s="748"/>
      <c r="Q213" s="742"/>
      <c r="R213" s="2"/>
      <c r="S213" s="2"/>
    </row>
    <row r="214">
      <c r="A214" s="2"/>
      <c r="B214" s="3" t="s">
        <v>227</v>
      </c>
      <c r="C214" s="740" t="s">
        <v>226</v>
      </c>
      <c r="D214" s="3" t="s">
        <v>1672</v>
      </c>
      <c r="E214" s="751"/>
      <c r="F214" s="758"/>
      <c r="G214" s="747">
        <v>2.0</v>
      </c>
      <c r="H214" s="759">
        <v>2.0</v>
      </c>
      <c r="I214" s="747"/>
      <c r="J214" s="758"/>
      <c r="K214" s="747"/>
      <c r="L214" s="758"/>
      <c r="M214" s="747"/>
      <c r="N214" s="758"/>
      <c r="O214" s="747"/>
      <c r="P214" s="758"/>
      <c r="Q214" s="742"/>
      <c r="R214" s="2"/>
      <c r="S214" s="2"/>
    </row>
    <row r="215">
      <c r="A215" s="2"/>
      <c r="B215" s="3" t="s">
        <v>235</v>
      </c>
      <c r="C215" s="740" t="s">
        <v>234</v>
      </c>
      <c r="D215" s="3" t="s">
        <v>1673</v>
      </c>
      <c r="E215" s="747">
        <v>2.0</v>
      </c>
      <c r="F215" s="758"/>
      <c r="G215" s="747"/>
      <c r="H215" s="758"/>
      <c r="I215" s="747"/>
      <c r="J215" s="758"/>
      <c r="K215" s="747"/>
      <c r="L215" s="758"/>
      <c r="M215" s="747"/>
      <c r="N215" s="758"/>
      <c r="O215" s="747"/>
      <c r="P215" s="758"/>
      <c r="Q215" s="742"/>
      <c r="R215" s="2"/>
      <c r="S215" s="2"/>
    </row>
    <row r="216">
      <c r="A216" s="2"/>
      <c r="B216" s="3" t="s">
        <v>251</v>
      </c>
      <c r="C216" s="740" t="s">
        <v>250</v>
      </c>
      <c r="D216" s="3" t="s">
        <v>1674</v>
      </c>
      <c r="E216" s="751"/>
      <c r="F216" s="758"/>
      <c r="G216" s="751"/>
      <c r="H216" s="758"/>
      <c r="I216" s="751"/>
      <c r="J216" s="758"/>
      <c r="K216" s="751"/>
      <c r="L216" s="758"/>
      <c r="M216" s="751"/>
      <c r="N216" s="758"/>
      <c r="O216" s="751"/>
      <c r="P216" s="758"/>
      <c r="Q216" s="742"/>
      <c r="R216" s="2"/>
      <c r="S216" s="2"/>
    </row>
    <row r="217">
      <c r="A217" s="2"/>
      <c r="B217" s="3" t="s">
        <v>277</v>
      </c>
      <c r="C217" s="740" t="s">
        <v>275</v>
      </c>
      <c r="D217" s="3" t="s">
        <v>1691</v>
      </c>
      <c r="E217" s="751"/>
      <c r="F217" s="758"/>
      <c r="G217" s="747">
        <v>2.0</v>
      </c>
      <c r="H217" s="759">
        <v>2.0</v>
      </c>
      <c r="I217" s="751"/>
      <c r="J217" s="758"/>
      <c r="K217" s="751"/>
      <c r="L217" s="758"/>
      <c r="M217" s="751"/>
      <c r="N217" s="758"/>
      <c r="O217" s="751"/>
      <c r="P217" s="758"/>
      <c r="Q217" s="742"/>
      <c r="R217" s="2"/>
      <c r="S217" s="2"/>
    </row>
    <row r="218">
      <c r="A218" s="2"/>
      <c r="B218" s="3" t="s">
        <v>301</v>
      </c>
      <c r="C218" s="740" t="s">
        <v>300</v>
      </c>
      <c r="D218" s="3" t="s">
        <v>1692</v>
      </c>
      <c r="E218" s="751"/>
      <c r="F218" s="758"/>
      <c r="G218" s="747">
        <v>1.0</v>
      </c>
      <c r="H218" s="759">
        <v>1.0</v>
      </c>
      <c r="I218" s="747"/>
      <c r="J218" s="758"/>
      <c r="K218" s="747"/>
      <c r="L218" s="758"/>
      <c r="M218" s="747"/>
      <c r="N218" s="758"/>
      <c r="O218" s="747"/>
      <c r="P218" s="758"/>
      <c r="Q218" s="742"/>
      <c r="R218" s="2"/>
      <c r="S218" s="2"/>
    </row>
    <row r="219">
      <c r="A219" s="2"/>
      <c r="B219" s="3" t="s">
        <v>340</v>
      </c>
      <c r="C219" s="740" t="s">
        <v>338</v>
      </c>
      <c r="D219" s="3" t="s">
        <v>1702</v>
      </c>
      <c r="E219" s="751"/>
      <c r="F219" s="758"/>
      <c r="G219" s="751"/>
      <c r="H219" s="758"/>
      <c r="I219" s="751"/>
      <c r="J219" s="758"/>
      <c r="K219" s="751"/>
      <c r="L219" s="758"/>
      <c r="M219" s="751"/>
      <c r="N219" s="758"/>
      <c r="O219" s="751"/>
      <c r="P219" s="758"/>
      <c r="Q219" s="742"/>
      <c r="R219" s="2"/>
      <c r="S219" s="2"/>
    </row>
    <row r="220">
      <c r="A220" s="2"/>
      <c r="B220" s="3" t="s">
        <v>369</v>
      </c>
      <c r="C220" s="740" t="s">
        <v>368</v>
      </c>
      <c r="D220" s="3" t="s">
        <v>1751</v>
      </c>
      <c r="E220" s="751"/>
      <c r="F220" s="758"/>
      <c r="G220" s="747">
        <v>2.0</v>
      </c>
      <c r="H220" s="759">
        <v>2.0</v>
      </c>
      <c r="I220" s="747"/>
      <c r="J220" s="758"/>
      <c r="K220" s="747"/>
      <c r="L220" s="758"/>
      <c r="M220" s="747"/>
      <c r="N220" s="758"/>
      <c r="O220" s="747"/>
      <c r="P220" s="758"/>
      <c r="Q220" s="742"/>
      <c r="R220" s="2"/>
      <c r="S220" s="2"/>
    </row>
    <row r="221">
      <c r="A221" s="2"/>
      <c r="B221" s="3" t="s">
        <v>397</v>
      </c>
      <c r="C221" s="740" t="s">
        <v>396</v>
      </c>
      <c r="D221" s="3" t="s">
        <v>1792</v>
      </c>
      <c r="E221" s="747">
        <v>1.0</v>
      </c>
      <c r="F221" s="758"/>
      <c r="G221" s="747">
        <v>1.0</v>
      </c>
      <c r="H221" s="759">
        <v>1.0</v>
      </c>
      <c r="I221" s="747"/>
      <c r="J221" s="758"/>
      <c r="K221" s="747"/>
      <c r="L221" s="758"/>
      <c r="M221" s="747"/>
      <c r="N221" s="758"/>
      <c r="O221" s="747"/>
      <c r="P221" s="758"/>
      <c r="Q221" s="742"/>
      <c r="R221" s="2"/>
      <c r="S221" s="2"/>
    </row>
    <row r="222">
      <c r="A222" s="2"/>
      <c r="B222" s="3" t="s">
        <v>144</v>
      </c>
      <c r="C222" s="740" t="s">
        <v>141</v>
      </c>
      <c r="D222" s="3" t="s">
        <v>1675</v>
      </c>
      <c r="E222" s="751"/>
      <c r="F222" s="758"/>
      <c r="G222" s="747">
        <v>1.0</v>
      </c>
      <c r="H222" s="759">
        <v>2.0</v>
      </c>
      <c r="I222" s="751"/>
      <c r="J222" s="758"/>
      <c r="K222" s="751"/>
      <c r="L222" s="758"/>
      <c r="M222" s="751"/>
      <c r="N222" s="758"/>
      <c r="O222" s="751"/>
      <c r="P222" s="758"/>
      <c r="Q222" s="742"/>
      <c r="R222" s="2"/>
      <c r="S222" s="2"/>
    </row>
    <row r="223">
      <c r="A223" s="2"/>
      <c r="B223" s="3" t="s">
        <v>231</v>
      </c>
      <c r="C223" s="740" t="s">
        <v>230</v>
      </c>
      <c r="D223" s="3" t="s">
        <v>1679</v>
      </c>
      <c r="E223" s="747">
        <v>1.0</v>
      </c>
      <c r="F223" s="759">
        <v>1.0</v>
      </c>
      <c r="G223" s="747"/>
      <c r="H223" s="759">
        <v>1.0</v>
      </c>
      <c r="I223" s="747"/>
      <c r="J223" s="759"/>
      <c r="K223" s="747"/>
      <c r="L223" s="759"/>
      <c r="M223" s="747"/>
      <c r="N223" s="759"/>
      <c r="O223" s="747"/>
      <c r="P223" s="759"/>
      <c r="Q223" s="742"/>
      <c r="R223" s="2"/>
      <c r="S223" s="2"/>
    </row>
    <row r="224">
      <c r="A224" s="2"/>
      <c r="B224" s="3" t="s">
        <v>237</v>
      </c>
      <c r="C224" s="740" t="s">
        <v>236</v>
      </c>
      <c r="D224" s="3" t="s">
        <v>1680</v>
      </c>
      <c r="E224" s="747">
        <v>1.0</v>
      </c>
      <c r="F224" s="758"/>
      <c r="G224" s="747">
        <v>1.0</v>
      </c>
      <c r="H224" s="759">
        <v>1.0</v>
      </c>
      <c r="I224" s="747"/>
      <c r="J224" s="759"/>
      <c r="K224" s="747"/>
      <c r="L224" s="758"/>
      <c r="M224" s="747"/>
      <c r="N224" s="758"/>
      <c r="O224" s="747"/>
      <c r="P224" s="758"/>
      <c r="Q224" s="742"/>
      <c r="R224" s="2"/>
      <c r="S224" s="2"/>
    </row>
    <row r="225">
      <c r="A225" s="2"/>
      <c r="B225" s="3" t="s">
        <v>255</v>
      </c>
      <c r="C225" s="740" t="s">
        <v>254</v>
      </c>
      <c r="D225" s="3" t="s">
        <v>1682</v>
      </c>
      <c r="E225" s="747">
        <v>7.0</v>
      </c>
      <c r="F225" s="759">
        <v>2.0</v>
      </c>
      <c r="G225" s="747">
        <v>4.0</v>
      </c>
      <c r="H225" s="759">
        <v>7.0</v>
      </c>
      <c r="I225" s="747"/>
      <c r="J225" s="759"/>
      <c r="K225" s="747"/>
      <c r="L225" s="759"/>
      <c r="M225" s="747"/>
      <c r="N225" s="759"/>
      <c r="O225" s="747"/>
      <c r="P225" s="759"/>
      <c r="Q225" s="742"/>
      <c r="R225" s="2"/>
      <c r="S225" s="2"/>
    </row>
    <row r="226">
      <c r="A226" s="2"/>
      <c r="B226" s="3" t="s">
        <v>308</v>
      </c>
      <c r="C226" s="740" t="s">
        <v>1916</v>
      </c>
      <c r="D226" s="3" t="s">
        <v>1883</v>
      </c>
      <c r="E226" s="757"/>
      <c r="F226" s="758"/>
      <c r="G226" s="757"/>
      <c r="H226" s="758"/>
      <c r="I226" s="757"/>
      <c r="J226" s="758"/>
      <c r="K226" s="757"/>
      <c r="L226" s="758"/>
      <c r="M226" s="757"/>
      <c r="N226" s="758"/>
      <c r="O226" s="757"/>
      <c r="P226" s="758"/>
      <c r="Q226" s="742"/>
      <c r="R226" s="2"/>
      <c r="S226" s="2"/>
    </row>
    <row r="227">
      <c r="A227" s="2"/>
      <c r="B227" s="3" t="s">
        <v>352</v>
      </c>
      <c r="C227" s="740" t="s">
        <v>351</v>
      </c>
      <c r="D227" s="3" t="s">
        <v>1915</v>
      </c>
      <c r="E227" s="747">
        <v>1.0</v>
      </c>
      <c r="F227" s="758"/>
      <c r="G227" s="747">
        <v>2.0</v>
      </c>
      <c r="H227" s="759">
        <v>2.0</v>
      </c>
      <c r="I227" s="747"/>
      <c r="J227" s="759"/>
      <c r="K227" s="747"/>
      <c r="L227" s="758"/>
      <c r="M227" s="747"/>
      <c r="N227" s="758"/>
      <c r="O227" s="747"/>
      <c r="P227" s="758"/>
      <c r="Q227" s="742"/>
      <c r="R227" s="2"/>
      <c r="S227" s="2"/>
    </row>
    <row r="228">
      <c r="A228" s="2"/>
      <c r="B228" s="3" t="s">
        <v>373</v>
      </c>
      <c r="C228" s="740" t="s">
        <v>372</v>
      </c>
      <c r="D228" s="3" t="s">
        <v>1917</v>
      </c>
      <c r="E228" s="747">
        <v>1.0</v>
      </c>
      <c r="F228" s="758"/>
      <c r="G228" s="747">
        <v>2.0</v>
      </c>
      <c r="H228" s="759">
        <v>2.0</v>
      </c>
      <c r="I228" s="747"/>
      <c r="J228" s="758"/>
      <c r="K228" s="747"/>
      <c r="L228" s="758"/>
      <c r="M228" s="747"/>
      <c r="N228" s="758"/>
      <c r="O228" s="747"/>
      <c r="P228" s="758"/>
      <c r="Q228" s="742"/>
      <c r="R228" s="2"/>
      <c r="S228" s="2"/>
    </row>
    <row r="229">
      <c r="A229" s="2"/>
      <c r="B229" s="3" t="s">
        <v>415</v>
      </c>
      <c r="C229" s="740" t="s">
        <v>414</v>
      </c>
      <c r="D229" s="3" t="s">
        <v>1918</v>
      </c>
      <c r="E229" s="747">
        <v>3.0</v>
      </c>
      <c r="F229" s="759">
        <v>1.0</v>
      </c>
      <c r="G229" s="747">
        <v>3.0</v>
      </c>
      <c r="H229" s="759">
        <v>3.0</v>
      </c>
      <c r="I229" s="747"/>
      <c r="J229" s="759"/>
      <c r="K229" s="747"/>
      <c r="L229" s="759"/>
      <c r="M229" s="747"/>
      <c r="N229" s="759"/>
      <c r="O229" s="747"/>
      <c r="P229" s="759"/>
      <c r="Q229" s="742"/>
      <c r="R229" s="2"/>
      <c r="S229" s="2"/>
    </row>
    <row r="230">
      <c r="A230" s="2"/>
      <c r="B230" s="2"/>
      <c r="C230" s="740"/>
      <c r="D230" s="740" t="s">
        <v>461</v>
      </c>
      <c r="E230" s="751"/>
      <c r="F230" s="721"/>
      <c r="G230" s="751"/>
      <c r="H230" s="721"/>
      <c r="I230" s="751"/>
      <c r="J230" s="721"/>
      <c r="K230" s="751"/>
      <c r="L230" s="721"/>
      <c r="M230" s="751"/>
      <c r="N230" s="721"/>
      <c r="O230" s="751"/>
      <c r="P230" s="721"/>
      <c r="Q230" s="742"/>
      <c r="R230" s="2"/>
      <c r="S230" s="2"/>
    </row>
    <row r="231">
      <c r="A231" s="2"/>
      <c r="B231" s="3" t="s">
        <v>423</v>
      </c>
      <c r="C231" s="740" t="s">
        <v>422</v>
      </c>
      <c r="D231" s="3" t="s">
        <v>1919</v>
      </c>
      <c r="E231" s="751"/>
      <c r="F231" s="758"/>
      <c r="G231" s="751"/>
      <c r="H231" s="758"/>
      <c r="I231" s="751"/>
      <c r="J231" s="758"/>
      <c r="K231" s="751"/>
      <c r="L231" s="758"/>
      <c r="M231" s="751"/>
      <c r="N231" s="758"/>
      <c r="O231" s="751"/>
      <c r="P231" s="758"/>
      <c r="Q231" s="742"/>
      <c r="R231" s="2"/>
      <c r="S231" s="2"/>
    </row>
    <row r="232">
      <c r="A232" s="2"/>
      <c r="B232" s="3" t="s">
        <v>443</v>
      </c>
      <c r="C232" s="740" t="s">
        <v>442</v>
      </c>
      <c r="D232" s="3" t="s">
        <v>1920</v>
      </c>
      <c r="E232" s="751"/>
      <c r="F232" s="758"/>
      <c r="G232" s="751"/>
      <c r="H232" s="758"/>
      <c r="I232" s="751"/>
      <c r="J232" s="758"/>
      <c r="K232" s="751"/>
      <c r="L232" s="758"/>
      <c r="M232" s="751"/>
      <c r="N232" s="758"/>
      <c r="O232" s="751"/>
      <c r="P232" s="758"/>
      <c r="Q232" s="742"/>
      <c r="R232" s="2"/>
      <c r="S232" s="2"/>
    </row>
    <row r="233">
      <c r="A233" s="2"/>
      <c r="B233" s="3" t="s">
        <v>462</v>
      </c>
      <c r="C233" s="740" t="s">
        <v>461</v>
      </c>
      <c r="D233" s="3" t="s">
        <v>1921</v>
      </c>
      <c r="E233" s="751"/>
      <c r="F233" s="758"/>
      <c r="G233" s="751"/>
      <c r="H233" s="758"/>
      <c r="I233" s="751"/>
      <c r="J233" s="758"/>
      <c r="K233" s="751"/>
      <c r="L233" s="758"/>
      <c r="M233" s="751"/>
      <c r="N233" s="758"/>
      <c r="O233" s="751"/>
      <c r="P233" s="758"/>
      <c r="Q233" s="742"/>
      <c r="R233" s="2"/>
      <c r="S233" s="2"/>
    </row>
    <row r="234">
      <c r="A234" s="2"/>
      <c r="B234" s="3" t="s">
        <v>475</v>
      </c>
      <c r="C234" s="740" t="s">
        <v>474</v>
      </c>
      <c r="D234" s="3" t="s">
        <v>1922</v>
      </c>
      <c r="E234" s="751"/>
      <c r="F234" s="758"/>
      <c r="G234" s="751"/>
      <c r="H234" s="758"/>
      <c r="I234" s="751"/>
      <c r="J234" s="758"/>
      <c r="K234" s="751"/>
      <c r="L234" s="758"/>
      <c r="M234" s="751"/>
      <c r="N234" s="758"/>
      <c r="O234" s="751"/>
      <c r="P234" s="758"/>
      <c r="Q234" s="742"/>
      <c r="R234" s="2"/>
      <c r="S234" s="2"/>
    </row>
    <row r="235">
      <c r="A235" s="2"/>
      <c r="B235" s="3" t="s">
        <v>486</v>
      </c>
      <c r="C235" s="740" t="s">
        <v>485</v>
      </c>
      <c r="D235" s="3" t="s">
        <v>1923</v>
      </c>
      <c r="E235" s="751"/>
      <c r="F235" s="758"/>
      <c r="G235" s="751"/>
      <c r="H235" s="758"/>
      <c r="I235" s="751"/>
      <c r="J235" s="758"/>
      <c r="K235" s="751"/>
      <c r="L235" s="758"/>
      <c r="M235" s="751"/>
      <c r="N235" s="758"/>
      <c r="O235" s="751"/>
      <c r="P235" s="758"/>
      <c r="Q235" s="742"/>
      <c r="R235" s="2"/>
      <c r="S235" s="2"/>
    </row>
    <row r="236">
      <c r="A236" s="2"/>
      <c r="B236" s="3" t="s">
        <v>501</v>
      </c>
      <c r="C236" s="740" t="s">
        <v>499</v>
      </c>
      <c r="D236" s="3" t="s">
        <v>1924</v>
      </c>
      <c r="E236" s="751"/>
      <c r="F236" s="758"/>
      <c r="G236" s="751"/>
      <c r="H236" s="758"/>
      <c r="I236" s="751"/>
      <c r="J236" s="758"/>
      <c r="K236" s="751"/>
      <c r="L236" s="758"/>
      <c r="M236" s="751"/>
      <c r="N236" s="758"/>
      <c r="O236" s="751"/>
      <c r="P236" s="758"/>
      <c r="Q236" s="742"/>
      <c r="R236" s="2"/>
      <c r="S236" s="2"/>
    </row>
    <row r="237">
      <c r="A237" s="2"/>
      <c r="B237" s="3" t="s">
        <v>520</v>
      </c>
      <c r="C237" s="740" t="s">
        <v>519</v>
      </c>
      <c r="D237" s="3" t="s">
        <v>1925</v>
      </c>
      <c r="E237" s="747">
        <v>1.0</v>
      </c>
      <c r="F237" s="758"/>
      <c r="G237" s="747">
        <v>1.0</v>
      </c>
      <c r="H237" s="759">
        <v>1.0</v>
      </c>
      <c r="I237" s="747"/>
      <c r="J237" s="758"/>
      <c r="K237" s="747"/>
      <c r="L237" s="758"/>
      <c r="M237" s="747"/>
      <c r="N237" s="758"/>
      <c r="O237" s="747"/>
      <c r="P237" s="758"/>
      <c r="Q237" s="742"/>
      <c r="R237" s="2"/>
      <c r="S237" s="2"/>
    </row>
    <row r="238">
      <c r="A238" s="2"/>
      <c r="B238" s="3" t="s">
        <v>540</v>
      </c>
      <c r="C238" s="740" t="s">
        <v>539</v>
      </c>
      <c r="D238" s="3" t="s">
        <v>1926</v>
      </c>
      <c r="E238" s="747">
        <v>1.0</v>
      </c>
      <c r="F238" s="758"/>
      <c r="G238" s="747">
        <v>1.0</v>
      </c>
      <c r="H238" s="759">
        <v>1.0</v>
      </c>
      <c r="I238" s="747"/>
      <c r="J238" s="758"/>
      <c r="K238" s="747"/>
      <c r="L238" s="758"/>
      <c r="M238" s="747"/>
      <c r="N238" s="758"/>
      <c r="O238" s="747"/>
      <c r="P238" s="758"/>
      <c r="Q238" s="742"/>
      <c r="R238" s="2"/>
      <c r="S238" s="2"/>
    </row>
    <row r="239">
      <c r="A239" s="2"/>
      <c r="B239" s="3" t="s">
        <v>431</v>
      </c>
      <c r="C239" s="740" t="s">
        <v>430</v>
      </c>
      <c r="D239" s="3" t="s">
        <v>1927</v>
      </c>
      <c r="E239" s="751"/>
      <c r="F239" s="758"/>
      <c r="G239" s="751"/>
      <c r="H239" s="758"/>
      <c r="I239" s="751"/>
      <c r="J239" s="758"/>
      <c r="K239" s="751"/>
      <c r="L239" s="758"/>
      <c r="M239" s="751"/>
      <c r="N239" s="758"/>
      <c r="O239" s="751"/>
      <c r="P239" s="758"/>
      <c r="Q239" s="742"/>
      <c r="R239" s="2"/>
      <c r="S239" s="2"/>
    </row>
    <row r="240">
      <c r="A240" s="2"/>
      <c r="B240" s="3" t="s">
        <v>449</v>
      </c>
      <c r="C240" s="740" t="s">
        <v>448</v>
      </c>
      <c r="D240" s="3" t="s">
        <v>1928</v>
      </c>
      <c r="E240" s="747">
        <v>1.0</v>
      </c>
      <c r="F240" s="758"/>
      <c r="G240" s="747">
        <v>1.0</v>
      </c>
      <c r="H240" s="759">
        <v>1.0</v>
      </c>
      <c r="I240" s="747"/>
      <c r="J240" s="758"/>
      <c r="K240" s="747"/>
      <c r="L240" s="758"/>
      <c r="M240" s="747"/>
      <c r="N240" s="758"/>
      <c r="O240" s="747"/>
      <c r="P240" s="758"/>
      <c r="Q240" s="742"/>
      <c r="R240" s="2"/>
      <c r="S240" s="2"/>
    </row>
    <row r="241">
      <c r="A241" s="2"/>
      <c r="B241" s="3" t="s">
        <v>466</v>
      </c>
      <c r="C241" s="740" t="s">
        <v>465</v>
      </c>
      <c r="D241" s="3" t="s">
        <v>1929</v>
      </c>
      <c r="E241" s="751"/>
      <c r="F241" s="758"/>
      <c r="G241" s="747">
        <v>1.0</v>
      </c>
      <c r="H241" s="759">
        <v>1.0</v>
      </c>
      <c r="I241" s="747"/>
      <c r="J241" s="758"/>
      <c r="K241" s="747"/>
      <c r="L241" s="758"/>
      <c r="M241" s="747"/>
      <c r="N241" s="758"/>
      <c r="O241" s="747"/>
      <c r="P241" s="758"/>
      <c r="Q241" s="742"/>
      <c r="R241" s="2"/>
      <c r="S241" s="2"/>
    </row>
    <row r="242">
      <c r="A242" s="2"/>
      <c r="B242" s="3" t="s">
        <v>479</v>
      </c>
      <c r="C242" s="740" t="s">
        <v>478</v>
      </c>
      <c r="D242" s="3" t="s">
        <v>1930</v>
      </c>
      <c r="E242" s="751"/>
      <c r="F242" s="758"/>
      <c r="G242" s="747">
        <v>1.0</v>
      </c>
      <c r="H242" s="759">
        <v>1.0</v>
      </c>
      <c r="I242" s="751"/>
      <c r="J242" s="758"/>
      <c r="K242" s="751"/>
      <c r="L242" s="758"/>
      <c r="M242" s="751"/>
      <c r="N242" s="758"/>
      <c r="O242" s="751"/>
      <c r="P242" s="758"/>
      <c r="Q242" s="742"/>
      <c r="R242" s="2"/>
      <c r="S242" s="2"/>
    </row>
    <row r="243">
      <c r="A243" s="2"/>
      <c r="B243" s="3" t="s">
        <v>489</v>
      </c>
      <c r="C243" s="740" t="s">
        <v>488</v>
      </c>
      <c r="D243" s="3" t="s">
        <v>1931</v>
      </c>
      <c r="E243" s="747">
        <v>1.0</v>
      </c>
      <c r="F243" s="758"/>
      <c r="G243" s="747">
        <v>1.0</v>
      </c>
      <c r="H243" s="759">
        <v>1.0</v>
      </c>
      <c r="I243" s="747"/>
      <c r="J243" s="758"/>
      <c r="K243" s="747"/>
      <c r="L243" s="758"/>
      <c r="M243" s="747"/>
      <c r="N243" s="758"/>
      <c r="O243" s="747"/>
      <c r="P243" s="758"/>
      <c r="Q243" s="742"/>
      <c r="R243" s="2"/>
      <c r="S243" s="2"/>
    </row>
    <row r="244">
      <c r="A244" s="2"/>
      <c r="B244" s="3" t="s">
        <v>508</v>
      </c>
      <c r="C244" s="740" t="s">
        <v>507</v>
      </c>
      <c r="D244" s="3" t="s">
        <v>1932</v>
      </c>
      <c r="E244" s="751"/>
      <c r="F244" s="758"/>
      <c r="G244" s="747">
        <v>1.0</v>
      </c>
      <c r="H244" s="759">
        <v>2.0</v>
      </c>
      <c r="I244" s="747"/>
      <c r="J244" s="758"/>
      <c r="K244" s="747"/>
      <c r="L244" s="758"/>
      <c r="M244" s="747"/>
      <c r="N244" s="758"/>
      <c r="O244" s="747"/>
      <c r="P244" s="758"/>
      <c r="Q244" s="742"/>
      <c r="R244" s="2"/>
      <c r="S244" s="2"/>
    </row>
    <row r="245">
      <c r="A245" s="2"/>
      <c r="B245" s="3" t="s">
        <v>527</v>
      </c>
      <c r="C245" s="740" t="s">
        <v>526</v>
      </c>
      <c r="D245" s="3" t="s">
        <v>1933</v>
      </c>
      <c r="E245" s="747">
        <v>1.0</v>
      </c>
      <c r="F245" s="758"/>
      <c r="G245" s="747">
        <v>1.0</v>
      </c>
      <c r="H245" s="759">
        <v>1.0</v>
      </c>
      <c r="I245" s="747"/>
      <c r="J245" s="758"/>
      <c r="K245" s="747"/>
      <c r="L245" s="758"/>
      <c r="M245" s="747"/>
      <c r="N245" s="758"/>
      <c r="O245" s="747"/>
      <c r="P245" s="758"/>
      <c r="Q245" s="742"/>
      <c r="R245" s="2"/>
      <c r="S245" s="2"/>
    </row>
    <row r="246">
      <c r="A246" s="2"/>
      <c r="B246" s="3" t="s">
        <v>547</v>
      </c>
      <c r="C246" s="740" t="s">
        <v>546</v>
      </c>
      <c r="D246" s="3" t="s">
        <v>1934</v>
      </c>
      <c r="E246" s="747">
        <v>1.0</v>
      </c>
      <c r="F246" s="748"/>
      <c r="G246" s="747">
        <v>3.0</v>
      </c>
      <c r="H246" s="759">
        <v>4.0</v>
      </c>
      <c r="I246" s="747"/>
      <c r="J246" s="759"/>
      <c r="K246" s="747"/>
      <c r="L246" s="759"/>
      <c r="M246" s="747"/>
      <c r="N246" s="759"/>
      <c r="O246" s="747"/>
      <c r="P246" s="759"/>
      <c r="Q246" s="742"/>
      <c r="R246" s="2"/>
      <c r="S246" s="2"/>
    </row>
    <row r="247">
      <c r="A247" s="2"/>
      <c r="B247" s="3" t="s">
        <v>434</v>
      </c>
      <c r="C247" s="740" t="s">
        <v>433</v>
      </c>
      <c r="D247" s="3" t="s">
        <v>1935</v>
      </c>
      <c r="E247" s="751"/>
      <c r="F247" s="758"/>
      <c r="G247" s="751"/>
      <c r="H247" s="758"/>
      <c r="I247" s="751"/>
      <c r="J247" s="758"/>
      <c r="K247" s="751"/>
      <c r="L247" s="758"/>
      <c r="M247" s="751"/>
      <c r="N247" s="758"/>
      <c r="O247" s="751"/>
      <c r="P247" s="758"/>
      <c r="Q247" s="742"/>
      <c r="R247" s="2"/>
      <c r="S247" s="2"/>
    </row>
    <row r="248">
      <c r="A248" s="2"/>
      <c r="B248" s="3" t="s">
        <v>455</v>
      </c>
      <c r="C248" s="740" t="s">
        <v>454</v>
      </c>
      <c r="D248" s="3" t="s">
        <v>1936</v>
      </c>
      <c r="E248" s="747">
        <v>1.0</v>
      </c>
      <c r="F248" s="759">
        <v>1.0</v>
      </c>
      <c r="G248" s="747">
        <v>2.0</v>
      </c>
      <c r="H248" s="759">
        <v>2.0</v>
      </c>
      <c r="I248" s="747"/>
      <c r="J248" s="759"/>
      <c r="K248" s="747"/>
      <c r="L248" s="759"/>
      <c r="M248" s="747"/>
      <c r="N248" s="759"/>
      <c r="O248" s="747"/>
      <c r="P248" s="759"/>
      <c r="Q248" s="742"/>
      <c r="R248" s="2"/>
      <c r="S248" s="2"/>
    </row>
    <row r="249">
      <c r="A249" s="2"/>
      <c r="B249" s="3" t="s">
        <v>484</v>
      </c>
      <c r="C249" s="740" t="s">
        <v>483</v>
      </c>
      <c r="D249" s="3" t="s">
        <v>1937</v>
      </c>
      <c r="E249" s="751"/>
      <c r="F249" s="758"/>
      <c r="G249" s="751"/>
      <c r="H249" s="758"/>
      <c r="I249" s="751"/>
      <c r="J249" s="758"/>
      <c r="K249" s="751"/>
      <c r="L249" s="758"/>
      <c r="M249" s="751"/>
      <c r="N249" s="758"/>
      <c r="O249" s="751"/>
      <c r="P249" s="758"/>
      <c r="Q249" s="742"/>
      <c r="R249" s="2"/>
      <c r="S249" s="2"/>
    </row>
    <row r="250">
      <c r="A250" s="2"/>
      <c r="B250" s="744" t="s">
        <v>495</v>
      </c>
      <c r="C250" s="745" t="s">
        <v>494</v>
      </c>
      <c r="D250" s="746" t="s">
        <v>1938</v>
      </c>
      <c r="E250" s="747">
        <v>3.0</v>
      </c>
      <c r="F250" s="759">
        <v>1.0</v>
      </c>
      <c r="G250" s="747">
        <v>2.0</v>
      </c>
      <c r="H250" s="759">
        <v>3.0</v>
      </c>
      <c r="I250" s="747"/>
      <c r="J250" s="759"/>
      <c r="K250" s="747"/>
      <c r="L250" s="759"/>
      <c r="M250" s="747"/>
      <c r="N250" s="759"/>
      <c r="O250" s="747"/>
      <c r="P250" s="759"/>
      <c r="Q250" s="742"/>
      <c r="R250" s="2"/>
      <c r="S250" s="2"/>
    </row>
    <row r="251">
      <c r="A251" s="2"/>
      <c r="B251" s="732" t="s">
        <v>495</v>
      </c>
      <c r="C251" s="760" t="s">
        <v>494</v>
      </c>
      <c r="D251" s="750" t="s">
        <v>1939</v>
      </c>
      <c r="E251" s="747">
        <v>4.0</v>
      </c>
      <c r="F251" s="759">
        <v>1.0</v>
      </c>
      <c r="G251" s="747">
        <v>3.0</v>
      </c>
      <c r="H251" s="759">
        <v>3.0</v>
      </c>
      <c r="I251" s="747"/>
      <c r="J251" s="759"/>
      <c r="K251" s="747"/>
      <c r="L251" s="759"/>
      <c r="M251" s="747"/>
      <c r="N251" s="759"/>
      <c r="O251" s="747"/>
      <c r="P251" s="759"/>
      <c r="Q251" s="742"/>
      <c r="R251" s="2"/>
      <c r="S251" s="2"/>
    </row>
    <row r="252">
      <c r="A252" s="2"/>
      <c r="B252" s="744" t="s">
        <v>512</v>
      </c>
      <c r="C252" s="745" t="s">
        <v>511</v>
      </c>
      <c r="D252" s="746" t="s">
        <v>1940</v>
      </c>
      <c r="E252" s="747">
        <v>2.0</v>
      </c>
      <c r="F252" s="759">
        <v>1.0</v>
      </c>
      <c r="G252" s="747">
        <v>2.0</v>
      </c>
      <c r="H252" s="759">
        <v>2.0</v>
      </c>
      <c r="I252" s="747"/>
      <c r="J252" s="759"/>
      <c r="K252" s="747"/>
      <c r="L252" s="759"/>
      <c r="M252" s="747"/>
      <c r="N252" s="759"/>
      <c r="O252" s="747"/>
      <c r="P252" s="759"/>
      <c r="Q252" s="742"/>
      <c r="R252" s="2"/>
      <c r="S252" s="2"/>
    </row>
    <row r="253">
      <c r="A253" s="2"/>
      <c r="B253" s="732" t="s">
        <v>512</v>
      </c>
      <c r="C253" s="760" t="s">
        <v>511</v>
      </c>
      <c r="D253" s="750" t="s">
        <v>1941</v>
      </c>
      <c r="E253" s="747">
        <v>5.0</v>
      </c>
      <c r="F253" s="748"/>
      <c r="G253" s="747">
        <v>5.0</v>
      </c>
      <c r="H253" s="759">
        <v>5.0</v>
      </c>
      <c r="I253" s="747"/>
      <c r="J253" s="759"/>
      <c r="K253" s="747"/>
      <c r="L253" s="759"/>
      <c r="M253" s="747"/>
      <c r="N253" s="759"/>
      <c r="O253" s="747"/>
      <c r="P253" s="759"/>
      <c r="Q253" s="742"/>
      <c r="R253" s="2"/>
      <c r="S253" s="2"/>
    </row>
    <row r="254">
      <c r="A254" s="2"/>
      <c r="B254" s="3" t="s">
        <v>531</v>
      </c>
      <c r="C254" s="740" t="s">
        <v>530</v>
      </c>
      <c r="D254" s="3" t="s">
        <v>1942</v>
      </c>
      <c r="E254" s="747">
        <v>3.0</v>
      </c>
      <c r="F254" s="759">
        <v>1.0</v>
      </c>
      <c r="G254" s="747">
        <v>2.0</v>
      </c>
      <c r="H254" s="759">
        <v>2.0</v>
      </c>
      <c r="I254" s="747"/>
      <c r="J254" s="759"/>
      <c r="K254" s="747"/>
      <c r="L254" s="759"/>
      <c r="M254" s="747"/>
      <c r="N254" s="759"/>
      <c r="O254" s="747"/>
      <c r="P254" s="759"/>
      <c r="Q254" s="742"/>
      <c r="R254" s="2"/>
      <c r="S254" s="2"/>
    </row>
    <row r="255">
      <c r="A255" s="2"/>
      <c r="B255" s="744" t="s">
        <v>553</v>
      </c>
      <c r="C255" s="745" t="s">
        <v>552</v>
      </c>
      <c r="D255" s="746" t="s">
        <v>1943</v>
      </c>
      <c r="E255" s="747">
        <v>4.0</v>
      </c>
      <c r="F255" s="759">
        <v>2.0</v>
      </c>
      <c r="G255" s="747">
        <v>4.0</v>
      </c>
      <c r="H255" s="759">
        <v>2.0</v>
      </c>
      <c r="I255" s="747"/>
      <c r="J255" s="759"/>
      <c r="K255" s="747"/>
      <c r="L255" s="759"/>
      <c r="M255" s="747"/>
      <c r="N255" s="759"/>
      <c r="O255" s="747"/>
      <c r="P255" s="759"/>
      <c r="Q255" s="742"/>
      <c r="R255" s="2"/>
      <c r="S255" s="2"/>
    </row>
    <row r="256">
      <c r="A256" s="2"/>
      <c r="B256" s="732" t="s">
        <v>553</v>
      </c>
      <c r="C256" s="760" t="s">
        <v>552</v>
      </c>
      <c r="D256" s="750" t="s">
        <v>1944</v>
      </c>
      <c r="E256" s="747">
        <v>9.0</v>
      </c>
      <c r="F256" s="748"/>
      <c r="G256" s="747">
        <v>9.0</v>
      </c>
      <c r="H256" s="759">
        <v>9.0</v>
      </c>
      <c r="I256" s="747"/>
      <c r="J256" s="759"/>
      <c r="K256" s="747"/>
      <c r="L256" s="759"/>
      <c r="M256" s="747"/>
      <c r="N256" s="759"/>
      <c r="O256" s="747"/>
      <c r="P256" s="759"/>
      <c r="Q256" s="742"/>
      <c r="R256" s="2"/>
      <c r="S256" s="2"/>
    </row>
    <row r="257">
      <c r="A257" s="2"/>
      <c r="B257" s="2"/>
      <c r="C257" s="740"/>
      <c r="D257" s="740" t="s">
        <v>535</v>
      </c>
      <c r="E257" s="751"/>
      <c r="F257" s="721"/>
      <c r="G257" s="751"/>
      <c r="H257" s="721"/>
      <c r="I257" s="751"/>
      <c r="J257" s="721"/>
      <c r="K257" s="751"/>
      <c r="L257" s="721"/>
      <c r="M257" s="751"/>
      <c r="N257" s="721"/>
      <c r="O257" s="751"/>
      <c r="P257" s="721"/>
      <c r="Q257" s="742"/>
      <c r="R257" s="2"/>
      <c r="S257" s="2"/>
    </row>
    <row r="258">
      <c r="A258" s="2"/>
      <c r="B258" s="3" t="s">
        <v>563</v>
      </c>
      <c r="C258" s="740" t="s">
        <v>562</v>
      </c>
      <c r="D258" s="3" t="s">
        <v>1945</v>
      </c>
      <c r="E258" s="751"/>
      <c r="F258" s="758"/>
      <c r="G258" s="751"/>
      <c r="H258" s="758"/>
      <c r="I258" s="751"/>
      <c r="J258" s="758"/>
      <c r="K258" s="751"/>
      <c r="L258" s="758"/>
      <c r="M258" s="751"/>
      <c r="N258" s="758"/>
      <c r="O258" s="751"/>
      <c r="P258" s="758"/>
      <c r="Q258" s="742"/>
      <c r="R258" s="2"/>
      <c r="S258" s="2"/>
    </row>
    <row r="259">
      <c r="A259" s="2"/>
      <c r="B259" s="3" t="s">
        <v>590</v>
      </c>
      <c r="C259" s="740" t="s">
        <v>589</v>
      </c>
      <c r="D259" s="3" t="s">
        <v>1946</v>
      </c>
      <c r="E259" s="751"/>
      <c r="F259" s="758"/>
      <c r="G259" s="751"/>
      <c r="H259" s="758"/>
      <c r="I259" s="751"/>
      <c r="J259" s="758"/>
      <c r="K259" s="751"/>
      <c r="L259" s="758"/>
      <c r="M259" s="751"/>
      <c r="N259" s="758"/>
      <c r="O259" s="751"/>
      <c r="P259" s="758"/>
      <c r="Q259" s="742"/>
      <c r="R259" s="2"/>
      <c r="S259" s="2"/>
    </row>
    <row r="260">
      <c r="A260" s="2"/>
      <c r="B260" s="3" t="s">
        <v>623</v>
      </c>
      <c r="C260" s="740" t="s">
        <v>1947</v>
      </c>
      <c r="D260" s="3" t="s">
        <v>1948</v>
      </c>
      <c r="E260" s="751"/>
      <c r="F260" s="758"/>
      <c r="G260" s="751"/>
      <c r="H260" s="758"/>
      <c r="I260" s="751"/>
      <c r="J260" s="758"/>
      <c r="K260" s="751"/>
      <c r="L260" s="758"/>
      <c r="M260" s="751"/>
      <c r="N260" s="758"/>
      <c r="O260" s="751"/>
      <c r="P260" s="758"/>
      <c r="Q260" s="742"/>
      <c r="R260" s="2"/>
      <c r="S260" s="2"/>
    </row>
    <row r="261">
      <c r="A261" s="2"/>
      <c r="B261" s="3" t="s">
        <v>647</v>
      </c>
      <c r="C261" s="740" t="s">
        <v>646</v>
      </c>
      <c r="D261" s="3" t="s">
        <v>1949</v>
      </c>
      <c r="E261" s="751"/>
      <c r="F261" s="758"/>
      <c r="G261" s="751"/>
      <c r="H261" s="758"/>
      <c r="I261" s="751"/>
      <c r="J261" s="758"/>
      <c r="K261" s="751"/>
      <c r="L261" s="758"/>
      <c r="M261" s="751"/>
      <c r="N261" s="758"/>
      <c r="O261" s="751"/>
      <c r="P261" s="758"/>
      <c r="Q261" s="742"/>
      <c r="R261" s="2"/>
      <c r="S261" s="2"/>
    </row>
    <row r="262">
      <c r="A262" s="2"/>
      <c r="B262" s="3" t="s">
        <v>689</v>
      </c>
      <c r="C262" s="740" t="s">
        <v>688</v>
      </c>
      <c r="D262" s="3" t="s">
        <v>1950</v>
      </c>
      <c r="E262" s="751"/>
      <c r="F262" s="758"/>
      <c r="G262" s="751"/>
      <c r="H262" s="758"/>
      <c r="I262" s="751"/>
      <c r="J262" s="758"/>
      <c r="K262" s="751"/>
      <c r="L262" s="758"/>
      <c r="M262" s="751"/>
      <c r="N262" s="758"/>
      <c r="O262" s="751"/>
      <c r="P262" s="758"/>
      <c r="Q262" s="742"/>
      <c r="R262" s="2"/>
      <c r="S262" s="2"/>
    </row>
    <row r="263">
      <c r="A263" s="2"/>
      <c r="B263" s="3" t="s">
        <v>709</v>
      </c>
      <c r="C263" s="740" t="s">
        <v>707</v>
      </c>
      <c r="D263" s="3" t="s">
        <v>1951</v>
      </c>
      <c r="E263" s="751"/>
      <c r="F263" s="758"/>
      <c r="G263" s="751"/>
      <c r="H263" s="758"/>
      <c r="I263" s="751"/>
      <c r="J263" s="758"/>
      <c r="K263" s="751"/>
      <c r="L263" s="758"/>
      <c r="M263" s="751"/>
      <c r="N263" s="758"/>
      <c r="O263" s="751"/>
      <c r="P263" s="758"/>
      <c r="Q263" s="742"/>
      <c r="R263" s="2"/>
      <c r="S263" s="2"/>
    </row>
    <row r="264">
      <c r="A264" s="2"/>
      <c r="B264" s="3" t="s">
        <v>731</v>
      </c>
      <c r="C264" s="740" t="s">
        <v>730</v>
      </c>
      <c r="D264" s="3" t="s">
        <v>1952</v>
      </c>
      <c r="E264" s="751"/>
      <c r="F264" s="758"/>
      <c r="G264" s="751"/>
      <c r="H264" s="758"/>
      <c r="I264" s="751"/>
      <c r="J264" s="758"/>
      <c r="K264" s="751"/>
      <c r="L264" s="758"/>
      <c r="M264" s="751"/>
      <c r="N264" s="758"/>
      <c r="O264" s="751"/>
      <c r="P264" s="758"/>
      <c r="Q264" s="742"/>
      <c r="R264" s="2"/>
      <c r="S264" s="2"/>
    </row>
    <row r="265">
      <c r="A265" s="2"/>
      <c r="B265" s="3" t="s">
        <v>753</v>
      </c>
      <c r="C265" s="740" t="s">
        <v>1953</v>
      </c>
      <c r="D265" s="3" t="s">
        <v>1954</v>
      </c>
      <c r="E265" s="751"/>
      <c r="F265" s="758"/>
      <c r="G265" s="751"/>
      <c r="H265" s="758"/>
      <c r="I265" s="751"/>
      <c r="J265" s="758"/>
      <c r="K265" s="751"/>
      <c r="L265" s="758"/>
      <c r="M265" s="751"/>
      <c r="N265" s="758"/>
      <c r="O265" s="751"/>
      <c r="P265" s="758"/>
      <c r="Q265" s="742"/>
      <c r="R265" s="2"/>
      <c r="S265" s="2"/>
    </row>
    <row r="266">
      <c r="A266" s="2"/>
      <c r="B266" s="3" t="s">
        <v>775</v>
      </c>
      <c r="C266" s="740" t="s">
        <v>772</v>
      </c>
      <c r="D266" s="3" t="s">
        <v>1955</v>
      </c>
      <c r="E266" s="751"/>
      <c r="F266" s="758"/>
      <c r="G266" s="751"/>
      <c r="H266" s="758"/>
      <c r="I266" s="751"/>
      <c r="J266" s="758"/>
      <c r="K266" s="751"/>
      <c r="L266" s="758"/>
      <c r="M266" s="751"/>
      <c r="N266" s="758"/>
      <c r="O266" s="751"/>
      <c r="P266" s="758"/>
      <c r="Q266" s="742"/>
      <c r="R266" s="2"/>
      <c r="S266" s="2"/>
    </row>
    <row r="267">
      <c r="A267" s="2"/>
      <c r="B267" s="3" t="s">
        <v>823</v>
      </c>
      <c r="C267" s="740" t="s">
        <v>821</v>
      </c>
      <c r="D267" s="3" t="s">
        <v>1956</v>
      </c>
      <c r="E267" s="751"/>
      <c r="F267" s="758"/>
      <c r="G267" s="751"/>
      <c r="H267" s="758"/>
      <c r="I267" s="751"/>
      <c r="J267" s="758"/>
      <c r="K267" s="751"/>
      <c r="L267" s="758"/>
      <c r="M267" s="751"/>
      <c r="N267" s="758"/>
      <c r="O267" s="751"/>
      <c r="P267" s="758"/>
      <c r="Q267" s="742"/>
      <c r="R267" s="2"/>
      <c r="S267" s="2"/>
    </row>
    <row r="268">
      <c r="A268" s="2"/>
      <c r="B268" s="3" t="s">
        <v>856</v>
      </c>
      <c r="C268" s="740" t="s">
        <v>855</v>
      </c>
      <c r="D268" s="3" t="s">
        <v>1957</v>
      </c>
      <c r="E268" s="751"/>
      <c r="F268" s="758"/>
      <c r="G268" s="751"/>
      <c r="H268" s="758"/>
      <c r="I268" s="751"/>
      <c r="J268" s="758"/>
      <c r="K268" s="751"/>
      <c r="L268" s="758"/>
      <c r="M268" s="751"/>
      <c r="N268" s="758"/>
      <c r="O268" s="751"/>
      <c r="P268" s="758"/>
      <c r="Q268" s="742"/>
      <c r="R268" s="2"/>
      <c r="S268" s="2"/>
    </row>
    <row r="269">
      <c r="A269" s="2"/>
      <c r="B269" s="3" t="s">
        <v>865</v>
      </c>
      <c r="C269" s="740" t="s">
        <v>864</v>
      </c>
      <c r="D269" s="3" t="s">
        <v>1958</v>
      </c>
      <c r="E269" s="751"/>
      <c r="F269" s="758"/>
      <c r="G269" s="751"/>
      <c r="H269" s="758"/>
      <c r="I269" s="751"/>
      <c r="J269" s="758"/>
      <c r="K269" s="751"/>
      <c r="L269" s="758"/>
      <c r="M269" s="751"/>
      <c r="N269" s="758"/>
      <c r="O269" s="751"/>
      <c r="P269" s="758"/>
      <c r="Q269" s="742"/>
      <c r="R269" s="2"/>
      <c r="S269" s="2"/>
    </row>
    <row r="270">
      <c r="A270" s="2"/>
      <c r="B270" s="3" t="s">
        <v>879</v>
      </c>
      <c r="C270" s="740" t="s">
        <v>878</v>
      </c>
      <c r="D270" s="3" t="s">
        <v>1959</v>
      </c>
      <c r="E270" s="747">
        <v>1.0</v>
      </c>
      <c r="F270" s="758"/>
      <c r="G270" s="747">
        <v>1.0</v>
      </c>
      <c r="H270" s="759">
        <v>1.0</v>
      </c>
      <c r="I270" s="747"/>
      <c r="J270" s="758"/>
      <c r="K270" s="747"/>
      <c r="L270" s="758"/>
      <c r="M270" s="747"/>
      <c r="N270" s="758"/>
      <c r="O270" s="747"/>
      <c r="P270" s="758"/>
      <c r="Q270" s="742"/>
      <c r="R270" s="2"/>
      <c r="S270" s="2"/>
    </row>
    <row r="271">
      <c r="A271" s="2"/>
      <c r="B271" s="3" t="s">
        <v>571</v>
      </c>
      <c r="C271" s="740" t="s">
        <v>570</v>
      </c>
      <c r="D271" s="3" t="s">
        <v>1960</v>
      </c>
      <c r="E271" s="751"/>
      <c r="F271" s="758"/>
      <c r="G271" s="751"/>
      <c r="H271" s="758"/>
      <c r="I271" s="751"/>
      <c r="J271" s="758"/>
      <c r="K271" s="751"/>
      <c r="L271" s="758"/>
      <c r="M271" s="751"/>
      <c r="N271" s="758"/>
      <c r="O271" s="751"/>
      <c r="P271" s="758"/>
      <c r="Q271" s="742"/>
      <c r="R271" s="2"/>
      <c r="S271" s="2"/>
    </row>
    <row r="272">
      <c r="A272" s="2"/>
      <c r="B272" s="3" t="s">
        <v>598</v>
      </c>
      <c r="C272" s="740" t="s">
        <v>597</v>
      </c>
      <c r="D272" s="3" t="s">
        <v>1961</v>
      </c>
      <c r="E272" s="751"/>
      <c r="F272" s="758"/>
      <c r="G272" s="751"/>
      <c r="H272" s="758"/>
      <c r="I272" s="751"/>
      <c r="J272" s="758"/>
      <c r="K272" s="751"/>
      <c r="L272" s="758"/>
      <c r="M272" s="751"/>
      <c r="N272" s="758"/>
      <c r="O272" s="751"/>
      <c r="P272" s="758"/>
      <c r="Q272" s="742"/>
      <c r="R272" s="2"/>
      <c r="S272" s="2"/>
    </row>
    <row r="273">
      <c r="A273" s="2"/>
      <c r="B273" s="3" t="s">
        <v>631</v>
      </c>
      <c r="C273" s="740" t="s">
        <v>630</v>
      </c>
      <c r="D273" s="3" t="s">
        <v>1962</v>
      </c>
      <c r="E273" s="747">
        <v>1.0</v>
      </c>
      <c r="F273" s="758"/>
      <c r="G273" s="747">
        <v>1.0</v>
      </c>
      <c r="H273" s="759">
        <v>1.0</v>
      </c>
      <c r="I273" s="747"/>
      <c r="J273" s="758"/>
      <c r="K273" s="747"/>
      <c r="L273" s="758"/>
      <c r="M273" s="747"/>
      <c r="N273" s="758"/>
      <c r="O273" s="747"/>
      <c r="P273" s="758"/>
      <c r="Q273" s="742"/>
      <c r="R273" s="2"/>
      <c r="S273" s="2"/>
    </row>
    <row r="274">
      <c r="A274" s="2"/>
      <c r="B274" s="3" t="s">
        <v>651</v>
      </c>
      <c r="C274" s="740" t="s">
        <v>650</v>
      </c>
      <c r="D274" s="3" t="s">
        <v>1963</v>
      </c>
      <c r="E274" s="747">
        <v>2.0</v>
      </c>
      <c r="F274" s="759">
        <v>2.0</v>
      </c>
      <c r="G274" s="747">
        <v>2.0</v>
      </c>
      <c r="H274" s="759">
        <v>2.0</v>
      </c>
      <c r="I274" s="747"/>
      <c r="J274" s="759"/>
      <c r="K274" s="747"/>
      <c r="L274" s="759"/>
      <c r="M274" s="747"/>
      <c r="N274" s="759"/>
      <c r="O274" s="747"/>
      <c r="P274" s="759"/>
      <c r="Q274" s="742"/>
      <c r="R274" s="2"/>
      <c r="S274" s="2"/>
    </row>
    <row r="275">
      <c r="A275" s="2"/>
      <c r="B275" s="3" t="s">
        <v>673</v>
      </c>
      <c r="C275" s="740" t="s">
        <v>672</v>
      </c>
      <c r="D275" s="3" t="s">
        <v>1964</v>
      </c>
      <c r="E275" s="747">
        <v>1.0</v>
      </c>
      <c r="F275" s="759">
        <v>1.0</v>
      </c>
      <c r="G275" s="747">
        <v>1.0</v>
      </c>
      <c r="H275" s="759">
        <v>2.0</v>
      </c>
      <c r="I275" s="747"/>
      <c r="J275" s="759"/>
      <c r="K275" s="747"/>
      <c r="L275" s="759"/>
      <c r="M275" s="747"/>
      <c r="N275" s="759"/>
      <c r="O275" s="747"/>
      <c r="P275" s="759"/>
      <c r="Q275" s="742"/>
      <c r="R275" s="2"/>
      <c r="S275" s="2"/>
    </row>
    <row r="276">
      <c r="A276" s="2"/>
      <c r="B276" s="3" t="s">
        <v>696</v>
      </c>
      <c r="C276" s="740" t="s">
        <v>694</v>
      </c>
      <c r="D276" s="3" t="s">
        <v>1965</v>
      </c>
      <c r="E276" s="747">
        <v>2.0</v>
      </c>
      <c r="F276" s="759">
        <v>1.0</v>
      </c>
      <c r="G276" s="747">
        <v>3.0</v>
      </c>
      <c r="H276" s="759">
        <v>4.0</v>
      </c>
      <c r="I276" s="747"/>
      <c r="J276" s="759"/>
      <c r="K276" s="747"/>
      <c r="L276" s="759"/>
      <c r="M276" s="747"/>
      <c r="N276" s="759"/>
      <c r="O276" s="747"/>
      <c r="P276" s="759"/>
      <c r="Q276" s="742"/>
      <c r="R276" s="2"/>
      <c r="S276" s="2"/>
    </row>
    <row r="277">
      <c r="A277" s="2"/>
      <c r="B277" s="3" t="s">
        <v>716</v>
      </c>
      <c r="C277" s="740" t="s">
        <v>715</v>
      </c>
      <c r="D277" s="3" t="s">
        <v>1966</v>
      </c>
      <c r="E277" s="747">
        <v>3.0</v>
      </c>
      <c r="F277" s="758"/>
      <c r="G277" s="747">
        <v>2.0</v>
      </c>
      <c r="H277" s="759">
        <v>1.0</v>
      </c>
      <c r="I277" s="747"/>
      <c r="J277" s="758"/>
      <c r="K277" s="747"/>
      <c r="L277" s="758"/>
      <c r="M277" s="747"/>
      <c r="N277" s="758"/>
      <c r="O277" s="747"/>
      <c r="P277" s="758"/>
      <c r="Q277" s="742"/>
      <c r="R277" s="2"/>
      <c r="S277" s="2"/>
    </row>
    <row r="278">
      <c r="A278" s="2"/>
      <c r="B278" s="3" t="s">
        <v>738</v>
      </c>
      <c r="C278" s="740" t="s">
        <v>736</v>
      </c>
      <c r="D278" s="3" t="s">
        <v>1967</v>
      </c>
      <c r="E278" s="751"/>
      <c r="F278" s="758"/>
      <c r="G278" s="751"/>
      <c r="H278" s="758"/>
      <c r="I278" s="751"/>
      <c r="J278" s="758"/>
      <c r="K278" s="751"/>
      <c r="L278" s="758"/>
      <c r="M278" s="751"/>
      <c r="N278" s="758"/>
      <c r="O278" s="751"/>
      <c r="P278" s="758"/>
      <c r="Q278" s="742"/>
      <c r="R278" s="2"/>
      <c r="S278" s="2"/>
    </row>
    <row r="279">
      <c r="A279" s="2"/>
      <c r="B279" s="3" t="s">
        <v>760</v>
      </c>
      <c r="C279" s="740" t="s">
        <v>759</v>
      </c>
      <c r="D279" s="3" t="s">
        <v>1968</v>
      </c>
      <c r="E279" s="747">
        <v>1.0</v>
      </c>
      <c r="F279" s="758"/>
      <c r="G279" s="747">
        <v>1.0</v>
      </c>
      <c r="H279" s="759">
        <v>1.0</v>
      </c>
      <c r="I279" s="747"/>
      <c r="J279" s="758"/>
      <c r="K279" s="747"/>
      <c r="L279" s="758"/>
      <c r="M279" s="747"/>
      <c r="N279" s="758"/>
      <c r="O279" s="747"/>
      <c r="P279" s="758"/>
      <c r="Q279" s="742"/>
      <c r="R279" s="2"/>
      <c r="S279" s="2"/>
    </row>
    <row r="280">
      <c r="A280" s="2"/>
      <c r="B280" s="3" t="s">
        <v>791</v>
      </c>
      <c r="C280" s="740" t="s">
        <v>788</v>
      </c>
      <c r="D280" s="3" t="s">
        <v>1969</v>
      </c>
      <c r="E280" s="747">
        <v>1.0</v>
      </c>
      <c r="F280" s="758"/>
      <c r="G280" s="747"/>
      <c r="H280" s="758"/>
      <c r="I280" s="747"/>
      <c r="J280" s="758"/>
      <c r="K280" s="747"/>
      <c r="L280" s="758"/>
      <c r="M280" s="747"/>
      <c r="N280" s="758"/>
      <c r="O280" s="747"/>
      <c r="P280" s="758"/>
      <c r="Q280" s="742"/>
      <c r="R280" s="2"/>
      <c r="S280" s="2"/>
    </row>
    <row r="281">
      <c r="A281" s="2"/>
      <c r="B281" s="3" t="s">
        <v>836</v>
      </c>
      <c r="C281" s="740" t="s">
        <v>834</v>
      </c>
      <c r="D281" s="3" t="s">
        <v>1970</v>
      </c>
      <c r="E281" s="747">
        <v>1.0</v>
      </c>
      <c r="F281" s="758"/>
      <c r="G281" s="747">
        <v>1.0</v>
      </c>
      <c r="H281" s="759">
        <v>1.0</v>
      </c>
      <c r="I281" s="747"/>
      <c r="J281" s="758"/>
      <c r="K281" s="747"/>
      <c r="L281" s="758"/>
      <c r="M281" s="747"/>
      <c r="N281" s="758"/>
      <c r="O281" s="747"/>
      <c r="P281" s="758"/>
      <c r="Q281" s="742"/>
      <c r="R281" s="2"/>
      <c r="S281" s="2"/>
    </row>
    <row r="282">
      <c r="A282" s="2"/>
      <c r="B282" s="3" t="s">
        <v>859</v>
      </c>
      <c r="C282" s="740" t="s">
        <v>858</v>
      </c>
      <c r="D282" s="3" t="s">
        <v>1971</v>
      </c>
      <c r="E282" s="751"/>
      <c r="F282" s="758"/>
      <c r="G282" s="751"/>
      <c r="H282" s="758"/>
      <c r="I282" s="751"/>
      <c r="J282" s="758"/>
      <c r="K282" s="751"/>
      <c r="L282" s="758"/>
      <c r="M282" s="751"/>
      <c r="N282" s="758"/>
      <c r="O282" s="751"/>
      <c r="P282" s="758"/>
      <c r="Q282" s="742"/>
      <c r="R282" s="2"/>
      <c r="S282" s="2"/>
    </row>
    <row r="283">
      <c r="A283" s="2"/>
      <c r="B283" s="3" t="s">
        <v>869</v>
      </c>
      <c r="C283" s="740" t="s">
        <v>868</v>
      </c>
      <c r="D283" s="3" t="s">
        <v>1972</v>
      </c>
      <c r="E283" s="747">
        <v>1.0</v>
      </c>
      <c r="F283" s="758"/>
      <c r="G283" s="747">
        <v>2.0</v>
      </c>
      <c r="H283" s="759">
        <v>2.0</v>
      </c>
      <c r="I283" s="747"/>
      <c r="J283" s="758"/>
      <c r="K283" s="747"/>
      <c r="L283" s="758"/>
      <c r="M283" s="747"/>
      <c r="N283" s="758"/>
      <c r="O283" s="747"/>
      <c r="P283" s="758"/>
      <c r="Q283" s="742"/>
      <c r="R283" s="2"/>
      <c r="S283" s="2"/>
    </row>
    <row r="284">
      <c r="A284" s="2"/>
      <c r="B284" s="3" t="s">
        <v>886</v>
      </c>
      <c r="C284" s="740" t="s">
        <v>885</v>
      </c>
      <c r="D284" s="3" t="s">
        <v>1973</v>
      </c>
      <c r="E284" s="751"/>
      <c r="F284" s="758"/>
      <c r="G284" s="751"/>
      <c r="H284" s="758"/>
      <c r="I284" s="751"/>
      <c r="J284" s="758"/>
      <c r="K284" s="751"/>
      <c r="L284" s="758"/>
      <c r="M284" s="751"/>
      <c r="N284" s="758"/>
      <c r="O284" s="751"/>
      <c r="P284" s="758"/>
      <c r="Q284" s="742"/>
      <c r="R284" s="2"/>
      <c r="S284" s="2"/>
    </row>
    <row r="285">
      <c r="A285" s="2"/>
      <c r="B285" s="3" t="s">
        <v>612</v>
      </c>
      <c r="C285" s="740" t="s">
        <v>611</v>
      </c>
      <c r="D285" s="3" t="s">
        <v>1974</v>
      </c>
      <c r="E285" s="751"/>
      <c r="F285" s="758"/>
      <c r="G285" s="751"/>
      <c r="H285" s="758"/>
      <c r="I285" s="751"/>
      <c r="J285" s="758"/>
      <c r="K285" s="751"/>
      <c r="L285" s="758"/>
      <c r="M285" s="751"/>
      <c r="N285" s="758"/>
      <c r="O285" s="751"/>
      <c r="P285" s="758"/>
      <c r="Q285" s="742"/>
      <c r="R285" s="2"/>
      <c r="S285" s="2"/>
    </row>
    <row r="286">
      <c r="A286" s="2"/>
      <c r="B286" s="3" t="s">
        <v>639</v>
      </c>
      <c r="C286" s="740" t="s">
        <v>637</v>
      </c>
      <c r="D286" s="3" t="s">
        <v>1975</v>
      </c>
      <c r="E286" s="751"/>
      <c r="F286" s="758"/>
      <c r="G286" s="751"/>
      <c r="H286" s="758"/>
      <c r="I286" s="751"/>
      <c r="J286" s="758"/>
      <c r="K286" s="751"/>
      <c r="L286" s="758"/>
      <c r="M286" s="751"/>
      <c r="N286" s="758"/>
      <c r="O286" s="751"/>
      <c r="P286" s="758"/>
      <c r="Q286" s="742"/>
      <c r="R286" s="2"/>
      <c r="S286" s="2"/>
    </row>
    <row r="287">
      <c r="A287" s="2"/>
      <c r="B287" s="744" t="s">
        <v>681</v>
      </c>
      <c r="C287" s="745" t="s">
        <v>679</v>
      </c>
      <c r="D287" s="746" t="s">
        <v>1976</v>
      </c>
      <c r="E287" s="747">
        <v>9.0</v>
      </c>
      <c r="F287" s="748"/>
      <c r="G287" s="747">
        <v>9.0</v>
      </c>
      <c r="H287" s="748"/>
      <c r="I287" s="747"/>
      <c r="J287" s="748"/>
      <c r="K287" s="747"/>
      <c r="L287" s="748"/>
      <c r="M287" s="747"/>
      <c r="N287" s="748"/>
      <c r="O287" s="747"/>
      <c r="P287" s="748"/>
      <c r="Q287" s="742"/>
      <c r="R287" s="2"/>
      <c r="S287" s="2"/>
    </row>
    <row r="288">
      <c r="A288" s="2"/>
      <c r="B288" s="732" t="s">
        <v>681</v>
      </c>
      <c r="C288" s="760" t="s">
        <v>679</v>
      </c>
      <c r="D288" s="750" t="s">
        <v>1977</v>
      </c>
      <c r="E288" s="747">
        <v>9.0</v>
      </c>
      <c r="F288" s="748"/>
      <c r="G288" s="747">
        <v>9.0</v>
      </c>
      <c r="H288" s="748"/>
      <c r="I288" s="747"/>
      <c r="J288" s="748"/>
      <c r="K288" s="747"/>
      <c r="L288" s="748"/>
      <c r="M288" s="747"/>
      <c r="N288" s="748"/>
      <c r="O288" s="747"/>
      <c r="P288" s="748"/>
      <c r="Q288" s="742"/>
      <c r="R288" s="2"/>
      <c r="S288" s="2"/>
    </row>
    <row r="289">
      <c r="A289" s="2"/>
      <c r="B289" s="3" t="s">
        <v>725</v>
      </c>
      <c r="C289" s="740" t="s">
        <v>724</v>
      </c>
      <c r="D289" s="3" t="s">
        <v>1978</v>
      </c>
      <c r="E289" s="747">
        <v>1.0</v>
      </c>
      <c r="F289" s="758"/>
      <c r="G289" s="747">
        <v>2.0</v>
      </c>
      <c r="H289" s="759">
        <v>3.0</v>
      </c>
      <c r="I289" s="747"/>
      <c r="J289" s="759"/>
      <c r="K289" s="747"/>
      <c r="L289" s="759"/>
      <c r="M289" s="747"/>
      <c r="N289" s="759"/>
      <c r="O289" s="747"/>
      <c r="P289" s="759"/>
      <c r="Q289" s="742"/>
      <c r="R289" s="2"/>
      <c r="S289" s="2"/>
    </row>
    <row r="290">
      <c r="A290" s="2"/>
      <c r="B290" s="3" t="s">
        <v>844</v>
      </c>
      <c r="C290" s="740" t="s">
        <v>843</v>
      </c>
      <c r="D290" s="3" t="s">
        <v>1979</v>
      </c>
      <c r="E290" s="747">
        <v>1.0</v>
      </c>
      <c r="F290" s="758"/>
      <c r="G290" s="747">
        <v>2.0</v>
      </c>
      <c r="H290" s="759">
        <v>2.0</v>
      </c>
      <c r="I290" s="747"/>
      <c r="J290" s="758"/>
      <c r="K290" s="747"/>
      <c r="L290" s="758"/>
      <c r="M290" s="747"/>
      <c r="N290" s="758"/>
      <c r="O290" s="747"/>
      <c r="P290" s="758"/>
      <c r="Q290" s="742"/>
      <c r="R290" s="2"/>
      <c r="S290" s="2"/>
    </row>
    <row r="291">
      <c r="A291" s="2"/>
      <c r="B291" s="3" t="s">
        <v>863</v>
      </c>
      <c r="C291" s="740" t="s">
        <v>861</v>
      </c>
      <c r="D291" s="3" t="s">
        <v>1980</v>
      </c>
      <c r="E291" s="747">
        <v>1.0</v>
      </c>
      <c r="F291" s="748"/>
      <c r="G291" s="747">
        <v>1.0</v>
      </c>
      <c r="H291" s="759">
        <v>2.0</v>
      </c>
      <c r="I291" s="747"/>
      <c r="J291" s="759"/>
      <c r="K291" s="747"/>
      <c r="L291" s="759"/>
      <c r="M291" s="747"/>
      <c r="N291" s="759"/>
      <c r="O291" s="747"/>
      <c r="P291" s="759"/>
      <c r="Q291" s="742"/>
      <c r="R291" s="2"/>
      <c r="S291" s="2"/>
    </row>
    <row r="292">
      <c r="A292" s="2"/>
      <c r="B292" s="3" t="s">
        <v>900</v>
      </c>
      <c r="C292" s="740" t="s">
        <v>898</v>
      </c>
      <c r="D292" s="3" t="s">
        <v>1981</v>
      </c>
      <c r="E292" s="747">
        <v>4.0</v>
      </c>
      <c r="F292" s="748"/>
      <c r="G292" s="747">
        <v>9.0</v>
      </c>
      <c r="H292" s="759">
        <v>9.0</v>
      </c>
      <c r="I292" s="747"/>
      <c r="J292" s="759"/>
      <c r="K292" s="747"/>
      <c r="L292" s="759"/>
      <c r="M292" s="747"/>
      <c r="N292" s="759"/>
      <c r="O292" s="747"/>
      <c r="P292" s="759"/>
      <c r="Q292" s="742"/>
      <c r="R292" s="2"/>
      <c r="S292" s="2"/>
    </row>
    <row r="293">
      <c r="A293" s="2"/>
      <c r="B293" s="3" t="s">
        <v>803</v>
      </c>
      <c r="C293" s="740" t="s">
        <v>802</v>
      </c>
      <c r="D293" s="761" t="s">
        <v>1982</v>
      </c>
      <c r="E293" s="762"/>
      <c r="F293" s="748"/>
      <c r="G293" s="747">
        <v>2.0</v>
      </c>
      <c r="H293" s="759">
        <v>2.0</v>
      </c>
      <c r="I293" s="747"/>
      <c r="J293" s="759"/>
      <c r="K293" s="747"/>
      <c r="L293" s="758"/>
      <c r="M293" s="747"/>
      <c r="N293" s="758"/>
      <c r="O293" s="747"/>
      <c r="P293" s="758"/>
      <c r="Q293" s="747"/>
      <c r="R293" s="2"/>
      <c r="S293" s="2"/>
    </row>
    <row r="294">
      <c r="A294" s="2"/>
      <c r="B294" s="3" t="s">
        <v>873</v>
      </c>
      <c r="C294" s="740" t="s">
        <v>872</v>
      </c>
      <c r="D294" s="761" t="s">
        <v>1983</v>
      </c>
      <c r="E294" s="762"/>
      <c r="F294" s="748"/>
      <c r="G294" s="747">
        <v>2.0</v>
      </c>
      <c r="H294" s="759">
        <v>3.0</v>
      </c>
      <c r="I294" s="747"/>
      <c r="J294" s="759"/>
      <c r="K294" s="747"/>
      <c r="L294" s="758"/>
      <c r="M294" s="747"/>
      <c r="N294" s="758"/>
      <c r="O294" s="747"/>
      <c r="P294" s="758"/>
      <c r="Q294" s="747"/>
      <c r="R294" s="2"/>
      <c r="S294" s="2"/>
    </row>
    <row r="295">
      <c r="A295" s="2"/>
      <c r="B295" s="2"/>
      <c r="C295" s="740"/>
      <c r="D295" s="740" t="s">
        <v>370</v>
      </c>
      <c r="E295" s="751"/>
      <c r="F295" s="721"/>
      <c r="G295" s="751"/>
      <c r="H295" s="721"/>
      <c r="I295" s="751"/>
      <c r="J295" s="721"/>
      <c r="K295" s="751"/>
      <c r="L295" s="721"/>
      <c r="M295" s="751"/>
      <c r="N295" s="721"/>
      <c r="O295" s="751"/>
      <c r="P295" s="721"/>
      <c r="Q295" s="742"/>
      <c r="R295" s="2"/>
      <c r="S295" s="2"/>
    </row>
    <row r="296">
      <c r="A296" s="2"/>
      <c r="B296" s="3" t="s">
        <v>953</v>
      </c>
      <c r="C296" s="740" t="s">
        <v>370</v>
      </c>
      <c r="D296" s="3" t="s">
        <v>1984</v>
      </c>
      <c r="E296" s="747">
        <v>2.0</v>
      </c>
      <c r="F296" s="759">
        <v>2.0</v>
      </c>
      <c r="G296" s="747">
        <v>2.0</v>
      </c>
      <c r="H296" s="759">
        <v>2.0</v>
      </c>
      <c r="I296" s="747"/>
      <c r="J296" s="759"/>
      <c r="K296" s="747"/>
      <c r="L296" s="759"/>
      <c r="M296" s="747"/>
      <c r="N296" s="759"/>
      <c r="O296" s="747"/>
      <c r="P296" s="759"/>
      <c r="Q296" s="742"/>
      <c r="R296" s="2"/>
      <c r="S296" s="2"/>
    </row>
    <row r="297">
      <c r="A297" s="2"/>
      <c r="B297" s="3" t="s">
        <v>970</v>
      </c>
      <c r="C297" s="740" t="s">
        <v>969</v>
      </c>
      <c r="D297" s="3" t="s">
        <v>1985</v>
      </c>
      <c r="E297" s="751"/>
      <c r="F297" s="758"/>
      <c r="G297" s="751"/>
      <c r="H297" s="758"/>
      <c r="I297" s="751"/>
      <c r="J297" s="758"/>
      <c r="K297" s="751"/>
      <c r="L297" s="758"/>
      <c r="M297" s="751"/>
      <c r="N297" s="758"/>
      <c r="O297" s="751"/>
      <c r="P297" s="758"/>
      <c r="Q297" s="742"/>
      <c r="R297" s="2"/>
      <c r="S297" s="2"/>
    </row>
    <row r="298">
      <c r="A298" s="2"/>
      <c r="B298" s="3" t="s">
        <v>987</v>
      </c>
      <c r="C298" s="740" t="s">
        <v>986</v>
      </c>
      <c r="D298" s="3" t="s">
        <v>1986</v>
      </c>
      <c r="E298" s="751"/>
      <c r="F298" s="758"/>
      <c r="G298" s="751"/>
      <c r="H298" s="758"/>
      <c r="I298" s="751"/>
      <c r="J298" s="758"/>
      <c r="K298" s="751"/>
      <c r="L298" s="758"/>
      <c r="M298" s="751"/>
      <c r="N298" s="758"/>
      <c r="O298" s="751"/>
      <c r="P298" s="758"/>
      <c r="Q298" s="742"/>
      <c r="R298" s="2"/>
      <c r="S298" s="2"/>
    </row>
    <row r="299">
      <c r="A299" s="2"/>
      <c r="B299" s="3" t="s">
        <v>1004</v>
      </c>
      <c r="C299" s="740" t="s">
        <v>1003</v>
      </c>
      <c r="D299" s="3" t="s">
        <v>1987</v>
      </c>
      <c r="E299" s="751"/>
      <c r="F299" s="758"/>
      <c r="G299" s="751"/>
      <c r="H299" s="758"/>
      <c r="I299" s="751"/>
      <c r="J299" s="758"/>
      <c r="K299" s="751"/>
      <c r="L299" s="758"/>
      <c r="M299" s="751"/>
      <c r="N299" s="758"/>
      <c r="O299" s="751"/>
      <c r="P299" s="758"/>
      <c r="Q299" s="742"/>
      <c r="R299" s="2"/>
      <c r="S299" s="2"/>
    </row>
    <row r="300">
      <c r="A300" s="2"/>
      <c r="B300" s="3" t="s">
        <v>957</v>
      </c>
      <c r="C300" s="740" t="s">
        <v>956</v>
      </c>
      <c r="D300" s="3" t="s">
        <v>1988</v>
      </c>
      <c r="E300" s="751"/>
      <c r="F300" s="758"/>
      <c r="G300" s="751"/>
      <c r="H300" s="758"/>
      <c r="I300" s="751"/>
      <c r="J300" s="758"/>
      <c r="K300" s="751"/>
      <c r="L300" s="758"/>
      <c r="M300" s="751"/>
      <c r="N300" s="758"/>
      <c r="O300" s="751"/>
      <c r="P300" s="758"/>
      <c r="Q300" s="742"/>
      <c r="R300" s="2"/>
      <c r="S300" s="2"/>
    </row>
    <row r="301">
      <c r="A301" s="2"/>
      <c r="B301" s="3" t="s">
        <v>978</v>
      </c>
      <c r="C301" s="740" t="s">
        <v>976</v>
      </c>
      <c r="D301" s="3" t="s">
        <v>1989</v>
      </c>
      <c r="E301" s="751"/>
      <c r="F301" s="758"/>
      <c r="G301" s="751"/>
      <c r="H301" s="758"/>
      <c r="I301" s="751"/>
      <c r="J301" s="758"/>
      <c r="K301" s="751"/>
      <c r="L301" s="758"/>
      <c r="M301" s="751"/>
      <c r="N301" s="758"/>
      <c r="O301" s="751"/>
      <c r="P301" s="758"/>
      <c r="Q301" s="742"/>
      <c r="R301" s="2"/>
      <c r="S301" s="2"/>
    </row>
    <row r="302">
      <c r="A302" s="2"/>
      <c r="B302" s="3" t="s">
        <v>990</v>
      </c>
      <c r="C302" s="740" t="s">
        <v>989</v>
      </c>
      <c r="D302" s="3" t="s">
        <v>1990</v>
      </c>
      <c r="E302" s="747">
        <v>1.0</v>
      </c>
      <c r="F302" s="758"/>
      <c r="G302" s="747">
        <v>1.0</v>
      </c>
      <c r="H302" s="759">
        <v>1.0</v>
      </c>
      <c r="I302" s="747"/>
      <c r="J302" s="758"/>
      <c r="K302" s="747"/>
      <c r="L302" s="758"/>
      <c r="M302" s="747"/>
      <c r="N302" s="758"/>
      <c r="O302" s="747"/>
      <c r="P302" s="758"/>
      <c r="Q302" s="742"/>
      <c r="R302" s="2"/>
      <c r="S302" s="2"/>
    </row>
    <row r="303">
      <c r="A303" s="2"/>
      <c r="B303" s="3" t="s">
        <v>1020</v>
      </c>
      <c r="C303" s="740" t="s">
        <v>1991</v>
      </c>
      <c r="D303" s="3" t="s">
        <v>1992</v>
      </c>
      <c r="E303" s="751"/>
      <c r="F303" s="758"/>
      <c r="G303" s="751"/>
      <c r="H303" s="758"/>
      <c r="I303" s="747"/>
      <c r="J303" s="759"/>
      <c r="K303" s="751"/>
      <c r="L303" s="758"/>
      <c r="M303" s="751"/>
      <c r="N303" s="758"/>
      <c r="O303" s="751"/>
      <c r="P303" s="758"/>
      <c r="Q303" s="742"/>
      <c r="R303" s="2"/>
      <c r="S303" s="2"/>
    </row>
    <row r="304">
      <c r="A304" s="2"/>
      <c r="B304" s="3" t="s">
        <v>959</v>
      </c>
      <c r="C304" s="740" t="s">
        <v>958</v>
      </c>
      <c r="D304" s="3" t="s">
        <v>1993</v>
      </c>
      <c r="E304" s="747">
        <v>1.0</v>
      </c>
      <c r="F304" s="748"/>
      <c r="G304" s="747">
        <v>2.0</v>
      </c>
      <c r="H304" s="748"/>
      <c r="I304" s="747"/>
      <c r="J304" s="748"/>
      <c r="K304" s="747"/>
      <c r="L304" s="748"/>
      <c r="M304" s="747"/>
      <c r="N304" s="748"/>
      <c r="O304" s="747"/>
      <c r="P304" s="748"/>
      <c r="Q304" s="742"/>
      <c r="R304" s="2"/>
      <c r="S304" s="2"/>
    </row>
    <row r="305">
      <c r="A305" s="2"/>
      <c r="B305" s="3" t="s">
        <v>995</v>
      </c>
      <c r="C305" s="740" t="s">
        <v>994</v>
      </c>
      <c r="D305" s="3" t="s">
        <v>1994</v>
      </c>
      <c r="E305" s="747">
        <v>4.0</v>
      </c>
      <c r="F305" s="759">
        <v>1.0</v>
      </c>
      <c r="G305" s="747">
        <v>3.0</v>
      </c>
      <c r="H305" s="759">
        <v>4.0</v>
      </c>
      <c r="I305" s="747"/>
      <c r="J305" s="759"/>
      <c r="K305" s="747"/>
      <c r="L305" s="759"/>
      <c r="M305" s="747"/>
      <c r="N305" s="759"/>
      <c r="O305" s="747"/>
      <c r="P305" s="759"/>
      <c r="Q305" s="742"/>
      <c r="R305" s="2"/>
      <c r="S305" s="2"/>
    </row>
    <row r="306">
      <c r="A306" s="2"/>
      <c r="B306" s="3" t="s">
        <v>1032</v>
      </c>
      <c r="C306" s="740" t="s">
        <v>1030</v>
      </c>
      <c r="D306" s="3" t="s">
        <v>1995</v>
      </c>
      <c r="E306" s="757"/>
      <c r="F306" s="758"/>
      <c r="G306" s="757"/>
      <c r="H306" s="759">
        <v>2.0</v>
      </c>
      <c r="I306" s="757"/>
      <c r="J306" s="759"/>
      <c r="K306" s="757"/>
      <c r="L306" s="759"/>
      <c r="M306" s="757"/>
      <c r="N306" s="759"/>
      <c r="O306" s="757"/>
      <c r="P306" s="759"/>
      <c r="Q306" s="742"/>
      <c r="R306" s="2"/>
      <c r="S306" s="2"/>
    </row>
    <row r="307">
      <c r="A307" s="2"/>
      <c r="B307" s="2"/>
      <c r="C307" s="740"/>
      <c r="D307" s="740" t="s">
        <v>514</v>
      </c>
      <c r="E307" s="751"/>
      <c r="F307" s="721"/>
      <c r="G307" s="751"/>
      <c r="H307" s="721"/>
      <c r="I307" s="751"/>
      <c r="J307" s="721"/>
      <c r="K307" s="751"/>
      <c r="L307" s="721"/>
      <c r="M307" s="751"/>
      <c r="N307" s="721"/>
      <c r="O307" s="751"/>
      <c r="P307" s="721"/>
      <c r="Q307" s="742"/>
      <c r="R307" s="2"/>
      <c r="S307" s="2"/>
    </row>
    <row r="308">
      <c r="A308" s="2"/>
      <c r="B308" s="3" t="s">
        <v>1038</v>
      </c>
      <c r="C308" s="740" t="s">
        <v>1327</v>
      </c>
      <c r="D308" s="3" t="s">
        <v>1996</v>
      </c>
      <c r="E308" s="751"/>
      <c r="F308" s="758"/>
      <c r="G308" s="751"/>
      <c r="H308" s="758"/>
      <c r="I308" s="751"/>
      <c r="J308" s="758"/>
      <c r="K308" s="751"/>
      <c r="L308" s="758"/>
      <c r="M308" s="751"/>
      <c r="N308" s="758"/>
      <c r="O308" s="751"/>
      <c r="P308" s="758"/>
      <c r="Q308" s="742"/>
      <c r="R308" s="2"/>
      <c r="S308" s="2"/>
    </row>
    <row r="309">
      <c r="A309" s="2"/>
      <c r="B309" s="3" t="s">
        <v>1334</v>
      </c>
      <c r="C309" s="740" t="s">
        <v>1333</v>
      </c>
      <c r="D309" s="3" t="s">
        <v>1997</v>
      </c>
      <c r="E309" s="751"/>
      <c r="F309" s="758"/>
      <c r="G309" s="751"/>
      <c r="H309" s="758"/>
      <c r="I309" s="751"/>
      <c r="J309" s="758"/>
      <c r="K309" s="751"/>
      <c r="L309" s="758"/>
      <c r="M309" s="751"/>
      <c r="N309" s="758"/>
      <c r="O309" s="751"/>
      <c r="P309" s="758"/>
      <c r="Q309" s="742"/>
      <c r="R309" s="2"/>
      <c r="S309" s="2"/>
    </row>
    <row r="310">
      <c r="A310" s="2"/>
      <c r="B310" s="3" t="s">
        <v>1340</v>
      </c>
      <c r="C310" s="740" t="s">
        <v>1339</v>
      </c>
      <c r="D310" s="3" t="s">
        <v>1998</v>
      </c>
      <c r="E310" s="751"/>
      <c r="F310" s="758"/>
      <c r="G310" s="751"/>
      <c r="H310" s="758"/>
      <c r="I310" s="751"/>
      <c r="J310" s="758"/>
      <c r="K310" s="751"/>
      <c r="L310" s="758"/>
      <c r="M310" s="751"/>
      <c r="N310" s="758"/>
      <c r="O310" s="751"/>
      <c r="P310" s="758"/>
      <c r="Q310" s="742"/>
      <c r="R310" s="2"/>
      <c r="S310" s="2"/>
    </row>
    <row r="311">
      <c r="A311" s="2"/>
      <c r="B311" s="3" t="s">
        <v>1349</v>
      </c>
      <c r="C311" s="740" t="s">
        <v>1348</v>
      </c>
      <c r="D311" s="3" t="s">
        <v>1999</v>
      </c>
      <c r="E311" s="751"/>
      <c r="F311" s="758"/>
      <c r="G311" s="751"/>
      <c r="H311" s="758"/>
      <c r="I311" s="751"/>
      <c r="J311" s="758"/>
      <c r="K311" s="751"/>
      <c r="L311" s="758"/>
      <c r="M311" s="751"/>
      <c r="N311" s="758"/>
      <c r="O311" s="751"/>
      <c r="P311" s="758"/>
      <c r="Q311" s="742"/>
      <c r="R311" s="2"/>
      <c r="S311" s="2"/>
    </row>
    <row r="312">
      <c r="A312" s="2"/>
      <c r="B312" s="3" t="s">
        <v>1356</v>
      </c>
      <c r="C312" s="740" t="s">
        <v>1355</v>
      </c>
      <c r="D312" s="3" t="s">
        <v>2000</v>
      </c>
      <c r="E312" s="751"/>
      <c r="F312" s="758"/>
      <c r="G312" s="751"/>
      <c r="H312" s="758"/>
      <c r="I312" s="751"/>
      <c r="J312" s="758"/>
      <c r="K312" s="751"/>
      <c r="L312" s="758"/>
      <c r="M312" s="751"/>
      <c r="N312" s="758"/>
      <c r="O312" s="751"/>
      <c r="P312" s="758"/>
      <c r="Q312" s="742"/>
      <c r="R312" s="2"/>
      <c r="S312" s="2"/>
    </row>
    <row r="313">
      <c r="A313" s="2"/>
      <c r="B313" s="3" t="s">
        <v>1364</v>
      </c>
      <c r="C313" s="740" t="s">
        <v>1363</v>
      </c>
      <c r="D313" s="3" t="s">
        <v>2001</v>
      </c>
      <c r="E313" s="751"/>
      <c r="F313" s="758"/>
      <c r="G313" s="747">
        <v>2.0</v>
      </c>
      <c r="H313" s="759">
        <v>2.0</v>
      </c>
      <c r="I313" s="747"/>
      <c r="J313" s="759"/>
      <c r="K313" s="751"/>
      <c r="L313" s="758"/>
      <c r="M313" s="751"/>
      <c r="N313" s="758"/>
      <c r="O313" s="751"/>
      <c r="P313" s="758"/>
      <c r="Q313" s="742"/>
      <c r="R313" s="2"/>
      <c r="S313" s="2"/>
    </row>
    <row r="314">
      <c r="A314" s="2"/>
      <c r="B314" s="3" t="s">
        <v>1329</v>
      </c>
      <c r="C314" s="740" t="s">
        <v>1328</v>
      </c>
      <c r="D314" s="3" t="s">
        <v>2002</v>
      </c>
      <c r="E314" s="751"/>
      <c r="F314" s="758"/>
      <c r="G314" s="751"/>
      <c r="H314" s="758"/>
      <c r="I314" s="751"/>
      <c r="J314" s="758"/>
      <c r="K314" s="751"/>
      <c r="L314" s="758"/>
      <c r="M314" s="751"/>
      <c r="N314" s="758"/>
      <c r="O314" s="751"/>
      <c r="P314" s="758"/>
      <c r="Q314" s="742"/>
      <c r="R314" s="2"/>
      <c r="S314" s="2"/>
    </row>
    <row r="315">
      <c r="A315" s="2"/>
      <c r="B315" s="3" t="s">
        <v>1336</v>
      </c>
      <c r="C315" s="740" t="s">
        <v>1335</v>
      </c>
      <c r="D315" s="3" t="s">
        <v>2003</v>
      </c>
      <c r="E315" s="751"/>
      <c r="F315" s="758"/>
      <c r="G315" s="751"/>
      <c r="H315" s="758"/>
      <c r="I315" s="751"/>
      <c r="J315" s="758"/>
      <c r="K315" s="751"/>
      <c r="L315" s="758"/>
      <c r="M315" s="751"/>
      <c r="N315" s="758"/>
      <c r="O315" s="751"/>
      <c r="P315" s="758"/>
      <c r="Q315" s="742"/>
      <c r="R315" s="2"/>
      <c r="S315" s="2"/>
    </row>
    <row r="316">
      <c r="A316" s="2"/>
      <c r="B316" s="3" t="s">
        <v>1343</v>
      </c>
      <c r="C316" s="740" t="s">
        <v>1342</v>
      </c>
      <c r="D316" s="3" t="s">
        <v>2004</v>
      </c>
      <c r="E316" s="747">
        <v>1.0</v>
      </c>
      <c r="F316" s="758"/>
      <c r="G316" s="747">
        <v>1.0</v>
      </c>
      <c r="H316" s="759">
        <v>1.0</v>
      </c>
      <c r="I316" s="747"/>
      <c r="J316" s="758"/>
      <c r="K316" s="747"/>
      <c r="L316" s="758"/>
      <c r="M316" s="747"/>
      <c r="N316" s="758"/>
      <c r="O316" s="747"/>
      <c r="P316" s="758"/>
      <c r="Q316" s="742"/>
      <c r="R316" s="2"/>
      <c r="S316" s="2"/>
    </row>
    <row r="317">
      <c r="A317" s="2"/>
      <c r="B317" s="3" t="s">
        <v>1352</v>
      </c>
      <c r="C317" s="740" t="s">
        <v>1351</v>
      </c>
      <c r="D317" s="3" t="s">
        <v>2005</v>
      </c>
      <c r="E317" s="747">
        <v>1.0</v>
      </c>
      <c r="F317" s="758"/>
      <c r="G317" s="747">
        <v>1.0</v>
      </c>
      <c r="H317" s="759">
        <v>1.0</v>
      </c>
      <c r="I317" s="747"/>
      <c r="J317" s="758"/>
      <c r="K317" s="747"/>
      <c r="L317" s="758"/>
      <c r="M317" s="747"/>
      <c r="N317" s="758"/>
      <c r="O317" s="747"/>
      <c r="P317" s="758"/>
      <c r="Q317" s="742"/>
      <c r="R317" s="2"/>
      <c r="S317" s="2"/>
    </row>
    <row r="318">
      <c r="A318" s="2"/>
      <c r="B318" s="3" t="s">
        <v>1358</v>
      </c>
      <c r="C318" s="740" t="s">
        <v>1357</v>
      </c>
      <c r="D318" s="3" t="s">
        <v>2006</v>
      </c>
      <c r="E318" s="751"/>
      <c r="F318" s="758"/>
      <c r="G318" s="751"/>
      <c r="H318" s="758"/>
      <c r="I318" s="751"/>
      <c r="J318" s="758"/>
      <c r="K318" s="751"/>
      <c r="L318" s="758"/>
      <c r="M318" s="751"/>
      <c r="N318" s="758"/>
      <c r="O318" s="751"/>
      <c r="P318" s="758"/>
      <c r="Q318" s="742"/>
      <c r="R318" s="2"/>
      <c r="S318" s="2"/>
    </row>
    <row r="319">
      <c r="A319" s="2"/>
      <c r="B319" s="3" t="s">
        <v>1367</v>
      </c>
      <c r="C319" s="740" t="s">
        <v>1365</v>
      </c>
      <c r="D319" s="3" t="s">
        <v>2007</v>
      </c>
      <c r="E319" s="751"/>
      <c r="F319" s="758"/>
      <c r="G319" s="747">
        <v>2.0</v>
      </c>
      <c r="H319" s="759">
        <v>2.0</v>
      </c>
      <c r="I319" s="747"/>
      <c r="J319" s="759"/>
      <c r="K319" s="747"/>
      <c r="L319" s="758"/>
      <c r="M319" s="747"/>
      <c r="N319" s="758"/>
      <c r="O319" s="747"/>
      <c r="P319" s="758"/>
      <c r="Q319" s="742"/>
      <c r="R319" s="2"/>
      <c r="S319" s="2"/>
    </row>
    <row r="320">
      <c r="A320" s="2"/>
      <c r="B320" s="3" t="s">
        <v>1331</v>
      </c>
      <c r="C320" s="740" t="s">
        <v>1330</v>
      </c>
      <c r="D320" s="3" t="s">
        <v>2008</v>
      </c>
      <c r="E320" s="747">
        <v>1.0</v>
      </c>
      <c r="F320" s="759">
        <v>2.0</v>
      </c>
      <c r="G320" s="747">
        <v>2.0</v>
      </c>
      <c r="H320" s="759">
        <v>2.0</v>
      </c>
      <c r="I320" s="747"/>
      <c r="J320" s="759"/>
      <c r="K320" s="747"/>
      <c r="L320" s="759"/>
      <c r="M320" s="747"/>
      <c r="N320" s="759"/>
      <c r="O320" s="747"/>
      <c r="P320" s="759"/>
      <c r="Q320" s="742"/>
      <c r="R320" s="2"/>
      <c r="S320" s="2"/>
    </row>
    <row r="321">
      <c r="A321" s="2"/>
      <c r="B321" s="3" t="s">
        <v>1346</v>
      </c>
      <c r="C321" s="740" t="s">
        <v>1345</v>
      </c>
      <c r="D321" s="3" t="s">
        <v>2009</v>
      </c>
      <c r="E321" s="747">
        <v>4.0</v>
      </c>
      <c r="F321" s="759">
        <v>3.0</v>
      </c>
      <c r="G321" s="747">
        <v>4.0</v>
      </c>
      <c r="H321" s="759">
        <v>5.0</v>
      </c>
      <c r="I321" s="747"/>
      <c r="J321" s="759"/>
      <c r="K321" s="747"/>
      <c r="L321" s="759"/>
      <c r="M321" s="747"/>
      <c r="N321" s="759"/>
      <c r="O321" s="747"/>
      <c r="P321" s="759"/>
      <c r="Q321" s="742"/>
      <c r="R321" s="2"/>
      <c r="S321" s="2"/>
    </row>
    <row r="322">
      <c r="A322" s="2"/>
      <c r="B322" s="3" t="s">
        <v>1354</v>
      </c>
      <c r="C322" s="740" t="s">
        <v>1353</v>
      </c>
      <c r="D322" s="3" t="s">
        <v>2010</v>
      </c>
      <c r="E322" s="747">
        <v>2.0</v>
      </c>
      <c r="F322" s="759">
        <v>2.0</v>
      </c>
      <c r="G322" s="747">
        <v>2.0</v>
      </c>
      <c r="H322" s="759">
        <v>4.0</v>
      </c>
      <c r="I322" s="747"/>
      <c r="J322" s="759"/>
      <c r="K322" s="747"/>
      <c r="L322" s="759"/>
      <c r="M322" s="747"/>
      <c r="N322" s="759"/>
      <c r="O322" s="747"/>
      <c r="P322" s="759"/>
      <c r="Q322" s="742"/>
      <c r="R322" s="2"/>
      <c r="S322" s="2"/>
    </row>
    <row r="323">
      <c r="A323" s="2"/>
      <c r="B323" s="3" t="s">
        <v>1369</v>
      </c>
      <c r="C323" s="740" t="s">
        <v>1368</v>
      </c>
      <c r="D323" s="3" t="s">
        <v>2011</v>
      </c>
      <c r="E323" s="747">
        <v>1.0</v>
      </c>
      <c r="F323" s="748"/>
      <c r="G323" s="747">
        <v>4.0</v>
      </c>
      <c r="H323" s="759">
        <v>5.0</v>
      </c>
      <c r="I323" s="747"/>
      <c r="J323" s="759"/>
      <c r="K323" s="747"/>
      <c r="L323" s="759"/>
      <c r="M323" s="747"/>
      <c r="N323" s="759"/>
      <c r="O323" s="747"/>
      <c r="P323" s="759"/>
      <c r="Q323" s="742"/>
      <c r="R323" s="2"/>
      <c r="S323" s="2"/>
    </row>
    <row r="324">
      <c r="A324" s="2"/>
      <c r="B324" s="2"/>
      <c r="C324" s="740"/>
      <c r="D324" s="740" t="s">
        <v>487</v>
      </c>
      <c r="E324" s="751"/>
      <c r="F324" s="721"/>
      <c r="G324" s="751"/>
      <c r="H324" s="721"/>
      <c r="I324" s="751"/>
      <c r="J324" s="721"/>
      <c r="K324" s="751"/>
      <c r="L324" s="721"/>
      <c r="M324" s="751"/>
      <c r="N324" s="721"/>
      <c r="O324" s="751"/>
      <c r="P324" s="721"/>
      <c r="Q324" s="742"/>
      <c r="R324" s="2"/>
      <c r="S324" s="2"/>
    </row>
    <row r="325">
      <c r="A325" s="2"/>
      <c r="B325" s="3" t="s">
        <v>1289</v>
      </c>
      <c r="C325" s="740" t="s">
        <v>487</v>
      </c>
      <c r="D325" s="3" t="s">
        <v>2012</v>
      </c>
      <c r="E325" s="751"/>
      <c r="F325" s="758"/>
      <c r="G325" s="751"/>
      <c r="H325" s="758"/>
      <c r="I325" s="751"/>
      <c r="J325" s="758"/>
      <c r="K325" s="751"/>
      <c r="L325" s="758"/>
      <c r="M325" s="751"/>
      <c r="N325" s="758"/>
      <c r="O325" s="751"/>
      <c r="P325" s="758"/>
      <c r="Q325" s="742"/>
      <c r="R325" s="2"/>
      <c r="S325" s="2"/>
    </row>
    <row r="326">
      <c r="A326" s="2"/>
      <c r="B326" s="3" t="s">
        <v>1297</v>
      </c>
      <c r="C326" s="740" t="s">
        <v>1296</v>
      </c>
      <c r="D326" s="3" t="s">
        <v>2013</v>
      </c>
      <c r="E326" s="751"/>
      <c r="F326" s="758"/>
      <c r="G326" s="751"/>
      <c r="H326" s="758"/>
      <c r="I326" s="751"/>
      <c r="J326" s="758"/>
      <c r="K326" s="751"/>
      <c r="L326" s="758"/>
      <c r="M326" s="751"/>
      <c r="N326" s="758"/>
      <c r="O326" s="751"/>
      <c r="P326" s="758"/>
      <c r="Q326" s="742"/>
      <c r="R326" s="2"/>
      <c r="S326" s="2"/>
    </row>
    <row r="327">
      <c r="A327" s="2"/>
      <c r="B327" s="3" t="s">
        <v>1303</v>
      </c>
      <c r="C327" s="740" t="s">
        <v>1302</v>
      </c>
      <c r="D327" s="3" t="s">
        <v>2014</v>
      </c>
      <c r="E327" s="751"/>
      <c r="F327" s="758"/>
      <c r="G327" s="751"/>
      <c r="H327" s="758"/>
      <c r="I327" s="751"/>
      <c r="J327" s="758"/>
      <c r="K327" s="751"/>
      <c r="L327" s="758"/>
      <c r="M327" s="751"/>
      <c r="N327" s="758"/>
      <c r="O327" s="751"/>
      <c r="P327" s="758"/>
      <c r="Q327" s="742"/>
      <c r="R327" s="2"/>
      <c r="S327" s="2"/>
    </row>
    <row r="328">
      <c r="A328" s="2"/>
      <c r="B328" s="3" t="s">
        <v>1312</v>
      </c>
      <c r="C328" s="740" t="s">
        <v>1311</v>
      </c>
      <c r="D328" s="3" t="s">
        <v>2015</v>
      </c>
      <c r="E328" s="751"/>
      <c r="F328" s="758"/>
      <c r="G328" s="751"/>
      <c r="H328" s="758"/>
      <c r="I328" s="751"/>
      <c r="J328" s="758"/>
      <c r="K328" s="751"/>
      <c r="L328" s="758"/>
      <c r="M328" s="751"/>
      <c r="N328" s="758"/>
      <c r="O328" s="751"/>
      <c r="P328" s="758"/>
      <c r="Q328" s="742"/>
      <c r="R328" s="2"/>
      <c r="S328" s="2"/>
    </row>
    <row r="329">
      <c r="A329" s="2"/>
      <c r="B329" s="3" t="s">
        <v>1321</v>
      </c>
      <c r="C329" s="740" t="s">
        <v>1320</v>
      </c>
      <c r="D329" s="3" t="s">
        <v>2016</v>
      </c>
      <c r="E329" s="751"/>
      <c r="F329" s="758"/>
      <c r="G329" s="751"/>
      <c r="H329" s="758"/>
      <c r="I329" s="751"/>
      <c r="J329" s="758"/>
      <c r="K329" s="751"/>
      <c r="L329" s="758"/>
      <c r="M329" s="751"/>
      <c r="N329" s="758"/>
      <c r="O329" s="751"/>
      <c r="P329" s="758"/>
      <c r="Q329" s="742"/>
      <c r="R329" s="2"/>
      <c r="S329" s="2"/>
    </row>
    <row r="330">
      <c r="A330" s="2"/>
      <c r="B330" s="3" t="s">
        <v>1292</v>
      </c>
      <c r="C330" s="740" t="s">
        <v>1291</v>
      </c>
      <c r="D330" s="3" t="s">
        <v>2017</v>
      </c>
      <c r="E330" s="751"/>
      <c r="F330" s="758"/>
      <c r="G330" s="747">
        <v>1.0</v>
      </c>
      <c r="H330" s="758"/>
      <c r="I330" s="751"/>
      <c r="J330" s="758"/>
      <c r="K330" s="751"/>
      <c r="L330" s="758"/>
      <c r="M330" s="751"/>
      <c r="N330" s="758"/>
      <c r="O330" s="751"/>
      <c r="P330" s="758"/>
      <c r="Q330" s="742"/>
      <c r="R330" s="2"/>
      <c r="S330" s="2"/>
    </row>
    <row r="331">
      <c r="A331" s="2"/>
      <c r="B331" s="3" t="s">
        <v>1299</v>
      </c>
      <c r="C331" s="740" t="s">
        <v>1298</v>
      </c>
      <c r="D331" s="3" t="s">
        <v>2018</v>
      </c>
      <c r="E331" s="751"/>
      <c r="F331" s="758"/>
      <c r="G331" s="751"/>
      <c r="H331" s="758"/>
      <c r="I331" s="751"/>
      <c r="J331" s="758"/>
      <c r="K331" s="751"/>
      <c r="L331" s="758"/>
      <c r="M331" s="751"/>
      <c r="N331" s="758"/>
      <c r="O331" s="751"/>
      <c r="P331" s="758"/>
      <c r="Q331" s="742"/>
      <c r="R331" s="2"/>
      <c r="S331" s="2"/>
    </row>
    <row r="332">
      <c r="A332" s="2"/>
      <c r="B332" s="3" t="s">
        <v>1307</v>
      </c>
      <c r="C332" s="740" t="s">
        <v>1306</v>
      </c>
      <c r="D332" s="3" t="s">
        <v>2019</v>
      </c>
      <c r="E332" s="751"/>
      <c r="F332" s="758"/>
      <c r="G332" s="751"/>
      <c r="H332" s="758"/>
      <c r="I332" s="751"/>
      <c r="J332" s="758"/>
      <c r="K332" s="751"/>
      <c r="L332" s="758"/>
      <c r="M332" s="751"/>
      <c r="N332" s="758"/>
      <c r="O332" s="751"/>
      <c r="P332" s="758"/>
      <c r="Q332" s="742"/>
      <c r="R332" s="2"/>
      <c r="S332" s="2"/>
    </row>
    <row r="333">
      <c r="A333" s="2"/>
      <c r="B333" s="3" t="s">
        <v>1316</v>
      </c>
      <c r="C333" s="740" t="s">
        <v>1315</v>
      </c>
      <c r="D333" s="3" t="s">
        <v>2020</v>
      </c>
      <c r="E333" s="751"/>
      <c r="F333" s="759">
        <v>1.0</v>
      </c>
      <c r="G333" s="751"/>
      <c r="H333" s="759">
        <v>2.0</v>
      </c>
      <c r="I333" s="751"/>
      <c r="J333" s="759"/>
      <c r="K333" s="751"/>
      <c r="L333" s="759"/>
      <c r="M333" s="751"/>
      <c r="N333" s="759"/>
      <c r="O333" s="751"/>
      <c r="P333" s="759"/>
      <c r="Q333" s="742"/>
      <c r="R333" s="2"/>
      <c r="S333" s="2"/>
    </row>
    <row r="334">
      <c r="A334" s="2"/>
      <c r="B334" s="3" t="s">
        <v>1323</v>
      </c>
      <c r="C334" s="740" t="s">
        <v>1322</v>
      </c>
      <c r="D334" s="3" t="s">
        <v>2021</v>
      </c>
      <c r="E334" s="751"/>
      <c r="F334" s="758"/>
      <c r="G334" s="751"/>
      <c r="H334" s="758"/>
      <c r="I334" s="751"/>
      <c r="J334" s="758"/>
      <c r="K334" s="751"/>
      <c r="L334" s="758"/>
      <c r="M334" s="751"/>
      <c r="N334" s="758"/>
      <c r="O334" s="751"/>
      <c r="P334" s="758"/>
      <c r="Q334" s="742"/>
      <c r="R334" s="2"/>
      <c r="S334" s="2"/>
    </row>
    <row r="335">
      <c r="A335" s="2"/>
      <c r="B335" s="3" t="s">
        <v>1294</v>
      </c>
      <c r="C335" s="740" t="s">
        <v>1293</v>
      </c>
      <c r="D335" s="3" t="s">
        <v>2022</v>
      </c>
      <c r="E335" s="747">
        <v>1.0</v>
      </c>
      <c r="F335" s="758"/>
      <c r="G335" s="747">
        <v>1.0</v>
      </c>
      <c r="H335" s="759">
        <v>1.0</v>
      </c>
      <c r="I335" s="747"/>
      <c r="J335" s="758"/>
      <c r="K335" s="747"/>
      <c r="L335" s="758"/>
      <c r="M335" s="747"/>
      <c r="N335" s="758"/>
      <c r="O335" s="747"/>
      <c r="P335" s="758"/>
      <c r="Q335" s="742"/>
      <c r="R335" s="2"/>
      <c r="S335" s="2"/>
    </row>
    <row r="336">
      <c r="A336" s="2"/>
      <c r="B336" s="3" t="s">
        <v>1309</v>
      </c>
      <c r="C336" s="740" t="s">
        <v>1308</v>
      </c>
      <c r="D336" s="3" t="s">
        <v>2023</v>
      </c>
      <c r="E336" s="747">
        <v>1.0</v>
      </c>
      <c r="F336" s="759">
        <v>1.0</v>
      </c>
      <c r="G336" s="747">
        <v>1.0</v>
      </c>
      <c r="H336" s="759">
        <v>1.0</v>
      </c>
      <c r="I336" s="747"/>
      <c r="J336" s="759"/>
      <c r="K336" s="747"/>
      <c r="L336" s="759"/>
      <c r="M336" s="747"/>
      <c r="N336" s="759"/>
      <c r="O336" s="747"/>
      <c r="P336" s="759"/>
      <c r="Q336" s="742"/>
      <c r="R336" s="2"/>
      <c r="S336" s="2"/>
    </row>
    <row r="337">
      <c r="A337" s="2"/>
      <c r="B337" s="3" t="s">
        <v>1318</v>
      </c>
      <c r="C337" s="740" t="s">
        <v>1317</v>
      </c>
      <c r="D337" s="3" t="s">
        <v>2024</v>
      </c>
      <c r="E337" s="762"/>
      <c r="F337" s="748"/>
      <c r="G337" s="747">
        <v>2.0</v>
      </c>
      <c r="H337" s="759">
        <v>3.0</v>
      </c>
      <c r="I337" s="747"/>
      <c r="J337" s="759"/>
      <c r="K337" s="747"/>
      <c r="L337" s="758"/>
      <c r="M337" s="747"/>
      <c r="N337" s="758"/>
      <c r="O337" s="747"/>
      <c r="P337" s="758"/>
      <c r="Q337" s="747"/>
      <c r="R337" s="2"/>
      <c r="S337" s="2"/>
    </row>
    <row r="338">
      <c r="A338" s="2"/>
      <c r="B338" s="3" t="s">
        <v>1326</v>
      </c>
      <c r="C338" s="740" t="s">
        <v>1325</v>
      </c>
      <c r="D338" s="3" t="s">
        <v>2025</v>
      </c>
      <c r="E338" s="747">
        <v>1.0</v>
      </c>
      <c r="F338" s="748"/>
      <c r="G338" s="747">
        <v>2.0</v>
      </c>
      <c r="H338" s="759">
        <v>3.0</v>
      </c>
      <c r="I338" s="747"/>
      <c r="J338" s="759"/>
      <c r="K338" s="747"/>
      <c r="L338" s="759"/>
      <c r="M338" s="747"/>
      <c r="N338" s="759"/>
      <c r="O338" s="747"/>
      <c r="P338" s="759"/>
      <c r="Q338" s="742"/>
      <c r="R338" s="2"/>
      <c r="S338" s="2"/>
    </row>
    <row r="339">
      <c r="A339" s="2"/>
      <c r="B339" s="3" t="s">
        <v>1286</v>
      </c>
      <c r="C339" s="740" t="s">
        <v>1285</v>
      </c>
      <c r="D339" s="3" t="s">
        <v>2026</v>
      </c>
      <c r="E339" s="747">
        <v>1.0</v>
      </c>
      <c r="F339" s="758"/>
      <c r="G339" s="747">
        <v>1.0</v>
      </c>
      <c r="H339" s="759">
        <v>1.0</v>
      </c>
      <c r="I339" s="747"/>
      <c r="J339" s="759"/>
      <c r="K339" s="747"/>
      <c r="L339" s="758"/>
      <c r="M339" s="747"/>
      <c r="N339" s="758"/>
      <c r="O339" s="747"/>
      <c r="P339" s="758"/>
      <c r="Q339" s="742"/>
      <c r="R339" s="2"/>
      <c r="S339" s="2"/>
    </row>
    <row r="340">
      <c r="A340" s="2"/>
      <c r="B340" s="3" t="s">
        <v>1281</v>
      </c>
      <c r="C340" s="740" t="s">
        <v>1280</v>
      </c>
      <c r="D340" s="3" t="s">
        <v>2027</v>
      </c>
      <c r="E340" s="751"/>
      <c r="F340" s="758"/>
      <c r="G340" s="747">
        <v>1.0</v>
      </c>
      <c r="H340" s="759">
        <v>2.0</v>
      </c>
      <c r="I340" s="747"/>
      <c r="J340" s="759"/>
      <c r="K340" s="747"/>
      <c r="L340" s="758"/>
      <c r="M340" s="747"/>
      <c r="N340" s="758"/>
      <c r="O340" s="747"/>
      <c r="P340" s="758"/>
      <c r="Q340" s="742"/>
      <c r="R340" s="2"/>
      <c r="S340" s="2"/>
    </row>
    <row r="341">
      <c r="A341" s="2"/>
      <c r="B341" s="3" t="s">
        <v>1288</v>
      </c>
      <c r="C341" s="740" t="s">
        <v>1287</v>
      </c>
      <c r="D341" s="761" t="s">
        <v>2028</v>
      </c>
      <c r="E341" s="762"/>
      <c r="F341" s="748"/>
      <c r="G341" s="747">
        <v>2.0</v>
      </c>
      <c r="H341" s="759">
        <v>3.0</v>
      </c>
      <c r="I341" s="747"/>
      <c r="J341" s="759"/>
      <c r="K341" s="747"/>
      <c r="L341" s="758"/>
      <c r="M341" s="747"/>
      <c r="N341" s="758"/>
      <c r="O341" s="747"/>
      <c r="P341" s="758"/>
      <c r="Q341" s="747"/>
      <c r="R341" s="2"/>
      <c r="S341" s="2"/>
    </row>
    <row r="342">
      <c r="A342" s="2"/>
      <c r="B342" s="2"/>
      <c r="C342" s="740"/>
      <c r="D342" s="740" t="s">
        <v>1123</v>
      </c>
      <c r="E342" s="751"/>
      <c r="F342" s="721"/>
      <c r="G342" s="751"/>
      <c r="H342" s="721"/>
      <c r="I342" s="751"/>
      <c r="J342" s="721"/>
      <c r="K342" s="751"/>
      <c r="L342" s="721"/>
      <c r="M342" s="751"/>
      <c r="N342" s="721"/>
      <c r="O342" s="751"/>
      <c r="P342" s="721"/>
      <c r="Q342" s="742"/>
      <c r="R342" s="2"/>
      <c r="S342" s="2"/>
    </row>
    <row r="343">
      <c r="A343" s="2"/>
      <c r="B343" s="3" t="s">
        <v>1202</v>
      </c>
      <c r="C343" s="740" t="s">
        <v>1200</v>
      </c>
      <c r="D343" s="3" t="s">
        <v>2029</v>
      </c>
      <c r="E343" s="751"/>
      <c r="F343" s="759">
        <v>1.0</v>
      </c>
      <c r="G343" s="747">
        <v>1.0</v>
      </c>
      <c r="H343" s="759">
        <v>2.0</v>
      </c>
      <c r="I343" s="747"/>
      <c r="J343" s="759"/>
      <c r="K343" s="747"/>
      <c r="L343" s="759"/>
      <c r="M343" s="747"/>
      <c r="N343" s="759"/>
      <c r="O343" s="747"/>
      <c r="P343" s="759"/>
      <c r="Q343" s="742"/>
      <c r="R343" s="2"/>
      <c r="S343" s="2"/>
    </row>
    <row r="344">
      <c r="A344" s="2"/>
      <c r="B344" s="3" t="s">
        <v>1215</v>
      </c>
      <c r="C344" s="740" t="s">
        <v>1214</v>
      </c>
      <c r="D344" s="3" t="s">
        <v>2030</v>
      </c>
      <c r="E344" s="757"/>
      <c r="F344" s="758"/>
      <c r="G344" s="762"/>
      <c r="H344" s="759">
        <v>2.0</v>
      </c>
      <c r="I344" s="757"/>
      <c r="J344" s="759"/>
      <c r="K344" s="757"/>
      <c r="L344" s="759"/>
      <c r="M344" s="757"/>
      <c r="N344" s="759"/>
      <c r="O344" s="757"/>
      <c r="P344" s="759"/>
      <c r="Q344" s="742"/>
      <c r="R344" s="2"/>
      <c r="S344" s="2"/>
    </row>
    <row r="345">
      <c r="A345" s="2"/>
      <c r="B345" s="3" t="s">
        <v>1226</v>
      </c>
      <c r="C345" s="740" t="s">
        <v>1225</v>
      </c>
      <c r="D345" s="3" t="s">
        <v>2031</v>
      </c>
      <c r="E345" s="751"/>
      <c r="F345" s="758"/>
      <c r="G345" s="747">
        <v>2.0</v>
      </c>
      <c r="H345" s="759">
        <v>3.0</v>
      </c>
      <c r="I345" s="747"/>
      <c r="J345" s="759"/>
      <c r="K345" s="747"/>
      <c r="L345" s="759"/>
      <c r="M345" s="747"/>
      <c r="N345" s="759"/>
      <c r="O345" s="747"/>
      <c r="P345" s="759"/>
      <c r="Q345" s="742"/>
      <c r="R345" s="2"/>
      <c r="S345" s="2"/>
    </row>
    <row r="346">
      <c r="A346" s="2"/>
      <c r="B346" s="3" t="s">
        <v>1262</v>
      </c>
      <c r="C346" s="740" t="s">
        <v>1260</v>
      </c>
      <c r="D346" s="3" t="s">
        <v>2032</v>
      </c>
      <c r="E346" s="747">
        <v>5.0</v>
      </c>
      <c r="F346" s="759">
        <v>5.0</v>
      </c>
      <c r="G346" s="747">
        <v>4.0</v>
      </c>
      <c r="H346" s="759">
        <v>5.0</v>
      </c>
      <c r="I346" s="747"/>
      <c r="J346" s="759"/>
      <c r="K346" s="747"/>
      <c r="L346" s="759"/>
      <c r="M346" s="747"/>
      <c r="N346" s="759"/>
      <c r="O346" s="747"/>
      <c r="P346" s="759"/>
      <c r="Q346" s="742"/>
      <c r="R346" s="2"/>
      <c r="S346" s="2"/>
    </row>
    <row r="347">
      <c r="A347" s="2"/>
      <c r="B347" s="3" t="s">
        <v>1266</v>
      </c>
      <c r="C347" s="740" t="s">
        <v>1265</v>
      </c>
      <c r="D347" s="3" t="s">
        <v>2033</v>
      </c>
      <c r="E347" s="747">
        <v>3.0</v>
      </c>
      <c r="F347" s="758"/>
      <c r="G347" s="747">
        <v>3.0</v>
      </c>
      <c r="H347" s="759">
        <v>4.0</v>
      </c>
      <c r="I347" s="747"/>
      <c r="J347" s="759"/>
      <c r="K347" s="747"/>
      <c r="L347" s="759"/>
      <c r="M347" s="747"/>
      <c r="N347" s="759"/>
      <c r="O347" s="747"/>
      <c r="P347" s="759"/>
      <c r="Q347" s="742"/>
      <c r="R347" s="2"/>
      <c r="S347" s="2"/>
    </row>
    <row r="348">
      <c r="A348" s="2"/>
      <c r="B348" s="3" t="s">
        <v>1259</v>
      </c>
      <c r="C348" s="740" t="s">
        <v>1258</v>
      </c>
      <c r="D348" s="761" t="s">
        <v>2034</v>
      </c>
      <c r="E348" s="762"/>
      <c r="F348" s="748"/>
      <c r="G348" s="747">
        <v>3.0</v>
      </c>
      <c r="H348" s="759">
        <v>4.0</v>
      </c>
      <c r="I348" s="747"/>
      <c r="J348" s="758"/>
      <c r="K348" s="747"/>
      <c r="L348" s="758"/>
      <c r="M348" s="747"/>
      <c r="N348" s="758"/>
      <c r="O348" s="747"/>
      <c r="P348" s="758"/>
      <c r="Q348" s="747"/>
      <c r="R348" s="2"/>
      <c r="S348" s="2"/>
    </row>
    <row r="349">
      <c r="A349" s="2"/>
      <c r="B349" s="2"/>
      <c r="C349" s="740"/>
      <c r="D349" s="740" t="s">
        <v>2035</v>
      </c>
      <c r="E349" s="751"/>
      <c r="F349" s="721"/>
      <c r="G349" s="751"/>
      <c r="H349" s="721"/>
      <c r="I349" s="751"/>
      <c r="J349" s="721"/>
      <c r="K349" s="751"/>
      <c r="L349" s="721"/>
      <c r="M349" s="751"/>
      <c r="N349" s="721"/>
      <c r="O349" s="751"/>
      <c r="P349" s="721"/>
      <c r="Q349" s="742"/>
      <c r="R349" s="2"/>
      <c r="S349" s="2"/>
    </row>
    <row r="350">
      <c r="A350" s="2"/>
      <c r="B350" s="3" t="s">
        <v>1086</v>
      </c>
      <c r="C350" s="740" t="s">
        <v>1085</v>
      </c>
      <c r="D350" s="3" t="s">
        <v>2036</v>
      </c>
      <c r="E350" s="751"/>
      <c r="F350" s="759">
        <v>1.0</v>
      </c>
      <c r="G350" s="751"/>
      <c r="H350" s="759">
        <v>2.0</v>
      </c>
      <c r="I350" s="751"/>
      <c r="J350" s="759"/>
      <c r="K350" s="751"/>
      <c r="L350" s="759"/>
      <c r="M350" s="751"/>
      <c r="N350" s="759"/>
      <c r="O350" s="751"/>
      <c r="P350" s="759"/>
      <c r="Q350" s="742"/>
      <c r="R350" s="2"/>
      <c r="S350" s="2"/>
    </row>
    <row r="351">
      <c r="A351" s="2"/>
      <c r="B351" s="3" t="s">
        <v>1045</v>
      </c>
      <c r="C351" s="740" t="s">
        <v>1044</v>
      </c>
      <c r="D351" s="3" t="s">
        <v>2037</v>
      </c>
      <c r="E351" s="751"/>
      <c r="F351" s="759">
        <v>1.0</v>
      </c>
      <c r="G351" s="751"/>
      <c r="H351" s="759">
        <v>1.0</v>
      </c>
      <c r="I351" s="751"/>
      <c r="J351" s="759"/>
      <c r="K351" s="751"/>
      <c r="L351" s="759"/>
      <c r="M351" s="751"/>
      <c r="N351" s="759"/>
      <c r="O351" s="751"/>
      <c r="P351" s="759"/>
      <c r="Q351" s="742"/>
      <c r="R351" s="2"/>
      <c r="S351" s="2"/>
    </row>
    <row r="352">
      <c r="A352" s="2"/>
      <c r="B352" s="3" t="s">
        <v>1089</v>
      </c>
      <c r="C352" s="740" t="s">
        <v>1088</v>
      </c>
      <c r="D352" s="3" t="s">
        <v>2038</v>
      </c>
      <c r="E352" s="751"/>
      <c r="F352" s="758"/>
      <c r="G352" s="751"/>
      <c r="H352" s="759">
        <v>2.0</v>
      </c>
      <c r="I352" s="747"/>
      <c r="J352" s="759"/>
      <c r="K352" s="751"/>
      <c r="L352" s="759"/>
      <c r="M352" s="751"/>
      <c r="N352" s="759"/>
      <c r="O352" s="751"/>
      <c r="P352" s="759"/>
      <c r="Q352" s="742"/>
      <c r="R352" s="2"/>
      <c r="S352" s="2"/>
    </row>
    <row r="353">
      <c r="A353" s="2"/>
      <c r="B353" s="3" t="s">
        <v>1061</v>
      </c>
      <c r="C353" s="740" t="s">
        <v>1060</v>
      </c>
      <c r="D353" s="3" t="s">
        <v>2039</v>
      </c>
      <c r="E353" s="747">
        <v>3.0</v>
      </c>
      <c r="F353" s="759">
        <v>3.0</v>
      </c>
      <c r="G353" s="747">
        <v>2.0</v>
      </c>
      <c r="H353" s="759">
        <v>3.0</v>
      </c>
      <c r="I353" s="747"/>
      <c r="J353" s="759"/>
      <c r="K353" s="747"/>
      <c r="L353" s="759"/>
      <c r="M353" s="747"/>
      <c r="N353" s="759"/>
      <c r="O353" s="747"/>
      <c r="P353" s="759"/>
      <c r="Q353" s="742"/>
      <c r="R353" s="2"/>
      <c r="S353" s="2"/>
    </row>
    <row r="354">
      <c r="A354" s="2"/>
      <c r="B354" s="3" t="s">
        <v>1102</v>
      </c>
      <c r="C354" s="740" t="s">
        <v>1101</v>
      </c>
      <c r="D354" s="3" t="s">
        <v>2040</v>
      </c>
      <c r="E354" s="747">
        <v>2.0</v>
      </c>
      <c r="F354" s="759">
        <v>3.0</v>
      </c>
      <c r="G354" s="747">
        <v>2.0</v>
      </c>
      <c r="H354" s="759">
        <v>3.0</v>
      </c>
      <c r="I354" s="747"/>
      <c r="J354" s="759"/>
      <c r="K354" s="747"/>
      <c r="L354" s="759"/>
      <c r="M354" s="747"/>
      <c r="N354" s="759"/>
      <c r="O354" s="747"/>
      <c r="P354" s="759"/>
      <c r="Q354" s="742"/>
      <c r="R354" s="2"/>
      <c r="S354" s="2"/>
    </row>
    <row r="355">
      <c r="A355" s="2"/>
      <c r="B355" s="2"/>
      <c r="C355" s="740"/>
      <c r="D355" s="740" t="s">
        <v>420</v>
      </c>
      <c r="E355" s="751"/>
      <c r="F355" s="721"/>
      <c r="G355" s="751"/>
      <c r="H355" s="721"/>
      <c r="I355" s="751"/>
      <c r="J355" s="721"/>
      <c r="K355" s="751"/>
      <c r="L355" s="721"/>
      <c r="M355" s="751"/>
      <c r="N355" s="721"/>
      <c r="O355" s="751"/>
      <c r="P355" s="721"/>
      <c r="Q355" s="742"/>
      <c r="R355" s="2"/>
      <c r="S355" s="2"/>
    </row>
    <row r="356">
      <c r="A356" s="2"/>
      <c r="B356" s="3" t="s">
        <v>1371</v>
      </c>
      <c r="C356" s="740" t="s">
        <v>1370</v>
      </c>
      <c r="D356" s="3" t="s">
        <v>2041</v>
      </c>
      <c r="E356" s="751"/>
      <c r="F356" s="748"/>
      <c r="G356" s="747">
        <v>1.0</v>
      </c>
      <c r="H356" s="748"/>
      <c r="I356" s="751"/>
      <c r="J356" s="748"/>
      <c r="K356" s="751"/>
      <c r="L356" s="748"/>
      <c r="M356" s="751"/>
      <c r="N356" s="748"/>
      <c r="O356" s="751"/>
      <c r="P356" s="748"/>
      <c r="Q356" s="742"/>
      <c r="R356" s="2"/>
      <c r="S356" s="2"/>
    </row>
    <row r="357">
      <c r="A357" s="2"/>
      <c r="B357" s="3" t="s">
        <v>1382</v>
      </c>
      <c r="C357" s="740" t="s">
        <v>1381</v>
      </c>
      <c r="D357" s="3" t="s">
        <v>2042</v>
      </c>
      <c r="E357" s="751"/>
      <c r="F357" s="748"/>
      <c r="G357" s="751"/>
      <c r="H357" s="748"/>
      <c r="I357" s="751"/>
      <c r="J357" s="748"/>
      <c r="K357" s="751"/>
      <c r="L357" s="748"/>
      <c r="M357" s="751"/>
      <c r="N357" s="748"/>
      <c r="O357" s="751"/>
      <c r="P357" s="748"/>
      <c r="Q357" s="742"/>
      <c r="R357" s="2"/>
      <c r="S357" s="2"/>
    </row>
    <row r="358">
      <c r="A358" s="2"/>
      <c r="B358" s="3" t="s">
        <v>1389</v>
      </c>
      <c r="C358" s="740" t="s">
        <v>1388</v>
      </c>
      <c r="D358" s="3" t="s">
        <v>2043</v>
      </c>
      <c r="E358" s="751"/>
      <c r="F358" s="748"/>
      <c r="G358" s="751"/>
      <c r="H358" s="748"/>
      <c r="I358" s="751"/>
      <c r="J358" s="748"/>
      <c r="K358" s="751"/>
      <c r="L358" s="748"/>
      <c r="M358" s="751"/>
      <c r="N358" s="748"/>
      <c r="O358" s="751"/>
      <c r="P358" s="748"/>
      <c r="Q358" s="742"/>
      <c r="R358" s="2"/>
      <c r="S358" s="2"/>
    </row>
    <row r="359">
      <c r="A359" s="2"/>
      <c r="B359" s="3" t="s">
        <v>1398</v>
      </c>
      <c r="C359" s="740" t="s">
        <v>1397</v>
      </c>
      <c r="D359" s="3" t="s">
        <v>2044</v>
      </c>
      <c r="E359" s="751"/>
      <c r="F359" s="748"/>
      <c r="G359" s="751"/>
      <c r="H359" s="748"/>
      <c r="I359" s="751"/>
      <c r="J359" s="748"/>
      <c r="K359" s="751"/>
      <c r="L359" s="748"/>
      <c r="M359" s="751"/>
      <c r="N359" s="748"/>
      <c r="O359" s="751"/>
      <c r="P359" s="748"/>
      <c r="Q359" s="742"/>
      <c r="R359" s="2"/>
      <c r="S359" s="2"/>
    </row>
    <row r="360">
      <c r="A360" s="2"/>
      <c r="B360" s="3" t="s">
        <v>1404</v>
      </c>
      <c r="C360" s="740" t="s">
        <v>1403</v>
      </c>
      <c r="D360" s="3" t="s">
        <v>2045</v>
      </c>
      <c r="E360" s="751"/>
      <c r="F360" s="748"/>
      <c r="G360" s="751"/>
      <c r="H360" s="748"/>
      <c r="I360" s="751"/>
      <c r="J360" s="748"/>
      <c r="K360" s="751"/>
      <c r="L360" s="748"/>
      <c r="M360" s="751"/>
      <c r="N360" s="748"/>
      <c r="O360" s="751"/>
      <c r="P360" s="748"/>
      <c r="Q360" s="742"/>
      <c r="R360" s="2"/>
      <c r="S360" s="2"/>
    </row>
    <row r="361">
      <c r="A361" s="2"/>
      <c r="B361" s="3" t="s">
        <v>1411</v>
      </c>
      <c r="C361" s="740" t="s">
        <v>1410</v>
      </c>
      <c r="D361" s="3" t="s">
        <v>2046</v>
      </c>
      <c r="E361" s="751"/>
      <c r="F361" s="748"/>
      <c r="G361" s="751"/>
      <c r="H361" s="748"/>
      <c r="I361" s="751"/>
      <c r="J361" s="748"/>
      <c r="K361" s="751"/>
      <c r="L361" s="748"/>
      <c r="M361" s="751"/>
      <c r="N361" s="748"/>
      <c r="O361" s="751"/>
      <c r="P361" s="748"/>
      <c r="Q361" s="742"/>
      <c r="R361" s="2"/>
      <c r="S361" s="2"/>
    </row>
    <row r="362">
      <c r="A362" s="2"/>
      <c r="B362" s="3" t="s">
        <v>1419</v>
      </c>
      <c r="C362" s="740" t="s">
        <v>1418</v>
      </c>
      <c r="D362" s="3" t="s">
        <v>2047</v>
      </c>
      <c r="E362" s="751"/>
      <c r="F362" s="748"/>
      <c r="G362" s="751"/>
      <c r="H362" s="748"/>
      <c r="I362" s="751"/>
      <c r="J362" s="748"/>
      <c r="K362" s="751"/>
      <c r="L362" s="748"/>
      <c r="M362" s="751"/>
      <c r="N362" s="748"/>
      <c r="O362" s="751"/>
      <c r="P362" s="748"/>
      <c r="Q362" s="742"/>
      <c r="R362" s="2"/>
      <c r="S362" s="2"/>
    </row>
    <row r="363">
      <c r="A363" s="2"/>
      <c r="B363" s="3" t="s">
        <v>1425</v>
      </c>
      <c r="C363" s="740" t="s">
        <v>1424</v>
      </c>
      <c r="D363" s="3" t="s">
        <v>2048</v>
      </c>
      <c r="E363" s="751"/>
      <c r="F363" s="748"/>
      <c r="G363" s="747">
        <v>1.0</v>
      </c>
      <c r="H363" s="748"/>
      <c r="I363" s="751"/>
      <c r="J363" s="748"/>
      <c r="K363" s="751"/>
      <c r="L363" s="748"/>
      <c r="M363" s="751"/>
      <c r="N363" s="748"/>
      <c r="O363" s="751"/>
      <c r="P363" s="748"/>
      <c r="Q363" s="742"/>
      <c r="R363" s="2"/>
      <c r="S363" s="2"/>
    </row>
    <row r="364">
      <c r="A364" s="2"/>
      <c r="B364" s="3" t="s">
        <v>1373</v>
      </c>
      <c r="C364" s="740" t="s">
        <v>1372</v>
      </c>
      <c r="D364" s="3" t="s">
        <v>2049</v>
      </c>
      <c r="E364" s="751"/>
      <c r="F364" s="748"/>
      <c r="G364" s="751"/>
      <c r="H364" s="748"/>
      <c r="I364" s="751"/>
      <c r="J364" s="748"/>
      <c r="K364" s="751"/>
      <c r="L364" s="748"/>
      <c r="M364" s="751"/>
      <c r="N364" s="748"/>
      <c r="O364" s="751"/>
      <c r="P364" s="748"/>
      <c r="Q364" s="742"/>
      <c r="R364" s="2"/>
      <c r="S364" s="2"/>
    </row>
    <row r="365">
      <c r="A365" s="2"/>
      <c r="B365" s="3" t="s">
        <v>1384</v>
      </c>
      <c r="C365" s="740" t="s">
        <v>1383</v>
      </c>
      <c r="D365" s="3" t="s">
        <v>2050</v>
      </c>
      <c r="E365" s="751"/>
      <c r="F365" s="748"/>
      <c r="G365" s="751"/>
      <c r="H365" s="748"/>
      <c r="I365" s="751"/>
      <c r="J365" s="748"/>
      <c r="K365" s="751"/>
      <c r="L365" s="748"/>
      <c r="M365" s="751"/>
      <c r="N365" s="748"/>
      <c r="O365" s="751"/>
      <c r="P365" s="748"/>
      <c r="Q365" s="742"/>
      <c r="R365" s="2"/>
      <c r="S365" s="2"/>
    </row>
    <row r="366">
      <c r="A366" s="2"/>
      <c r="B366" s="3" t="s">
        <v>1392</v>
      </c>
      <c r="C366" s="740" t="s">
        <v>1391</v>
      </c>
      <c r="D366" s="3" t="s">
        <v>2051</v>
      </c>
      <c r="E366" s="747">
        <v>2.0</v>
      </c>
      <c r="F366" s="748"/>
      <c r="G366" s="747">
        <v>2.0</v>
      </c>
      <c r="H366" s="748"/>
      <c r="I366" s="747"/>
      <c r="J366" s="748"/>
      <c r="K366" s="747"/>
      <c r="L366" s="748"/>
      <c r="M366" s="747"/>
      <c r="N366" s="748"/>
      <c r="O366" s="747"/>
      <c r="P366" s="748"/>
      <c r="Q366" s="742"/>
      <c r="R366" s="2"/>
      <c r="S366" s="2"/>
    </row>
    <row r="367">
      <c r="A367" s="2"/>
      <c r="B367" s="3" t="s">
        <v>1400</v>
      </c>
      <c r="C367" s="740" t="s">
        <v>1399</v>
      </c>
      <c r="D367" s="3" t="s">
        <v>2052</v>
      </c>
      <c r="E367" s="751"/>
      <c r="F367" s="748"/>
      <c r="G367" s="747">
        <v>2.0</v>
      </c>
      <c r="H367" s="748"/>
      <c r="I367" s="747"/>
      <c r="J367" s="748"/>
      <c r="K367" s="747"/>
      <c r="L367" s="748"/>
      <c r="M367" s="747"/>
      <c r="N367" s="748"/>
      <c r="O367" s="747"/>
      <c r="P367" s="748"/>
      <c r="Q367" s="742"/>
      <c r="R367" s="2"/>
      <c r="S367" s="2"/>
    </row>
    <row r="368">
      <c r="A368" s="2"/>
      <c r="B368" s="3" t="s">
        <v>1406</v>
      </c>
      <c r="C368" s="740" t="s">
        <v>1405</v>
      </c>
      <c r="D368" s="3" t="s">
        <v>2053</v>
      </c>
      <c r="E368" s="747">
        <v>1.0</v>
      </c>
      <c r="F368" s="748"/>
      <c r="G368" s="747">
        <v>1.0</v>
      </c>
      <c r="H368" s="748"/>
      <c r="I368" s="747"/>
      <c r="J368" s="748"/>
      <c r="K368" s="747"/>
      <c r="L368" s="748"/>
      <c r="M368" s="747"/>
      <c r="N368" s="748"/>
      <c r="O368" s="747"/>
      <c r="P368" s="748"/>
      <c r="Q368" s="742"/>
      <c r="R368" s="2"/>
      <c r="S368" s="2"/>
    </row>
    <row r="369">
      <c r="A369" s="2"/>
      <c r="B369" s="3" t="s">
        <v>1414</v>
      </c>
      <c r="C369" s="740" t="s">
        <v>1413</v>
      </c>
      <c r="D369" s="3" t="s">
        <v>2054</v>
      </c>
      <c r="E369" s="751"/>
      <c r="F369" s="748"/>
      <c r="G369" s="751"/>
      <c r="H369" s="748"/>
      <c r="I369" s="751"/>
      <c r="J369" s="748"/>
      <c r="K369" s="751"/>
      <c r="L369" s="748"/>
      <c r="M369" s="751"/>
      <c r="N369" s="748"/>
      <c r="O369" s="751"/>
      <c r="P369" s="748"/>
      <c r="Q369" s="742"/>
      <c r="R369" s="2"/>
      <c r="S369" s="2"/>
    </row>
    <row r="370">
      <c r="A370" s="2"/>
      <c r="B370" s="3" t="s">
        <v>1421</v>
      </c>
      <c r="C370" s="740" t="s">
        <v>1420</v>
      </c>
      <c r="D370" s="3" t="s">
        <v>2055</v>
      </c>
      <c r="E370" s="747">
        <v>2.0</v>
      </c>
      <c r="F370" s="748"/>
      <c r="G370" s="747">
        <v>1.0</v>
      </c>
      <c r="H370" s="748"/>
      <c r="I370" s="747"/>
      <c r="J370" s="748"/>
      <c r="K370" s="747"/>
      <c r="L370" s="748"/>
      <c r="M370" s="747"/>
      <c r="N370" s="748"/>
      <c r="O370" s="747"/>
      <c r="P370" s="748"/>
      <c r="Q370" s="742"/>
      <c r="R370" s="2"/>
      <c r="S370" s="2"/>
    </row>
    <row r="371">
      <c r="A371" s="2"/>
      <c r="B371" s="3" t="s">
        <v>1427</v>
      </c>
      <c r="C371" s="740" t="s">
        <v>1426</v>
      </c>
      <c r="D371" s="3" t="s">
        <v>2056</v>
      </c>
      <c r="E371" s="747">
        <v>3.0</v>
      </c>
      <c r="F371" s="748"/>
      <c r="G371" s="747">
        <v>3.0</v>
      </c>
      <c r="H371" s="748"/>
      <c r="I371" s="747"/>
      <c r="J371" s="748"/>
      <c r="K371" s="747"/>
      <c r="L371" s="748"/>
      <c r="M371" s="747"/>
      <c r="N371" s="748"/>
      <c r="O371" s="747"/>
      <c r="P371" s="748"/>
      <c r="Q371" s="742"/>
      <c r="R371" s="2"/>
      <c r="S371" s="2"/>
    </row>
    <row r="372">
      <c r="A372" s="2"/>
      <c r="B372" s="3" t="s">
        <v>1416</v>
      </c>
      <c r="C372" s="740" t="s">
        <v>1415</v>
      </c>
      <c r="D372" s="3" t="s">
        <v>2057</v>
      </c>
      <c r="E372" s="747">
        <v>3.0</v>
      </c>
      <c r="F372" s="748"/>
      <c r="G372" s="747">
        <v>3.0</v>
      </c>
      <c r="H372" s="748"/>
      <c r="I372" s="747"/>
      <c r="J372" s="748"/>
      <c r="K372" s="747"/>
      <c r="L372" s="748"/>
      <c r="M372" s="747"/>
      <c r="N372" s="748"/>
      <c r="O372" s="747"/>
      <c r="P372" s="748"/>
      <c r="Q372" s="742"/>
      <c r="R372" s="2"/>
      <c r="S372" s="2"/>
    </row>
    <row r="373">
      <c r="A373" s="2"/>
      <c r="B373" s="3" t="s">
        <v>1423</v>
      </c>
      <c r="C373" s="740" t="s">
        <v>1422</v>
      </c>
      <c r="D373" s="3" t="s">
        <v>2058</v>
      </c>
      <c r="E373" s="747">
        <v>1.0</v>
      </c>
      <c r="F373" s="748"/>
      <c r="G373" s="747">
        <v>5.0</v>
      </c>
      <c r="H373" s="748"/>
      <c r="I373" s="747"/>
      <c r="J373" s="748"/>
      <c r="K373" s="747"/>
      <c r="L373" s="748"/>
      <c r="M373" s="747"/>
      <c r="N373" s="748"/>
      <c r="O373" s="747"/>
      <c r="P373" s="748"/>
      <c r="Q373" s="742"/>
      <c r="R373" s="2"/>
      <c r="S373" s="2"/>
    </row>
    <row r="374">
      <c r="A374" s="2"/>
      <c r="B374" s="3" t="s">
        <v>1429</v>
      </c>
      <c r="C374" s="740" t="s">
        <v>1428</v>
      </c>
      <c r="D374" s="3" t="s">
        <v>2059</v>
      </c>
      <c r="E374" s="747">
        <v>9.0</v>
      </c>
      <c r="F374" s="748"/>
      <c r="G374" s="747">
        <v>9.0</v>
      </c>
      <c r="H374" s="748"/>
      <c r="I374" s="747"/>
      <c r="J374" s="748"/>
      <c r="K374" s="747"/>
      <c r="L374" s="748"/>
      <c r="M374" s="747"/>
      <c r="N374" s="748"/>
      <c r="O374" s="747"/>
      <c r="P374" s="748"/>
      <c r="Q374" s="742"/>
      <c r="R374" s="2"/>
      <c r="S374" s="2"/>
    </row>
    <row r="375">
      <c r="A375" s="2"/>
      <c r="B375" s="3" t="s">
        <v>1444</v>
      </c>
      <c r="C375" s="740" t="s">
        <v>1443</v>
      </c>
      <c r="D375" s="3" t="s">
        <v>2060</v>
      </c>
      <c r="E375" s="747">
        <v>3.0</v>
      </c>
      <c r="F375" s="748"/>
      <c r="G375" s="747">
        <v>3.0</v>
      </c>
      <c r="H375" s="748"/>
      <c r="I375" s="747"/>
      <c r="J375" s="748"/>
      <c r="K375" s="747"/>
      <c r="L375" s="748"/>
      <c r="M375" s="747"/>
      <c r="N375" s="748"/>
      <c r="O375" s="747"/>
      <c r="P375" s="748"/>
      <c r="Q375" s="742"/>
      <c r="R375" s="2"/>
      <c r="S375" s="2"/>
    </row>
    <row r="376">
      <c r="A376" s="2"/>
      <c r="B376" s="3" t="s">
        <v>1437</v>
      </c>
      <c r="C376" s="740" t="s">
        <v>1435</v>
      </c>
      <c r="D376" s="3" t="s">
        <v>2061</v>
      </c>
      <c r="E376" s="747">
        <v>1.0</v>
      </c>
      <c r="F376" s="748"/>
      <c r="G376" s="747">
        <v>2.0</v>
      </c>
      <c r="H376" s="748"/>
      <c r="I376" s="747"/>
      <c r="J376" s="748"/>
      <c r="K376" s="747"/>
      <c r="L376" s="748"/>
      <c r="M376" s="747"/>
      <c r="N376" s="748"/>
      <c r="O376" s="747"/>
      <c r="P376" s="748"/>
      <c r="Q376" s="742"/>
      <c r="R376" s="2"/>
      <c r="S376" s="2"/>
    </row>
    <row r="377">
      <c r="A377" s="2"/>
      <c r="B377" s="2"/>
      <c r="C377" s="740"/>
      <c r="D377" s="740" t="s">
        <v>458</v>
      </c>
      <c r="E377" s="751"/>
      <c r="F377" s="721"/>
      <c r="G377" s="751"/>
      <c r="H377" s="721"/>
      <c r="I377" s="751"/>
      <c r="J377" s="721"/>
      <c r="K377" s="751"/>
      <c r="L377" s="721"/>
      <c r="M377" s="751"/>
      <c r="N377" s="721"/>
      <c r="O377" s="751"/>
      <c r="P377" s="721"/>
      <c r="Q377" s="742"/>
      <c r="R377" s="2"/>
      <c r="S377" s="2"/>
    </row>
    <row r="378">
      <c r="A378" s="2"/>
      <c r="B378" s="3" t="s">
        <v>1449</v>
      </c>
      <c r="C378" s="740" t="s">
        <v>1448</v>
      </c>
      <c r="D378" s="3" t="s">
        <v>2062</v>
      </c>
      <c r="E378" s="751"/>
      <c r="F378" s="748"/>
      <c r="G378" s="751"/>
      <c r="H378" s="748"/>
      <c r="I378" s="751"/>
      <c r="J378" s="748"/>
      <c r="K378" s="751"/>
      <c r="L378" s="748"/>
      <c r="M378" s="751"/>
      <c r="N378" s="748"/>
      <c r="O378" s="751"/>
      <c r="P378" s="748"/>
      <c r="Q378" s="742"/>
      <c r="R378" s="2"/>
      <c r="S378" s="2"/>
    </row>
    <row r="379">
      <c r="A379" s="2"/>
      <c r="B379" s="3" t="s">
        <v>1458</v>
      </c>
      <c r="C379" s="740" t="s">
        <v>458</v>
      </c>
      <c r="D379" s="3" t="s">
        <v>2063</v>
      </c>
      <c r="E379" s="751"/>
      <c r="F379" s="748"/>
      <c r="G379" s="751"/>
      <c r="H379" s="748"/>
      <c r="I379" s="751"/>
      <c r="J379" s="748"/>
      <c r="K379" s="751"/>
      <c r="L379" s="748"/>
      <c r="M379" s="751"/>
      <c r="N379" s="748"/>
      <c r="O379" s="751"/>
      <c r="P379" s="748"/>
      <c r="Q379" s="742"/>
      <c r="R379" s="2"/>
      <c r="S379" s="2"/>
    </row>
    <row r="380">
      <c r="A380" s="2"/>
      <c r="B380" s="3" t="s">
        <v>1466</v>
      </c>
      <c r="C380" s="740" t="s">
        <v>1465</v>
      </c>
      <c r="D380" s="3" t="s">
        <v>2064</v>
      </c>
      <c r="E380" s="751"/>
      <c r="F380" s="748"/>
      <c r="G380" s="751"/>
      <c r="H380" s="748"/>
      <c r="I380" s="751"/>
      <c r="J380" s="748"/>
      <c r="K380" s="751"/>
      <c r="L380" s="748"/>
      <c r="M380" s="751"/>
      <c r="N380" s="748"/>
      <c r="O380" s="751"/>
      <c r="P380" s="748"/>
      <c r="Q380" s="742"/>
      <c r="R380" s="2"/>
      <c r="S380" s="2"/>
    </row>
    <row r="381">
      <c r="A381" s="2"/>
      <c r="B381" s="3" t="s">
        <v>1474</v>
      </c>
      <c r="C381" s="740" t="s">
        <v>1473</v>
      </c>
      <c r="D381" s="3" t="s">
        <v>2065</v>
      </c>
      <c r="E381" s="747">
        <v>4.0</v>
      </c>
      <c r="F381" s="748"/>
      <c r="G381" s="747"/>
      <c r="H381" s="748"/>
      <c r="I381" s="747"/>
      <c r="J381" s="748"/>
      <c r="K381" s="747"/>
      <c r="L381" s="748"/>
      <c r="M381" s="747"/>
      <c r="N381" s="748"/>
      <c r="O381" s="747"/>
      <c r="P381" s="748"/>
      <c r="Q381" s="742"/>
      <c r="R381" s="2"/>
      <c r="S381" s="2"/>
    </row>
    <row r="382">
      <c r="A382" s="2"/>
      <c r="B382" s="3" t="s">
        <v>1452</v>
      </c>
      <c r="C382" s="740" t="s">
        <v>1451</v>
      </c>
      <c r="D382" s="3" t="s">
        <v>2066</v>
      </c>
      <c r="E382" s="751"/>
      <c r="F382" s="748"/>
      <c r="G382" s="751"/>
      <c r="H382" s="748"/>
      <c r="I382" s="751"/>
      <c r="J382" s="748"/>
      <c r="K382" s="751"/>
      <c r="L382" s="748"/>
      <c r="M382" s="751"/>
      <c r="N382" s="748"/>
      <c r="O382" s="751"/>
      <c r="P382" s="748"/>
      <c r="Q382" s="742"/>
      <c r="R382" s="2"/>
      <c r="S382" s="2"/>
    </row>
    <row r="383">
      <c r="A383" s="2"/>
      <c r="B383" s="3" t="s">
        <v>1460</v>
      </c>
      <c r="C383" s="740" t="s">
        <v>1459</v>
      </c>
      <c r="D383" s="3" t="s">
        <v>2067</v>
      </c>
      <c r="E383" s="751"/>
      <c r="F383" s="748"/>
      <c r="G383" s="747">
        <v>2.0</v>
      </c>
      <c r="H383" s="748"/>
      <c r="I383" s="747"/>
      <c r="J383" s="748"/>
      <c r="K383" s="751"/>
      <c r="L383" s="748"/>
      <c r="M383" s="751"/>
      <c r="N383" s="748"/>
      <c r="O383" s="751"/>
      <c r="P383" s="748"/>
      <c r="Q383" s="742"/>
      <c r="R383" s="2"/>
      <c r="S383" s="2"/>
    </row>
    <row r="384">
      <c r="A384" s="2"/>
      <c r="B384" s="3" t="s">
        <v>1468</v>
      </c>
      <c r="C384" s="740" t="s">
        <v>1467</v>
      </c>
      <c r="D384" s="3" t="s">
        <v>2068</v>
      </c>
      <c r="E384" s="747">
        <v>3.0</v>
      </c>
      <c r="F384" s="748"/>
      <c r="G384" s="747">
        <v>5.0</v>
      </c>
      <c r="H384" s="748"/>
      <c r="I384" s="747"/>
      <c r="J384" s="748"/>
      <c r="K384" s="747"/>
      <c r="L384" s="748"/>
      <c r="M384" s="747"/>
      <c r="N384" s="748"/>
      <c r="O384" s="747"/>
      <c r="P384" s="748"/>
      <c r="Q384" s="742"/>
      <c r="R384" s="2"/>
      <c r="S384" s="2"/>
    </row>
    <row r="385">
      <c r="A385" s="2"/>
      <c r="B385" s="3" t="s">
        <v>1476</v>
      </c>
      <c r="C385" s="740" t="s">
        <v>1475</v>
      </c>
      <c r="D385" s="3" t="s">
        <v>2069</v>
      </c>
      <c r="E385" s="747">
        <v>1.0</v>
      </c>
      <c r="F385" s="748"/>
      <c r="G385" s="747">
        <v>3.0</v>
      </c>
      <c r="H385" s="748"/>
      <c r="I385" s="747"/>
      <c r="J385" s="748"/>
      <c r="K385" s="747"/>
      <c r="L385" s="748"/>
      <c r="M385" s="747"/>
      <c r="N385" s="748"/>
      <c r="O385" s="747"/>
      <c r="P385" s="748"/>
      <c r="Q385" s="742"/>
      <c r="R385" s="2"/>
      <c r="S385" s="2"/>
    </row>
    <row r="386">
      <c r="A386" s="2"/>
      <c r="B386" s="3" t="s">
        <v>1471</v>
      </c>
      <c r="C386" s="740" t="s">
        <v>1470</v>
      </c>
      <c r="D386" s="3" t="s">
        <v>2070</v>
      </c>
      <c r="E386" s="751"/>
      <c r="F386" s="748"/>
      <c r="G386" s="747">
        <v>3.0</v>
      </c>
      <c r="H386" s="748"/>
      <c r="I386" s="751"/>
      <c r="J386" s="748"/>
      <c r="K386" s="751"/>
      <c r="L386" s="748"/>
      <c r="M386" s="751"/>
      <c r="N386" s="748"/>
      <c r="O386" s="751"/>
      <c r="P386" s="748"/>
      <c r="Q386" s="742"/>
      <c r="R386" s="2"/>
      <c r="S386" s="2"/>
    </row>
    <row r="387">
      <c r="A387" s="2"/>
      <c r="B387" s="3" t="s">
        <v>1478</v>
      </c>
      <c r="C387" s="740" t="s">
        <v>1477</v>
      </c>
      <c r="D387" s="3" t="s">
        <v>2071</v>
      </c>
      <c r="E387" s="751"/>
      <c r="F387" s="748"/>
      <c r="G387" s="747">
        <v>1.0</v>
      </c>
      <c r="H387" s="748"/>
      <c r="I387" s="751"/>
      <c r="J387" s="748"/>
      <c r="K387" s="751"/>
      <c r="L387" s="748"/>
      <c r="M387" s="751"/>
      <c r="N387" s="748"/>
      <c r="O387" s="751"/>
      <c r="P387" s="748"/>
      <c r="Q387" s="742"/>
      <c r="R387" s="2"/>
      <c r="S387" s="2"/>
    </row>
    <row r="388">
      <c r="A388" s="2"/>
      <c r="B388" s="2"/>
      <c r="C388" s="740"/>
      <c r="D388" s="740" t="s">
        <v>634</v>
      </c>
      <c r="E388" s="751"/>
      <c r="F388" s="721"/>
      <c r="G388" s="751"/>
      <c r="H388" s="721"/>
      <c r="I388" s="751"/>
      <c r="J388" s="721"/>
      <c r="K388" s="751"/>
      <c r="L388" s="721"/>
      <c r="M388" s="751"/>
      <c r="N388" s="721"/>
      <c r="O388" s="751"/>
      <c r="P388" s="721"/>
      <c r="Q388" s="742"/>
      <c r="R388" s="2"/>
      <c r="S388" s="2"/>
    </row>
    <row r="389">
      <c r="A389" s="2"/>
      <c r="B389" s="3" t="s">
        <v>1556</v>
      </c>
      <c r="C389" s="740" t="s">
        <v>1555</v>
      </c>
      <c r="D389" s="3" t="s">
        <v>2072</v>
      </c>
      <c r="E389" s="751"/>
      <c r="F389" s="758"/>
      <c r="G389" s="751"/>
      <c r="H389" s="758"/>
      <c r="I389" s="751"/>
      <c r="J389" s="758"/>
      <c r="K389" s="751"/>
      <c r="L389" s="758"/>
      <c r="M389" s="751"/>
      <c r="N389" s="758"/>
      <c r="O389" s="751"/>
      <c r="P389" s="758"/>
      <c r="Q389" s="742"/>
      <c r="R389" s="2"/>
      <c r="S389" s="2"/>
    </row>
    <row r="390">
      <c r="A390" s="2"/>
      <c r="B390" s="3" t="s">
        <v>1567</v>
      </c>
      <c r="C390" s="740" t="s">
        <v>1566</v>
      </c>
      <c r="D390" s="3" t="s">
        <v>2073</v>
      </c>
      <c r="E390" s="751"/>
      <c r="F390" s="758"/>
      <c r="G390" s="751"/>
      <c r="H390" s="758"/>
      <c r="I390" s="751"/>
      <c r="J390" s="758"/>
      <c r="K390" s="751"/>
      <c r="L390" s="758"/>
      <c r="M390" s="751"/>
      <c r="N390" s="758"/>
      <c r="O390" s="751"/>
      <c r="P390" s="758"/>
      <c r="Q390" s="742"/>
      <c r="R390" s="2"/>
      <c r="S390" s="2"/>
    </row>
    <row r="391">
      <c r="A391" s="2"/>
      <c r="B391" s="3" t="s">
        <v>1575</v>
      </c>
      <c r="C391" s="740" t="s">
        <v>1574</v>
      </c>
      <c r="D391" s="3" t="s">
        <v>2074</v>
      </c>
      <c r="E391" s="751"/>
      <c r="F391" s="758"/>
      <c r="G391" s="747">
        <v>2.0</v>
      </c>
      <c r="H391" s="759">
        <v>2.0</v>
      </c>
      <c r="I391" s="747"/>
      <c r="J391" s="759"/>
      <c r="K391" s="751"/>
      <c r="L391" s="758"/>
      <c r="M391" s="751"/>
      <c r="N391" s="758"/>
      <c r="O391" s="751"/>
      <c r="P391" s="758"/>
      <c r="Q391" s="742"/>
      <c r="R391" s="2"/>
      <c r="S391" s="2"/>
    </row>
    <row r="392">
      <c r="A392" s="2"/>
      <c r="B392" s="3" t="s">
        <v>1583</v>
      </c>
      <c r="C392" s="740" t="s">
        <v>1582</v>
      </c>
      <c r="D392" s="3" t="s">
        <v>2075</v>
      </c>
      <c r="E392" s="751"/>
      <c r="F392" s="758"/>
      <c r="G392" s="751"/>
      <c r="H392" s="758"/>
      <c r="I392" s="751"/>
      <c r="J392" s="758"/>
      <c r="K392" s="751"/>
      <c r="L392" s="758"/>
      <c r="M392" s="751"/>
      <c r="N392" s="758"/>
      <c r="O392" s="751"/>
      <c r="P392" s="758"/>
      <c r="Q392" s="742"/>
      <c r="R392" s="2"/>
      <c r="S392" s="2"/>
    </row>
    <row r="393">
      <c r="A393" s="2"/>
      <c r="B393" s="3" t="s">
        <v>1591</v>
      </c>
      <c r="C393" s="740" t="s">
        <v>1590</v>
      </c>
      <c r="D393" s="3" t="s">
        <v>2076</v>
      </c>
      <c r="E393" s="751"/>
      <c r="F393" s="758"/>
      <c r="G393" s="751"/>
      <c r="H393" s="758"/>
      <c r="I393" s="751"/>
      <c r="J393" s="758"/>
      <c r="K393" s="751"/>
      <c r="L393" s="758"/>
      <c r="M393" s="751"/>
      <c r="N393" s="758"/>
      <c r="O393" s="751"/>
      <c r="P393" s="758"/>
      <c r="Q393" s="742"/>
      <c r="R393" s="2"/>
      <c r="S393" s="2"/>
    </row>
    <row r="394">
      <c r="A394" s="2"/>
      <c r="B394" s="3" t="s">
        <v>1558</v>
      </c>
      <c r="C394" s="740" t="s">
        <v>1557</v>
      </c>
      <c r="D394" s="3" t="s">
        <v>2077</v>
      </c>
      <c r="E394" s="751"/>
      <c r="F394" s="758"/>
      <c r="G394" s="751"/>
      <c r="H394" s="758"/>
      <c r="I394" s="751"/>
      <c r="J394" s="758"/>
      <c r="K394" s="751"/>
      <c r="L394" s="758"/>
      <c r="M394" s="751"/>
      <c r="N394" s="758"/>
      <c r="O394" s="751"/>
      <c r="P394" s="758"/>
      <c r="Q394" s="742"/>
      <c r="R394" s="2"/>
      <c r="S394" s="2"/>
    </row>
    <row r="395">
      <c r="A395" s="2"/>
      <c r="B395" s="3" t="s">
        <v>1569</v>
      </c>
      <c r="C395" s="740" t="s">
        <v>1568</v>
      </c>
      <c r="D395" s="3" t="s">
        <v>2078</v>
      </c>
      <c r="E395" s="747">
        <v>1.0</v>
      </c>
      <c r="F395" s="758"/>
      <c r="G395" s="747">
        <v>2.0</v>
      </c>
      <c r="H395" s="759">
        <v>3.0</v>
      </c>
      <c r="I395" s="747"/>
      <c r="J395" s="759"/>
      <c r="K395" s="747"/>
      <c r="L395" s="759"/>
      <c r="M395" s="747"/>
      <c r="N395" s="759"/>
      <c r="O395" s="747"/>
      <c r="P395" s="759"/>
      <c r="Q395" s="742"/>
      <c r="R395" s="2"/>
      <c r="S395" s="2"/>
    </row>
    <row r="396">
      <c r="A396" s="2"/>
      <c r="B396" s="3" t="s">
        <v>1578</v>
      </c>
      <c r="C396" s="740" t="s">
        <v>1576</v>
      </c>
      <c r="D396" s="3" t="s">
        <v>2079</v>
      </c>
      <c r="E396" s="751"/>
      <c r="F396" s="758"/>
      <c r="G396" s="751"/>
      <c r="H396" s="758"/>
      <c r="I396" s="751"/>
      <c r="J396" s="758"/>
      <c r="K396" s="751"/>
      <c r="L396" s="758"/>
      <c r="M396" s="751"/>
      <c r="N396" s="758"/>
      <c r="O396" s="751"/>
      <c r="P396" s="758"/>
      <c r="Q396" s="742"/>
      <c r="R396" s="2"/>
      <c r="S396" s="2"/>
    </row>
    <row r="397">
      <c r="A397" s="2"/>
      <c r="B397" s="3" t="s">
        <v>1586</v>
      </c>
      <c r="C397" s="740" t="s">
        <v>1585</v>
      </c>
      <c r="D397" s="3" t="s">
        <v>2080</v>
      </c>
      <c r="E397" s="751"/>
      <c r="F397" s="758"/>
      <c r="G397" s="751"/>
      <c r="H397" s="758"/>
      <c r="I397" s="751"/>
      <c r="J397" s="758"/>
      <c r="K397" s="751"/>
      <c r="L397" s="758"/>
      <c r="M397" s="751"/>
      <c r="N397" s="758"/>
      <c r="O397" s="751"/>
      <c r="P397" s="758"/>
      <c r="Q397" s="742"/>
      <c r="R397" s="2"/>
      <c r="S397" s="2"/>
    </row>
    <row r="398">
      <c r="A398" s="2"/>
      <c r="B398" s="3" t="s">
        <v>1593</v>
      </c>
      <c r="C398" s="740" t="s">
        <v>1592</v>
      </c>
      <c r="D398" s="3" t="s">
        <v>2081</v>
      </c>
      <c r="E398" s="747">
        <v>1.0</v>
      </c>
      <c r="F398" s="758"/>
      <c r="G398" s="747">
        <v>3.0</v>
      </c>
      <c r="H398" s="759">
        <v>3.0</v>
      </c>
      <c r="I398" s="747"/>
      <c r="J398" s="758"/>
      <c r="K398" s="747"/>
      <c r="L398" s="758"/>
      <c r="M398" s="747"/>
      <c r="N398" s="758"/>
      <c r="O398" s="747"/>
      <c r="P398" s="758"/>
      <c r="Q398" s="742"/>
      <c r="R398" s="2"/>
      <c r="S398" s="2"/>
    </row>
    <row r="399">
      <c r="A399" s="2"/>
      <c r="B399" s="3" t="s">
        <v>1581</v>
      </c>
      <c r="C399" s="740" t="s">
        <v>1580</v>
      </c>
      <c r="D399" s="3" t="s">
        <v>2082</v>
      </c>
      <c r="E399" s="747">
        <v>5.0</v>
      </c>
      <c r="F399" s="759">
        <v>3.0</v>
      </c>
      <c r="G399" s="747">
        <v>2.0</v>
      </c>
      <c r="H399" s="759">
        <v>2.0</v>
      </c>
      <c r="I399" s="747"/>
      <c r="J399" s="759"/>
      <c r="K399" s="747"/>
      <c r="L399" s="759"/>
      <c r="M399" s="747"/>
      <c r="N399" s="759"/>
      <c r="O399" s="747"/>
      <c r="P399" s="759"/>
      <c r="Q399" s="742"/>
      <c r="R399" s="2"/>
      <c r="S399" s="2"/>
    </row>
    <row r="400">
      <c r="A400" s="2"/>
      <c r="B400" s="3" t="s">
        <v>1595</v>
      </c>
      <c r="C400" s="740" t="s">
        <v>1594</v>
      </c>
      <c r="D400" s="3" t="s">
        <v>2083</v>
      </c>
      <c r="E400" s="747">
        <v>5.0</v>
      </c>
      <c r="F400" s="759">
        <v>3.0</v>
      </c>
      <c r="G400" s="747">
        <v>7.0</v>
      </c>
      <c r="H400" s="759">
        <v>7.0</v>
      </c>
      <c r="I400" s="747"/>
      <c r="J400" s="759"/>
      <c r="K400" s="747"/>
      <c r="L400" s="759"/>
      <c r="M400" s="747"/>
      <c r="N400" s="759"/>
      <c r="O400" s="747"/>
      <c r="P400" s="759"/>
      <c r="Q400" s="742"/>
      <c r="R400" s="2"/>
      <c r="S400" s="2"/>
    </row>
    <row r="401">
      <c r="A401" s="2"/>
      <c r="B401" s="3" t="s">
        <v>1588</v>
      </c>
      <c r="C401" s="740" t="s">
        <v>1587</v>
      </c>
      <c r="D401" s="761" t="s">
        <v>2084</v>
      </c>
      <c r="E401" s="762"/>
      <c r="F401" s="748"/>
      <c r="G401" s="747">
        <v>3.0</v>
      </c>
      <c r="H401" s="759">
        <v>3.0</v>
      </c>
      <c r="I401" s="747"/>
      <c r="J401" s="759"/>
      <c r="K401" s="747"/>
      <c r="L401" s="758"/>
      <c r="M401" s="747"/>
      <c r="N401" s="758"/>
      <c r="O401" s="747"/>
      <c r="P401" s="758"/>
      <c r="Q401" s="747"/>
      <c r="R401" s="2"/>
      <c r="S401" s="2"/>
    </row>
    <row r="402">
      <c r="A402" s="2"/>
      <c r="B402" s="2"/>
      <c r="C402" s="740"/>
      <c r="D402" s="740" t="s">
        <v>720</v>
      </c>
      <c r="E402" s="751"/>
      <c r="F402" s="721"/>
      <c r="G402" s="751"/>
      <c r="H402" s="721"/>
      <c r="I402" s="751"/>
      <c r="J402" s="721"/>
      <c r="K402" s="751"/>
      <c r="L402" s="721"/>
      <c r="M402" s="751"/>
      <c r="N402" s="721"/>
      <c r="O402" s="751"/>
      <c r="P402" s="721"/>
      <c r="Q402" s="742"/>
      <c r="R402" s="2"/>
      <c r="S402" s="2"/>
    </row>
    <row r="403">
      <c r="A403" s="2"/>
      <c r="B403" s="3" t="s">
        <v>1601</v>
      </c>
      <c r="C403" s="740" t="s">
        <v>720</v>
      </c>
      <c r="D403" s="3" t="s">
        <v>2085</v>
      </c>
      <c r="E403" s="751"/>
      <c r="F403" s="758"/>
      <c r="G403" s="751"/>
      <c r="H403" s="758"/>
      <c r="I403" s="751"/>
      <c r="J403" s="758"/>
      <c r="K403" s="751"/>
      <c r="L403" s="758"/>
      <c r="M403" s="751"/>
      <c r="N403" s="758"/>
      <c r="O403" s="751"/>
      <c r="P403" s="758"/>
      <c r="Q403" s="742"/>
      <c r="R403" s="2"/>
      <c r="S403" s="2"/>
    </row>
    <row r="404">
      <c r="A404" s="2"/>
      <c r="B404" s="3" t="s">
        <v>1610</v>
      </c>
      <c r="C404" s="740" t="s">
        <v>1609</v>
      </c>
      <c r="D404" s="3" t="s">
        <v>2086</v>
      </c>
      <c r="E404" s="751"/>
      <c r="F404" s="758"/>
      <c r="G404" s="751"/>
      <c r="H404" s="758"/>
      <c r="I404" s="751"/>
      <c r="J404" s="758"/>
      <c r="K404" s="751"/>
      <c r="L404" s="758"/>
      <c r="M404" s="751"/>
      <c r="N404" s="758"/>
      <c r="O404" s="751"/>
      <c r="P404" s="758"/>
      <c r="Q404" s="742"/>
      <c r="R404" s="2"/>
      <c r="S404" s="2"/>
    </row>
    <row r="405">
      <c r="A405" s="2"/>
      <c r="B405" s="3" t="s">
        <v>1616</v>
      </c>
      <c r="C405" s="740" t="s">
        <v>1615</v>
      </c>
      <c r="D405" s="3" t="s">
        <v>2087</v>
      </c>
      <c r="E405" s="751"/>
      <c r="F405" s="758"/>
      <c r="G405" s="747">
        <v>1.0</v>
      </c>
      <c r="H405" s="759">
        <v>1.0</v>
      </c>
      <c r="I405" s="747"/>
      <c r="J405" s="759"/>
      <c r="K405" s="747"/>
      <c r="L405" s="759"/>
      <c r="M405" s="747"/>
      <c r="N405" s="759"/>
      <c r="O405" s="747"/>
      <c r="P405" s="759"/>
      <c r="Q405" s="742"/>
      <c r="R405" s="2"/>
      <c r="S405" s="2"/>
    </row>
    <row r="406">
      <c r="A406" s="2"/>
      <c r="B406" s="3" t="s">
        <v>1622</v>
      </c>
      <c r="C406" s="740" t="s">
        <v>1621</v>
      </c>
      <c r="D406" s="3" t="s">
        <v>2088</v>
      </c>
      <c r="E406" s="751"/>
      <c r="F406" s="758"/>
      <c r="G406" s="751"/>
      <c r="H406" s="758"/>
      <c r="I406" s="751"/>
      <c r="J406" s="758"/>
      <c r="K406" s="751"/>
      <c r="L406" s="758"/>
      <c r="M406" s="751"/>
      <c r="N406" s="758"/>
      <c r="O406" s="751"/>
      <c r="P406" s="758"/>
      <c r="Q406" s="742"/>
      <c r="R406" s="2"/>
      <c r="S406" s="2"/>
    </row>
    <row r="407">
      <c r="A407" s="2"/>
      <c r="B407" s="3" t="s">
        <v>1605</v>
      </c>
      <c r="C407" s="740" t="s">
        <v>1604</v>
      </c>
      <c r="D407" s="3" t="s">
        <v>2089</v>
      </c>
      <c r="E407" s="747">
        <v>1.0</v>
      </c>
      <c r="F407" s="759">
        <v>1.0</v>
      </c>
      <c r="G407" s="747">
        <v>1.0</v>
      </c>
      <c r="H407" s="759">
        <v>1.0</v>
      </c>
      <c r="I407" s="747"/>
      <c r="J407" s="759"/>
      <c r="K407" s="747"/>
      <c r="L407" s="759"/>
      <c r="M407" s="747"/>
      <c r="N407" s="759"/>
      <c r="O407" s="747"/>
      <c r="P407" s="759"/>
      <c r="Q407" s="742"/>
      <c r="R407" s="2"/>
      <c r="S407" s="2"/>
    </row>
    <row r="408">
      <c r="A408" s="2"/>
      <c r="B408" s="3" t="s">
        <v>1612</v>
      </c>
      <c r="C408" s="740" t="s">
        <v>1611</v>
      </c>
      <c r="D408" s="3" t="s">
        <v>2090</v>
      </c>
      <c r="E408" s="751"/>
      <c r="F408" s="758"/>
      <c r="G408" s="747">
        <v>1.0</v>
      </c>
      <c r="H408" s="759">
        <v>1.0</v>
      </c>
      <c r="I408" s="747"/>
      <c r="J408" s="759"/>
      <c r="K408" s="747"/>
      <c r="L408" s="759"/>
      <c r="M408" s="747"/>
      <c r="N408" s="759"/>
      <c r="O408" s="747"/>
      <c r="P408" s="759"/>
      <c r="Q408" s="742"/>
      <c r="R408" s="2"/>
      <c r="S408" s="2"/>
    </row>
    <row r="409">
      <c r="A409" s="2"/>
      <c r="B409" s="3" t="s">
        <v>1618</v>
      </c>
      <c r="C409" s="740" t="s">
        <v>1617</v>
      </c>
      <c r="D409" s="3" t="s">
        <v>2091</v>
      </c>
      <c r="E409" s="747">
        <v>1.0</v>
      </c>
      <c r="F409" s="759">
        <v>1.0</v>
      </c>
      <c r="G409" s="747">
        <v>2.0</v>
      </c>
      <c r="H409" s="759">
        <v>2.0</v>
      </c>
      <c r="I409" s="747"/>
      <c r="J409" s="759"/>
      <c r="K409" s="747"/>
      <c r="L409" s="759"/>
      <c r="M409" s="747"/>
      <c r="N409" s="759"/>
      <c r="O409" s="747"/>
      <c r="P409" s="759"/>
      <c r="Q409" s="742"/>
      <c r="R409" s="2"/>
      <c r="S409" s="2"/>
    </row>
    <row r="410">
      <c r="A410" s="2"/>
      <c r="B410" s="3" t="s">
        <v>1624</v>
      </c>
      <c r="C410" s="740" t="s">
        <v>1623</v>
      </c>
      <c r="D410" s="3" t="s">
        <v>2092</v>
      </c>
      <c r="E410" s="747">
        <v>1.0</v>
      </c>
      <c r="F410" s="758"/>
      <c r="G410" s="747">
        <v>3.0</v>
      </c>
      <c r="H410" s="759">
        <v>3.0</v>
      </c>
      <c r="I410" s="747"/>
      <c r="J410" s="759"/>
      <c r="K410" s="747"/>
      <c r="L410" s="759"/>
      <c r="M410" s="747"/>
      <c r="N410" s="759"/>
      <c r="O410" s="747"/>
      <c r="P410" s="759"/>
      <c r="Q410" s="742"/>
      <c r="R410" s="2"/>
      <c r="S410" s="2"/>
    </row>
    <row r="411">
      <c r="A411" s="2"/>
      <c r="B411" s="3" t="s">
        <v>1620</v>
      </c>
      <c r="C411" s="740" t="s">
        <v>1619</v>
      </c>
      <c r="D411" s="3" t="s">
        <v>2093</v>
      </c>
      <c r="E411" s="747">
        <v>1.0</v>
      </c>
      <c r="F411" s="759">
        <v>1.0</v>
      </c>
      <c r="G411" s="747">
        <v>2.0</v>
      </c>
      <c r="H411" s="759">
        <v>2.0</v>
      </c>
      <c r="I411" s="747"/>
      <c r="J411" s="759"/>
      <c r="K411" s="747"/>
      <c r="L411" s="759"/>
      <c r="M411" s="747"/>
      <c r="N411" s="759"/>
      <c r="O411" s="747"/>
      <c r="P411" s="759"/>
      <c r="Q411" s="742"/>
      <c r="R411" s="2"/>
      <c r="S411" s="2"/>
    </row>
    <row r="412">
      <c r="A412" s="2"/>
      <c r="B412" s="3" t="s">
        <v>1626</v>
      </c>
      <c r="C412" s="740" t="s">
        <v>1625</v>
      </c>
      <c r="D412" s="3" t="s">
        <v>2094</v>
      </c>
      <c r="E412" s="747">
        <v>9.0</v>
      </c>
      <c r="F412" s="759">
        <v>7.0</v>
      </c>
      <c r="G412" s="747">
        <v>9.0</v>
      </c>
      <c r="H412" s="759">
        <v>7.0</v>
      </c>
      <c r="I412" s="747"/>
      <c r="J412" s="759"/>
      <c r="K412" s="747"/>
      <c r="L412" s="759"/>
      <c r="M412" s="747"/>
      <c r="N412" s="759"/>
      <c r="O412" s="747"/>
      <c r="P412" s="759"/>
      <c r="Q412" s="742"/>
      <c r="R412" s="2"/>
      <c r="S412" s="2"/>
    </row>
    <row r="413">
      <c r="A413" s="2"/>
      <c r="B413" s="2"/>
      <c r="C413" s="740"/>
      <c r="D413" s="740" t="s">
        <v>656</v>
      </c>
      <c r="E413" s="751"/>
      <c r="F413" s="721"/>
      <c r="G413" s="751"/>
      <c r="H413" s="721"/>
      <c r="I413" s="751"/>
      <c r="J413" s="721"/>
      <c r="K413" s="751"/>
      <c r="L413" s="721"/>
      <c r="M413" s="751"/>
      <c r="N413" s="721"/>
      <c r="O413" s="751"/>
      <c r="P413" s="721"/>
      <c r="Q413" s="742"/>
      <c r="R413" s="2"/>
      <c r="S413" s="2"/>
    </row>
    <row r="414">
      <c r="A414" s="2"/>
      <c r="B414" s="3" t="s">
        <v>1534</v>
      </c>
      <c r="C414" s="740" t="s">
        <v>656</v>
      </c>
      <c r="D414" s="3" t="s">
        <v>2096</v>
      </c>
      <c r="E414" s="751"/>
      <c r="F414" s="758"/>
      <c r="G414" s="751"/>
      <c r="H414" s="758"/>
      <c r="I414" s="751"/>
      <c r="J414" s="758"/>
      <c r="K414" s="751"/>
      <c r="L414" s="758"/>
      <c r="M414" s="751"/>
      <c r="N414" s="758"/>
      <c r="O414" s="751"/>
      <c r="P414" s="758"/>
      <c r="Q414" s="742"/>
      <c r="R414" s="2"/>
      <c r="S414" s="2"/>
    </row>
    <row r="415">
      <c r="A415" s="2"/>
      <c r="B415" s="3" t="s">
        <v>1543</v>
      </c>
      <c r="C415" s="740" t="s">
        <v>1542</v>
      </c>
      <c r="D415" s="3" t="s">
        <v>2097</v>
      </c>
      <c r="E415" s="751"/>
      <c r="F415" s="758"/>
      <c r="G415" s="751"/>
      <c r="H415" s="758"/>
      <c r="I415" s="751"/>
      <c r="J415" s="758"/>
      <c r="K415" s="751"/>
      <c r="L415" s="758"/>
      <c r="M415" s="751"/>
      <c r="N415" s="758"/>
      <c r="O415" s="751"/>
      <c r="P415" s="758"/>
      <c r="Q415" s="742"/>
      <c r="R415" s="2"/>
      <c r="S415" s="2"/>
    </row>
    <row r="416">
      <c r="A416" s="2"/>
      <c r="B416" s="3" t="s">
        <v>1549</v>
      </c>
      <c r="C416" s="740" t="s">
        <v>1548</v>
      </c>
      <c r="D416" s="3" t="s">
        <v>2098</v>
      </c>
      <c r="E416" s="751"/>
      <c r="F416" s="758"/>
      <c r="G416" s="751"/>
      <c r="H416" s="758"/>
      <c r="I416" s="751"/>
      <c r="J416" s="758"/>
      <c r="K416" s="751"/>
      <c r="L416" s="758"/>
      <c r="M416" s="751"/>
      <c r="N416" s="758"/>
      <c r="O416" s="751"/>
      <c r="P416" s="758"/>
      <c r="Q416" s="742"/>
      <c r="R416" s="2"/>
      <c r="S416" s="2"/>
    </row>
    <row r="417">
      <c r="A417" s="2"/>
      <c r="B417" s="3" t="s">
        <v>1536</v>
      </c>
      <c r="C417" s="740" t="s">
        <v>1535</v>
      </c>
      <c r="D417" s="3" t="s">
        <v>2099</v>
      </c>
      <c r="E417" s="751"/>
      <c r="F417" s="758"/>
      <c r="G417" s="751"/>
      <c r="H417" s="758"/>
      <c r="I417" s="751"/>
      <c r="J417" s="758"/>
      <c r="K417" s="751"/>
      <c r="L417" s="758"/>
      <c r="M417" s="751"/>
      <c r="N417" s="758"/>
      <c r="O417" s="751"/>
      <c r="P417" s="758"/>
      <c r="Q417" s="742"/>
      <c r="R417" s="2"/>
      <c r="S417" s="2"/>
    </row>
    <row r="418">
      <c r="A418" s="2"/>
      <c r="B418" s="3" t="s">
        <v>1545</v>
      </c>
      <c r="C418" s="740" t="s">
        <v>1544</v>
      </c>
      <c r="D418" s="3" t="s">
        <v>2100</v>
      </c>
      <c r="E418" s="747">
        <v>1.0</v>
      </c>
      <c r="F418" s="758"/>
      <c r="G418" s="747">
        <v>1.0</v>
      </c>
      <c r="H418" s="759">
        <v>1.0</v>
      </c>
      <c r="I418" s="747"/>
      <c r="J418" s="758"/>
      <c r="K418" s="747"/>
      <c r="L418" s="758"/>
      <c r="M418" s="747"/>
      <c r="N418" s="758"/>
      <c r="O418" s="747"/>
      <c r="P418" s="758"/>
      <c r="Q418" s="742"/>
      <c r="R418" s="2"/>
      <c r="S418" s="2"/>
    </row>
    <row r="419">
      <c r="A419" s="2"/>
      <c r="B419" s="3" t="s">
        <v>1552</v>
      </c>
      <c r="C419" s="740" t="s">
        <v>1551</v>
      </c>
      <c r="D419" s="3" t="s">
        <v>2101</v>
      </c>
      <c r="E419" s="747">
        <v>3.0</v>
      </c>
      <c r="F419" s="759">
        <v>2.0</v>
      </c>
      <c r="G419" s="747">
        <v>3.0</v>
      </c>
      <c r="H419" s="759">
        <v>2.0</v>
      </c>
      <c r="I419" s="747"/>
      <c r="J419" s="759"/>
      <c r="K419" s="747"/>
      <c r="L419" s="759"/>
      <c r="M419" s="747"/>
      <c r="N419" s="759"/>
      <c r="O419" s="747"/>
      <c r="P419" s="759"/>
      <c r="Q419" s="742"/>
      <c r="R419" s="2"/>
      <c r="S419" s="2"/>
    </row>
    <row r="420">
      <c r="A420" s="2"/>
      <c r="B420" s="744" t="s">
        <v>1538</v>
      </c>
      <c r="C420" s="745" t="s">
        <v>1537</v>
      </c>
      <c r="D420" s="746" t="s">
        <v>2102</v>
      </c>
      <c r="E420" s="747">
        <v>4.0</v>
      </c>
      <c r="F420" s="759">
        <v>2.0</v>
      </c>
      <c r="G420" s="747">
        <v>2.0</v>
      </c>
      <c r="H420" s="759">
        <v>2.0</v>
      </c>
      <c r="I420" s="747"/>
      <c r="J420" s="759"/>
      <c r="K420" s="747"/>
      <c r="L420" s="759"/>
      <c r="M420" s="747"/>
      <c r="N420" s="759"/>
      <c r="O420" s="747"/>
      <c r="P420" s="759"/>
      <c r="Q420" s="742"/>
      <c r="R420" s="2"/>
      <c r="S420" s="2"/>
    </row>
    <row r="421">
      <c r="A421" s="2"/>
      <c r="B421" s="732" t="s">
        <v>1538</v>
      </c>
      <c r="C421" s="760" t="s">
        <v>1537</v>
      </c>
      <c r="D421" s="750" t="s">
        <v>2103</v>
      </c>
      <c r="E421" s="747">
        <v>5.0</v>
      </c>
      <c r="F421" s="759">
        <v>2.0</v>
      </c>
      <c r="G421" s="747">
        <v>2.0</v>
      </c>
      <c r="H421" s="759">
        <v>2.0</v>
      </c>
      <c r="I421" s="747"/>
      <c r="J421" s="759"/>
      <c r="K421" s="747"/>
      <c r="L421" s="759"/>
      <c r="M421" s="747"/>
      <c r="N421" s="759"/>
      <c r="O421" s="747"/>
      <c r="P421" s="759"/>
      <c r="Q421" s="742"/>
      <c r="R421" s="2"/>
      <c r="S421" s="2"/>
    </row>
    <row r="422">
      <c r="A422" s="2"/>
      <c r="B422" s="3" t="s">
        <v>1554</v>
      </c>
      <c r="C422" s="740" t="s">
        <v>1553</v>
      </c>
      <c r="D422" s="3" t="s">
        <v>2104</v>
      </c>
      <c r="E422" s="747">
        <v>3.0</v>
      </c>
      <c r="F422" s="759">
        <v>2.0</v>
      </c>
      <c r="G422" s="747">
        <v>3.0</v>
      </c>
      <c r="H422" s="759">
        <v>3.0</v>
      </c>
      <c r="I422" s="747"/>
      <c r="J422" s="759"/>
      <c r="K422" s="747"/>
      <c r="L422" s="759"/>
      <c r="M422" s="747"/>
      <c r="N422" s="759"/>
      <c r="O422" s="747"/>
      <c r="P422" s="759"/>
      <c r="Q422" s="742"/>
      <c r="R422" s="2"/>
      <c r="S422" s="2"/>
    </row>
    <row r="423">
      <c r="A423" s="2"/>
      <c r="B423" s="3" t="s">
        <v>1547</v>
      </c>
      <c r="C423" s="740" t="s">
        <v>1546</v>
      </c>
      <c r="D423" s="761" t="s">
        <v>2105</v>
      </c>
      <c r="E423" s="762"/>
      <c r="F423" s="748"/>
      <c r="G423" s="747">
        <v>3.0</v>
      </c>
      <c r="H423" s="759">
        <v>3.0</v>
      </c>
      <c r="I423" s="747"/>
      <c r="J423" s="759"/>
      <c r="K423" s="747"/>
      <c r="L423" s="758"/>
      <c r="M423" s="747"/>
      <c r="N423" s="758"/>
      <c r="O423" s="747"/>
      <c r="P423" s="758"/>
      <c r="Q423" s="747"/>
      <c r="R423" s="2"/>
      <c r="S423" s="2"/>
    </row>
    <row r="424">
      <c r="A424" s="2"/>
      <c r="B424" s="2"/>
      <c r="C424" s="740"/>
      <c r="D424" s="740" t="s">
        <v>2106</v>
      </c>
      <c r="E424" s="751"/>
      <c r="F424" s="721"/>
      <c r="G424" s="751"/>
      <c r="H424" s="721"/>
      <c r="I424" s="751"/>
      <c r="J424" s="721"/>
      <c r="K424" s="751"/>
      <c r="L424" s="721"/>
      <c r="M424" s="751"/>
      <c r="N424" s="721"/>
      <c r="O424" s="751"/>
      <c r="P424" s="721"/>
      <c r="Q424" s="742"/>
      <c r="R424" s="2"/>
      <c r="S424" s="2"/>
    </row>
    <row r="425">
      <c r="A425" s="2"/>
      <c r="B425" s="3" t="s">
        <v>1522</v>
      </c>
      <c r="C425" s="740" t="s">
        <v>1521</v>
      </c>
      <c r="D425" s="3" t="s">
        <v>2107</v>
      </c>
      <c r="E425" s="747">
        <v>1.0</v>
      </c>
      <c r="F425" s="758"/>
      <c r="G425" s="747">
        <v>2.0</v>
      </c>
      <c r="H425" s="759">
        <v>2.0</v>
      </c>
      <c r="I425" s="747"/>
      <c r="J425" s="759"/>
      <c r="K425" s="747"/>
      <c r="L425" s="758"/>
      <c r="M425" s="747"/>
      <c r="N425" s="758"/>
      <c r="O425" s="747"/>
      <c r="P425" s="758"/>
      <c r="Q425" s="742"/>
      <c r="R425" s="2"/>
      <c r="S425" s="2"/>
    </row>
    <row r="426">
      <c r="A426" s="2"/>
      <c r="B426" s="3" t="s">
        <v>1493</v>
      </c>
      <c r="C426" s="740" t="s">
        <v>1492</v>
      </c>
      <c r="D426" s="3" t="s">
        <v>2108</v>
      </c>
      <c r="E426" s="747">
        <v>1.0</v>
      </c>
      <c r="F426" s="758"/>
      <c r="G426" s="747">
        <v>1.0</v>
      </c>
      <c r="H426" s="759">
        <v>2.0</v>
      </c>
      <c r="I426" s="747"/>
      <c r="J426" s="758"/>
      <c r="K426" s="747"/>
      <c r="L426" s="758"/>
      <c r="M426" s="747"/>
      <c r="N426" s="758"/>
      <c r="O426" s="747"/>
      <c r="P426" s="758"/>
      <c r="Q426" s="742"/>
      <c r="R426" s="2"/>
      <c r="S426" s="2"/>
    </row>
    <row r="427">
      <c r="A427" s="2"/>
      <c r="B427" s="3" t="s">
        <v>1509</v>
      </c>
      <c r="C427" s="740" t="s">
        <v>1508</v>
      </c>
      <c r="D427" s="3" t="s">
        <v>2109</v>
      </c>
      <c r="E427" s="757"/>
      <c r="F427" s="759">
        <v>1.0</v>
      </c>
      <c r="G427" s="757"/>
      <c r="H427" s="759">
        <v>2.0</v>
      </c>
      <c r="I427" s="757"/>
      <c r="J427" s="759"/>
      <c r="K427" s="757"/>
      <c r="L427" s="759"/>
      <c r="M427" s="757"/>
      <c r="N427" s="759"/>
      <c r="O427" s="757"/>
      <c r="P427" s="759"/>
      <c r="Q427" s="742"/>
      <c r="R427" s="2"/>
      <c r="S427" s="2"/>
    </row>
    <row r="428">
      <c r="A428" s="2"/>
      <c r="B428" s="3" t="s">
        <v>1517</v>
      </c>
      <c r="C428" s="740" t="s">
        <v>1516</v>
      </c>
      <c r="D428" s="3" t="s">
        <v>2110</v>
      </c>
      <c r="E428" s="747">
        <v>1.0</v>
      </c>
      <c r="F428" s="758"/>
      <c r="G428" s="747">
        <v>2.0</v>
      </c>
      <c r="H428" s="759">
        <v>2.0</v>
      </c>
      <c r="I428" s="747"/>
      <c r="J428" s="759"/>
      <c r="K428" s="747"/>
      <c r="L428" s="758"/>
      <c r="M428" s="747"/>
      <c r="N428" s="758"/>
      <c r="O428" s="747"/>
      <c r="P428" s="758"/>
      <c r="Q428" s="742"/>
      <c r="R428" s="2"/>
      <c r="S428" s="2"/>
    </row>
    <row r="429">
      <c r="A429" s="2"/>
      <c r="B429" s="3" t="s">
        <v>1524</v>
      </c>
      <c r="C429" s="740" t="s">
        <v>1523</v>
      </c>
      <c r="D429" s="761" t="s">
        <v>2111</v>
      </c>
      <c r="E429" s="762"/>
      <c r="F429" s="748"/>
      <c r="G429" s="747">
        <v>2.0</v>
      </c>
      <c r="H429" s="759">
        <v>3.0</v>
      </c>
      <c r="I429" s="747"/>
      <c r="J429" s="759"/>
      <c r="K429" s="747"/>
      <c r="L429" s="758"/>
      <c r="M429" s="747"/>
      <c r="N429" s="758"/>
      <c r="O429" s="747"/>
      <c r="P429" s="758"/>
      <c r="Q429" s="747"/>
      <c r="R429" s="2"/>
      <c r="S429" s="2"/>
    </row>
    <row r="430">
      <c r="A430" s="2"/>
      <c r="B430" s="3" t="s">
        <v>1483</v>
      </c>
      <c r="C430" s="740" t="s">
        <v>1482</v>
      </c>
      <c r="D430" s="761" t="s">
        <v>2112</v>
      </c>
      <c r="E430" s="762"/>
      <c r="F430" s="748"/>
      <c r="G430" s="747">
        <v>3.0</v>
      </c>
      <c r="H430" s="759">
        <v>4.0</v>
      </c>
      <c r="I430" s="747"/>
      <c r="J430" s="758"/>
      <c r="K430" s="747"/>
      <c r="L430" s="758"/>
      <c r="M430" s="747"/>
      <c r="N430" s="758"/>
      <c r="O430" s="747"/>
      <c r="P430" s="758"/>
      <c r="Q430" s="747"/>
      <c r="R430" s="2"/>
      <c r="S430" s="2"/>
    </row>
    <row r="431">
      <c r="A431" s="2"/>
      <c r="B431" s="2"/>
      <c r="C431" s="740"/>
      <c r="D431" s="740" t="s">
        <v>698</v>
      </c>
      <c r="E431" s="751"/>
      <c r="F431" s="721"/>
      <c r="G431" s="751"/>
      <c r="H431" s="721"/>
      <c r="I431" s="751"/>
      <c r="J431" s="721"/>
      <c r="K431" s="751"/>
      <c r="L431" s="721"/>
      <c r="M431" s="751"/>
      <c r="N431" s="721"/>
      <c r="O431" s="751"/>
      <c r="P431" s="721"/>
      <c r="Q431" s="742"/>
      <c r="R431" s="2"/>
      <c r="S431" s="2"/>
    </row>
    <row r="432">
      <c r="A432" s="2"/>
      <c r="B432" s="3" t="s">
        <v>1657</v>
      </c>
      <c r="C432" s="740" t="s">
        <v>1656</v>
      </c>
      <c r="D432" s="3" t="s">
        <v>2113</v>
      </c>
      <c r="E432" s="747">
        <v>5.0</v>
      </c>
      <c r="F432" s="759">
        <v>3.0</v>
      </c>
      <c r="G432" s="747">
        <v>5.0</v>
      </c>
      <c r="H432" s="759">
        <v>4.0</v>
      </c>
      <c r="I432" s="747"/>
      <c r="J432" s="759"/>
      <c r="K432" s="747"/>
      <c r="L432" s="759"/>
      <c r="M432" s="747"/>
      <c r="N432" s="759"/>
      <c r="O432" s="747"/>
      <c r="P432" s="759"/>
      <c r="Q432" s="742"/>
      <c r="R432" s="2"/>
      <c r="S432" s="2"/>
    </row>
    <row r="433">
      <c r="A433" s="2"/>
      <c r="B433" s="3" t="s">
        <v>1640</v>
      </c>
      <c r="C433" s="740" t="s">
        <v>1639</v>
      </c>
      <c r="D433" s="3" t="s">
        <v>2114</v>
      </c>
      <c r="E433" s="747">
        <v>9.0</v>
      </c>
      <c r="F433" s="759">
        <v>7.0</v>
      </c>
      <c r="G433" s="747">
        <v>9.0</v>
      </c>
      <c r="H433" s="759">
        <v>7.0</v>
      </c>
      <c r="I433" s="747"/>
      <c r="J433" s="759"/>
      <c r="K433" s="747"/>
      <c r="L433" s="759"/>
      <c r="M433" s="747"/>
      <c r="N433" s="759"/>
      <c r="O433" s="747"/>
      <c r="P433" s="759"/>
      <c r="Q433" s="742"/>
      <c r="R433" s="2"/>
      <c r="S433" s="2"/>
    </row>
    <row r="434">
      <c r="A434" s="2"/>
      <c r="B434" s="3" t="s">
        <v>1660</v>
      </c>
      <c r="C434" s="740" t="s">
        <v>1659</v>
      </c>
      <c r="D434" s="3" t="s">
        <v>2115</v>
      </c>
      <c r="E434" s="747">
        <v>9.0</v>
      </c>
      <c r="F434" s="759">
        <v>7.0</v>
      </c>
      <c r="G434" s="747">
        <v>9.0</v>
      </c>
      <c r="H434" s="759">
        <v>7.0</v>
      </c>
      <c r="I434" s="747"/>
      <c r="J434" s="759"/>
      <c r="K434" s="747"/>
      <c r="L434" s="759"/>
      <c r="M434" s="747"/>
      <c r="N434" s="759"/>
      <c r="O434" s="747"/>
      <c r="P434" s="759"/>
      <c r="Q434" s="742"/>
      <c r="R434" s="2"/>
      <c r="S434" s="2"/>
    </row>
    <row r="435">
      <c r="A435" s="2"/>
      <c r="B435" s="3" t="s">
        <v>1630</v>
      </c>
      <c r="C435" s="740" t="s">
        <v>1629</v>
      </c>
      <c r="D435" s="761" t="s">
        <v>2116</v>
      </c>
      <c r="E435" s="762"/>
      <c r="F435" s="748"/>
      <c r="G435" s="747">
        <v>3.0</v>
      </c>
      <c r="H435" s="759">
        <v>3.0</v>
      </c>
      <c r="I435" s="747"/>
      <c r="J435" s="759"/>
      <c r="K435" s="747"/>
      <c r="L435" s="758"/>
      <c r="M435" s="747"/>
      <c r="N435" s="758"/>
      <c r="O435" s="747"/>
      <c r="P435" s="758"/>
      <c r="Q435" s="747"/>
      <c r="R435" s="2"/>
      <c r="S435" s="2"/>
    </row>
    <row r="436">
      <c r="A436" s="2"/>
      <c r="B436" s="2"/>
      <c r="C436" s="740"/>
      <c r="D436" s="740" t="s">
        <v>2117</v>
      </c>
      <c r="E436" s="751"/>
      <c r="F436" s="721"/>
      <c r="G436" s="751"/>
      <c r="H436" s="721"/>
      <c r="I436" s="751"/>
      <c r="J436" s="721"/>
      <c r="K436" s="751"/>
      <c r="L436" s="721"/>
      <c r="M436" s="751"/>
      <c r="N436" s="721"/>
      <c r="O436" s="751"/>
      <c r="P436" s="721"/>
      <c r="Q436" s="742"/>
      <c r="R436" s="2"/>
      <c r="S436" s="2"/>
    </row>
    <row r="437">
      <c r="A437" s="2"/>
      <c r="B437" s="2"/>
      <c r="C437" s="740"/>
      <c r="D437" s="740" t="s">
        <v>2118</v>
      </c>
      <c r="E437" s="751"/>
      <c r="F437" s="721"/>
      <c r="G437" s="751"/>
      <c r="H437" s="721"/>
      <c r="I437" s="751"/>
      <c r="J437" s="721"/>
      <c r="K437" s="751"/>
      <c r="L437" s="721"/>
      <c r="M437" s="751"/>
      <c r="N437" s="721"/>
      <c r="O437" s="751"/>
      <c r="P437" s="721"/>
      <c r="Q437" s="742"/>
      <c r="R437" s="2"/>
      <c r="S437" s="2"/>
    </row>
    <row r="438">
      <c r="A438" s="2"/>
      <c r="B438" s="744" t="s">
        <v>1710</v>
      </c>
      <c r="C438" s="745" t="s">
        <v>1711</v>
      </c>
      <c r="D438" s="746" t="s">
        <v>2119</v>
      </c>
      <c r="E438" s="747"/>
      <c r="F438" s="748"/>
      <c r="G438" s="747" t="s">
        <v>2120</v>
      </c>
      <c r="H438" s="748"/>
      <c r="I438" s="747"/>
      <c r="J438" s="748"/>
      <c r="K438" s="747"/>
      <c r="L438" s="748"/>
      <c r="M438" s="747"/>
      <c r="N438" s="748"/>
      <c r="O438" s="747"/>
      <c r="P438" s="748"/>
      <c r="Q438" s="742"/>
      <c r="R438" s="2"/>
      <c r="S438" s="2"/>
    </row>
    <row r="439">
      <c r="A439" s="2"/>
      <c r="B439" s="728" t="s">
        <v>1710</v>
      </c>
      <c r="C439" s="749" t="s">
        <v>1711</v>
      </c>
      <c r="D439" s="3" t="s">
        <v>2121</v>
      </c>
      <c r="E439" s="747"/>
      <c r="F439" s="748"/>
      <c r="G439" s="747"/>
      <c r="H439" s="748"/>
      <c r="I439" s="747"/>
      <c r="J439" s="748"/>
      <c r="K439" s="747"/>
      <c r="L439" s="748"/>
      <c r="M439" s="747"/>
      <c r="N439" s="748"/>
      <c r="O439" s="747"/>
      <c r="P439" s="748"/>
      <c r="Q439" s="742"/>
      <c r="R439" s="3"/>
      <c r="S439" s="2"/>
    </row>
    <row r="440">
      <c r="A440" s="2"/>
      <c r="B440" s="728" t="s">
        <v>1710</v>
      </c>
      <c r="C440" s="749" t="s">
        <v>1711</v>
      </c>
      <c r="D440" s="3" t="s">
        <v>2122</v>
      </c>
      <c r="E440" s="747">
        <v>4.0</v>
      </c>
      <c r="F440" s="748"/>
      <c r="G440" s="747">
        <v>4.0</v>
      </c>
      <c r="H440" s="748"/>
      <c r="I440" s="747"/>
      <c r="J440" s="748"/>
      <c r="K440" s="747"/>
      <c r="L440" s="748"/>
      <c r="M440" s="747"/>
      <c r="N440" s="748"/>
      <c r="O440" s="747"/>
      <c r="P440" s="748"/>
      <c r="Q440" s="742"/>
      <c r="R440" s="2"/>
      <c r="S440" s="2"/>
    </row>
    <row r="441">
      <c r="A441" s="2"/>
      <c r="B441" s="728" t="s">
        <v>1710</v>
      </c>
      <c r="C441" s="749" t="s">
        <v>1711</v>
      </c>
      <c r="D441" s="3" t="s">
        <v>2123</v>
      </c>
      <c r="E441" s="751"/>
      <c r="F441" s="748"/>
      <c r="G441" s="751"/>
      <c r="H441" s="748"/>
      <c r="I441" s="751"/>
      <c r="J441" s="748"/>
      <c r="K441" s="751"/>
      <c r="L441" s="748"/>
      <c r="M441" s="751"/>
      <c r="N441" s="748"/>
      <c r="O441" s="751"/>
      <c r="P441" s="748"/>
      <c r="Q441" s="742"/>
      <c r="R441" s="3"/>
      <c r="S441" s="2"/>
    </row>
    <row r="442">
      <c r="A442" s="2"/>
      <c r="B442" s="728" t="s">
        <v>1710</v>
      </c>
      <c r="C442" s="749" t="s">
        <v>1711</v>
      </c>
      <c r="D442" s="3" t="s">
        <v>2124</v>
      </c>
      <c r="E442" s="751"/>
      <c r="F442" s="748"/>
      <c r="G442" s="751"/>
      <c r="H442" s="748"/>
      <c r="I442" s="751"/>
      <c r="J442" s="748"/>
      <c r="K442" s="751"/>
      <c r="L442" s="748"/>
      <c r="M442" s="751"/>
      <c r="N442" s="748"/>
      <c r="O442" s="751"/>
      <c r="P442" s="748"/>
      <c r="Q442" s="742"/>
      <c r="R442" s="3"/>
      <c r="S442" s="2"/>
    </row>
    <row r="443">
      <c r="A443" s="2"/>
      <c r="B443" s="728" t="s">
        <v>1710</v>
      </c>
      <c r="C443" s="749" t="s">
        <v>1711</v>
      </c>
      <c r="D443" s="3" t="s">
        <v>2125</v>
      </c>
      <c r="E443" s="751"/>
      <c r="F443" s="748"/>
      <c r="G443" s="751"/>
      <c r="H443" s="748"/>
      <c r="I443" s="751"/>
      <c r="J443" s="748"/>
      <c r="K443" s="751"/>
      <c r="L443" s="748"/>
      <c r="M443" s="751"/>
      <c r="N443" s="748"/>
      <c r="O443" s="751"/>
      <c r="P443" s="748"/>
      <c r="Q443" s="742"/>
      <c r="R443" s="3"/>
      <c r="S443" s="2"/>
    </row>
    <row r="444">
      <c r="A444" s="2"/>
      <c r="B444" s="728" t="s">
        <v>1710</v>
      </c>
      <c r="C444" s="749" t="s">
        <v>1711</v>
      </c>
      <c r="D444" s="3" t="s">
        <v>2126</v>
      </c>
      <c r="E444" s="747">
        <v>1.0</v>
      </c>
      <c r="F444" s="748"/>
      <c r="G444" s="747" t="s">
        <v>2127</v>
      </c>
      <c r="H444" s="748"/>
      <c r="I444" s="747"/>
      <c r="J444" s="748"/>
      <c r="K444" s="747"/>
      <c r="L444" s="748"/>
      <c r="M444" s="747"/>
      <c r="N444" s="748"/>
      <c r="O444" s="747"/>
      <c r="P444" s="748"/>
      <c r="Q444" s="742"/>
      <c r="R444" s="3"/>
      <c r="S444" s="2"/>
    </row>
    <row r="445">
      <c r="A445" s="2"/>
      <c r="B445" s="728" t="s">
        <v>1710</v>
      </c>
      <c r="C445" s="749" t="s">
        <v>1711</v>
      </c>
      <c r="D445" s="3" t="s">
        <v>2128</v>
      </c>
      <c r="E445" s="751"/>
      <c r="F445" s="748"/>
      <c r="G445" s="751"/>
      <c r="H445" s="748"/>
      <c r="I445" s="751"/>
      <c r="J445" s="748"/>
      <c r="K445" s="751"/>
      <c r="L445" s="748"/>
      <c r="M445" s="751"/>
      <c r="N445" s="748"/>
      <c r="O445" s="751"/>
      <c r="P445" s="748"/>
      <c r="Q445" s="742"/>
      <c r="R445" s="2"/>
      <c r="S445" s="2"/>
    </row>
    <row r="446">
      <c r="A446" s="2"/>
      <c r="B446" s="728" t="s">
        <v>1710</v>
      </c>
      <c r="C446" s="749" t="s">
        <v>1711</v>
      </c>
      <c r="D446" s="3" t="s">
        <v>1711</v>
      </c>
      <c r="E446" s="751"/>
      <c r="F446" s="748"/>
      <c r="G446" s="751"/>
      <c r="H446" s="748"/>
      <c r="I446" s="751"/>
      <c r="J446" s="748"/>
      <c r="K446" s="751"/>
      <c r="L446" s="748"/>
      <c r="M446" s="751"/>
      <c r="N446" s="748"/>
      <c r="O446" s="751"/>
      <c r="P446" s="748"/>
      <c r="Q446" s="742"/>
      <c r="R446" s="2"/>
      <c r="S446" s="2"/>
    </row>
    <row r="447">
      <c r="A447" s="2"/>
      <c r="B447" s="732" t="s">
        <v>1710</v>
      </c>
      <c r="C447" s="749" t="s">
        <v>1711</v>
      </c>
      <c r="D447" s="750" t="s">
        <v>2129</v>
      </c>
      <c r="E447" s="751"/>
      <c r="F447" s="748"/>
      <c r="G447" s="751"/>
      <c r="H447" s="748"/>
      <c r="I447" s="751"/>
      <c r="J447" s="748"/>
      <c r="K447" s="751"/>
      <c r="L447" s="748"/>
      <c r="M447" s="751"/>
      <c r="N447" s="748"/>
      <c r="O447" s="751"/>
      <c r="P447" s="748"/>
      <c r="Q447" s="742"/>
      <c r="R447" s="2"/>
      <c r="S447" s="2"/>
    </row>
    <row r="448">
      <c r="A448" s="2"/>
      <c r="B448" s="744" t="s">
        <v>1721</v>
      </c>
      <c r="C448" s="745" t="s">
        <v>1722</v>
      </c>
      <c r="D448" s="746" t="s">
        <v>2130</v>
      </c>
      <c r="E448" s="757"/>
      <c r="F448" s="748"/>
      <c r="G448" s="747">
        <v>2.0</v>
      </c>
      <c r="H448" s="748"/>
      <c r="I448" s="747"/>
      <c r="J448" s="748"/>
      <c r="K448" s="747"/>
      <c r="L448" s="748"/>
      <c r="M448" s="747"/>
      <c r="N448" s="748"/>
      <c r="O448" s="747"/>
      <c r="P448" s="748"/>
      <c r="Q448" s="742"/>
      <c r="R448" s="2"/>
      <c r="S448" s="2"/>
    </row>
    <row r="449">
      <c r="A449" s="2"/>
      <c r="B449" s="728" t="s">
        <v>1721</v>
      </c>
      <c r="C449" s="749" t="s">
        <v>1722</v>
      </c>
      <c r="D449" s="3" t="s">
        <v>2131</v>
      </c>
      <c r="E449" s="751"/>
      <c r="F449" s="748"/>
      <c r="G449" s="751"/>
      <c r="H449" s="748"/>
      <c r="I449" s="751"/>
      <c r="J449" s="748"/>
      <c r="K449" s="751"/>
      <c r="L449" s="748"/>
      <c r="M449" s="751"/>
      <c r="N449" s="748"/>
      <c r="O449" s="751"/>
      <c r="P449" s="748"/>
      <c r="Q449" s="742"/>
      <c r="R449" s="2"/>
      <c r="S449" s="2"/>
    </row>
    <row r="450">
      <c r="A450" s="2"/>
      <c r="B450" s="728" t="s">
        <v>1721</v>
      </c>
      <c r="C450" s="749" t="s">
        <v>1722</v>
      </c>
      <c r="D450" s="3" t="s">
        <v>1722</v>
      </c>
      <c r="E450" s="751"/>
      <c r="F450" s="748"/>
      <c r="G450" s="751"/>
      <c r="H450" s="748"/>
      <c r="I450" s="751"/>
      <c r="J450" s="748"/>
      <c r="K450" s="751"/>
      <c r="L450" s="748"/>
      <c r="M450" s="751"/>
      <c r="N450" s="748"/>
      <c r="O450" s="751"/>
      <c r="P450" s="748"/>
      <c r="Q450" s="742"/>
      <c r="R450" s="2"/>
      <c r="S450" s="2"/>
    </row>
    <row r="451">
      <c r="A451" s="2"/>
      <c r="B451" s="732" t="s">
        <v>1721</v>
      </c>
      <c r="C451" s="749" t="s">
        <v>1722</v>
      </c>
      <c r="D451" s="750" t="s">
        <v>2132</v>
      </c>
      <c r="E451" s="751"/>
      <c r="F451" s="748"/>
      <c r="G451" s="751"/>
      <c r="H451" s="748"/>
      <c r="I451" s="751"/>
      <c r="J451" s="748"/>
      <c r="K451" s="751"/>
      <c r="L451" s="748"/>
      <c r="M451" s="751"/>
      <c r="N451" s="748"/>
      <c r="O451" s="751"/>
      <c r="P451" s="748"/>
      <c r="Q451" s="742"/>
      <c r="R451" s="2"/>
      <c r="S451" s="2"/>
    </row>
    <row r="452">
      <c r="A452" s="2"/>
      <c r="B452" s="744" t="s">
        <v>621</v>
      </c>
      <c r="C452" s="745" t="s">
        <v>620</v>
      </c>
      <c r="D452" s="746" t="s">
        <v>2133</v>
      </c>
      <c r="E452" s="751"/>
      <c r="F452" s="748"/>
      <c r="G452" s="751"/>
      <c r="H452" s="759"/>
      <c r="I452" s="751"/>
      <c r="J452" s="759"/>
      <c r="K452" s="751"/>
      <c r="L452" s="759"/>
      <c r="M452" s="751"/>
      <c r="N452" s="759"/>
      <c r="O452" s="751"/>
      <c r="P452" s="759"/>
      <c r="Q452" s="742"/>
      <c r="R452" s="2"/>
      <c r="S452" s="2"/>
    </row>
    <row r="453">
      <c r="A453" s="2"/>
      <c r="B453" s="732" t="s">
        <v>621</v>
      </c>
      <c r="C453" s="760" t="s">
        <v>620</v>
      </c>
      <c r="D453" s="750" t="s">
        <v>2134</v>
      </c>
      <c r="E453" s="751"/>
      <c r="F453" s="748"/>
      <c r="G453" s="751"/>
      <c r="H453" s="759"/>
      <c r="I453" s="751"/>
      <c r="J453" s="759"/>
      <c r="K453" s="751"/>
      <c r="L453" s="759"/>
      <c r="M453" s="751"/>
      <c r="N453" s="759"/>
      <c r="O453" s="751"/>
      <c r="P453" s="759"/>
      <c r="Q453" s="742"/>
      <c r="R453" s="2"/>
      <c r="S453" s="2"/>
    </row>
    <row r="454">
      <c r="A454" s="2"/>
      <c r="B454" s="744" t="s">
        <v>837</v>
      </c>
      <c r="C454" s="745" t="s">
        <v>835</v>
      </c>
      <c r="D454" s="746" t="s">
        <v>2135</v>
      </c>
      <c r="E454" s="751"/>
      <c r="F454" s="748"/>
      <c r="G454" s="751"/>
      <c r="H454" s="759"/>
      <c r="I454" s="751"/>
      <c r="J454" s="759"/>
      <c r="K454" s="751"/>
      <c r="L454" s="759"/>
      <c r="M454" s="751"/>
      <c r="N454" s="759"/>
      <c r="O454" s="751"/>
      <c r="P454" s="759"/>
      <c r="Q454" s="742"/>
      <c r="R454" s="2"/>
      <c r="S454" s="2"/>
    </row>
    <row r="455">
      <c r="A455" s="2"/>
      <c r="B455" s="732" t="s">
        <v>837</v>
      </c>
      <c r="C455" s="760" t="s">
        <v>835</v>
      </c>
      <c r="D455" s="750" t="s">
        <v>2136</v>
      </c>
      <c r="E455" s="751"/>
      <c r="F455" s="748"/>
      <c r="G455" s="751"/>
      <c r="H455" s="759"/>
      <c r="I455" s="751"/>
      <c r="J455" s="759"/>
      <c r="K455" s="751"/>
      <c r="L455" s="759"/>
      <c r="M455" s="751"/>
      <c r="N455" s="759"/>
      <c r="O455" s="751"/>
      <c r="P455" s="759"/>
      <c r="Q455" s="742"/>
      <c r="R455" s="2"/>
      <c r="S455" s="2"/>
    </row>
    <row r="456">
      <c r="A456" s="2"/>
      <c r="B456" s="744" t="s">
        <v>795</v>
      </c>
      <c r="C456" s="745" t="s">
        <v>794</v>
      </c>
      <c r="D456" s="746" t="s">
        <v>2137</v>
      </c>
      <c r="E456" s="751"/>
      <c r="F456" s="748"/>
      <c r="G456" s="751"/>
      <c r="H456" s="759"/>
      <c r="I456" s="751"/>
      <c r="J456" s="759"/>
      <c r="K456" s="751"/>
      <c r="L456" s="759"/>
      <c r="M456" s="751"/>
      <c r="N456" s="759"/>
      <c r="O456" s="751"/>
      <c r="P456" s="759"/>
      <c r="Q456" s="742"/>
      <c r="R456" s="2"/>
      <c r="S456" s="2"/>
    </row>
    <row r="457">
      <c r="A457" s="2"/>
      <c r="B457" s="732" t="s">
        <v>795</v>
      </c>
      <c r="C457" s="760" t="s">
        <v>794</v>
      </c>
      <c r="D457" s="750" t="s">
        <v>2138</v>
      </c>
      <c r="E457" s="751"/>
      <c r="F457" s="748"/>
      <c r="G457" s="751"/>
      <c r="H457" s="759"/>
      <c r="I457" s="751"/>
      <c r="J457" s="759"/>
      <c r="K457" s="751"/>
      <c r="L457" s="759"/>
      <c r="M457" s="751"/>
      <c r="N457" s="759"/>
      <c r="O457" s="751"/>
      <c r="P457" s="759"/>
      <c r="Q457" s="742"/>
      <c r="R457" s="2"/>
      <c r="S457" s="2"/>
    </row>
    <row r="458">
      <c r="A458" s="2"/>
      <c r="B458" s="744" t="s">
        <v>551</v>
      </c>
      <c r="C458" s="745" t="s">
        <v>550</v>
      </c>
      <c r="D458" s="746" t="s">
        <v>2139</v>
      </c>
      <c r="E458" s="751"/>
      <c r="F458" s="748"/>
      <c r="G458" s="751"/>
      <c r="H458" s="759"/>
      <c r="I458" s="751"/>
      <c r="J458" s="759"/>
      <c r="K458" s="751"/>
      <c r="L458" s="759"/>
      <c r="M458" s="751"/>
      <c r="N458" s="759"/>
      <c r="O458" s="751"/>
      <c r="P458" s="759"/>
      <c r="Q458" s="742"/>
      <c r="R458" s="2"/>
      <c r="S458" s="2"/>
    </row>
    <row r="459">
      <c r="A459" s="2"/>
      <c r="B459" s="732" t="s">
        <v>551</v>
      </c>
      <c r="C459" s="760" t="s">
        <v>550</v>
      </c>
      <c r="D459" s="750" t="s">
        <v>2141</v>
      </c>
      <c r="E459" s="751"/>
      <c r="F459" s="748"/>
      <c r="G459" s="751"/>
      <c r="H459" s="759"/>
      <c r="I459" s="751"/>
      <c r="J459" s="759"/>
      <c r="K459" s="751"/>
      <c r="L459" s="759"/>
      <c r="M459" s="751"/>
      <c r="N459" s="759"/>
      <c r="O459" s="751"/>
      <c r="P459" s="759"/>
      <c r="Q459" s="742"/>
      <c r="R459" s="2"/>
      <c r="S459" s="2"/>
    </row>
    <row r="460">
      <c r="A460" s="2"/>
      <c r="B460" s="744" t="s">
        <v>787</v>
      </c>
      <c r="C460" s="745" t="s">
        <v>786</v>
      </c>
      <c r="D460" s="746" t="s">
        <v>2142</v>
      </c>
      <c r="E460" s="751"/>
      <c r="F460" s="748"/>
      <c r="G460" s="751"/>
      <c r="H460" s="759"/>
      <c r="I460" s="751"/>
      <c r="J460" s="759"/>
      <c r="K460" s="751"/>
      <c r="L460" s="759"/>
      <c r="M460" s="751"/>
      <c r="N460" s="759"/>
      <c r="O460" s="751"/>
      <c r="P460" s="759"/>
      <c r="Q460" s="742"/>
      <c r="R460" s="2"/>
      <c r="S460" s="2"/>
    </row>
    <row r="461">
      <c r="A461" s="2"/>
      <c r="B461" s="732" t="s">
        <v>787</v>
      </c>
      <c r="C461" s="760" t="s">
        <v>786</v>
      </c>
      <c r="D461" s="750" t="s">
        <v>2143</v>
      </c>
      <c r="E461" s="751"/>
      <c r="F461" s="748"/>
      <c r="G461" s="751"/>
      <c r="H461" s="759"/>
      <c r="I461" s="751"/>
      <c r="J461" s="759"/>
      <c r="K461" s="751"/>
      <c r="L461" s="759"/>
      <c r="M461" s="751"/>
      <c r="N461" s="759"/>
      <c r="O461" s="751"/>
      <c r="P461" s="759"/>
      <c r="Q461" s="742"/>
      <c r="R461" s="2"/>
      <c r="S461" s="2"/>
    </row>
    <row r="462">
      <c r="A462" s="2"/>
      <c r="B462" s="744" t="s">
        <v>876</v>
      </c>
      <c r="C462" s="745" t="s">
        <v>875</v>
      </c>
      <c r="D462" s="746" t="s">
        <v>2144</v>
      </c>
      <c r="E462" s="747">
        <v>1.0</v>
      </c>
      <c r="F462" s="748"/>
      <c r="G462" s="747">
        <v>1.0</v>
      </c>
      <c r="H462" s="759"/>
      <c r="I462" s="747"/>
      <c r="J462" s="759"/>
      <c r="K462" s="747"/>
      <c r="L462" s="759"/>
      <c r="M462" s="747"/>
      <c r="N462" s="759"/>
      <c r="O462" s="747"/>
      <c r="P462" s="759"/>
      <c r="Q462" s="742"/>
      <c r="R462" s="2"/>
      <c r="S462" s="2"/>
    </row>
    <row r="463">
      <c r="A463" s="2"/>
      <c r="B463" s="732" t="s">
        <v>876</v>
      </c>
      <c r="C463" s="760" t="s">
        <v>875</v>
      </c>
      <c r="D463" s="750" t="s">
        <v>2145</v>
      </c>
      <c r="E463" s="747">
        <v>2.0</v>
      </c>
      <c r="F463" s="748"/>
      <c r="G463" s="747">
        <v>2.0</v>
      </c>
      <c r="H463" s="759"/>
      <c r="I463" s="747"/>
      <c r="J463" s="759"/>
      <c r="K463" s="747"/>
      <c r="L463" s="759"/>
      <c r="M463" s="747"/>
      <c r="N463" s="759"/>
      <c r="O463" s="747"/>
      <c r="P463" s="759"/>
      <c r="Q463" s="742"/>
      <c r="R463" s="2"/>
      <c r="S463" s="2"/>
    </row>
    <row r="464">
      <c r="A464" s="2"/>
      <c r="B464" s="3"/>
      <c r="C464" s="740"/>
      <c r="D464" s="740" t="s">
        <v>2146</v>
      </c>
      <c r="E464" s="751"/>
      <c r="F464" s="721"/>
      <c r="G464" s="751"/>
      <c r="H464" s="722"/>
      <c r="I464" s="751"/>
      <c r="J464" s="722"/>
      <c r="K464" s="751"/>
      <c r="L464" s="722"/>
      <c r="M464" s="751"/>
      <c r="N464" s="722"/>
      <c r="O464" s="751"/>
      <c r="P464" s="722"/>
      <c r="Q464" s="742"/>
      <c r="R464" s="2"/>
      <c r="S464" s="2"/>
    </row>
    <row r="465">
      <c r="A465" s="2"/>
      <c r="B465" s="3"/>
      <c r="C465" s="740"/>
      <c r="D465" s="740" t="s">
        <v>2147</v>
      </c>
      <c r="E465" s="751"/>
      <c r="F465" s="721"/>
      <c r="G465" s="751"/>
      <c r="H465" s="722"/>
      <c r="I465" s="751"/>
      <c r="J465" s="722"/>
      <c r="K465" s="751"/>
      <c r="L465" s="722"/>
      <c r="M465" s="751"/>
      <c r="N465" s="722"/>
      <c r="O465" s="751"/>
      <c r="P465" s="722"/>
      <c r="Q465" s="742"/>
      <c r="R465" s="2"/>
      <c r="S465" s="2"/>
    </row>
    <row r="466">
      <c r="A466" s="2"/>
      <c r="B466" s="3" t="s">
        <v>128</v>
      </c>
      <c r="C466" s="740" t="s">
        <v>127</v>
      </c>
      <c r="D466" s="3" t="s">
        <v>2148</v>
      </c>
      <c r="E466" s="751"/>
      <c r="F466" s="748"/>
      <c r="G466" s="751"/>
      <c r="H466" s="759"/>
      <c r="I466" s="751"/>
      <c r="J466" s="759"/>
      <c r="K466" s="751"/>
      <c r="L466" s="759"/>
      <c r="M466" s="751"/>
      <c r="N466" s="759"/>
      <c r="O466" s="751"/>
      <c r="P466" s="759"/>
      <c r="Q466" s="742"/>
      <c r="R466" s="2"/>
      <c r="S466" s="2"/>
    </row>
    <row r="467">
      <c r="A467" s="2"/>
      <c r="B467" s="3" t="s">
        <v>623</v>
      </c>
      <c r="C467" s="740" t="s">
        <v>1947</v>
      </c>
      <c r="D467" s="3" t="s">
        <v>2149</v>
      </c>
      <c r="E467" s="751"/>
      <c r="F467" s="748"/>
      <c r="G467" s="751"/>
      <c r="H467" s="759"/>
      <c r="I467" s="751"/>
      <c r="J467" s="759"/>
      <c r="K467" s="751"/>
      <c r="L467" s="759"/>
      <c r="M467" s="751"/>
      <c r="N467" s="759"/>
      <c r="O467" s="751"/>
      <c r="P467" s="759"/>
      <c r="Q467" s="742"/>
      <c r="R467" s="2"/>
      <c r="S467" s="2"/>
    </row>
    <row r="468">
      <c r="A468" s="2"/>
      <c r="B468" s="3" t="s">
        <v>561</v>
      </c>
      <c r="C468" s="740" t="s">
        <v>560</v>
      </c>
      <c r="D468" s="3" t="s">
        <v>2150</v>
      </c>
      <c r="E468" s="751"/>
      <c r="F468" s="748"/>
      <c r="G468" s="751"/>
      <c r="H468" s="759"/>
      <c r="I468" s="751"/>
      <c r="J468" s="759"/>
      <c r="K468" s="751"/>
      <c r="L468" s="759"/>
      <c r="M468" s="751"/>
      <c r="N468" s="759"/>
      <c r="O468" s="751"/>
      <c r="P468" s="759"/>
      <c r="Q468" s="742"/>
      <c r="R468" s="2"/>
      <c r="S468" s="2"/>
    </row>
    <row r="469">
      <c r="A469" s="2"/>
      <c r="B469" s="3" t="s">
        <v>198</v>
      </c>
      <c r="C469" s="740" t="s">
        <v>197</v>
      </c>
      <c r="D469" s="3" t="s">
        <v>2151</v>
      </c>
      <c r="E469" s="751"/>
      <c r="F469" s="748"/>
      <c r="G469" s="751"/>
      <c r="H469" s="759"/>
      <c r="I469" s="751"/>
      <c r="J469" s="759"/>
      <c r="K469" s="751"/>
      <c r="L469" s="759"/>
      <c r="M469" s="751"/>
      <c r="N469" s="759"/>
      <c r="O469" s="751"/>
      <c r="P469" s="759"/>
      <c r="Q469" s="742"/>
      <c r="R469" s="2"/>
      <c r="S469" s="2"/>
    </row>
    <row r="470">
      <c r="A470" s="2"/>
      <c r="B470" s="3" t="s">
        <v>1591</v>
      </c>
      <c r="C470" s="740" t="s">
        <v>1590</v>
      </c>
      <c r="D470" s="3" t="s">
        <v>2152</v>
      </c>
      <c r="E470" s="751"/>
      <c r="F470" s="748"/>
      <c r="G470" s="751"/>
      <c r="H470" s="759"/>
      <c r="I470" s="751"/>
      <c r="J470" s="759"/>
      <c r="K470" s="751"/>
      <c r="L470" s="759"/>
      <c r="M470" s="751"/>
      <c r="N470" s="759"/>
      <c r="O470" s="751"/>
      <c r="P470" s="759"/>
      <c r="Q470" s="742"/>
      <c r="R470" s="2"/>
      <c r="S470" s="2"/>
    </row>
    <row r="471">
      <c r="A471" s="2"/>
      <c r="B471" s="3" t="s">
        <v>66</v>
      </c>
      <c r="C471" s="740" t="s">
        <v>64</v>
      </c>
      <c r="D471" s="3" t="s">
        <v>2153</v>
      </c>
      <c r="E471" s="751"/>
      <c r="F471" s="748"/>
      <c r="G471" s="751"/>
      <c r="H471" s="759"/>
      <c r="I471" s="751"/>
      <c r="J471" s="759"/>
      <c r="K471" s="751"/>
      <c r="L471" s="759"/>
      <c r="M471" s="751"/>
      <c r="N471" s="759"/>
      <c r="O471" s="751"/>
      <c r="P471" s="759"/>
      <c r="Q471" s="742"/>
      <c r="R471" s="2"/>
      <c r="S471" s="2"/>
    </row>
    <row r="472">
      <c r="A472" s="2"/>
      <c r="B472" s="3" t="s">
        <v>779</v>
      </c>
      <c r="C472" s="740" t="s">
        <v>778</v>
      </c>
      <c r="D472" s="3" t="s">
        <v>2154</v>
      </c>
      <c r="E472" s="751"/>
      <c r="F472" s="748"/>
      <c r="G472" s="751"/>
      <c r="H472" s="759"/>
      <c r="I472" s="751"/>
      <c r="J472" s="759"/>
      <c r="K472" s="751"/>
      <c r="L472" s="759"/>
      <c r="M472" s="751"/>
      <c r="N472" s="759"/>
      <c r="O472" s="751"/>
      <c r="P472" s="759"/>
      <c r="Q472" s="742"/>
      <c r="R472" s="2"/>
      <c r="S472" s="2"/>
    </row>
    <row r="473">
      <c r="A473" s="2"/>
      <c r="B473" s="3" t="s">
        <v>1419</v>
      </c>
      <c r="C473" s="740" t="s">
        <v>1418</v>
      </c>
      <c r="D473" s="3" t="s">
        <v>2155</v>
      </c>
      <c r="E473" s="751"/>
      <c r="F473" s="748"/>
      <c r="G473" s="751"/>
      <c r="H473" s="748"/>
      <c r="I473" s="751"/>
      <c r="J473" s="748"/>
      <c r="K473" s="751"/>
      <c r="L473" s="748"/>
      <c r="M473" s="751"/>
      <c r="N473" s="748"/>
      <c r="O473" s="751"/>
      <c r="P473" s="748"/>
      <c r="Q473" s="742"/>
      <c r="R473" s="2"/>
      <c r="S473" s="2"/>
    </row>
    <row r="474">
      <c r="A474" s="2"/>
      <c r="B474" s="3" t="s">
        <v>569</v>
      </c>
      <c r="C474" s="740" t="s">
        <v>568</v>
      </c>
      <c r="D474" s="3" t="s">
        <v>2156</v>
      </c>
      <c r="E474" s="751"/>
      <c r="F474" s="748"/>
      <c r="G474" s="751"/>
      <c r="H474" s="759"/>
      <c r="I474" s="751"/>
      <c r="J474" s="759"/>
      <c r="K474" s="751"/>
      <c r="L474" s="759"/>
      <c r="M474" s="751"/>
      <c r="N474" s="759"/>
      <c r="O474" s="751"/>
      <c r="P474" s="759"/>
      <c r="Q474" s="742"/>
      <c r="R474" s="2"/>
      <c r="S474" s="2"/>
    </row>
    <row r="475">
      <c r="A475" s="2"/>
      <c r="B475" s="3" t="s">
        <v>162</v>
      </c>
      <c r="C475" s="740" t="s">
        <v>161</v>
      </c>
      <c r="D475" s="3" t="s">
        <v>2157</v>
      </c>
      <c r="E475" s="751"/>
      <c r="F475" s="748"/>
      <c r="G475" s="751"/>
      <c r="H475" s="759"/>
      <c r="I475" s="751"/>
      <c r="J475" s="759"/>
      <c r="K475" s="751"/>
      <c r="L475" s="759"/>
      <c r="M475" s="751"/>
      <c r="N475" s="759"/>
      <c r="O475" s="751"/>
      <c r="P475" s="759"/>
      <c r="Q475" s="742"/>
      <c r="R475" s="2"/>
      <c r="S475" s="2"/>
    </row>
    <row r="476">
      <c r="A476" s="2"/>
      <c r="B476" s="3" t="s">
        <v>218</v>
      </c>
      <c r="C476" s="740" t="s">
        <v>215</v>
      </c>
      <c r="D476" s="3" t="s">
        <v>1663</v>
      </c>
      <c r="E476" s="751"/>
      <c r="F476" s="748"/>
      <c r="G476" s="751"/>
      <c r="H476" s="759"/>
      <c r="I476" s="751"/>
      <c r="J476" s="759"/>
      <c r="K476" s="751"/>
      <c r="L476" s="759"/>
      <c r="M476" s="751"/>
      <c r="N476" s="759"/>
      <c r="O476" s="751"/>
      <c r="P476" s="759"/>
      <c r="Q476" s="742"/>
      <c r="R476" s="2"/>
      <c r="S476" s="2"/>
    </row>
    <row r="477">
      <c r="A477" s="2"/>
      <c r="B477" s="3" t="s">
        <v>593</v>
      </c>
      <c r="C477" s="740" t="s">
        <v>591</v>
      </c>
      <c r="D477" s="3" t="s">
        <v>2158</v>
      </c>
      <c r="E477" s="751"/>
      <c r="F477" s="748"/>
      <c r="G477" s="751"/>
      <c r="H477" s="759"/>
      <c r="I477" s="751"/>
      <c r="J477" s="759"/>
      <c r="K477" s="751"/>
      <c r="L477" s="759"/>
      <c r="M477" s="751"/>
      <c r="N477" s="759"/>
      <c r="O477" s="751"/>
      <c r="P477" s="759"/>
      <c r="Q477" s="742"/>
      <c r="R477" s="2"/>
      <c r="S477" s="2"/>
    </row>
    <row r="478">
      <c r="A478" s="2"/>
      <c r="B478" s="3" t="s">
        <v>146</v>
      </c>
      <c r="C478" s="740" t="s">
        <v>145</v>
      </c>
      <c r="D478" s="3" t="s">
        <v>2159</v>
      </c>
      <c r="E478" s="751"/>
      <c r="F478" s="748"/>
      <c r="G478" s="751"/>
      <c r="H478" s="759"/>
      <c r="I478" s="751"/>
      <c r="J478" s="759"/>
      <c r="K478" s="751"/>
      <c r="L478" s="759"/>
      <c r="M478" s="751"/>
      <c r="N478" s="759"/>
      <c r="O478" s="751"/>
      <c r="P478" s="759"/>
      <c r="Q478" s="742"/>
      <c r="R478" s="2"/>
      <c r="S478" s="2"/>
    </row>
    <row r="479">
      <c r="A479" s="2"/>
      <c r="B479" s="3" t="s">
        <v>1583</v>
      </c>
      <c r="C479" s="740" t="s">
        <v>1582</v>
      </c>
      <c r="D479" s="3" t="s">
        <v>2160</v>
      </c>
      <c r="E479" s="751"/>
      <c r="F479" s="748"/>
      <c r="G479" s="751"/>
      <c r="H479" s="759"/>
      <c r="I479" s="751"/>
      <c r="J479" s="759"/>
      <c r="K479" s="751"/>
      <c r="L479" s="759"/>
      <c r="M479" s="751"/>
      <c r="N479" s="759"/>
      <c r="O479" s="751"/>
      <c r="P479" s="759"/>
      <c r="Q479" s="742"/>
      <c r="R479" s="2"/>
      <c r="S479" s="2"/>
    </row>
    <row r="480">
      <c r="A480" s="2"/>
      <c r="B480" s="3" t="s">
        <v>1543</v>
      </c>
      <c r="C480" s="740" t="s">
        <v>1542</v>
      </c>
      <c r="D480" s="3" t="s">
        <v>2161</v>
      </c>
      <c r="E480" s="751"/>
      <c r="F480" s="748"/>
      <c r="G480" s="751"/>
      <c r="H480" s="759"/>
      <c r="I480" s="751"/>
      <c r="J480" s="759"/>
      <c r="K480" s="751"/>
      <c r="L480" s="759"/>
      <c r="M480" s="751"/>
      <c r="N480" s="759"/>
      <c r="O480" s="751"/>
      <c r="P480" s="759"/>
      <c r="Q480" s="742"/>
      <c r="R480" s="2"/>
      <c r="S480" s="2"/>
    </row>
    <row r="481">
      <c r="A481" s="2"/>
      <c r="B481" s="3" t="s">
        <v>299</v>
      </c>
      <c r="C481" s="740" t="s">
        <v>298</v>
      </c>
      <c r="D481" s="3" t="s">
        <v>2162</v>
      </c>
      <c r="E481" s="751"/>
      <c r="F481" s="748"/>
      <c r="G481" s="751"/>
      <c r="H481" s="759"/>
      <c r="I481" s="751"/>
      <c r="J481" s="759"/>
      <c r="K481" s="751"/>
      <c r="L481" s="759"/>
      <c r="M481" s="751"/>
      <c r="N481" s="759"/>
      <c r="O481" s="751"/>
      <c r="P481" s="759"/>
      <c r="Q481" s="742"/>
      <c r="R481" s="2"/>
      <c r="S481" s="2"/>
    </row>
    <row r="482">
      <c r="A482" s="2"/>
      <c r="B482" s="3" t="s">
        <v>709</v>
      </c>
      <c r="C482" s="740" t="s">
        <v>707</v>
      </c>
      <c r="D482" s="3" t="s">
        <v>2163</v>
      </c>
      <c r="E482" s="751"/>
      <c r="F482" s="748"/>
      <c r="G482" s="751"/>
      <c r="H482" s="759"/>
      <c r="I482" s="751"/>
      <c r="J482" s="759"/>
      <c r="K482" s="751"/>
      <c r="L482" s="759"/>
      <c r="M482" s="751"/>
      <c r="N482" s="759"/>
      <c r="O482" s="751"/>
      <c r="P482" s="759"/>
      <c r="Q482" s="742"/>
      <c r="R482" s="2"/>
      <c r="S482" s="2"/>
    </row>
    <row r="483">
      <c r="A483" s="2"/>
      <c r="B483" s="3" t="s">
        <v>828</v>
      </c>
      <c r="C483" s="740" t="s">
        <v>827</v>
      </c>
      <c r="D483" s="3" t="s">
        <v>2164</v>
      </c>
      <c r="E483" s="751"/>
      <c r="F483" s="748"/>
      <c r="G483" s="751"/>
      <c r="H483" s="759"/>
      <c r="I483" s="751"/>
      <c r="J483" s="759"/>
      <c r="K483" s="751"/>
      <c r="L483" s="759"/>
      <c r="M483" s="751"/>
      <c r="N483" s="759"/>
      <c r="O483" s="751"/>
      <c r="P483" s="759"/>
      <c r="Q483" s="742"/>
      <c r="R483" s="2"/>
      <c r="S483" s="2"/>
    </row>
    <row r="484">
      <c r="A484" s="2"/>
      <c r="B484" s="3" t="s">
        <v>274</v>
      </c>
      <c r="C484" s="740" t="s">
        <v>273</v>
      </c>
      <c r="D484" s="3" t="s">
        <v>2165</v>
      </c>
      <c r="E484" s="751"/>
      <c r="F484" s="748"/>
      <c r="G484" s="751"/>
      <c r="H484" s="759"/>
      <c r="I484" s="751"/>
      <c r="J484" s="759"/>
      <c r="K484" s="751"/>
      <c r="L484" s="759"/>
      <c r="M484" s="751"/>
      <c r="N484" s="759"/>
      <c r="O484" s="751"/>
      <c r="P484" s="759"/>
      <c r="Q484" s="742"/>
      <c r="R484" s="2"/>
      <c r="S484" s="2"/>
    </row>
    <row r="485">
      <c r="A485" s="2"/>
      <c r="B485" s="3" t="s">
        <v>731</v>
      </c>
      <c r="C485" s="740" t="s">
        <v>730</v>
      </c>
      <c r="D485" s="3" t="s">
        <v>2166</v>
      </c>
      <c r="E485" s="751"/>
      <c r="F485" s="748"/>
      <c r="G485" s="751"/>
      <c r="H485" s="759"/>
      <c r="I485" s="751"/>
      <c r="J485" s="759"/>
      <c r="K485" s="751"/>
      <c r="L485" s="759"/>
      <c r="M485" s="751"/>
      <c r="N485" s="759"/>
      <c r="O485" s="751"/>
      <c r="P485" s="759"/>
      <c r="Q485" s="742"/>
      <c r="R485" s="2"/>
      <c r="S485" s="2"/>
    </row>
    <row r="486">
      <c r="A486" s="2"/>
      <c r="B486" s="3" t="s">
        <v>810</v>
      </c>
      <c r="C486" s="740" t="s">
        <v>1867</v>
      </c>
      <c r="D486" s="3" t="s">
        <v>2167</v>
      </c>
      <c r="E486" s="751"/>
      <c r="F486" s="748"/>
      <c r="G486" s="747">
        <v>1.0</v>
      </c>
      <c r="H486" s="759">
        <v>1.0</v>
      </c>
      <c r="I486" s="751"/>
      <c r="J486" s="759"/>
      <c r="K486" s="751"/>
      <c r="L486" s="759"/>
      <c r="M486" s="751"/>
      <c r="N486" s="759"/>
      <c r="O486" s="751"/>
      <c r="P486" s="759"/>
      <c r="Q486" s="742"/>
      <c r="R486" s="2"/>
      <c r="S486" s="2"/>
    </row>
    <row r="487">
      <c r="A487" s="2"/>
      <c r="B487" s="3" t="s">
        <v>767</v>
      </c>
      <c r="C487" s="740" t="s">
        <v>766</v>
      </c>
      <c r="D487" s="3" t="s">
        <v>2168</v>
      </c>
      <c r="E487" s="751"/>
      <c r="F487" s="748"/>
      <c r="G487" s="751"/>
      <c r="H487" s="759"/>
      <c r="I487" s="751"/>
      <c r="J487" s="759"/>
      <c r="K487" s="751"/>
      <c r="L487" s="759"/>
      <c r="M487" s="751"/>
      <c r="N487" s="759"/>
      <c r="O487" s="751"/>
      <c r="P487" s="759"/>
      <c r="Q487" s="742"/>
      <c r="R487" s="2"/>
      <c r="S487" s="2"/>
    </row>
    <row r="488">
      <c r="A488" s="2"/>
      <c r="B488" s="3" t="s">
        <v>229</v>
      </c>
      <c r="C488" s="740" t="s">
        <v>228</v>
      </c>
      <c r="D488" s="3" t="s">
        <v>2169</v>
      </c>
      <c r="E488" s="751"/>
      <c r="F488" s="748"/>
      <c r="G488" s="751"/>
      <c r="H488" s="759"/>
      <c r="I488" s="751"/>
      <c r="J488" s="759"/>
      <c r="K488" s="751"/>
      <c r="L488" s="759"/>
      <c r="M488" s="751"/>
      <c r="N488" s="759"/>
      <c r="O488" s="751"/>
      <c r="P488" s="759"/>
      <c r="Q488" s="742"/>
      <c r="R488" s="2"/>
      <c r="S488" s="2"/>
    </row>
    <row r="489">
      <c r="A489" s="2"/>
      <c r="B489" s="3" t="s">
        <v>888</v>
      </c>
      <c r="C489" s="740" t="s">
        <v>887</v>
      </c>
      <c r="D489" s="3" t="s">
        <v>2170</v>
      </c>
      <c r="E489" s="751"/>
      <c r="F489" s="748"/>
      <c r="G489" s="751"/>
      <c r="H489" s="759"/>
      <c r="I489" s="751"/>
      <c r="J489" s="759"/>
      <c r="K489" s="751"/>
      <c r="L489" s="759"/>
      <c r="M489" s="751"/>
      <c r="N489" s="759"/>
      <c r="O489" s="751"/>
      <c r="P489" s="759"/>
      <c r="Q489" s="742"/>
      <c r="R489" s="2"/>
      <c r="S489" s="2"/>
    </row>
    <row r="490" hidden="1">
      <c r="A490" s="2"/>
      <c r="B490" s="744" t="s">
        <v>1622</v>
      </c>
      <c r="C490" s="745" t="s">
        <v>1621</v>
      </c>
      <c r="D490" s="746" t="s">
        <v>2171</v>
      </c>
      <c r="E490" s="751"/>
      <c r="F490" s="748"/>
      <c r="G490" s="757"/>
      <c r="H490" s="722"/>
      <c r="I490" s="757"/>
      <c r="J490" s="722"/>
      <c r="K490" s="757"/>
      <c r="L490" s="722"/>
      <c r="M490" s="757"/>
      <c r="N490" s="722"/>
      <c r="O490" s="757"/>
      <c r="P490" s="722"/>
      <c r="Q490" s="742"/>
      <c r="R490" s="2"/>
      <c r="S490" s="2"/>
    </row>
    <row r="491">
      <c r="A491" s="2"/>
      <c r="B491" s="732" t="s">
        <v>953</v>
      </c>
      <c r="C491" s="760" t="s">
        <v>370</v>
      </c>
      <c r="D491" s="750" t="s">
        <v>2172</v>
      </c>
      <c r="E491" s="757"/>
      <c r="F491" s="748"/>
      <c r="G491" s="747">
        <v>1.0</v>
      </c>
      <c r="H491" s="759">
        <v>1.0</v>
      </c>
      <c r="I491" s="747"/>
      <c r="J491" s="759"/>
      <c r="K491" s="747"/>
      <c r="L491" s="759"/>
      <c r="M491" s="747"/>
      <c r="N491" s="759"/>
      <c r="O491" s="747"/>
      <c r="P491" s="759"/>
      <c r="Q491" s="742"/>
      <c r="R491" s="2"/>
      <c r="S491" s="2"/>
    </row>
    <row r="492">
      <c r="A492" s="2"/>
      <c r="B492" s="3" t="s">
        <v>689</v>
      </c>
      <c r="C492" s="740" t="s">
        <v>688</v>
      </c>
      <c r="D492" s="3" t="s">
        <v>2173</v>
      </c>
      <c r="E492" s="751"/>
      <c r="F492" s="748"/>
      <c r="G492" s="751"/>
      <c r="H492" s="759"/>
      <c r="I492" s="751"/>
      <c r="J492" s="759"/>
      <c r="K492" s="751"/>
      <c r="L492" s="759"/>
      <c r="M492" s="751"/>
      <c r="N492" s="759"/>
      <c r="O492" s="751"/>
      <c r="P492" s="759"/>
      <c r="Q492" s="742"/>
      <c r="R492" s="2"/>
      <c r="S492" s="2"/>
    </row>
    <row r="493">
      <c r="A493" s="2"/>
      <c r="B493" s="3" t="s">
        <v>579</v>
      </c>
      <c r="C493" s="740" t="s">
        <v>578</v>
      </c>
      <c r="D493" s="3" t="s">
        <v>2174</v>
      </c>
      <c r="E493" s="751"/>
      <c r="F493" s="748"/>
      <c r="G493" s="751"/>
      <c r="H493" s="759"/>
      <c r="I493" s="751"/>
      <c r="J493" s="759"/>
      <c r="K493" s="751"/>
      <c r="L493" s="759"/>
      <c r="M493" s="751"/>
      <c r="N493" s="759"/>
      <c r="O493" s="751"/>
      <c r="P493" s="759"/>
      <c r="Q493" s="742"/>
      <c r="R493" s="2"/>
      <c r="S493" s="2"/>
    </row>
    <row r="494">
      <c r="A494" s="2"/>
      <c r="B494" s="3" t="s">
        <v>154</v>
      </c>
      <c r="C494" s="740" t="s">
        <v>153</v>
      </c>
      <c r="D494" s="3" t="s">
        <v>2175</v>
      </c>
      <c r="E494" s="751"/>
      <c r="F494" s="748"/>
      <c r="G494" s="751"/>
      <c r="H494" s="759"/>
      <c r="I494" s="751"/>
      <c r="J494" s="759"/>
      <c r="K494" s="751"/>
      <c r="L494" s="759"/>
      <c r="M494" s="751"/>
      <c r="N494" s="759"/>
      <c r="O494" s="751"/>
      <c r="P494" s="759"/>
      <c r="Q494" s="742"/>
      <c r="R494" s="2"/>
      <c r="S494" s="2"/>
    </row>
    <row r="495">
      <c r="A495" s="2"/>
      <c r="B495" s="3" t="s">
        <v>410</v>
      </c>
      <c r="C495" s="740" t="s">
        <v>409</v>
      </c>
      <c r="D495" s="3" t="s">
        <v>2176</v>
      </c>
      <c r="E495" s="751"/>
      <c r="F495" s="748"/>
      <c r="G495" s="751"/>
      <c r="H495" s="759"/>
      <c r="I495" s="751"/>
      <c r="J495" s="759"/>
      <c r="K495" s="751"/>
      <c r="L495" s="759"/>
      <c r="M495" s="751"/>
      <c r="N495" s="759"/>
      <c r="O495" s="751"/>
      <c r="P495" s="759"/>
      <c r="Q495" s="742"/>
      <c r="R495" s="2"/>
      <c r="S495" s="2"/>
    </row>
    <row r="496">
      <c r="A496" s="2"/>
      <c r="B496" s="3" t="s">
        <v>217</v>
      </c>
      <c r="C496" s="740" t="s">
        <v>216</v>
      </c>
      <c r="D496" s="3" t="s">
        <v>2177</v>
      </c>
      <c r="E496" s="751"/>
      <c r="F496" s="748"/>
      <c r="G496" s="751"/>
      <c r="H496" s="759"/>
      <c r="I496" s="751"/>
      <c r="J496" s="759"/>
      <c r="K496" s="751"/>
      <c r="L496" s="759"/>
      <c r="M496" s="751"/>
      <c r="N496" s="759"/>
      <c r="O496" s="751"/>
      <c r="P496" s="759"/>
      <c r="Q496" s="742"/>
      <c r="R496" s="2"/>
      <c r="S496" s="2"/>
    </row>
    <row r="497">
      <c r="A497" s="2"/>
      <c r="B497" s="3" t="s">
        <v>382</v>
      </c>
      <c r="C497" s="740" t="s">
        <v>381</v>
      </c>
      <c r="D497" s="3" t="s">
        <v>2178</v>
      </c>
      <c r="E497" s="751"/>
      <c r="F497" s="748"/>
      <c r="G497" s="751"/>
      <c r="H497" s="759"/>
      <c r="I497" s="751"/>
      <c r="J497" s="759"/>
      <c r="K497" s="751"/>
      <c r="L497" s="759"/>
      <c r="M497" s="751"/>
      <c r="N497" s="759"/>
      <c r="O497" s="751"/>
      <c r="P497" s="759"/>
      <c r="Q497" s="742"/>
      <c r="R497" s="2"/>
      <c r="S497" s="2"/>
    </row>
    <row r="498">
      <c r="A498" s="2"/>
      <c r="B498" s="3" t="s">
        <v>1549</v>
      </c>
      <c r="C498" s="740" t="s">
        <v>1548</v>
      </c>
      <c r="D498" s="3" t="s">
        <v>2179</v>
      </c>
      <c r="E498" s="751"/>
      <c r="F498" s="748"/>
      <c r="G498" s="751"/>
      <c r="H498" s="759"/>
      <c r="I498" s="751"/>
      <c r="J498" s="759"/>
      <c r="K498" s="751"/>
      <c r="L498" s="759"/>
      <c r="M498" s="751"/>
      <c r="N498" s="759"/>
      <c r="O498" s="751"/>
      <c r="P498" s="759"/>
      <c r="Q498" s="742"/>
      <c r="R498" s="2"/>
      <c r="S498" s="2"/>
    </row>
    <row r="499">
      <c r="A499" s="2"/>
      <c r="B499" s="3" t="s">
        <v>614</v>
      </c>
      <c r="C499" s="740" t="s">
        <v>613</v>
      </c>
      <c r="D499" s="3" t="s">
        <v>2180</v>
      </c>
      <c r="E499" s="751"/>
      <c r="F499" s="748"/>
      <c r="G499" s="751"/>
      <c r="H499" s="759"/>
      <c r="I499" s="751"/>
      <c r="J499" s="759"/>
      <c r="K499" s="751"/>
      <c r="L499" s="759"/>
      <c r="M499" s="751"/>
      <c r="N499" s="759"/>
      <c r="O499" s="751"/>
      <c r="P499" s="759"/>
      <c r="Q499" s="742"/>
      <c r="R499" s="2"/>
      <c r="S499" s="2"/>
    </row>
    <row r="500">
      <c r="A500" s="2"/>
      <c r="B500" s="3" t="s">
        <v>187</v>
      </c>
      <c r="C500" s="740" t="s">
        <v>186</v>
      </c>
      <c r="D500" s="3" t="s">
        <v>2181</v>
      </c>
      <c r="E500" s="751"/>
      <c r="F500" s="748"/>
      <c r="G500" s="751"/>
      <c r="H500" s="759"/>
      <c r="I500" s="751"/>
      <c r="J500" s="759"/>
      <c r="K500" s="751"/>
      <c r="L500" s="759"/>
      <c r="M500" s="751"/>
      <c r="N500" s="759"/>
      <c r="O500" s="751"/>
      <c r="P500" s="759"/>
      <c r="Q500" s="742"/>
      <c r="R500" s="2"/>
      <c r="S500" s="2"/>
    </row>
    <row r="501">
      <c r="A501" s="2"/>
      <c r="B501" s="3" t="s">
        <v>908</v>
      </c>
      <c r="C501" s="740" t="s">
        <v>907</v>
      </c>
      <c r="D501" s="3" t="s">
        <v>2182</v>
      </c>
      <c r="E501" s="751"/>
      <c r="F501" s="748"/>
      <c r="G501" s="751"/>
      <c r="H501" s="759"/>
      <c r="I501" s="751"/>
      <c r="J501" s="759"/>
      <c r="K501" s="751"/>
      <c r="L501" s="759"/>
      <c r="M501" s="751"/>
      <c r="N501" s="759"/>
      <c r="O501" s="751"/>
      <c r="P501" s="759"/>
      <c r="Q501" s="742"/>
      <c r="R501" s="2"/>
      <c r="S501" s="2"/>
    </row>
    <row r="502">
      <c r="A502" s="2"/>
      <c r="B502" s="3" t="s">
        <v>401</v>
      </c>
      <c r="C502" s="740" t="s">
        <v>399</v>
      </c>
      <c r="D502" s="3" t="s">
        <v>2183</v>
      </c>
      <c r="E502" s="751"/>
      <c r="F502" s="748"/>
      <c r="G502" s="751"/>
      <c r="H502" s="759"/>
      <c r="I502" s="751"/>
      <c r="J502" s="759"/>
      <c r="K502" s="751"/>
      <c r="L502" s="759"/>
      <c r="M502" s="751"/>
      <c r="N502" s="759"/>
      <c r="O502" s="751"/>
      <c r="P502" s="759"/>
      <c r="Q502" s="742"/>
      <c r="R502" s="2"/>
      <c r="S502" s="2"/>
    </row>
    <row r="503">
      <c r="A503" s="2"/>
      <c r="B503" s="3" t="s">
        <v>801</v>
      </c>
      <c r="C503" s="740" t="s">
        <v>800</v>
      </c>
      <c r="D503" s="3" t="s">
        <v>2184</v>
      </c>
      <c r="E503" s="751"/>
      <c r="F503" s="748"/>
      <c r="G503" s="751"/>
      <c r="H503" s="759"/>
      <c r="I503" s="751"/>
      <c r="J503" s="759"/>
      <c r="K503" s="751"/>
      <c r="L503" s="759"/>
      <c r="M503" s="751"/>
      <c r="N503" s="759"/>
      <c r="O503" s="751"/>
      <c r="P503" s="759"/>
      <c r="Q503" s="742"/>
      <c r="R503" s="2"/>
      <c r="S503" s="2"/>
    </row>
    <row r="504">
      <c r="A504" s="2"/>
      <c r="B504" s="3" t="s">
        <v>846</v>
      </c>
      <c r="C504" s="740" t="s">
        <v>1872</v>
      </c>
      <c r="D504" s="3" t="s">
        <v>2185</v>
      </c>
      <c r="E504" s="751"/>
      <c r="F504" s="748"/>
      <c r="G504" s="751"/>
      <c r="H504" s="759"/>
      <c r="I504" s="751"/>
      <c r="J504" s="759"/>
      <c r="K504" s="751"/>
      <c r="L504" s="759"/>
      <c r="M504" s="751"/>
      <c r="N504" s="759"/>
      <c r="O504" s="751"/>
      <c r="P504" s="759"/>
      <c r="Q504" s="742"/>
      <c r="R504" s="2"/>
      <c r="S504" s="2"/>
    </row>
    <row r="505">
      <c r="A505" s="2"/>
      <c r="B505" s="3" t="s">
        <v>604</v>
      </c>
      <c r="C505" s="740" t="s">
        <v>603</v>
      </c>
      <c r="D505" s="3" t="s">
        <v>2186</v>
      </c>
      <c r="E505" s="751"/>
      <c r="F505" s="748"/>
      <c r="G505" s="751"/>
      <c r="H505" s="759"/>
      <c r="I505" s="751"/>
      <c r="J505" s="759"/>
      <c r="K505" s="751"/>
      <c r="L505" s="759"/>
      <c r="M505" s="751"/>
      <c r="N505" s="759"/>
      <c r="O505" s="751"/>
      <c r="P505" s="759"/>
      <c r="Q505" s="742"/>
      <c r="R505" s="2"/>
      <c r="S505" s="2"/>
    </row>
    <row r="506">
      <c r="A506" s="2"/>
      <c r="B506" s="3" t="s">
        <v>210</v>
      </c>
      <c r="C506" s="740" t="s">
        <v>209</v>
      </c>
      <c r="D506" s="3" t="s">
        <v>2187</v>
      </c>
      <c r="E506" s="751"/>
      <c r="F506" s="748"/>
      <c r="G506" s="751"/>
      <c r="H506" s="759"/>
      <c r="I506" s="751"/>
      <c r="J506" s="759"/>
      <c r="K506" s="751"/>
      <c r="L506" s="759"/>
      <c r="M506" s="751"/>
      <c r="N506" s="759"/>
      <c r="O506" s="751"/>
      <c r="P506" s="759"/>
      <c r="Q506" s="742"/>
      <c r="R506" s="2"/>
      <c r="S506" s="2"/>
    </row>
    <row r="507">
      <c r="A507" s="2"/>
      <c r="B507" s="3" t="s">
        <v>854</v>
      </c>
      <c r="C507" s="740" t="s">
        <v>853</v>
      </c>
      <c r="D507" s="3" t="s">
        <v>2188</v>
      </c>
      <c r="E507" s="751"/>
      <c r="F507" s="748"/>
      <c r="G507" s="751"/>
      <c r="H507" s="759"/>
      <c r="I507" s="751"/>
      <c r="J507" s="759"/>
      <c r="K507" s="751"/>
      <c r="L507" s="759"/>
      <c r="M507" s="751"/>
      <c r="N507" s="759"/>
      <c r="O507" s="751"/>
      <c r="P507" s="759"/>
      <c r="Q507" s="742"/>
      <c r="R507" s="2"/>
      <c r="S507" s="2"/>
    </row>
    <row r="508">
      <c r="A508" s="2"/>
      <c r="B508" s="3" t="s">
        <v>233</v>
      </c>
      <c r="C508" s="740" t="s">
        <v>232</v>
      </c>
      <c r="D508" s="3" t="s">
        <v>1666</v>
      </c>
      <c r="E508" s="751"/>
      <c r="F508" s="748"/>
      <c r="G508" s="751"/>
      <c r="H508" s="759"/>
      <c r="I508" s="751"/>
      <c r="J508" s="759"/>
      <c r="K508" s="751"/>
      <c r="L508" s="759"/>
      <c r="M508" s="751"/>
      <c r="N508" s="759"/>
      <c r="O508" s="751"/>
      <c r="P508" s="759"/>
      <c r="Q508" s="742"/>
      <c r="R508" s="2"/>
      <c r="S508" s="2"/>
    </row>
    <row r="509">
      <c r="A509" s="2"/>
      <c r="B509" s="3" t="s">
        <v>1411</v>
      </c>
      <c r="C509" s="740" t="s">
        <v>1410</v>
      </c>
      <c r="D509" s="3" t="s">
        <v>2189</v>
      </c>
      <c r="E509" s="751"/>
      <c r="F509" s="748"/>
      <c r="G509" s="751"/>
      <c r="H509" s="748"/>
      <c r="I509" s="751"/>
      <c r="J509" s="748"/>
      <c r="K509" s="751"/>
      <c r="L509" s="748"/>
      <c r="M509" s="751"/>
      <c r="N509" s="748"/>
      <c r="O509" s="751"/>
      <c r="P509" s="748"/>
      <c r="Q509" s="742"/>
      <c r="R509" s="2"/>
      <c r="S509" s="2"/>
    </row>
    <row r="510">
      <c r="A510" s="2"/>
      <c r="B510" s="3" t="s">
        <v>90</v>
      </c>
      <c r="C510" s="740" t="s">
        <v>89</v>
      </c>
      <c r="D510" s="3" t="s">
        <v>2190</v>
      </c>
      <c r="E510" s="751"/>
      <c r="F510" s="748"/>
      <c r="G510" s="751"/>
      <c r="H510" s="759"/>
      <c r="I510" s="751"/>
      <c r="J510" s="759"/>
      <c r="K510" s="751"/>
      <c r="L510" s="759"/>
      <c r="M510" s="751"/>
      <c r="N510" s="759"/>
      <c r="O510" s="751"/>
      <c r="P510" s="759"/>
      <c r="Q510" s="742"/>
      <c r="R510" s="2"/>
      <c r="S510" s="2"/>
    </row>
    <row r="511">
      <c r="A511" s="2"/>
      <c r="B511" s="3" t="s">
        <v>896</v>
      </c>
      <c r="C511" s="740" t="s">
        <v>895</v>
      </c>
      <c r="D511" s="3" t="s">
        <v>2191</v>
      </c>
      <c r="E511" s="751"/>
      <c r="F511" s="748"/>
      <c r="G511" s="751"/>
      <c r="H511" s="759"/>
      <c r="I511" s="751"/>
      <c r="J511" s="759"/>
      <c r="K511" s="751"/>
      <c r="L511" s="759"/>
      <c r="M511" s="751"/>
      <c r="N511" s="759"/>
      <c r="O511" s="751"/>
      <c r="P511" s="759"/>
      <c r="Q511" s="742"/>
      <c r="R511" s="2"/>
      <c r="S511" s="2"/>
    </row>
    <row r="512">
      <c r="A512" s="2"/>
      <c r="B512" s="3" t="s">
        <v>1616</v>
      </c>
      <c r="C512" s="740" t="s">
        <v>1615</v>
      </c>
      <c r="D512" s="3" t="s">
        <v>2192</v>
      </c>
      <c r="E512" s="751"/>
      <c r="F512" s="748"/>
      <c r="G512" s="747"/>
      <c r="H512" s="759"/>
      <c r="I512" s="747"/>
      <c r="J512" s="759"/>
      <c r="K512" s="747"/>
      <c r="L512" s="759"/>
      <c r="M512" s="747"/>
      <c r="N512" s="759"/>
      <c r="O512" s="747"/>
      <c r="P512" s="759"/>
      <c r="Q512" s="742"/>
      <c r="R512" s="2"/>
      <c r="S512" s="2"/>
    </row>
    <row r="513">
      <c r="A513" s="2"/>
      <c r="B513" s="3" t="s">
        <v>819</v>
      </c>
      <c r="C513" s="740" t="s">
        <v>818</v>
      </c>
      <c r="D513" s="3" t="s">
        <v>2193</v>
      </c>
      <c r="E513" s="751"/>
      <c r="F513" s="748"/>
      <c r="G513" s="751"/>
      <c r="H513" s="759"/>
      <c r="I513" s="751"/>
      <c r="J513" s="759"/>
      <c r="K513" s="751"/>
      <c r="L513" s="759"/>
      <c r="M513" s="751"/>
      <c r="N513" s="759"/>
      <c r="O513" s="751"/>
      <c r="P513" s="759"/>
      <c r="Q513" s="742"/>
      <c r="R513" s="2"/>
      <c r="S513" s="2"/>
    </row>
    <row r="514">
      <c r="A514" s="2"/>
      <c r="B514" s="3"/>
      <c r="C514" s="740"/>
      <c r="D514" s="740" t="s">
        <v>2194</v>
      </c>
      <c r="E514" s="751"/>
      <c r="F514" s="721"/>
      <c r="G514" s="751"/>
      <c r="H514" s="722"/>
      <c r="I514" s="751"/>
      <c r="J514" s="722"/>
      <c r="K514" s="751"/>
      <c r="L514" s="722"/>
      <c r="M514" s="751"/>
      <c r="N514" s="722"/>
      <c r="O514" s="751"/>
      <c r="P514" s="722"/>
      <c r="Q514" s="742"/>
      <c r="R514" s="2"/>
      <c r="S514" s="2"/>
    </row>
    <row r="515">
      <c r="A515" s="2"/>
      <c r="B515" s="3" t="s">
        <v>555</v>
      </c>
      <c r="C515" s="740" t="s">
        <v>554</v>
      </c>
      <c r="D515" s="3" t="s">
        <v>2196</v>
      </c>
      <c r="E515" s="747">
        <v>1.0</v>
      </c>
      <c r="F515" s="748"/>
      <c r="G515" s="747">
        <v>3.0</v>
      </c>
      <c r="H515" s="759"/>
      <c r="I515" s="747"/>
      <c r="J515" s="759"/>
      <c r="K515" s="747"/>
      <c r="L515" s="759"/>
      <c r="M515" s="747"/>
      <c r="N515" s="759"/>
      <c r="O515" s="747"/>
      <c r="P515" s="759"/>
      <c r="Q515" s="742"/>
      <c r="R515" s="2"/>
      <c r="S515" s="2"/>
    </row>
    <row r="516">
      <c r="A516" s="2"/>
      <c r="B516" s="3" t="s">
        <v>117</v>
      </c>
      <c r="C516" s="740" t="s">
        <v>115</v>
      </c>
      <c r="D516" s="3" t="s">
        <v>2197</v>
      </c>
      <c r="E516" s="747">
        <v>1.0</v>
      </c>
      <c r="F516" s="748"/>
      <c r="G516" s="747">
        <v>2.0</v>
      </c>
      <c r="H516" s="759"/>
      <c r="I516" s="747"/>
      <c r="J516" s="759"/>
      <c r="K516" s="747"/>
      <c r="L516" s="759"/>
      <c r="M516" s="747"/>
      <c r="N516" s="759"/>
      <c r="O516" s="747"/>
      <c r="P516" s="759"/>
      <c r="Q516" s="742"/>
      <c r="R516" s="2"/>
      <c r="S516" s="2"/>
    </row>
    <row r="517">
      <c r="A517" s="2"/>
      <c r="B517" s="3" t="s">
        <v>627</v>
      </c>
      <c r="C517" s="740" t="s">
        <v>625</v>
      </c>
      <c r="D517" s="3" t="s">
        <v>2198</v>
      </c>
      <c r="E517" s="751"/>
      <c r="F517" s="748"/>
      <c r="G517" s="751"/>
      <c r="H517" s="759">
        <v>1.0</v>
      </c>
      <c r="I517" s="751"/>
      <c r="J517" s="759"/>
      <c r="K517" s="751"/>
      <c r="L517" s="759"/>
      <c r="M517" s="751"/>
      <c r="N517" s="759"/>
      <c r="O517" s="751"/>
      <c r="P517" s="759"/>
      <c r="Q517" s="742"/>
      <c r="R517" s="2"/>
      <c r="S517" s="2"/>
    </row>
    <row r="518">
      <c r="A518" s="2"/>
      <c r="B518" s="3" t="s">
        <v>1336</v>
      </c>
      <c r="C518" s="740" t="s">
        <v>1335</v>
      </c>
      <c r="D518" s="3" t="s">
        <v>2199</v>
      </c>
      <c r="E518" s="751"/>
      <c r="F518" s="748"/>
      <c r="G518" s="751"/>
      <c r="H518" s="748"/>
      <c r="I518" s="751"/>
      <c r="J518" s="748"/>
      <c r="K518" s="751"/>
      <c r="L518" s="748"/>
      <c r="M518" s="751"/>
      <c r="N518" s="748"/>
      <c r="O518" s="751"/>
      <c r="P518" s="748"/>
      <c r="Q518" s="742"/>
      <c r="R518" s="2"/>
      <c r="S518" s="2"/>
    </row>
    <row r="519">
      <c r="A519" s="2"/>
      <c r="B519" s="3" t="s">
        <v>140</v>
      </c>
      <c r="C519" s="740" t="s">
        <v>139</v>
      </c>
      <c r="D519" s="3" t="s">
        <v>2200</v>
      </c>
      <c r="E519" s="751"/>
      <c r="F519" s="748"/>
      <c r="G519" s="751"/>
      <c r="H519" s="759"/>
      <c r="I519" s="751"/>
      <c r="J519" s="759"/>
      <c r="K519" s="751"/>
      <c r="L519" s="759"/>
      <c r="M519" s="751"/>
      <c r="N519" s="759"/>
      <c r="O519" s="751"/>
      <c r="P519" s="759"/>
      <c r="Q519" s="742"/>
      <c r="R519" s="2"/>
      <c r="S519" s="2"/>
    </row>
    <row r="520">
      <c r="A520" s="2"/>
      <c r="B520" s="3" t="s">
        <v>583</v>
      </c>
      <c r="C520" s="740" t="s">
        <v>582</v>
      </c>
      <c r="D520" s="3" t="s">
        <v>2201</v>
      </c>
      <c r="E520" s="747">
        <v>1.0</v>
      </c>
      <c r="F520" s="748"/>
      <c r="G520" s="747">
        <v>1.0</v>
      </c>
      <c r="H520" s="759">
        <v>1.0</v>
      </c>
      <c r="I520" s="747"/>
      <c r="J520" s="759"/>
      <c r="K520" s="747"/>
      <c r="L520" s="759"/>
      <c r="M520" s="747"/>
      <c r="N520" s="759"/>
      <c r="O520" s="747"/>
      <c r="P520" s="759"/>
      <c r="Q520" s="742"/>
      <c r="R520" s="2"/>
      <c r="S520" s="2"/>
    </row>
    <row r="521">
      <c r="A521" s="2"/>
      <c r="B521" s="3" t="s">
        <v>725</v>
      </c>
      <c r="C521" s="740" t="s">
        <v>724</v>
      </c>
      <c r="D521" s="3" t="s">
        <v>2202</v>
      </c>
      <c r="E521" s="751"/>
      <c r="F521" s="748"/>
      <c r="G521" s="747">
        <v>1.0</v>
      </c>
      <c r="H521" s="748"/>
      <c r="I521" s="747"/>
      <c r="J521" s="748"/>
      <c r="K521" s="747"/>
      <c r="L521" s="748"/>
      <c r="M521" s="747"/>
      <c r="N521" s="748"/>
      <c r="O521" s="747"/>
      <c r="P521" s="748"/>
      <c r="Q521" s="742"/>
      <c r="R521" s="2"/>
      <c r="S521" s="2"/>
    </row>
    <row r="522">
      <c r="A522" s="2"/>
      <c r="B522" s="3" t="s">
        <v>166</v>
      </c>
      <c r="C522" s="740" t="s">
        <v>165</v>
      </c>
      <c r="D522" s="3" t="s">
        <v>2203</v>
      </c>
      <c r="E522" s="751"/>
      <c r="F522" s="748"/>
      <c r="G522" s="747">
        <v>1.0</v>
      </c>
      <c r="H522" s="759">
        <v>1.0</v>
      </c>
      <c r="I522" s="751"/>
      <c r="J522" s="759"/>
      <c r="K522" s="751"/>
      <c r="L522" s="759"/>
      <c r="M522" s="751"/>
      <c r="N522" s="759"/>
      <c r="O522" s="751"/>
      <c r="P522" s="759"/>
      <c r="Q522" s="742"/>
      <c r="R522" s="2"/>
      <c r="S522" s="2"/>
    </row>
    <row r="523">
      <c r="A523" s="2"/>
      <c r="B523" s="3" t="s">
        <v>633</v>
      </c>
      <c r="C523" s="740" t="s">
        <v>632</v>
      </c>
      <c r="D523" s="3" t="s">
        <v>2204</v>
      </c>
      <c r="E523" s="751"/>
      <c r="F523" s="748"/>
      <c r="G523" s="747">
        <v>1.0</v>
      </c>
      <c r="H523" s="759">
        <v>1.0</v>
      </c>
      <c r="I523" s="747"/>
      <c r="J523" s="759"/>
      <c r="K523" s="747"/>
      <c r="L523" s="759"/>
      <c r="M523" s="747"/>
      <c r="N523" s="759"/>
      <c r="O523" s="747"/>
      <c r="P523" s="759"/>
      <c r="Q523" s="742"/>
      <c r="R523" s="2"/>
      <c r="S523" s="2"/>
    </row>
    <row r="524">
      <c r="A524" s="2"/>
      <c r="B524" s="3" t="s">
        <v>174</v>
      </c>
      <c r="C524" s="740" t="s">
        <v>173</v>
      </c>
      <c r="D524" s="3" t="s">
        <v>2205</v>
      </c>
      <c r="E524" s="747">
        <v>2.0</v>
      </c>
      <c r="F524" s="748"/>
      <c r="G524" s="747">
        <v>2.0</v>
      </c>
      <c r="H524" s="759">
        <v>2.0</v>
      </c>
      <c r="I524" s="747"/>
      <c r="J524" s="759"/>
      <c r="K524" s="747"/>
      <c r="L524" s="759"/>
      <c r="M524" s="747"/>
      <c r="N524" s="759"/>
      <c r="O524" s="747"/>
      <c r="P524" s="759"/>
      <c r="Q524" s="742"/>
      <c r="R524" s="2"/>
      <c r="S524" s="2"/>
    </row>
    <row r="525">
      <c r="A525" s="2"/>
      <c r="B525" s="3" t="s">
        <v>1581</v>
      </c>
      <c r="C525" s="740" t="s">
        <v>1580</v>
      </c>
      <c r="D525" s="3" t="s">
        <v>2206</v>
      </c>
      <c r="E525" s="747">
        <v>1.0</v>
      </c>
      <c r="F525" s="748"/>
      <c r="G525" s="747">
        <v>2.0</v>
      </c>
      <c r="H525" s="759">
        <v>2.0</v>
      </c>
      <c r="I525" s="747"/>
      <c r="J525" s="759"/>
      <c r="K525" s="747"/>
      <c r="L525" s="759"/>
      <c r="M525" s="747"/>
      <c r="N525" s="759"/>
      <c r="O525" s="747"/>
      <c r="P525" s="759"/>
      <c r="Q525" s="742"/>
      <c r="R525" s="2"/>
      <c r="S525" s="2"/>
    </row>
    <row r="526">
      <c r="A526" s="2"/>
      <c r="B526" s="3" t="s">
        <v>900</v>
      </c>
      <c r="C526" s="740" t="s">
        <v>898</v>
      </c>
      <c r="D526" s="3" t="s">
        <v>2207</v>
      </c>
      <c r="E526" s="747">
        <v>1.0</v>
      </c>
      <c r="F526" s="748"/>
      <c r="G526" s="747">
        <v>2.0</v>
      </c>
      <c r="H526" s="759">
        <v>3.0</v>
      </c>
      <c r="I526" s="747"/>
      <c r="J526" s="759"/>
      <c r="K526" s="747"/>
      <c r="L526" s="759"/>
      <c r="M526" s="747"/>
      <c r="N526" s="759"/>
      <c r="O526" s="747"/>
      <c r="P526" s="759"/>
      <c r="Q526" s="742"/>
      <c r="R526" s="2"/>
      <c r="S526" s="2"/>
    </row>
    <row r="527" hidden="1">
      <c r="A527" s="2"/>
      <c r="B527" s="3" t="s">
        <v>744</v>
      </c>
      <c r="C527" s="740" t="s">
        <v>743</v>
      </c>
      <c r="D527" s="3" t="s">
        <v>2208</v>
      </c>
      <c r="E527" s="751"/>
      <c r="F527" s="748"/>
      <c r="G527" s="757"/>
      <c r="H527" s="759"/>
      <c r="I527" s="757"/>
      <c r="J527" s="759"/>
      <c r="K527" s="757"/>
      <c r="L527" s="759"/>
      <c r="M527" s="757"/>
      <c r="N527" s="759"/>
      <c r="O527" s="757"/>
      <c r="P527" s="759"/>
      <c r="Q527" s="742"/>
      <c r="R527" s="2"/>
      <c r="S527" s="2"/>
    </row>
    <row r="528">
      <c r="A528" s="2"/>
      <c r="B528" s="3" t="s">
        <v>873</v>
      </c>
      <c r="C528" s="740" t="s">
        <v>872</v>
      </c>
      <c r="D528" s="3" t="s">
        <v>2208</v>
      </c>
      <c r="E528" s="757"/>
      <c r="F528" s="748"/>
      <c r="G528" s="747">
        <v>2.0</v>
      </c>
      <c r="H528" s="759">
        <v>3.0</v>
      </c>
      <c r="I528" s="751"/>
      <c r="J528" s="759"/>
      <c r="K528" s="751"/>
      <c r="L528" s="759"/>
      <c r="M528" s="751"/>
      <c r="N528" s="759"/>
      <c r="O528" s="751"/>
      <c r="P528" s="759"/>
      <c r="Q528" s="742"/>
      <c r="R528" s="2"/>
      <c r="S528" s="2"/>
    </row>
    <row r="529">
      <c r="A529" s="2"/>
      <c r="B529" s="3" t="s">
        <v>158</v>
      </c>
      <c r="C529" s="740" t="s">
        <v>157</v>
      </c>
      <c r="D529" s="3" t="s">
        <v>2209</v>
      </c>
      <c r="E529" s="751"/>
      <c r="F529" s="748"/>
      <c r="G529" s="747">
        <v>1.0</v>
      </c>
      <c r="H529" s="759">
        <v>1.0</v>
      </c>
      <c r="I529" s="747"/>
      <c r="J529" s="759"/>
      <c r="K529" s="747"/>
      <c r="L529" s="759"/>
      <c r="M529" s="747"/>
      <c r="N529" s="759"/>
      <c r="O529" s="747"/>
      <c r="P529" s="759"/>
      <c r="Q529" s="742"/>
      <c r="R529" s="2"/>
      <c r="S529" s="2"/>
    </row>
    <row r="530">
      <c r="A530" s="2"/>
      <c r="B530" s="3" t="s">
        <v>470</v>
      </c>
      <c r="C530" s="740" t="s">
        <v>469</v>
      </c>
      <c r="D530" s="3" t="s">
        <v>2210</v>
      </c>
      <c r="E530" s="751"/>
      <c r="F530" s="748"/>
      <c r="G530" s="747">
        <v>1.0</v>
      </c>
      <c r="H530" s="759">
        <v>2.0</v>
      </c>
      <c r="I530" s="751"/>
      <c r="J530" s="759"/>
      <c r="K530" s="751"/>
      <c r="L530" s="759"/>
      <c r="M530" s="751"/>
      <c r="N530" s="759"/>
      <c r="O530" s="751"/>
      <c r="P530" s="759"/>
      <c r="Q530" s="742"/>
      <c r="R530" s="2"/>
      <c r="S530" s="2"/>
    </row>
    <row r="531">
      <c r="A531" s="2"/>
      <c r="B531" s="3" t="s">
        <v>417</v>
      </c>
      <c r="C531" s="740" t="s">
        <v>416</v>
      </c>
      <c r="D531" s="3" t="s">
        <v>2211</v>
      </c>
      <c r="E531" s="751"/>
      <c r="F531" s="748"/>
      <c r="G531" s="747">
        <v>2.0</v>
      </c>
      <c r="H531" s="748"/>
      <c r="I531" s="747"/>
      <c r="J531" s="748"/>
      <c r="K531" s="747"/>
      <c r="L531" s="748"/>
      <c r="M531" s="747"/>
      <c r="N531" s="748"/>
      <c r="O531" s="747"/>
      <c r="P531" s="748"/>
      <c r="Q531" s="742"/>
      <c r="R531" s="2"/>
      <c r="S531" s="2"/>
    </row>
    <row r="532">
      <c r="A532" s="2"/>
      <c r="B532" s="3" t="s">
        <v>619</v>
      </c>
      <c r="C532" s="740" t="s">
        <v>618</v>
      </c>
      <c r="D532" s="3" t="s">
        <v>2212</v>
      </c>
      <c r="E532" s="747">
        <v>2.0</v>
      </c>
      <c r="F532" s="748"/>
      <c r="G532" s="747">
        <v>2.0</v>
      </c>
      <c r="H532" s="759">
        <v>1.0</v>
      </c>
      <c r="I532" s="747"/>
      <c r="J532" s="759"/>
      <c r="K532" s="747"/>
      <c r="L532" s="759"/>
      <c r="M532" s="747"/>
      <c r="N532" s="759"/>
      <c r="O532" s="747"/>
      <c r="P532" s="759"/>
      <c r="Q532" s="742"/>
      <c r="R532" s="2"/>
      <c r="S532" s="2"/>
    </row>
    <row r="533">
      <c r="A533" s="2"/>
      <c r="B533" s="3" t="s">
        <v>616</v>
      </c>
      <c r="C533" s="740" t="s">
        <v>615</v>
      </c>
      <c r="D533" s="3" t="s">
        <v>2213</v>
      </c>
      <c r="E533" s="747">
        <v>4.0</v>
      </c>
      <c r="F533" s="748"/>
      <c r="G533" s="747">
        <v>4.0</v>
      </c>
      <c r="H533" s="759">
        <v>2.0</v>
      </c>
      <c r="I533" s="747"/>
      <c r="J533" s="759"/>
      <c r="K533" s="747"/>
      <c r="L533" s="759"/>
      <c r="M533" s="747"/>
      <c r="N533" s="759"/>
      <c r="O533" s="747"/>
      <c r="P533" s="759"/>
      <c r="Q533" s="742"/>
      <c r="R533" s="2"/>
      <c r="S533" s="2"/>
    </row>
    <row r="534">
      <c r="A534" s="2"/>
      <c r="B534" s="3" t="s">
        <v>284</v>
      </c>
      <c r="C534" s="740" t="s">
        <v>282</v>
      </c>
      <c r="D534" s="3" t="s">
        <v>2214</v>
      </c>
      <c r="E534" s="751"/>
      <c r="F534" s="748"/>
      <c r="G534" s="751"/>
      <c r="H534" s="759"/>
      <c r="I534" s="751"/>
      <c r="J534" s="759"/>
      <c r="K534" s="751"/>
      <c r="L534" s="759"/>
      <c r="M534" s="751"/>
      <c r="N534" s="759"/>
      <c r="O534" s="751"/>
      <c r="P534" s="759"/>
      <c r="Q534" s="742"/>
      <c r="R534" s="2"/>
      <c r="S534" s="2"/>
    </row>
    <row r="535">
      <c r="A535" s="2"/>
      <c r="B535" s="3" t="s">
        <v>822</v>
      </c>
      <c r="C535" s="740" t="s">
        <v>820</v>
      </c>
      <c r="D535" s="3" t="s">
        <v>2215</v>
      </c>
      <c r="E535" s="751"/>
      <c r="F535" s="748"/>
      <c r="G535" s="747">
        <v>2.0</v>
      </c>
      <c r="H535" s="759">
        <v>2.0</v>
      </c>
      <c r="I535" s="747"/>
      <c r="J535" s="759"/>
      <c r="K535" s="747"/>
      <c r="L535" s="759"/>
      <c r="M535" s="747"/>
      <c r="N535" s="759"/>
      <c r="O535" s="747"/>
      <c r="P535" s="759"/>
      <c r="Q535" s="742"/>
      <c r="R535" s="2"/>
      <c r="S535" s="2"/>
    </row>
    <row r="536">
      <c r="A536" s="2"/>
      <c r="B536" s="3" t="s">
        <v>797</v>
      </c>
      <c r="C536" s="740" t="s">
        <v>796</v>
      </c>
      <c r="D536" s="3" t="s">
        <v>2216</v>
      </c>
      <c r="E536" s="751"/>
      <c r="F536" s="748"/>
      <c r="G536" s="747">
        <v>1.0</v>
      </c>
      <c r="H536" s="759">
        <v>2.0</v>
      </c>
      <c r="I536" s="751"/>
      <c r="J536" s="759"/>
      <c r="K536" s="751"/>
      <c r="L536" s="759"/>
      <c r="M536" s="751"/>
      <c r="N536" s="759"/>
      <c r="O536" s="751"/>
      <c r="P536" s="759"/>
      <c r="Q536" s="742"/>
      <c r="R536" s="2"/>
      <c r="S536" s="2"/>
    </row>
    <row r="537">
      <c r="A537" s="2"/>
      <c r="B537" s="3" t="s">
        <v>816</v>
      </c>
      <c r="C537" s="740" t="s">
        <v>815</v>
      </c>
      <c r="D537" s="3" t="s">
        <v>2217</v>
      </c>
      <c r="E537" s="747">
        <v>5.0</v>
      </c>
      <c r="F537" s="748"/>
      <c r="G537" s="747">
        <v>3.0</v>
      </c>
      <c r="H537" s="759">
        <v>4.0</v>
      </c>
      <c r="I537" s="747"/>
      <c r="J537" s="759"/>
      <c r="K537" s="747"/>
      <c r="L537" s="759"/>
      <c r="M537" s="747"/>
      <c r="N537" s="759"/>
      <c r="O537" s="747"/>
      <c r="P537" s="759"/>
      <c r="Q537" s="742"/>
      <c r="R537" s="2"/>
      <c r="S537" s="2"/>
    </row>
    <row r="538">
      <c r="A538" s="2"/>
      <c r="B538" s="3" t="s">
        <v>82</v>
      </c>
      <c r="C538" s="740" t="s">
        <v>81</v>
      </c>
      <c r="D538" s="3" t="s">
        <v>2218</v>
      </c>
      <c r="E538" s="751"/>
      <c r="F538" s="748"/>
      <c r="G538" s="747">
        <v>1.0</v>
      </c>
      <c r="H538" s="759">
        <v>1.0</v>
      </c>
      <c r="I538" s="747"/>
      <c r="J538" s="759"/>
      <c r="K538" s="747"/>
      <c r="L538" s="759"/>
      <c r="M538" s="747"/>
      <c r="N538" s="759"/>
      <c r="O538" s="747"/>
      <c r="P538" s="759"/>
      <c r="Q538" s="742"/>
      <c r="R538" s="2"/>
      <c r="S538" s="2"/>
    </row>
    <row r="539">
      <c r="A539" s="2"/>
      <c r="B539" s="3" t="s">
        <v>862</v>
      </c>
      <c r="C539" s="740" t="s">
        <v>860</v>
      </c>
      <c r="D539" s="3" t="s">
        <v>2219</v>
      </c>
      <c r="E539" s="751"/>
      <c r="F539" s="748"/>
      <c r="G539" s="747">
        <v>1.0</v>
      </c>
      <c r="H539" s="759"/>
      <c r="I539" s="747"/>
      <c r="J539" s="759"/>
      <c r="K539" s="747"/>
      <c r="L539" s="759"/>
      <c r="M539" s="747"/>
      <c r="N539" s="759"/>
      <c r="O539" s="747"/>
      <c r="P539" s="759"/>
      <c r="Q539" s="742"/>
      <c r="R539" s="2"/>
      <c r="S539" s="2"/>
    </row>
    <row r="540">
      <c r="A540" s="2"/>
      <c r="B540" s="3" t="s">
        <v>793</v>
      </c>
      <c r="C540" s="740" t="s">
        <v>792</v>
      </c>
      <c r="D540" s="3" t="s">
        <v>2220</v>
      </c>
      <c r="E540" s="751"/>
      <c r="F540" s="748"/>
      <c r="G540" s="747">
        <v>1.0</v>
      </c>
      <c r="H540" s="759">
        <v>1.0</v>
      </c>
      <c r="I540" s="751"/>
      <c r="J540" s="759"/>
      <c r="K540" s="751"/>
      <c r="L540" s="759"/>
      <c r="M540" s="751"/>
      <c r="N540" s="759"/>
      <c r="O540" s="751"/>
      <c r="P540" s="759"/>
      <c r="Q540" s="742"/>
      <c r="R540" s="2"/>
      <c r="S540" s="2"/>
    </row>
    <row r="541">
      <c r="A541" s="2"/>
      <c r="B541" s="3"/>
      <c r="C541" s="740"/>
      <c r="D541" s="740" t="s">
        <v>2221</v>
      </c>
      <c r="E541" s="751"/>
      <c r="F541" s="721"/>
      <c r="G541" s="751"/>
      <c r="H541" s="722"/>
      <c r="I541" s="751"/>
      <c r="J541" s="722"/>
      <c r="K541" s="751"/>
      <c r="L541" s="722"/>
      <c r="M541" s="751"/>
      <c r="N541" s="722"/>
      <c r="O541" s="751"/>
      <c r="P541" s="722"/>
      <c r="Q541" s="742"/>
      <c r="R541" s="2"/>
      <c r="S541" s="2"/>
    </row>
    <row r="542">
      <c r="A542" s="2"/>
      <c r="B542" s="3" t="s">
        <v>678</v>
      </c>
      <c r="C542" s="740" t="s">
        <v>677</v>
      </c>
      <c r="D542" s="3" t="s">
        <v>2222</v>
      </c>
      <c r="E542" s="751"/>
      <c r="F542" s="748"/>
      <c r="G542" s="747">
        <v>3.0</v>
      </c>
      <c r="H542" s="759">
        <v>1.0</v>
      </c>
      <c r="I542" s="747"/>
      <c r="J542" s="759"/>
      <c r="K542" s="747"/>
      <c r="L542" s="759"/>
      <c r="M542" s="747"/>
      <c r="N542" s="759"/>
      <c r="O542" s="747"/>
      <c r="P542" s="759"/>
      <c r="Q542" s="742"/>
      <c r="R542" s="2"/>
      <c r="S542" s="2"/>
    </row>
    <row r="543">
      <c r="A543" s="2"/>
      <c r="B543" s="3" t="s">
        <v>899</v>
      </c>
      <c r="C543" s="740" t="s">
        <v>897</v>
      </c>
      <c r="D543" s="3" t="s">
        <v>2223</v>
      </c>
      <c r="E543" s="747">
        <v>4.0</v>
      </c>
      <c r="F543" s="748"/>
      <c r="G543" s="747">
        <v>4.0</v>
      </c>
      <c r="H543" s="748"/>
      <c r="I543" s="747"/>
      <c r="J543" s="748"/>
      <c r="K543" s="747"/>
      <c r="L543" s="748"/>
      <c r="M543" s="747"/>
      <c r="N543" s="748"/>
      <c r="O543" s="747"/>
      <c r="P543" s="748"/>
      <c r="Q543" s="742"/>
      <c r="R543" s="2"/>
      <c r="S543" s="2"/>
    </row>
    <row r="544">
      <c r="A544" s="2"/>
      <c r="B544" s="3" t="s">
        <v>214</v>
      </c>
      <c r="C544" s="740" t="s">
        <v>213</v>
      </c>
      <c r="D544" s="3" t="s">
        <v>2224</v>
      </c>
      <c r="E544" s="747">
        <v>1.0</v>
      </c>
      <c r="F544" s="748"/>
      <c r="G544" s="747">
        <v>3.0</v>
      </c>
      <c r="H544" s="759">
        <v>1.0</v>
      </c>
      <c r="I544" s="747"/>
      <c r="J544" s="759"/>
      <c r="K544" s="747"/>
      <c r="L544" s="759"/>
      <c r="M544" s="747"/>
      <c r="N544" s="759"/>
      <c r="O544" s="747"/>
      <c r="P544" s="759"/>
      <c r="Q544" s="742"/>
      <c r="R544" s="2"/>
      <c r="S544" s="2"/>
    </row>
    <row r="545">
      <c r="A545" s="2"/>
      <c r="B545" s="3" t="s">
        <v>479</v>
      </c>
      <c r="C545" s="740" t="s">
        <v>478</v>
      </c>
      <c r="D545" s="3" t="s">
        <v>2225</v>
      </c>
      <c r="E545" s="751"/>
      <c r="F545" s="748"/>
      <c r="G545" s="747">
        <v>2.0</v>
      </c>
      <c r="H545" s="759">
        <v>2.0</v>
      </c>
      <c r="I545" s="747"/>
      <c r="J545" s="759"/>
      <c r="K545" s="747"/>
      <c r="L545" s="759"/>
      <c r="M545" s="747"/>
      <c r="N545" s="759"/>
      <c r="O545" s="747"/>
      <c r="P545" s="759"/>
      <c r="Q545" s="742"/>
      <c r="R545" s="2"/>
      <c r="S545" s="2"/>
    </row>
    <row r="546">
      <c r="A546" s="2"/>
      <c r="B546" s="3" t="s">
        <v>220</v>
      </c>
      <c r="C546" s="740" t="s">
        <v>219</v>
      </c>
      <c r="D546" s="3" t="s">
        <v>2226</v>
      </c>
      <c r="E546" s="747">
        <v>1.0</v>
      </c>
      <c r="F546" s="748"/>
      <c r="G546" s="747">
        <v>3.0</v>
      </c>
      <c r="H546" s="759">
        <v>1.0</v>
      </c>
      <c r="I546" s="747"/>
      <c r="J546" s="759"/>
      <c r="K546" s="747"/>
      <c r="L546" s="759"/>
      <c r="M546" s="747"/>
      <c r="N546" s="759"/>
      <c r="O546" s="747"/>
      <c r="P546" s="759"/>
      <c r="Q546" s="742"/>
      <c r="R546" s="2"/>
      <c r="S546" s="2"/>
    </row>
    <row r="547">
      <c r="A547" s="2"/>
      <c r="B547" s="3" t="s">
        <v>629</v>
      </c>
      <c r="C547" s="740" t="s">
        <v>628</v>
      </c>
      <c r="D547" s="3" t="s">
        <v>2227</v>
      </c>
      <c r="E547" s="747">
        <v>1.0</v>
      </c>
      <c r="F547" s="748"/>
      <c r="G547" s="747">
        <v>2.0</v>
      </c>
      <c r="H547" s="759">
        <v>1.0</v>
      </c>
      <c r="I547" s="747"/>
      <c r="J547" s="759"/>
      <c r="K547" s="747"/>
      <c r="L547" s="759"/>
      <c r="M547" s="747"/>
      <c r="N547" s="759"/>
      <c r="O547" s="747"/>
      <c r="P547" s="759"/>
      <c r="Q547" s="742"/>
      <c r="R547" s="2"/>
      <c r="S547" s="2"/>
    </row>
    <row r="548">
      <c r="A548" s="2"/>
      <c r="B548" s="3" t="s">
        <v>1554</v>
      </c>
      <c r="C548" s="740" t="s">
        <v>1553</v>
      </c>
      <c r="D548" s="3" t="s">
        <v>2228</v>
      </c>
      <c r="E548" s="747">
        <v>1.0</v>
      </c>
      <c r="F548" s="748"/>
      <c r="G548" s="747">
        <v>2.0</v>
      </c>
      <c r="H548" s="759">
        <v>3.0</v>
      </c>
      <c r="I548" s="747"/>
      <c r="J548" s="759"/>
      <c r="K548" s="747"/>
      <c r="L548" s="759"/>
      <c r="M548" s="747"/>
      <c r="N548" s="759"/>
      <c r="O548" s="747"/>
      <c r="P548" s="759"/>
      <c r="Q548" s="742"/>
      <c r="R548" s="2"/>
      <c r="S548" s="2"/>
    </row>
    <row r="549">
      <c r="A549" s="2"/>
      <c r="B549" s="3" t="s">
        <v>477</v>
      </c>
      <c r="C549" s="740" t="s">
        <v>476</v>
      </c>
      <c r="D549" s="3" t="s">
        <v>2229</v>
      </c>
      <c r="E549" s="747">
        <v>1.0</v>
      </c>
      <c r="F549" s="748"/>
      <c r="G549" s="747">
        <v>2.0</v>
      </c>
      <c r="H549" s="759">
        <v>2.0</v>
      </c>
      <c r="I549" s="747"/>
      <c r="J549" s="759"/>
      <c r="K549" s="747"/>
      <c r="L549" s="759"/>
      <c r="M549" s="747"/>
      <c r="N549" s="759"/>
      <c r="O549" s="747"/>
      <c r="P549" s="759"/>
      <c r="Q549" s="742"/>
      <c r="R549" s="2"/>
      <c r="S549" s="2"/>
    </row>
    <row r="550">
      <c r="A550" s="2"/>
      <c r="B550" s="3" t="s">
        <v>756</v>
      </c>
      <c r="C550" s="740" t="s">
        <v>755</v>
      </c>
      <c r="D550" s="3" t="s">
        <v>2230</v>
      </c>
      <c r="E550" s="747">
        <v>1.0</v>
      </c>
      <c r="F550" s="748"/>
      <c r="G550" s="747">
        <v>2.0</v>
      </c>
      <c r="H550" s="759">
        <v>1.0</v>
      </c>
      <c r="I550" s="747"/>
      <c r="J550" s="759"/>
      <c r="K550" s="747"/>
      <c r="L550" s="759"/>
      <c r="M550" s="747"/>
      <c r="N550" s="759"/>
      <c r="O550" s="747"/>
      <c r="P550" s="759"/>
      <c r="Q550" s="742"/>
      <c r="R550" s="2"/>
      <c r="S550" s="2"/>
    </row>
    <row r="551">
      <c r="A551" s="2"/>
      <c r="B551" s="3" t="s">
        <v>531</v>
      </c>
      <c r="C551" s="740" t="s">
        <v>530</v>
      </c>
      <c r="D551" s="3" t="s">
        <v>2231</v>
      </c>
      <c r="E551" s="747">
        <v>1.0</v>
      </c>
      <c r="F551" s="748"/>
      <c r="G551" s="747">
        <v>3.0</v>
      </c>
      <c r="H551" s="759">
        <v>4.0</v>
      </c>
      <c r="I551" s="747"/>
      <c r="J551" s="759"/>
      <c r="K551" s="747"/>
      <c r="L551" s="759"/>
      <c r="M551" s="747"/>
      <c r="N551" s="759"/>
      <c r="O551" s="747"/>
      <c r="P551" s="759"/>
      <c r="Q551" s="742"/>
      <c r="R551" s="2"/>
      <c r="S551" s="2"/>
    </row>
    <row r="552">
      <c r="A552" s="2"/>
      <c r="B552" s="3" t="s">
        <v>222</v>
      </c>
      <c r="C552" s="740" t="s">
        <v>221</v>
      </c>
      <c r="D552" s="3" t="s">
        <v>2232</v>
      </c>
      <c r="E552" s="747">
        <v>9.0</v>
      </c>
      <c r="F552" s="748"/>
      <c r="G552" s="747">
        <v>4.0</v>
      </c>
      <c r="H552" s="759">
        <v>2.0</v>
      </c>
      <c r="I552" s="747"/>
      <c r="J552" s="759"/>
      <c r="K552" s="747"/>
      <c r="L552" s="759"/>
      <c r="M552" s="747"/>
      <c r="N552" s="759"/>
      <c r="O552" s="747"/>
      <c r="P552" s="759"/>
      <c r="Q552" s="742"/>
      <c r="R552" s="2"/>
      <c r="S552" s="2"/>
    </row>
    <row r="553">
      <c r="A553" s="2"/>
      <c r="B553" s="3" t="s">
        <v>805</v>
      </c>
      <c r="C553" s="740" t="s">
        <v>804</v>
      </c>
      <c r="D553" s="3" t="s">
        <v>2233</v>
      </c>
      <c r="E553" s="747">
        <v>1.0</v>
      </c>
      <c r="F553" s="748"/>
      <c r="G553" s="747">
        <v>2.0</v>
      </c>
      <c r="H553" s="759">
        <v>2.0</v>
      </c>
      <c r="I553" s="747"/>
      <c r="J553" s="759"/>
      <c r="K553" s="747"/>
      <c r="L553" s="759"/>
      <c r="M553" s="747"/>
      <c r="N553" s="759"/>
      <c r="O553" s="747"/>
      <c r="P553" s="759"/>
      <c r="Q553" s="742"/>
      <c r="R553" s="2"/>
      <c r="S553" s="2"/>
    </row>
    <row r="554">
      <c r="A554" s="2"/>
      <c r="B554" s="3" t="s">
        <v>849</v>
      </c>
      <c r="C554" s="740" t="s">
        <v>848</v>
      </c>
      <c r="D554" s="3" t="s">
        <v>2234</v>
      </c>
      <c r="E554" s="747">
        <v>1.0</v>
      </c>
      <c r="F554" s="748"/>
      <c r="G554" s="747">
        <v>2.0</v>
      </c>
      <c r="H554" s="759">
        <v>1.0</v>
      </c>
      <c r="I554" s="747"/>
      <c r="J554" s="759"/>
      <c r="K554" s="747"/>
      <c r="L554" s="759"/>
      <c r="M554" s="747"/>
      <c r="N554" s="759"/>
      <c r="O554" s="747"/>
      <c r="P554" s="759"/>
      <c r="Q554" s="742"/>
      <c r="R554" s="2"/>
      <c r="S554" s="2"/>
    </row>
    <row r="555">
      <c r="A555" s="2"/>
      <c r="B555" s="3" t="s">
        <v>911</v>
      </c>
      <c r="C555" s="740" t="s">
        <v>910</v>
      </c>
      <c r="D555" s="3" t="s">
        <v>2235</v>
      </c>
      <c r="E555" s="747">
        <v>2.0</v>
      </c>
      <c r="F555" s="748"/>
      <c r="G555" s="747">
        <v>2.0</v>
      </c>
      <c r="H555" s="759">
        <v>1.0</v>
      </c>
      <c r="I555" s="747"/>
      <c r="J555" s="759"/>
      <c r="K555" s="747"/>
      <c r="L555" s="759"/>
      <c r="M555" s="747"/>
      <c r="N555" s="759"/>
      <c r="O555" s="747"/>
      <c r="P555" s="759"/>
      <c r="Q555" s="742"/>
      <c r="R555" s="2"/>
      <c r="S555" s="2"/>
    </row>
    <row r="556">
      <c r="A556" s="2"/>
      <c r="B556" s="3" t="s">
        <v>641</v>
      </c>
      <c r="C556" s="740" t="s">
        <v>640</v>
      </c>
      <c r="D556" s="3" t="s">
        <v>2236</v>
      </c>
      <c r="E556" s="747">
        <v>2.0</v>
      </c>
      <c r="F556" s="748"/>
      <c r="G556" s="747">
        <v>2.0</v>
      </c>
      <c r="H556" s="759">
        <v>1.0</v>
      </c>
      <c r="I556" s="747"/>
      <c r="J556" s="759"/>
      <c r="K556" s="747"/>
      <c r="L556" s="759"/>
      <c r="M556" s="747"/>
      <c r="N556" s="759"/>
      <c r="O556" s="747"/>
      <c r="P556" s="759"/>
      <c r="Q556" s="742"/>
      <c r="R556" s="2"/>
      <c r="S556" s="2"/>
    </row>
    <row r="557">
      <c r="A557" s="2"/>
      <c r="B557" s="3" t="s">
        <v>1446</v>
      </c>
      <c r="C557" s="740" t="s">
        <v>1445</v>
      </c>
      <c r="D557" s="3" t="s">
        <v>2237</v>
      </c>
      <c r="E557" s="747">
        <v>2.0</v>
      </c>
      <c r="F557" s="748"/>
      <c r="G557" s="747">
        <v>3.0</v>
      </c>
      <c r="H557" s="748"/>
      <c r="I557" s="747"/>
      <c r="J557" s="748"/>
      <c r="K557" s="747"/>
      <c r="L557" s="748"/>
      <c r="M557" s="747"/>
      <c r="N557" s="748"/>
      <c r="O557" s="747"/>
      <c r="P557" s="748"/>
      <c r="Q557" s="742"/>
      <c r="R557" s="2"/>
      <c r="S557" s="2"/>
    </row>
    <row r="558">
      <c r="A558" s="2"/>
      <c r="B558" s="3" t="s">
        <v>185</v>
      </c>
      <c r="C558" s="740" t="s">
        <v>184</v>
      </c>
      <c r="D558" s="3" t="s">
        <v>2238</v>
      </c>
      <c r="E558" s="747">
        <v>2.0</v>
      </c>
      <c r="F558" s="748"/>
      <c r="G558" s="747">
        <v>3.0</v>
      </c>
      <c r="H558" s="759">
        <v>1.0</v>
      </c>
      <c r="I558" s="747"/>
      <c r="J558" s="759"/>
      <c r="K558" s="747"/>
      <c r="L558" s="759"/>
      <c r="M558" s="747"/>
      <c r="N558" s="759"/>
      <c r="O558" s="747"/>
      <c r="P558" s="759"/>
      <c r="Q558" s="742"/>
      <c r="R558" s="2"/>
      <c r="S558" s="2"/>
    </row>
    <row r="559">
      <c r="A559" s="2"/>
      <c r="B559" s="3" t="s">
        <v>840</v>
      </c>
      <c r="C559" s="740" t="s">
        <v>839</v>
      </c>
      <c r="D559" s="3" t="s">
        <v>2239</v>
      </c>
      <c r="E559" s="747">
        <v>1.0</v>
      </c>
      <c r="F559" s="748"/>
      <c r="G559" s="747">
        <v>2.0</v>
      </c>
      <c r="H559" s="759">
        <v>1.0</v>
      </c>
      <c r="I559" s="747"/>
      <c r="J559" s="759"/>
      <c r="K559" s="747"/>
      <c r="L559" s="759"/>
      <c r="M559" s="747"/>
      <c r="N559" s="759"/>
      <c r="O559" s="747"/>
      <c r="P559" s="759"/>
      <c r="Q559" s="742"/>
      <c r="R559" s="2"/>
      <c r="S559" s="2"/>
    </row>
    <row r="560">
      <c r="A560" s="2"/>
      <c r="B560" s="3" t="s">
        <v>782</v>
      </c>
      <c r="C560" s="740" t="s">
        <v>781</v>
      </c>
      <c r="D560" s="3" t="s">
        <v>2240</v>
      </c>
      <c r="E560" s="747">
        <v>2.0</v>
      </c>
      <c r="F560" s="748"/>
      <c r="G560" s="747">
        <v>2.0</v>
      </c>
      <c r="H560" s="759">
        <v>1.0</v>
      </c>
      <c r="I560" s="747"/>
      <c r="J560" s="759"/>
      <c r="K560" s="747"/>
      <c r="L560" s="759"/>
      <c r="M560" s="747"/>
      <c r="N560" s="759"/>
      <c r="O560" s="747"/>
      <c r="P560" s="759"/>
      <c r="Q560" s="742"/>
      <c r="R560" s="2"/>
      <c r="S560" s="2"/>
    </row>
    <row r="561">
      <c r="A561" s="2"/>
      <c r="B561" s="3" t="s">
        <v>608</v>
      </c>
      <c r="C561" s="740" t="s">
        <v>607</v>
      </c>
      <c r="D561" s="3" t="s">
        <v>2241</v>
      </c>
      <c r="E561" s="747">
        <v>1.0</v>
      </c>
      <c r="F561" s="748"/>
      <c r="G561" s="747">
        <v>2.0</v>
      </c>
      <c r="H561" s="759">
        <v>1.0</v>
      </c>
      <c r="I561" s="747"/>
      <c r="J561" s="759"/>
      <c r="K561" s="747"/>
      <c r="L561" s="759"/>
      <c r="M561" s="747"/>
      <c r="N561" s="759"/>
      <c r="O561" s="747"/>
      <c r="P561" s="759"/>
      <c r="Q561" s="742"/>
      <c r="R561" s="2"/>
      <c r="S561" s="2"/>
    </row>
    <row r="562">
      <c r="A562" s="2"/>
      <c r="B562" s="3" t="s">
        <v>1532</v>
      </c>
      <c r="C562" s="740" t="s">
        <v>1531</v>
      </c>
      <c r="D562" s="3" t="s">
        <v>2243</v>
      </c>
      <c r="E562" s="747">
        <v>3.0</v>
      </c>
      <c r="F562" s="748"/>
      <c r="G562" s="747">
        <v>3.0</v>
      </c>
      <c r="H562" s="759">
        <v>4.0</v>
      </c>
      <c r="I562" s="747"/>
      <c r="J562" s="759"/>
      <c r="K562" s="747"/>
      <c r="L562" s="759"/>
      <c r="M562" s="747"/>
      <c r="N562" s="759"/>
      <c r="O562" s="747"/>
      <c r="P562" s="759"/>
      <c r="Q562" s="742"/>
      <c r="R562" s="2"/>
      <c r="S562" s="2"/>
    </row>
    <row r="563">
      <c r="A563" s="2"/>
      <c r="B563" s="3" t="s">
        <v>143</v>
      </c>
      <c r="C563" s="740" t="s">
        <v>142</v>
      </c>
      <c r="D563" s="3" t="s">
        <v>2244</v>
      </c>
      <c r="E563" s="747">
        <v>1.0</v>
      </c>
      <c r="F563" s="748"/>
      <c r="G563" s="747">
        <v>2.0</v>
      </c>
      <c r="H563" s="759">
        <v>1.0</v>
      </c>
      <c r="I563" s="747"/>
      <c r="J563" s="759"/>
      <c r="K563" s="747"/>
      <c r="L563" s="759"/>
      <c r="M563" s="747"/>
      <c r="N563" s="759"/>
      <c r="O563" s="747"/>
      <c r="P563" s="759"/>
      <c r="Q563" s="742"/>
      <c r="R563" s="2"/>
      <c r="S563" s="2"/>
    </row>
    <row r="564">
      <c r="A564" s="2"/>
      <c r="B564" s="3" t="s">
        <v>890</v>
      </c>
      <c r="C564" s="740" t="s">
        <v>889</v>
      </c>
      <c r="D564" s="3" t="s">
        <v>2245</v>
      </c>
      <c r="E564" s="747">
        <v>2.0</v>
      </c>
      <c r="F564" s="748"/>
      <c r="G564" s="747">
        <v>2.0</v>
      </c>
      <c r="H564" s="759">
        <v>1.0</v>
      </c>
      <c r="I564" s="747"/>
      <c r="J564" s="759"/>
      <c r="K564" s="747"/>
      <c r="L564" s="759"/>
      <c r="M564" s="747"/>
      <c r="N564" s="759"/>
      <c r="O564" s="747"/>
      <c r="P564" s="759"/>
      <c r="Q564" s="742"/>
      <c r="R564" s="2"/>
      <c r="S564" s="2"/>
    </row>
    <row r="565">
      <c r="A565" s="2"/>
      <c r="B565" s="3" t="s">
        <v>1657</v>
      </c>
      <c r="C565" s="740" t="s">
        <v>1656</v>
      </c>
      <c r="D565" s="3" t="s">
        <v>2246</v>
      </c>
      <c r="E565" s="747">
        <v>2.0</v>
      </c>
      <c r="F565" s="748"/>
      <c r="G565" s="747">
        <v>3.0</v>
      </c>
      <c r="H565" s="759">
        <v>3.0</v>
      </c>
      <c r="I565" s="747"/>
      <c r="J565" s="759"/>
      <c r="K565" s="747"/>
      <c r="L565" s="759"/>
      <c r="M565" s="747"/>
      <c r="N565" s="759"/>
      <c r="O565" s="747"/>
      <c r="P565" s="759"/>
      <c r="Q565" s="742"/>
      <c r="R565" s="2"/>
      <c r="S565" s="2"/>
    </row>
    <row r="566">
      <c r="A566" s="2"/>
      <c r="B566" s="3" t="s">
        <v>595</v>
      </c>
      <c r="C566" s="740" t="s">
        <v>594</v>
      </c>
      <c r="D566" s="3" t="s">
        <v>2247</v>
      </c>
      <c r="E566" s="747">
        <v>2.0</v>
      </c>
      <c r="F566" s="748"/>
      <c r="G566" s="747">
        <v>2.0</v>
      </c>
      <c r="H566" s="759">
        <v>2.0</v>
      </c>
      <c r="I566" s="747"/>
      <c r="J566" s="759"/>
      <c r="K566" s="747"/>
      <c r="L566" s="759"/>
      <c r="M566" s="747"/>
      <c r="N566" s="759"/>
      <c r="O566" s="747"/>
      <c r="P566" s="759"/>
      <c r="Q566" s="742"/>
      <c r="R566" s="2"/>
      <c r="S566" s="2"/>
    </row>
    <row r="567">
      <c r="A567" s="2"/>
      <c r="B567" s="3" t="s">
        <v>196</v>
      </c>
      <c r="C567" s="740" t="s">
        <v>195</v>
      </c>
      <c r="D567" s="3" t="s">
        <v>2248</v>
      </c>
      <c r="E567" s="747">
        <v>9.0</v>
      </c>
      <c r="F567" s="748"/>
      <c r="G567" s="747">
        <v>4.0</v>
      </c>
      <c r="H567" s="759">
        <v>2.0</v>
      </c>
      <c r="I567" s="747"/>
      <c r="J567" s="759"/>
      <c r="K567" s="747"/>
      <c r="L567" s="759"/>
      <c r="M567" s="747"/>
      <c r="N567" s="759"/>
      <c r="O567" s="747"/>
      <c r="P567" s="759"/>
      <c r="Q567" s="742"/>
      <c r="R567" s="2"/>
      <c r="S567" s="2"/>
    </row>
    <row r="568">
      <c r="A568" s="2"/>
      <c r="B568" s="3" t="s">
        <v>790</v>
      </c>
      <c r="C568" s="740" t="s">
        <v>789</v>
      </c>
      <c r="D568" s="3" t="s">
        <v>2249</v>
      </c>
      <c r="E568" s="747">
        <v>1.0</v>
      </c>
      <c r="F568" s="748"/>
      <c r="G568" s="747">
        <v>2.0</v>
      </c>
      <c r="H568" s="759">
        <v>1.0</v>
      </c>
      <c r="I568" s="747"/>
      <c r="J568" s="759"/>
      <c r="K568" s="747"/>
      <c r="L568" s="759"/>
      <c r="M568" s="747"/>
      <c r="N568" s="759"/>
      <c r="O568" s="747"/>
      <c r="P568" s="759"/>
      <c r="Q568" s="742"/>
      <c r="R568" s="2"/>
      <c r="S568" s="2"/>
    </row>
    <row r="569">
      <c r="A569" s="2"/>
      <c r="B569" s="3" t="s">
        <v>610</v>
      </c>
      <c r="C569" s="740" t="s">
        <v>609</v>
      </c>
      <c r="D569" s="3" t="s">
        <v>2250</v>
      </c>
      <c r="E569" s="747">
        <v>1.0</v>
      </c>
      <c r="F569" s="748"/>
      <c r="G569" s="747">
        <v>2.0</v>
      </c>
      <c r="H569" s="759">
        <v>1.0</v>
      </c>
      <c r="I569" s="747"/>
      <c r="J569" s="759"/>
      <c r="K569" s="747"/>
      <c r="L569" s="759"/>
      <c r="M569" s="747"/>
      <c r="N569" s="759"/>
      <c r="O569" s="747"/>
      <c r="P569" s="759"/>
      <c r="Q569" s="742"/>
      <c r="R569" s="2"/>
      <c r="S569" s="2"/>
    </row>
    <row r="570">
      <c r="A570" s="2"/>
      <c r="B570" s="3" t="s">
        <v>212</v>
      </c>
      <c r="C570" s="740" t="s">
        <v>211</v>
      </c>
      <c r="D570" s="3" t="s">
        <v>2251</v>
      </c>
      <c r="E570" s="747">
        <v>1.0</v>
      </c>
      <c r="F570" s="748"/>
      <c r="G570" s="747">
        <v>2.0</v>
      </c>
      <c r="H570" s="759">
        <v>1.0</v>
      </c>
      <c r="I570" s="747"/>
      <c r="J570" s="759"/>
      <c r="K570" s="747"/>
      <c r="L570" s="759"/>
      <c r="M570" s="747"/>
      <c r="N570" s="759"/>
      <c r="O570" s="747"/>
      <c r="P570" s="759"/>
      <c r="Q570" s="742"/>
      <c r="R570" s="2"/>
      <c r="S570" s="2"/>
    </row>
    <row r="571">
      <c r="A571" s="2"/>
      <c r="B571" s="3" t="s">
        <v>533</v>
      </c>
      <c r="C571" s="740" t="s">
        <v>532</v>
      </c>
      <c r="D571" s="3" t="s">
        <v>2252</v>
      </c>
      <c r="E571" s="747">
        <v>2.0</v>
      </c>
      <c r="F571" s="748"/>
      <c r="G571" s="747">
        <v>3.0</v>
      </c>
      <c r="H571" s="759">
        <v>2.0</v>
      </c>
      <c r="I571" s="747"/>
      <c r="J571" s="759"/>
      <c r="K571" s="747"/>
      <c r="L571" s="759"/>
      <c r="M571" s="747"/>
      <c r="N571" s="759"/>
      <c r="O571" s="747"/>
      <c r="P571" s="759"/>
      <c r="Q571" s="742"/>
      <c r="R571" s="2"/>
      <c r="S571" s="2"/>
    </row>
    <row r="572">
      <c r="A572" s="2"/>
      <c r="B572" s="3" t="s">
        <v>799</v>
      </c>
      <c r="C572" s="740" t="s">
        <v>798</v>
      </c>
      <c r="D572" s="3" t="s">
        <v>2253</v>
      </c>
      <c r="E572" s="747">
        <v>2.0</v>
      </c>
      <c r="F572" s="748"/>
      <c r="G572" s="747">
        <v>2.0</v>
      </c>
      <c r="H572" s="759">
        <v>1.0</v>
      </c>
      <c r="I572" s="747"/>
      <c r="J572" s="759"/>
      <c r="K572" s="747"/>
      <c r="L572" s="759"/>
      <c r="M572" s="747"/>
      <c r="N572" s="759"/>
      <c r="O572" s="747"/>
      <c r="P572" s="759"/>
      <c r="Q572" s="742"/>
      <c r="R572" s="2"/>
      <c r="S572" s="2"/>
    </row>
    <row r="573">
      <c r="A573" s="2"/>
      <c r="B573" s="3" t="s">
        <v>830</v>
      </c>
      <c r="C573" s="740" t="s">
        <v>829</v>
      </c>
      <c r="D573" s="3" t="s">
        <v>2254</v>
      </c>
      <c r="E573" s="747">
        <v>4.0</v>
      </c>
      <c r="F573" s="748"/>
      <c r="G573" s="747">
        <v>4.0</v>
      </c>
      <c r="H573" s="759">
        <v>2.0</v>
      </c>
      <c r="I573" s="747"/>
      <c r="J573" s="759"/>
      <c r="K573" s="747"/>
      <c r="L573" s="759"/>
      <c r="M573" s="747"/>
      <c r="N573" s="759"/>
      <c r="O573" s="747"/>
      <c r="P573" s="759"/>
      <c r="Q573" s="742"/>
      <c r="R573" s="2"/>
      <c r="S573" s="2"/>
    </row>
    <row r="574">
      <c r="A574" s="2"/>
      <c r="B574" s="2"/>
      <c r="C574" s="740"/>
      <c r="D574" s="740" t="s">
        <v>2255</v>
      </c>
      <c r="E574" s="751"/>
      <c r="F574" s="721"/>
      <c r="G574" s="751"/>
      <c r="H574" s="721"/>
      <c r="I574" s="751"/>
      <c r="J574" s="721"/>
      <c r="K574" s="751"/>
      <c r="L574" s="721"/>
      <c r="M574" s="751"/>
      <c r="N574" s="721"/>
      <c r="O574" s="751"/>
      <c r="P574" s="721"/>
      <c r="Q574" s="751"/>
      <c r="R574" s="2"/>
      <c r="S574" s="2"/>
    </row>
    <row r="575">
      <c r="A575" s="2"/>
      <c r="B575" s="2"/>
      <c r="C575" s="740"/>
      <c r="D575" s="740" t="s">
        <v>2256</v>
      </c>
      <c r="E575" s="751"/>
      <c r="F575" s="721"/>
      <c r="G575" s="751"/>
      <c r="H575" s="721"/>
      <c r="I575" s="751"/>
      <c r="J575" s="721"/>
      <c r="K575" s="751"/>
      <c r="L575" s="721"/>
      <c r="M575" s="751"/>
      <c r="N575" s="721"/>
      <c r="O575" s="751"/>
      <c r="P575" s="721"/>
      <c r="Q575" s="751"/>
      <c r="R575" s="2"/>
      <c r="S575" s="2"/>
    </row>
    <row r="576">
      <c r="A576" s="2"/>
      <c r="B576" s="3" t="s">
        <v>2257</v>
      </c>
      <c r="C576" s="740" t="s">
        <v>65</v>
      </c>
      <c r="D576" s="3" t="s">
        <v>80</v>
      </c>
      <c r="E576" s="747"/>
      <c r="F576" s="748"/>
      <c r="G576" s="747" t="s">
        <v>2120</v>
      </c>
      <c r="H576" s="748"/>
      <c r="I576" s="747"/>
      <c r="J576" s="748"/>
      <c r="K576" s="747"/>
      <c r="L576" s="748"/>
      <c r="M576" s="747"/>
      <c r="N576" s="748"/>
      <c r="O576" s="747"/>
      <c r="P576" s="748"/>
      <c r="Q576" s="2"/>
      <c r="R576" s="2"/>
      <c r="S576" s="2"/>
    </row>
    <row r="577">
      <c r="A577" s="2"/>
      <c r="B577" s="3" t="s">
        <v>2258</v>
      </c>
      <c r="C577" s="740" t="s">
        <v>65</v>
      </c>
      <c r="D577" s="3" t="s">
        <v>92</v>
      </c>
      <c r="E577" s="747"/>
      <c r="F577" s="748"/>
      <c r="G577" s="747" t="s">
        <v>2120</v>
      </c>
      <c r="H577" s="748"/>
      <c r="I577" s="747"/>
      <c r="J577" s="748"/>
      <c r="K577" s="747"/>
      <c r="L577" s="748"/>
      <c r="M577" s="747"/>
      <c r="N577" s="748"/>
      <c r="O577" s="747"/>
      <c r="P577" s="748"/>
      <c r="Q577" s="2"/>
      <c r="R577" s="2"/>
      <c r="S577" s="2"/>
    </row>
    <row r="578">
      <c r="A578" s="2"/>
      <c r="B578" s="3" t="s">
        <v>2259</v>
      </c>
      <c r="C578" s="740" t="s">
        <v>65</v>
      </c>
      <c r="D578" s="3" t="s">
        <v>98</v>
      </c>
      <c r="E578" s="747"/>
      <c r="F578" s="748"/>
      <c r="G578" s="747" t="s">
        <v>2120</v>
      </c>
      <c r="H578" s="748"/>
      <c r="I578" s="747"/>
      <c r="J578" s="748"/>
      <c r="K578" s="747"/>
      <c r="L578" s="748"/>
      <c r="M578" s="747"/>
      <c r="N578" s="748"/>
      <c r="O578" s="747"/>
      <c r="P578" s="748"/>
      <c r="Q578" s="2"/>
      <c r="R578" s="2"/>
      <c r="S578" s="2"/>
    </row>
    <row r="579">
      <c r="A579" s="2"/>
      <c r="B579" s="3" t="s">
        <v>2260</v>
      </c>
      <c r="C579" s="740" t="s">
        <v>65</v>
      </c>
      <c r="D579" s="3" t="s">
        <v>101</v>
      </c>
      <c r="E579" s="747"/>
      <c r="F579" s="748"/>
      <c r="G579" s="747" t="s">
        <v>2120</v>
      </c>
      <c r="H579" s="748"/>
      <c r="I579" s="747"/>
      <c r="J579" s="748"/>
      <c r="K579" s="747"/>
      <c r="L579" s="748"/>
      <c r="M579" s="747"/>
      <c r="N579" s="748"/>
      <c r="O579" s="747"/>
      <c r="P579" s="748"/>
      <c r="Q579" s="2"/>
      <c r="R579" s="2"/>
      <c r="S579" s="2"/>
    </row>
    <row r="580">
      <c r="A580" s="2"/>
      <c r="B580" s="3" t="s">
        <v>2261</v>
      </c>
      <c r="C580" s="740" t="s">
        <v>65</v>
      </c>
      <c r="D580" s="3" t="s">
        <v>105</v>
      </c>
      <c r="E580" s="747"/>
      <c r="F580" s="748"/>
      <c r="G580" s="747" t="s">
        <v>2120</v>
      </c>
      <c r="H580" s="748"/>
      <c r="I580" s="747"/>
      <c r="J580" s="748"/>
      <c r="K580" s="747"/>
      <c r="L580" s="748"/>
      <c r="M580" s="747"/>
      <c r="N580" s="748"/>
      <c r="O580" s="747"/>
      <c r="P580" s="748"/>
      <c r="Q580" s="2"/>
      <c r="R580" s="2"/>
      <c r="S580" s="2"/>
    </row>
    <row r="581">
      <c r="A581" s="2"/>
      <c r="B581" s="3" t="s">
        <v>2262</v>
      </c>
      <c r="C581" s="740" t="s">
        <v>65</v>
      </c>
      <c r="D581" s="3" t="s">
        <v>107</v>
      </c>
      <c r="E581" s="747"/>
      <c r="F581" s="748"/>
      <c r="G581" s="747" t="s">
        <v>2120</v>
      </c>
      <c r="H581" s="748"/>
      <c r="I581" s="747"/>
      <c r="J581" s="748"/>
      <c r="K581" s="747"/>
      <c r="L581" s="748"/>
      <c r="M581" s="747"/>
      <c r="N581" s="748"/>
      <c r="O581" s="747"/>
      <c r="P581" s="748"/>
      <c r="Q581" s="2"/>
      <c r="R581" s="2"/>
      <c r="S581" s="2"/>
    </row>
    <row r="582">
      <c r="A582" s="2"/>
      <c r="B582" s="3" t="s">
        <v>2263</v>
      </c>
      <c r="C582" s="740" t="s">
        <v>65</v>
      </c>
      <c r="D582" s="3" t="s">
        <v>111</v>
      </c>
      <c r="E582" s="747"/>
      <c r="F582" s="748"/>
      <c r="G582" s="747" t="s">
        <v>2120</v>
      </c>
      <c r="H582" s="748"/>
      <c r="I582" s="747"/>
      <c r="J582" s="748"/>
      <c r="K582" s="747"/>
      <c r="L582" s="748"/>
      <c r="M582" s="747"/>
      <c r="N582" s="748"/>
      <c r="O582" s="747"/>
      <c r="P582" s="748"/>
      <c r="Q582" s="2"/>
      <c r="R582" s="2"/>
      <c r="S582" s="2"/>
    </row>
    <row r="583">
      <c r="A583" s="2"/>
      <c r="B583" s="3" t="s">
        <v>2264</v>
      </c>
      <c r="C583" s="740" t="s">
        <v>65</v>
      </c>
      <c r="D583" s="3" t="s">
        <v>116</v>
      </c>
      <c r="E583" s="747">
        <v>1.0</v>
      </c>
      <c r="F583" s="748"/>
      <c r="G583" s="747" t="s">
        <v>2120</v>
      </c>
      <c r="H583" s="748"/>
      <c r="I583" s="747"/>
      <c r="J583" s="748"/>
      <c r="K583" s="747"/>
      <c r="L583" s="748"/>
      <c r="M583" s="747"/>
      <c r="N583" s="748"/>
      <c r="O583" s="747"/>
      <c r="P583" s="748"/>
      <c r="Q583" s="2"/>
      <c r="R583" s="2"/>
      <c r="S583" s="2"/>
    </row>
    <row r="584">
      <c r="A584" s="2"/>
      <c r="B584" s="3" t="s">
        <v>2265</v>
      </c>
      <c r="C584" s="740" t="s">
        <v>65</v>
      </c>
      <c r="D584" s="3" t="s">
        <v>126</v>
      </c>
      <c r="E584" s="747"/>
      <c r="F584" s="748"/>
      <c r="G584" s="747" t="s">
        <v>2120</v>
      </c>
      <c r="H584" s="748"/>
      <c r="I584" s="747"/>
      <c r="J584" s="748"/>
      <c r="K584" s="747"/>
      <c r="L584" s="748"/>
      <c r="M584" s="747"/>
      <c r="N584" s="748"/>
      <c r="O584" s="747"/>
      <c r="P584" s="748"/>
      <c r="Q584" s="2"/>
      <c r="R584" s="2"/>
      <c r="S584" s="2"/>
    </row>
    <row r="585">
      <c r="A585" s="2"/>
      <c r="B585" s="3" t="s">
        <v>2266</v>
      </c>
      <c r="C585" s="740" t="s">
        <v>65</v>
      </c>
      <c r="D585" s="3" t="s">
        <v>130</v>
      </c>
      <c r="E585" s="747"/>
      <c r="F585" s="748"/>
      <c r="G585" s="747" t="s">
        <v>2120</v>
      </c>
      <c r="H585" s="748"/>
      <c r="I585" s="747"/>
      <c r="J585" s="748"/>
      <c r="K585" s="747"/>
      <c r="L585" s="748"/>
      <c r="M585" s="747"/>
      <c r="N585" s="748"/>
      <c r="O585" s="747"/>
      <c r="P585" s="748"/>
      <c r="Q585" s="2"/>
      <c r="R585" s="2"/>
      <c r="S585" s="2"/>
    </row>
    <row r="586">
      <c r="A586" s="2"/>
      <c r="B586" s="3" t="s">
        <v>2267</v>
      </c>
      <c r="C586" s="740" t="s">
        <v>65</v>
      </c>
      <c r="D586" s="3" t="s">
        <v>138</v>
      </c>
      <c r="E586" s="747">
        <v>1.0</v>
      </c>
      <c r="F586" s="748"/>
      <c r="G586" s="747" t="s">
        <v>2120</v>
      </c>
      <c r="H586" s="748"/>
      <c r="I586" s="747"/>
      <c r="J586" s="748"/>
      <c r="K586" s="747"/>
      <c r="L586" s="748"/>
      <c r="M586" s="747"/>
      <c r="N586" s="748"/>
      <c r="O586" s="747"/>
      <c r="P586" s="748"/>
      <c r="Q586" s="2"/>
      <c r="R586" s="2"/>
      <c r="S586" s="2"/>
    </row>
    <row r="587">
      <c r="A587" s="2"/>
      <c r="B587" s="3" t="s">
        <v>2268</v>
      </c>
      <c r="C587" s="740" t="s">
        <v>65</v>
      </c>
      <c r="D587" s="3" t="s">
        <v>148</v>
      </c>
      <c r="E587" s="747"/>
      <c r="F587" s="748"/>
      <c r="G587" s="747" t="s">
        <v>2120</v>
      </c>
      <c r="H587" s="748"/>
      <c r="I587" s="747"/>
      <c r="J587" s="748"/>
      <c r="K587" s="747"/>
      <c r="L587" s="748"/>
      <c r="M587" s="747"/>
      <c r="N587" s="748"/>
      <c r="O587" s="747"/>
      <c r="P587" s="748"/>
      <c r="Q587" s="2"/>
      <c r="R587" s="2"/>
      <c r="S587" s="2"/>
    </row>
    <row r="588">
      <c r="A588" s="2"/>
      <c r="B588" s="3" t="s">
        <v>2269</v>
      </c>
      <c r="C588" s="740" t="s">
        <v>65</v>
      </c>
      <c r="D588" s="3" t="s">
        <v>156</v>
      </c>
      <c r="E588" s="747"/>
      <c r="F588" s="748"/>
      <c r="G588" s="747" t="s">
        <v>2120</v>
      </c>
      <c r="H588" s="748"/>
      <c r="I588" s="747"/>
      <c r="J588" s="748"/>
      <c r="K588" s="747"/>
      <c r="L588" s="748"/>
      <c r="M588" s="747"/>
      <c r="N588" s="748"/>
      <c r="O588" s="747"/>
      <c r="P588" s="748"/>
      <c r="Q588" s="2"/>
      <c r="R588" s="2"/>
      <c r="S588" s="2"/>
    </row>
    <row r="589">
      <c r="A589" s="2"/>
      <c r="B589" s="3" t="s">
        <v>2270</v>
      </c>
      <c r="C589" s="740" t="s">
        <v>65</v>
      </c>
      <c r="D589" s="3" t="s">
        <v>168</v>
      </c>
      <c r="E589" s="747"/>
      <c r="F589" s="748"/>
      <c r="G589" s="747" t="s">
        <v>2120</v>
      </c>
      <c r="H589" s="748"/>
      <c r="I589" s="747"/>
      <c r="J589" s="748"/>
      <c r="K589" s="747"/>
      <c r="L589" s="748"/>
      <c r="M589" s="747"/>
      <c r="N589" s="748"/>
      <c r="O589" s="747"/>
      <c r="P589" s="748"/>
      <c r="Q589" s="2"/>
      <c r="R589" s="2"/>
      <c r="S589" s="2"/>
    </row>
    <row r="590">
      <c r="A590" s="2"/>
      <c r="B590" s="3" t="s">
        <v>2271</v>
      </c>
      <c r="C590" s="740" t="s">
        <v>65</v>
      </c>
      <c r="D590" s="3" t="s">
        <v>179</v>
      </c>
      <c r="E590" s="747">
        <v>1.0</v>
      </c>
      <c r="F590" s="748"/>
      <c r="G590" s="747" t="s">
        <v>2127</v>
      </c>
      <c r="H590" s="748"/>
      <c r="I590" s="747"/>
      <c r="J590" s="748"/>
      <c r="K590" s="747"/>
      <c r="L590" s="748"/>
      <c r="M590" s="747"/>
      <c r="N590" s="748"/>
      <c r="O590" s="747"/>
      <c r="P590" s="748"/>
      <c r="Q590" s="2"/>
      <c r="R590" s="2"/>
      <c r="S590" s="2"/>
    </row>
    <row r="591">
      <c r="A591" s="2"/>
      <c r="B591" s="3" t="s">
        <v>2272</v>
      </c>
      <c r="C591" s="740" t="s">
        <v>65</v>
      </c>
      <c r="D591" s="3" t="s">
        <v>189</v>
      </c>
      <c r="E591" s="747">
        <v>1.0</v>
      </c>
      <c r="F591" s="748"/>
      <c r="G591" s="747" t="s">
        <v>2127</v>
      </c>
      <c r="H591" s="748"/>
      <c r="I591" s="747"/>
      <c r="J591" s="748"/>
      <c r="K591" s="747"/>
      <c r="L591" s="748"/>
      <c r="M591" s="747"/>
      <c r="N591" s="748"/>
      <c r="O591" s="747"/>
      <c r="P591" s="748"/>
      <c r="Q591" s="2"/>
      <c r="R591" s="2"/>
      <c r="S591" s="2"/>
    </row>
    <row r="592">
      <c r="A592" s="2"/>
      <c r="B592" s="3" t="s">
        <v>2273</v>
      </c>
      <c r="C592" s="740" t="s">
        <v>65</v>
      </c>
      <c r="D592" s="3" t="s">
        <v>207</v>
      </c>
      <c r="E592" s="747">
        <v>1.0</v>
      </c>
      <c r="F592" s="748"/>
      <c r="G592" s="747" t="s">
        <v>2127</v>
      </c>
      <c r="H592" s="748"/>
      <c r="I592" s="747"/>
      <c r="J592" s="748"/>
      <c r="K592" s="747"/>
      <c r="L592" s="748"/>
      <c r="M592" s="747"/>
      <c r="N592" s="748"/>
      <c r="O592" s="747"/>
      <c r="P592" s="748"/>
      <c r="Q592" s="2"/>
      <c r="R592" s="2"/>
      <c r="S592" s="2"/>
    </row>
    <row r="593">
      <c r="A593" s="2"/>
      <c r="B593" s="3" t="s">
        <v>2274</v>
      </c>
      <c r="C593" s="740" t="s">
        <v>65</v>
      </c>
      <c r="D593" s="3" t="s">
        <v>224</v>
      </c>
      <c r="E593" s="747">
        <v>1.0</v>
      </c>
      <c r="F593" s="748"/>
      <c r="G593" s="747" t="s">
        <v>2127</v>
      </c>
      <c r="H593" s="748"/>
      <c r="I593" s="747"/>
      <c r="J593" s="748"/>
      <c r="K593" s="747"/>
      <c r="L593" s="748"/>
      <c r="M593" s="747"/>
      <c r="N593" s="748"/>
      <c r="O593" s="747"/>
      <c r="P593" s="748"/>
      <c r="Q593" s="2"/>
      <c r="R593" s="2"/>
      <c r="S593" s="2"/>
    </row>
    <row r="594">
      <c r="A594" s="2"/>
      <c r="B594" s="3" t="s">
        <v>2275</v>
      </c>
      <c r="C594" s="740" t="s">
        <v>65</v>
      </c>
      <c r="D594" s="3" t="s">
        <v>247</v>
      </c>
      <c r="E594" s="747">
        <v>1.0</v>
      </c>
      <c r="F594" s="748"/>
      <c r="G594" s="747" t="s">
        <v>2127</v>
      </c>
      <c r="H594" s="748"/>
      <c r="I594" s="747"/>
      <c r="J594" s="748"/>
      <c r="K594" s="747"/>
      <c r="L594" s="748"/>
      <c r="M594" s="747"/>
      <c r="N594" s="748"/>
      <c r="O594" s="747"/>
      <c r="P594" s="748"/>
      <c r="Q594" s="2"/>
      <c r="R594" s="2"/>
      <c r="S594" s="2"/>
    </row>
    <row r="595">
      <c r="A595" s="2"/>
      <c r="B595" s="3" t="s">
        <v>2276</v>
      </c>
      <c r="C595" s="740" t="s">
        <v>65</v>
      </c>
      <c r="D595" s="3" t="s">
        <v>262</v>
      </c>
      <c r="E595" s="747">
        <v>2.0</v>
      </c>
      <c r="F595" s="748"/>
      <c r="G595" s="747">
        <v>2.0</v>
      </c>
      <c r="H595" s="748"/>
      <c r="I595" s="747"/>
      <c r="J595" s="748"/>
      <c r="K595" s="747"/>
      <c r="L595" s="748"/>
      <c r="M595" s="747"/>
      <c r="N595" s="748"/>
      <c r="O595" s="747"/>
      <c r="P595" s="748"/>
      <c r="Q595" s="2"/>
      <c r="R595" s="2"/>
      <c r="S595" s="2"/>
    </row>
    <row r="596">
      <c r="A596" s="2"/>
      <c r="B596" s="3" t="s">
        <v>2277</v>
      </c>
      <c r="C596" s="740" t="s">
        <v>65</v>
      </c>
      <c r="D596" s="3" t="s">
        <v>321</v>
      </c>
      <c r="E596" s="747">
        <v>2.0</v>
      </c>
      <c r="F596" s="748"/>
      <c r="G596" s="747">
        <v>2.0</v>
      </c>
      <c r="H596" s="748"/>
      <c r="I596" s="747"/>
      <c r="J596" s="748"/>
      <c r="K596" s="747"/>
      <c r="L596" s="748"/>
      <c r="M596" s="747"/>
      <c r="N596" s="748"/>
      <c r="O596" s="747"/>
      <c r="P596" s="748"/>
      <c r="Q596" s="2"/>
      <c r="R596" s="2"/>
      <c r="S596" s="2"/>
    </row>
    <row r="597">
      <c r="A597" s="2"/>
      <c r="B597" s="3" t="s">
        <v>2278</v>
      </c>
      <c r="C597" s="740" t="s">
        <v>65</v>
      </c>
      <c r="D597" s="3" t="s">
        <v>356</v>
      </c>
      <c r="E597" s="747">
        <v>3.0</v>
      </c>
      <c r="F597" s="748"/>
      <c r="G597" s="747">
        <v>3.0</v>
      </c>
      <c r="H597" s="748"/>
      <c r="I597" s="747"/>
      <c r="J597" s="748"/>
      <c r="K597" s="747"/>
      <c r="L597" s="748"/>
      <c r="M597" s="747"/>
      <c r="N597" s="748"/>
      <c r="O597" s="747"/>
      <c r="P597" s="748"/>
      <c r="Q597" s="2"/>
      <c r="R597" s="2"/>
      <c r="S597" s="2"/>
    </row>
    <row r="598">
      <c r="A598" s="2"/>
      <c r="B598" s="3" t="s">
        <v>2279</v>
      </c>
      <c r="C598" s="740" t="s">
        <v>65</v>
      </c>
      <c r="D598" s="3" t="s">
        <v>376</v>
      </c>
      <c r="E598" s="747">
        <v>3.0</v>
      </c>
      <c r="F598" s="748"/>
      <c r="G598" s="747">
        <v>3.0</v>
      </c>
      <c r="H598" s="748"/>
      <c r="I598" s="747"/>
      <c r="J598" s="748"/>
      <c r="K598" s="747"/>
      <c r="L598" s="748"/>
      <c r="M598" s="747"/>
      <c r="N598" s="748"/>
      <c r="O598" s="747"/>
      <c r="P598" s="748"/>
      <c r="Q598" s="2"/>
      <c r="R598" s="2"/>
      <c r="S598" s="2"/>
    </row>
    <row r="599">
      <c r="A599" s="2"/>
      <c r="B599" s="3" t="s">
        <v>2280</v>
      </c>
      <c r="C599" s="740" t="s">
        <v>65</v>
      </c>
      <c r="D599" s="3" t="s">
        <v>407</v>
      </c>
      <c r="E599" s="747">
        <v>4.0</v>
      </c>
      <c r="F599" s="748"/>
      <c r="G599" s="747">
        <v>4.0</v>
      </c>
      <c r="H599" s="748"/>
      <c r="I599" s="747"/>
      <c r="J599" s="748"/>
      <c r="K599" s="747"/>
      <c r="L599" s="748"/>
      <c r="M599" s="747"/>
      <c r="N599" s="748"/>
      <c r="O599" s="747"/>
      <c r="P599" s="748"/>
      <c r="Q599" s="2"/>
      <c r="R599" s="2"/>
      <c r="S599" s="2"/>
    </row>
    <row r="600">
      <c r="A600" s="2"/>
      <c r="B600" s="3" t="s">
        <v>2281</v>
      </c>
      <c r="C600" s="740" t="s">
        <v>65</v>
      </c>
      <c r="D600" s="3" t="s">
        <v>429</v>
      </c>
      <c r="E600" s="747">
        <v>5.0</v>
      </c>
      <c r="F600" s="748"/>
      <c r="G600" s="747">
        <v>5.0</v>
      </c>
      <c r="H600" s="748"/>
      <c r="I600" s="747"/>
      <c r="J600" s="748"/>
      <c r="K600" s="747"/>
      <c r="L600" s="748"/>
      <c r="M600" s="747"/>
      <c r="N600" s="748"/>
      <c r="O600" s="747"/>
      <c r="P600" s="748"/>
      <c r="Q600" s="2"/>
      <c r="R600" s="2"/>
      <c r="S600" s="2"/>
    </row>
    <row r="601">
      <c r="A601" s="2"/>
      <c r="B601" s="3" t="s">
        <v>2282</v>
      </c>
      <c r="C601" s="740" t="s">
        <v>65</v>
      </c>
      <c r="D601" s="3" t="s">
        <v>493</v>
      </c>
      <c r="E601" s="747">
        <v>7.0</v>
      </c>
      <c r="F601" s="748"/>
      <c r="G601" s="747">
        <v>7.0</v>
      </c>
      <c r="H601" s="748"/>
      <c r="I601" s="747"/>
      <c r="J601" s="748"/>
      <c r="K601" s="747"/>
      <c r="L601" s="748"/>
      <c r="M601" s="747"/>
      <c r="N601" s="748"/>
      <c r="O601" s="747"/>
      <c r="P601" s="748"/>
      <c r="Q601" s="2"/>
      <c r="R601" s="2"/>
      <c r="S601" s="2"/>
    </row>
    <row r="602">
      <c r="A602" s="2"/>
      <c r="B602" s="3" t="s">
        <v>2283</v>
      </c>
      <c r="C602" s="740" t="s">
        <v>65</v>
      </c>
      <c r="D602" s="3" t="s">
        <v>518</v>
      </c>
      <c r="E602" s="747">
        <v>9.0</v>
      </c>
      <c r="F602" s="748"/>
      <c r="G602" s="747">
        <v>8.0</v>
      </c>
      <c r="H602" s="748"/>
      <c r="I602" s="747"/>
      <c r="J602" s="748"/>
      <c r="K602" s="747"/>
      <c r="L602" s="748"/>
      <c r="M602" s="747"/>
      <c r="N602" s="748"/>
      <c r="O602" s="747"/>
      <c r="P602" s="748"/>
      <c r="Q602" s="2"/>
      <c r="R602" s="2"/>
      <c r="S602" s="2"/>
    </row>
    <row r="603">
      <c r="A603" s="2"/>
      <c r="B603" s="3" t="s">
        <v>2284</v>
      </c>
      <c r="C603" s="740" t="s">
        <v>65</v>
      </c>
      <c r="D603" s="3" t="s">
        <v>581</v>
      </c>
      <c r="E603" s="747">
        <v>12.0</v>
      </c>
      <c r="F603" s="748"/>
      <c r="G603" s="747">
        <v>10.0</v>
      </c>
      <c r="H603" s="748"/>
      <c r="I603" s="747"/>
      <c r="J603" s="748"/>
      <c r="K603" s="747"/>
      <c r="L603" s="748"/>
      <c r="M603" s="747"/>
      <c r="N603" s="748"/>
      <c r="O603" s="747"/>
      <c r="P603" s="748"/>
      <c r="Q603" s="2"/>
      <c r="R603" s="2"/>
      <c r="S603" s="2"/>
    </row>
    <row r="604">
      <c r="A604" s="2"/>
      <c r="B604" s="3" t="s">
        <v>2285</v>
      </c>
      <c r="C604" s="740" t="s">
        <v>65</v>
      </c>
      <c r="D604" s="3" t="s">
        <v>606</v>
      </c>
      <c r="E604" s="747">
        <v>10.0</v>
      </c>
      <c r="F604" s="748"/>
      <c r="G604" s="747">
        <v>11.0</v>
      </c>
      <c r="H604" s="748"/>
      <c r="I604" s="747"/>
      <c r="J604" s="748"/>
      <c r="K604" s="747"/>
      <c r="L604" s="748"/>
      <c r="M604" s="747"/>
      <c r="N604" s="748"/>
      <c r="O604" s="747"/>
      <c r="P604" s="748"/>
      <c r="Q604" s="2"/>
      <c r="R604" s="2"/>
      <c r="S604" s="2"/>
    </row>
    <row r="605">
      <c r="A605" s="2"/>
      <c r="B605" s="3" t="s">
        <v>2286</v>
      </c>
      <c r="C605" s="740" t="s">
        <v>65</v>
      </c>
      <c r="D605" s="3" t="s">
        <v>626</v>
      </c>
      <c r="E605" s="747">
        <v>14.0</v>
      </c>
      <c r="F605" s="748"/>
      <c r="G605" s="747">
        <v>16.0</v>
      </c>
      <c r="H605" s="748"/>
      <c r="I605" s="747"/>
      <c r="J605" s="748"/>
      <c r="K605" s="747"/>
      <c r="L605" s="748"/>
      <c r="M605" s="747"/>
      <c r="N605" s="748"/>
      <c r="O605" s="747"/>
      <c r="P605" s="748"/>
      <c r="Q605" s="2"/>
      <c r="R605" s="2"/>
      <c r="S605" s="2"/>
    </row>
    <row r="606">
      <c r="A606" s="2"/>
      <c r="B606" s="3" t="s">
        <v>2287</v>
      </c>
      <c r="C606" s="740" t="s">
        <v>65</v>
      </c>
      <c r="D606" s="3" t="s">
        <v>649</v>
      </c>
      <c r="E606" s="747">
        <v>16.0</v>
      </c>
      <c r="F606" s="748"/>
      <c r="G606" s="747">
        <v>12.0</v>
      </c>
      <c r="H606" s="748"/>
      <c r="I606" s="747"/>
      <c r="J606" s="748"/>
      <c r="K606" s="747"/>
      <c r="L606" s="748"/>
      <c r="M606" s="747"/>
      <c r="N606" s="748"/>
      <c r="O606" s="747"/>
      <c r="P606" s="748"/>
      <c r="Q606" s="2"/>
      <c r="R606" s="2"/>
      <c r="S606" s="2"/>
    </row>
    <row r="607">
      <c r="A607" s="2"/>
      <c r="B607" s="3" t="s">
        <v>2288</v>
      </c>
      <c r="C607" s="740" t="s">
        <v>65</v>
      </c>
      <c r="D607" s="3" t="s">
        <v>666</v>
      </c>
      <c r="E607" s="747">
        <v>8.0</v>
      </c>
      <c r="F607" s="748"/>
      <c r="G607" s="747">
        <v>13.0</v>
      </c>
      <c r="H607" s="748"/>
      <c r="I607" s="747"/>
      <c r="J607" s="748"/>
      <c r="K607" s="747"/>
      <c r="L607" s="748"/>
      <c r="M607" s="747"/>
      <c r="N607" s="748"/>
      <c r="O607" s="747"/>
      <c r="P607" s="748"/>
      <c r="Q607" s="2"/>
      <c r="R607" s="2"/>
      <c r="S607" s="2"/>
    </row>
    <row r="608">
      <c r="A608" s="2"/>
      <c r="B608" s="3" t="s">
        <v>2289</v>
      </c>
      <c r="C608" s="740" t="s">
        <v>65</v>
      </c>
      <c r="D608" s="3" t="s">
        <v>682</v>
      </c>
      <c r="E608" s="747">
        <v>11.0</v>
      </c>
      <c r="F608" s="748"/>
      <c r="G608" s="747">
        <v>14.0</v>
      </c>
      <c r="H608" s="748"/>
      <c r="I608" s="747"/>
      <c r="J608" s="748"/>
      <c r="K608" s="747"/>
      <c r="L608" s="748"/>
      <c r="M608" s="747"/>
      <c r="N608" s="748"/>
      <c r="O608" s="747"/>
      <c r="P608" s="748"/>
      <c r="Q608" s="2"/>
      <c r="R608" s="2"/>
      <c r="S608" s="2"/>
    </row>
    <row r="609">
      <c r="A609" s="2"/>
      <c r="B609" s="2"/>
      <c r="C609" s="2"/>
      <c r="D609" s="740" t="s">
        <v>2290</v>
      </c>
      <c r="E609" s="747"/>
      <c r="F609" s="722"/>
      <c r="G609" s="747"/>
      <c r="H609" s="722"/>
      <c r="I609" s="747"/>
      <c r="J609" s="722"/>
      <c r="K609" s="747"/>
      <c r="L609" s="722"/>
      <c r="M609" s="747"/>
      <c r="N609" s="722"/>
      <c r="O609" s="747"/>
      <c r="P609" s="722"/>
      <c r="Q609" s="747"/>
      <c r="R609" s="2"/>
      <c r="S609" s="2"/>
    </row>
    <row r="610">
      <c r="A610" s="2"/>
      <c r="B610" s="2"/>
      <c r="C610" s="2"/>
      <c r="D610" s="740" t="s">
        <v>2291</v>
      </c>
      <c r="E610" s="747"/>
      <c r="F610" s="722"/>
      <c r="G610" s="747"/>
      <c r="H610" s="722"/>
      <c r="I610" s="747"/>
      <c r="J610" s="722"/>
      <c r="K610" s="747"/>
      <c r="L610" s="722"/>
      <c r="M610" s="747"/>
      <c r="N610" s="722"/>
      <c r="O610" s="747"/>
      <c r="P610" s="722"/>
      <c r="Q610" s="747"/>
      <c r="R610" s="2"/>
      <c r="S610" s="2"/>
    </row>
    <row r="611">
      <c r="A611" s="2"/>
      <c r="B611" s="3" t="s">
        <v>905</v>
      </c>
      <c r="C611" s="740" t="s">
        <v>903</v>
      </c>
      <c r="D611" s="761" t="s">
        <v>2292</v>
      </c>
      <c r="E611" s="762"/>
      <c r="F611" s="748"/>
      <c r="G611" s="747">
        <v>9.0</v>
      </c>
      <c r="H611" s="759">
        <v>9.0</v>
      </c>
      <c r="I611" s="747"/>
      <c r="J611" s="758"/>
      <c r="K611" s="747"/>
      <c r="L611" s="758"/>
      <c r="M611" s="747"/>
      <c r="N611" s="758"/>
      <c r="O611" s="747"/>
      <c r="P611" s="758"/>
      <c r="Q611" s="747"/>
      <c r="R611" s="2"/>
      <c r="S611" s="2"/>
    </row>
    <row r="612">
      <c r="A612" s="2"/>
      <c r="B612" s="3" t="s">
        <v>588</v>
      </c>
      <c r="C612" s="740" t="s">
        <v>586</v>
      </c>
      <c r="D612" s="761" t="s">
        <v>2293</v>
      </c>
      <c r="E612" s="762"/>
      <c r="F612" s="748"/>
      <c r="G612" s="747">
        <v>9.0</v>
      </c>
      <c r="H612" s="759">
        <v>9.0</v>
      </c>
      <c r="I612" s="747"/>
      <c r="J612" s="759"/>
      <c r="K612" s="747"/>
      <c r="L612" s="758"/>
      <c r="M612" s="747"/>
      <c r="N612" s="758"/>
      <c r="O612" s="747"/>
      <c r="P612" s="758"/>
      <c r="Q612" s="747"/>
      <c r="R612" s="2"/>
      <c r="S612" s="2"/>
    </row>
    <row r="613">
      <c r="A613" s="2"/>
      <c r="B613" s="3" t="s">
        <v>702</v>
      </c>
      <c r="C613" s="740" t="s">
        <v>700</v>
      </c>
      <c r="D613" s="761" t="s">
        <v>2294</v>
      </c>
      <c r="E613" s="762"/>
      <c r="F613" s="748"/>
      <c r="G613" s="747">
        <v>9.0</v>
      </c>
      <c r="H613" s="753">
        <v>9.0</v>
      </c>
      <c r="I613" s="747"/>
      <c r="J613" s="753"/>
      <c r="K613" s="747"/>
      <c r="L613" s="748"/>
      <c r="M613" s="747"/>
      <c r="N613" s="748"/>
      <c r="O613" s="747"/>
      <c r="P613" s="748"/>
      <c r="Q613" s="747"/>
      <c r="R613" s="2"/>
      <c r="S613" s="2"/>
    </row>
    <row r="614">
      <c r="A614" s="2"/>
      <c r="B614" s="3" t="s">
        <v>1532</v>
      </c>
      <c r="C614" s="740" t="s">
        <v>1531</v>
      </c>
      <c r="D614" s="761" t="s">
        <v>2295</v>
      </c>
      <c r="E614" s="762"/>
      <c r="F614" s="748"/>
      <c r="G614" s="747">
        <v>9.0</v>
      </c>
      <c r="H614" s="753">
        <v>9.0</v>
      </c>
      <c r="I614" s="747"/>
      <c r="J614" s="753"/>
      <c r="K614" s="747"/>
      <c r="L614" s="748"/>
      <c r="M614" s="747"/>
      <c r="N614" s="748"/>
      <c r="O614" s="747"/>
      <c r="P614" s="748"/>
      <c r="Q614" s="747"/>
      <c r="R614" s="2"/>
      <c r="S614" s="2"/>
    </row>
    <row r="615">
      <c r="A615" s="2"/>
      <c r="B615" s="3" t="s">
        <v>196</v>
      </c>
      <c r="C615" s="740" t="s">
        <v>195</v>
      </c>
      <c r="D615" s="761" t="s">
        <v>2296</v>
      </c>
      <c r="E615" s="762"/>
      <c r="F615" s="748"/>
      <c r="G615" s="747">
        <v>9.0</v>
      </c>
      <c r="H615" s="759">
        <v>9.0</v>
      </c>
      <c r="I615" s="747"/>
      <c r="J615" s="759"/>
      <c r="K615" s="747"/>
      <c r="L615" s="758"/>
      <c r="M615" s="747"/>
      <c r="N615" s="758"/>
      <c r="O615" s="747"/>
      <c r="P615" s="758"/>
      <c r="Q615" s="747"/>
      <c r="R615" s="2"/>
      <c r="S615" s="2"/>
    </row>
    <row r="616">
      <c r="A616" s="2"/>
      <c r="B616" s="2"/>
      <c r="C616" s="2"/>
      <c r="D616" s="740" t="s">
        <v>2297</v>
      </c>
      <c r="E616" s="747"/>
      <c r="F616" s="722"/>
      <c r="G616" s="747"/>
      <c r="H616" s="794"/>
      <c r="I616" s="747"/>
      <c r="J616" s="722"/>
      <c r="K616" s="747"/>
      <c r="L616" s="722"/>
      <c r="M616" s="747"/>
      <c r="N616" s="722"/>
      <c r="O616" s="747"/>
      <c r="P616" s="722"/>
      <c r="Q616" s="747"/>
      <c r="R616" s="2"/>
      <c r="S616" s="2"/>
    </row>
    <row r="617">
      <c r="A617" s="2"/>
      <c r="B617" s="3" t="s">
        <v>2298</v>
      </c>
      <c r="C617" s="740" t="s">
        <v>1711</v>
      </c>
      <c r="D617" s="761" t="s">
        <v>2299</v>
      </c>
      <c r="E617" s="762"/>
      <c r="F617" s="748"/>
      <c r="G617" s="747">
        <v>9.0</v>
      </c>
      <c r="H617" s="753">
        <v>9.0</v>
      </c>
      <c r="I617" s="747"/>
      <c r="J617" s="748"/>
      <c r="K617" s="747"/>
      <c r="L617" s="748"/>
      <c r="M617" s="747"/>
      <c r="N617" s="748"/>
      <c r="O617" s="747"/>
      <c r="P617" s="748"/>
      <c r="Q617" s="747"/>
      <c r="R617" s="2"/>
      <c r="S617" s="2"/>
    </row>
    <row r="618">
      <c r="A618" s="2"/>
      <c r="B618" s="3" t="s">
        <v>2300</v>
      </c>
      <c r="C618" s="740" t="s">
        <v>798</v>
      </c>
      <c r="D618" s="761" t="s">
        <v>2301</v>
      </c>
      <c r="E618" s="762"/>
      <c r="F618" s="748"/>
      <c r="G618" s="747">
        <v>9.0</v>
      </c>
      <c r="H618" s="759">
        <v>9.0</v>
      </c>
      <c r="I618" s="747"/>
      <c r="J618" s="759"/>
      <c r="K618" s="747"/>
      <c r="L618" s="758"/>
      <c r="M618" s="747"/>
      <c r="N618" s="758"/>
      <c r="O618" s="747"/>
      <c r="P618" s="758"/>
      <c r="Q618" s="747"/>
      <c r="R618" s="2"/>
      <c r="S618" s="2"/>
    </row>
    <row r="619">
      <c r="A619" s="2"/>
      <c r="B619" s="3" t="s">
        <v>2302</v>
      </c>
      <c r="C619" s="740" t="s">
        <v>151</v>
      </c>
      <c r="D619" s="761" t="s">
        <v>2303</v>
      </c>
      <c r="E619" s="762"/>
      <c r="F619" s="748"/>
      <c r="G619" s="747">
        <v>9.0</v>
      </c>
      <c r="H619" s="759">
        <v>9.0</v>
      </c>
      <c r="I619" s="747"/>
      <c r="J619" s="759"/>
      <c r="K619" s="747"/>
      <c r="L619" s="758"/>
      <c r="M619" s="747"/>
      <c r="N619" s="758"/>
      <c r="O619" s="747"/>
      <c r="P619" s="758"/>
      <c r="Q619" s="747"/>
      <c r="R619" s="2"/>
      <c r="S619" s="2"/>
    </row>
    <row r="620">
      <c r="A620" s="2"/>
      <c r="B620" s="2"/>
      <c r="C620" s="2"/>
      <c r="D620" s="740" t="s">
        <v>2304</v>
      </c>
      <c r="E620" s="747"/>
      <c r="F620" s="722"/>
      <c r="G620" s="747"/>
      <c r="H620" s="794"/>
      <c r="I620" s="747"/>
      <c r="J620" s="722"/>
      <c r="K620" s="747"/>
      <c r="L620" s="722"/>
      <c r="M620" s="747"/>
      <c r="N620" s="722"/>
      <c r="O620" s="747"/>
      <c r="P620" s="722"/>
      <c r="Q620" s="747"/>
      <c r="R620" s="2"/>
      <c r="S620" s="2"/>
    </row>
    <row r="621">
      <c r="A621" s="2"/>
      <c r="B621" s="3" t="s">
        <v>1721</v>
      </c>
      <c r="C621" s="740" t="s">
        <v>1722</v>
      </c>
      <c r="D621" s="761" t="s">
        <v>2305</v>
      </c>
      <c r="E621" s="762"/>
      <c r="F621" s="748"/>
      <c r="G621" s="747">
        <v>7.0</v>
      </c>
      <c r="H621" s="753"/>
      <c r="I621" s="747"/>
      <c r="J621" s="748"/>
      <c r="K621" s="747"/>
      <c r="L621" s="748"/>
      <c r="M621" s="747"/>
      <c r="N621" s="748"/>
      <c r="O621" s="747"/>
      <c r="P621" s="748"/>
      <c r="Q621" s="747"/>
      <c r="R621" s="2"/>
      <c r="S621" s="2"/>
    </row>
    <row r="622">
      <c r="A622" s="2"/>
      <c r="B622" s="2"/>
      <c r="C622" s="2"/>
      <c r="D622" s="2"/>
      <c r="E622" s="722"/>
      <c r="F622" s="722"/>
      <c r="G622" s="722"/>
      <c r="H622" s="722"/>
      <c r="I622" s="722"/>
      <c r="J622" s="722"/>
      <c r="K622" s="722"/>
      <c r="L622" s="722"/>
      <c r="M622" s="722"/>
      <c r="N622" s="722"/>
      <c r="O622" s="722"/>
      <c r="P622" s="722"/>
      <c r="Q622" s="2"/>
      <c r="R622" s="2"/>
      <c r="S622" s="2"/>
    </row>
    <row r="623">
      <c r="A623" s="2"/>
      <c r="B623" s="2"/>
      <c r="C623" s="2"/>
      <c r="D623" s="480" t="s">
        <v>638</v>
      </c>
      <c r="E623" s="2"/>
      <c r="F623" s="729"/>
      <c r="G623" s="795" t="s">
        <v>2306</v>
      </c>
      <c r="R623" s="2"/>
      <c r="S623" s="2"/>
    </row>
    <row r="624">
      <c r="A624" s="2"/>
      <c r="B624" s="2"/>
      <c r="C624" s="2"/>
      <c r="D624" s="2"/>
      <c r="E624" s="722"/>
      <c r="F624" s="722"/>
      <c r="G624" s="722"/>
      <c r="H624" s="722"/>
      <c r="I624" s="722"/>
      <c r="J624" s="722"/>
      <c r="K624" s="722"/>
      <c r="L624" s="722"/>
      <c r="M624" s="722"/>
      <c r="N624" s="722"/>
      <c r="O624" s="722"/>
      <c r="P624" s="722"/>
      <c r="Q624" s="2"/>
      <c r="R624" s="2"/>
      <c r="S624" s="2"/>
    </row>
  </sheetData>
  <mergeCells count="25">
    <mergeCell ref="G6:R6"/>
    <mergeCell ref="G7:R7"/>
    <mergeCell ref="A1:D1"/>
    <mergeCell ref="B4:D4"/>
    <mergeCell ref="G4:R4"/>
    <mergeCell ref="B5:D5"/>
    <mergeCell ref="G5:R5"/>
    <mergeCell ref="B6:D6"/>
    <mergeCell ref="B7:D7"/>
    <mergeCell ref="C12:C13"/>
    <mergeCell ref="D12:D13"/>
    <mergeCell ref="E12:F12"/>
    <mergeCell ref="G12:H12"/>
    <mergeCell ref="I12:J12"/>
    <mergeCell ref="K12:L12"/>
    <mergeCell ref="M12:N12"/>
    <mergeCell ref="O12:P12"/>
    <mergeCell ref="G623:Q623"/>
    <mergeCell ref="B8:D8"/>
    <mergeCell ref="G8:R8"/>
    <mergeCell ref="B9:D9"/>
    <mergeCell ref="G9:R9"/>
    <mergeCell ref="B10:D10"/>
    <mergeCell ref="G10:R10"/>
    <mergeCell ref="B12:B13"/>
  </mergeCells>
  <conditionalFormatting sqref="G16:G621 H16:H451 J452:J517 L452:L517 N452:N517 P452:P517 H464:H465 H473 H486 H490:H491 H509 H514 H517 J519:J520 L519:L520 N519:N520 P519:P520 H520 H522:H523 J522:J530 L522:L530 N522:N530 P522:P530 H529 H532 J532:J542 L532:L542 N532:N542 P532:P542 H538 H540:H542 H544:H547 J544:J573 L544:L573 N544:N573 P544:P573 H549:H550 H553:H561 H563:H564 H568:H570 H572:H621">
    <cfRule type="cellIs" dxfId="0" priority="1" operator="equal">
      <formula>1</formula>
    </cfRule>
  </conditionalFormatting>
  <hyperlinks>
    <hyperlink r:id="rId1" ref="G623"/>
  </hyperlinks>
  <drawing r:id="rId2"/>
</worksheet>
</file>